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https://appliedresearchassociates-my.sharepoint.us/personal/mdenis_ara_com/Documents/Documents/Projects/005935 TDOT PCC and LCCA/LCCA_Task2/"/>
    </mc:Choice>
  </mc:AlternateContent>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Summary!$A$1:$U$70</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<sst xmlns="http://schemas.openxmlformats.org/spreadsheetml/2006/main" count="1480" uniqueCount="637">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</sst>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s>
  <fonts count="22"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color rgb="007F7F7F"/>
      <sz val="9"/>
    </font>
  </fonts>
  <fills count="15">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EAF2FB"/>
      </patternFill>
    </fill>
  </fills>
  <borders count="38">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134">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9" fillId="9" borderId="36" pivotButton="0" quotePrefix="0" xfId="0"/>
    <xf numFmtId="0" fontId="17" fillId="13" borderId="37" applyAlignment="1" pivotButton="0" quotePrefix="0" xfId="0">
      <alignment vertical="center" wrapText="1"/>
    </xf>
    <xf numFmtId="0" fontId="20" fillId="9" borderId="37" pivotButton="0" quotePrefix="0" xfId="0"/>
    <xf numFmtId="168" fontId="20" fillId="9" borderId="37" pivotButton="0" quotePrefix="0" xfId="0"/>
    <xf numFmtId="10" fontId="20" fillId="9" borderId="37" pivotButton="0" quotePrefix="0" xfId="0"/>
    <xf numFmtId="0" fontId="21" fillId="9" borderId="36" pivotButton="0" quotePrefix="0" xfId="0"/>
    <xf numFmtId="168" fontId="21" fillId="9" borderId="36" pivotButton="0" quotePrefix="0" xfId="0"/>
    <xf numFmtId="0" fontId="17" fillId="14" borderId="36" pivotButton="0" quotePrefix="0" xfId="0"/>
    <xf numFmtId="0" fontId="15" fillId="14" borderId="36" pivotButton="0" quotePrefix="0" xfId="0"/>
    <xf numFmtId="169" fontId="21" fillId="9" borderId="36" pivotButton="0" quotePrefix="0" xfId="0"/>
    <xf numFmtId="1" fontId="21" fillId="9" borderId="36" pivotButton="0" quotePrefix="0" xfId="0"/>
  </cellXfs>
  <cellStyles count="3">
    <cellStyle name="Currency" xfId="2" builtinId="4"/>
    <cellStyle name="Hyperlink" xfId="1" builtinId="8"/>
    <cellStyle name="Normal" xfId="0" builtinId="0"/>
  </cellStyles>
  <dxfs count="27">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4A4A4A"/>
            </a:solidFill>
            <a:ln xmlns:a="http://schemas.openxmlformats.org/drawingml/2006/main">
              <a:solidFill>
                <a:srgbClr val="4A4A4A"/>
              </a:solidFill>
              <a:prstDash val="solid"/>
            </a:ln>
          </spPr>
          <cat>
            <numRef>
              <f>'Summary'!$X$4:$AA$4</f>
            </numRef>
          </cat>
          <val>
            <numRef>
              <f>'Summary'!$X$5:$AA$5</f>
            </numRef>
          </val>
        </ser>
        <ser>
          <idx val="1"/>
          <order val="1"/>
          <tx>
            <strRef>
              <f>'Summary'!W6</f>
            </strRef>
          </tx>
          <spPr>
            <a:solidFill xmlns:a="http://schemas.openxmlformats.org/drawingml/2006/main">
              <a:srgbClr val="8C8C8C"/>
            </a:solidFill>
            <a:ln xmlns:a="http://schemas.openxmlformats.org/drawingml/2006/main">
              <a:solidFill>
                <a:srgbClr val="8C8C8C"/>
              </a:solidFill>
              <a:prstDash val="solid"/>
            </a:ln>
          </spPr>
          <cat>
            <numRef>
              <f>'Summary'!$X$4:$AA$4</f>
            </numRef>
          </cat>
          <val>
            <numRef>
              <f>'Summary'!$X$6:$AA$6</f>
            </numRef>
          </val>
        </ser>
        <ser>
          <idx val="2"/>
          <order val="2"/>
          <tx>
            <strRef>
              <f>'Summary'!W7</f>
            </strRef>
          </tx>
          <spPr>
            <a:solidFill xmlns:a="http://schemas.openxmlformats.org/drawingml/2006/main">
              <a:srgbClr val="646464"/>
            </a:solidFill>
            <a:ln xmlns:a="http://schemas.openxmlformats.org/drawingml/2006/main">
              <a:solidFill>
                <a:srgbClr val="646464"/>
              </a:solidFill>
              <a:prstDash val="solid"/>
            </a:ln>
          </spPr>
          <cat>
            <numRef>
              <f>'Summary'!$X$4:$AA$4</f>
            </numRef>
          </cat>
          <val>
            <numRef>
              <f>'Summary'!$X$7:$AA$7</f>
            </numRef>
          </val>
        </ser>
        <ser>
          <idx val="3"/>
          <order val="3"/>
          <tx>
            <strRef>
              <f>'Summary'!W8</f>
            </strRef>
          </tx>
          <spPr>
            <a:solidFill xmlns:a="http://schemas.openxmlformats.org/drawingml/2006/main">
              <a:srgbClr val="B8B6AE"/>
            </a:solidFill>
            <a:ln xmlns:a="http://schemas.openxmlformats.org/drawingml/2006/main">
              <a:solidFill>
                <a:srgbClr val="B8B6AE"/>
              </a:solidFill>
              <a:prstDash val="solid"/>
            </a:ln>
          </spPr>
          <cat>
            <numRef>
              <f>'Summary'!$X$4:$AA$4</f>
            </numRef>
          </cat>
          <val>
            <numRef>
              <f>'Summary'!$X$8:$AA$8</f>
            </numRef>
          </val>
        </ser>
        <ser>
          <idx val="4"/>
          <order val="4"/>
          <tx>
            <strRef>
              <f>'Summary'!W9</f>
            </strRef>
          </tx>
          <spPr>
            <a:solidFill xmlns:a="http://schemas.openxmlformats.org/drawingml/2006/main">
              <a:srgbClr val="DCDCDC"/>
            </a:solidFill>
            <a:ln xmlns:a="http://schemas.openxmlformats.org/drawingml/2006/main">
              <a:solidFill>
                <a:srgbClr val="DCDCDC"/>
              </a:solidFill>
              <a:prstDash val="solid"/>
            </a:ln>
          </spPr>
          <cat>
            <numRef>
              <f>'Summary'!$X$4:$AA$4</f>
            </numRef>
          </cat>
          <val>
            <numRef>
              <f>'Summary'!$X$9:$AA$9</f>
            </numRef>
          </val>
        </ser>
        <gapWidth val="60"/>
        <overlap val="100"/>
        <axId val="10"/>
        <axId val="100"/>
      </barChart>
      <catAx>
        <axId val="10"/>
        <scaling>
          <orientation val="minMax"/>
        </scaling>
        <delete val="0"/>
        <axPos val="l"/>
        <majorTickMark val="none"/>
        <minorTickMark val="none"/>
        <tickLblPos val="low"/>
        <crossAx val="100"/>
        <lblOffset val="100"/>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AIP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numFmt formatCode="0.00&quot;%&quot;" sourceLinked="0"/>
        <majorTickMark val="none"/>
        <minorTickMark val="none"/>
        <crossAx val="100"/>
        <lblOffset val="100"/>
        <tickLblSkip val="4"/>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majorTickMark val="none"/>
        <minorTickMark val="none"/>
        <tickLblPos val="low"/>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quot;M&quot;" sourceLinked="0"/>
        <majorTickMark val="none"/>
        <minorTickMark val="none"/>
        <crossAx val="10"/>
      </valAx>
    </plotArea>
    <legend>
      <legendPos val="b"/>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majorTickMark val="none"/>
        <minorTickMark val="none"/>
        <crossAx val="100"/>
        <lblOffset val="100"/>
        <tickLblSkip val="5"/>
      </catAx>
      <valAx>
        <axId val="100"/>
        <scaling>
          <orientation val="minMax"/>
        </scaling>
        <delete val="0"/>
        <axPos val="l"/>
        <numFmt formatCode="0" sourceLinked="0"/>
        <majorTickMark val="none"/>
        <minorTickMark val="none"/>
        <crossAx val="10"/>
      </valAx>
    </plotArea>
    <legend>
      <legendPos val="b"/>
    </legend>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8255</xdr:rowOff>
    </xdr:to>
    <xdr:pic>
      <xdr:nvPicPr>
        <xdr:cNvPr id="2" name="Picture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Adminimstration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associeted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6350</xdr:colOff>
      <xdr:row>1</xdr:row>
      <xdr:rowOff>6350</xdr:rowOff>
    </xdr:from>
    <xdr:to>
      <xdr:col>4</xdr:col>
      <xdr:colOff>2540</xdr:colOff>
      <xdr:row>6</xdr:row>
      <xdr:rowOff>6350</xdr:rowOff>
    </xdr:to>
    <xdr:pic>
      <xdr:nvPicPr>
        <xdr:cNvPr id="2" name="Picture 1">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0710" y="173990"/>
          <a:ext cx="1779270" cy="838200"/>
        </a:xfrm>
        <a:prstGeom prst="rect">
          <a:avLst/>
        </a:prstGeom>
        <a:solidFill>
          <a:schemeClr val="bg1"/>
        </a:solidFill>
        <a:ln>
          <a:noFill/>
        </a:ln>
      </xdr:spPr>
    </xdr:pic>
    <xdr:clientData/>
  </xdr:twoCellAnchor>
  <xdr:twoCellAnchor>
    <xdr:from>
      <xdr:col>1</xdr:col>
      <xdr:colOff>0</xdr:colOff>
      <xdr:row>9</xdr:row>
      <xdr:rowOff>0</xdr:rowOff>
    </xdr:from>
    <xdr:to>
      <xdr:col>13</xdr:col>
      <xdr:colOff>361950</xdr:colOff>
      <xdr:row>59</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821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provides a summary table and chart for the initial construction cost and NPW for each included alternative.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0</xdr:colOff>
      <xdr:row>1</xdr:row>
      <xdr:rowOff>0</xdr:rowOff>
    </xdr:from>
    <xdr:to>
      <xdr:col>2</xdr:col>
      <xdr:colOff>1171575</xdr:colOff>
      <xdr:row>6</xdr:row>
      <xdr:rowOff>0</xdr:rowOff>
    </xdr:to>
    <xdr:pic>
      <xdr:nvPicPr>
        <xdr:cNvPr id="2" name="Picture 1">
          <a:extLst>
            <a:ext uri="{FF2B5EF4-FFF2-40B4-BE49-F238E27FC236}">
              <a16:creationId xmlns:a16="http://schemas.microsoft.com/office/drawing/2014/main" id="{00000000-0008-0000-02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1765935</xdr:colOff>
      <xdr:row>6</xdr:row>
      <xdr:rowOff>0</xdr:rowOff>
    </xdr:to>
    <xdr:pic>
      <xdr:nvPicPr>
        <xdr:cNvPr id="2" name="Picture 1">
          <a:extLst>
            <a:ext uri="{FF2B5EF4-FFF2-40B4-BE49-F238E27FC236}">
              <a16:creationId xmlns:a16="http://schemas.microsoft.com/office/drawing/2014/main" id="{00000000-0008-0000-05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0550" y="171450"/>
          <a:ext cx="1765935" cy="857250"/>
        </a:xfrm>
        <a:prstGeom prst="rect">
          <a:avLst/>
        </a:prstGeom>
        <a:solidFill>
          <a:schemeClr val="bg1"/>
        </a:solidFill>
        <a:ln>
          <a:noFill/>
        </a:ln>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13</xdr:col>
      <xdr:colOff>0</xdr:colOff>
      <xdr:row>49</xdr:row>
      <xdr:rowOff>0</xdr:rowOff>
    </xdr:from>
    <xdr:to>
      <xdr:col>20</xdr:col>
      <xdr:colOff>0</xdr:colOff>
      <xdr:row>66</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13</xdr:row>
      <xdr:rowOff>0</xdr:rowOff>
    </xdr:from>
    <xdr:ext cx="558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13</xdr:row>
      <xdr:rowOff>0</xdr:rowOff>
    </xdr:from>
    <xdr:ext cx="558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31</xdr:row>
      <xdr:rowOff>0</xdr:rowOff>
    </xdr:from>
    <xdr:ext cx="558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31</xdr:row>
      <xdr:rowOff>0</xdr:rowOff>
    </xdr:from>
    <xdr:ext cx="558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49</xdr:row>
      <xdr:rowOff>0</xdr:rowOff>
    </xdr:from>
    <xdr:ext cx="558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1" Type="http://schemas.openxmlformats.org/officeDocument/2006/relationships/printerSettings" Target="../printerSettings/printerSettings4.bin"/><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1" Type="http://schemas.openxmlformats.org/officeDocument/2006/relationships/printerSettings" Target="../printerSettings/printerSettings5.bin"/><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1" Type="http://schemas.openxmlformats.org/officeDocument/2006/relationships/printerSettings" Target="../printerSettings/printerSettings6.bin"/><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theme="0" tint="-0.34998626667073579"/>
  </sheetPr>
  <dimension ref="A1:X68"/>
  <sheetViews>
    <sheetView zoomScale="80" zoomScaleNormal="80" workbookViewId="0">
      <selection activeCell="B42" sqref="B42"/>
    </sheetView>
  </sheetViews>
  <sheetFormatPr defaultRowHeight="15" x14ac:dyDescent="0.25"/>
  <cols>
    <col min="2" max="2" width="19.7109375" customWidth="1"/>
    <col min="3" max="3" width="41.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spans="1:24" x14ac:dyDescent="0.25">
      <c r="C1" t="str">
        <f>Pay_Items!D55</f>
        <v>Joint Clean and Reseal, Concrete</v>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109"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109"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si="1"/>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1"/>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9525</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19050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92D050"/>
  </sheetPr>
  <dimension ref="B2:E28"/>
  <sheetViews>
    <sheetView topLeftCell="A16" workbookViewId="0">
      <selection activeCell="J7" sqref="J7"/>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ht="15" x14ac:dyDescent="0.25">
      <c r="E7" s="94" t="s">
        <v>365</v>
      </c>
    </row>
    <row r="9" spans="2:5" x14ac:dyDescent="0.2">
      <c r="B9" s="6" t="s">
        <v>109</v>
      </c>
    </row>
    <row r="28" spans="2:2" x14ac:dyDescent="0.2">
      <c r="B28" s="6"/>
    </row>
  </sheetData>
  <hyperlinks>
    <hyperlink ref="E7" r:id="rId1" xr:uid="{42931B7E-9F18-4423-8A96-98F5B7FB2656}"/>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92D050"/>
  </sheetPr>
  <dimension ref="B2:E9"/>
  <sheetViews>
    <sheetView topLeftCell="A22" workbookViewId="0">
      <selection activeCell="R38" sqref="R38"/>
    </sheetView>
  </sheetViews>
  <sheetFormatPr defaultColWidth="8.7109375" defaultRowHeight="12.75" x14ac:dyDescent="0.2"/>
  <cols>
    <col min="1" max="16384" width="8.7109375" style="5"/>
  </cols>
  <sheetData>
    <row r="2" spans="2:5" x14ac:dyDescent="0.2">
      <c r="E2" s="5" t="s">
        <v>360</v>
      </c>
    </row>
    <row r="3" spans="2:5" x14ac:dyDescent="0.2">
      <c r="E3" s="5" t="s">
        <v>361</v>
      </c>
    </row>
    <row r="4" spans="2:5" x14ac:dyDescent="0.2">
      <c r="E4" s="5" t="s">
        <v>362</v>
      </c>
    </row>
    <row r="5" spans="2:5" x14ac:dyDescent="0.2">
      <c r="E5" s="5" t="s">
        <v>363</v>
      </c>
    </row>
    <row r="6" spans="2:5" x14ac:dyDescent="0.2">
      <c r="E6" s="5" t="s">
        <v>364</v>
      </c>
    </row>
    <row r="7" spans="2:5" x14ac:dyDescent="0.2">
      <c r="E7" s="5" t="s">
        <v>365</v>
      </c>
    </row>
    <row r="9" spans="2:5" x14ac:dyDescent="0.2">
      <c r="B9" s="6" t="s">
        <v>347</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theme="0" tint="-0.34998626667073579"/>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7" spans="2:19" x14ac:dyDescent="0.2">
      <c r="K7" s="5" t="s">
        <v>248</v>
      </c>
    </row>
    <row r="8" spans="2:19" x14ac:dyDescent="0.2">
      <c r="B8" s="6" t="s">
        <v>93</v>
      </c>
      <c r="L8" s="7" t="s">
        <v>246</v>
      </c>
      <c r="M8" s="7" t="s">
        <v>245</v>
      </c>
      <c r="N8" s="7" t="s">
        <v>509</v>
      </c>
      <c r="O8" s="7" t="s">
        <v>510</v>
      </c>
      <c r="P8" s="7" t="s">
        <v>247</v>
      </c>
      <c r="Q8" s="7" t="s">
        <v>250</v>
      </c>
      <c r="S8" s="5" t="s">
        <v>455</v>
      </c>
    </row>
    <row r="9" spans="2:19" x14ac:dyDescent="0.2">
      <c r="C9" s="5" t="s">
        <v>87</v>
      </c>
      <c r="D9" s="73"/>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s">
        <v>88</v>
      </c>
      <c r="D12" s="92" t="str">
        <f>IF(D9="","N/A",VLOOKUP(Airport_Name,Table17[],6))</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6" t="s">
        <v>94</v>
      </c>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L25" s="5" t="s">
        <v>175</v>
      </c>
      <c r="M25" s="5" t="s">
        <v>174</v>
      </c>
      <c r="N25" s="5" t="s">
        <v>383</v>
      </c>
      <c r="O25" s="5" t="s">
        <v>383</v>
      </c>
      <c r="P25" s="5" t="s">
        <v>64</v>
      </c>
      <c r="S25" s="5" t="s">
        <v>482</v>
      </c>
    </row>
    <row r="26" spans="2:19" x14ac:dyDescent="0.2">
      <c r="C26" s="5" t="s">
        <v>268</v>
      </c>
      <c r="D26" s="73"/>
      <c r="L26" s="5" t="s">
        <v>152</v>
      </c>
      <c r="M26" s="5" t="s">
        <v>151</v>
      </c>
      <c r="N26" s="5" t="s">
        <v>384</v>
      </c>
      <c r="O26" s="5" t="s">
        <v>527</v>
      </c>
      <c r="P26" s="5" t="s">
        <v>65</v>
      </c>
    </row>
    <row r="27" spans="2:19" x14ac:dyDescent="0.2">
      <c r="C27" s="5" t="s">
        <v>269</v>
      </c>
      <c r="D27" s="73"/>
      <c r="L27" s="5" t="s">
        <v>113</v>
      </c>
      <c r="M27" s="5" t="s">
        <v>112</v>
      </c>
      <c r="N27" s="5" t="s">
        <v>385</v>
      </c>
      <c r="O27" s="5" t="s">
        <v>528</v>
      </c>
      <c r="P27" s="5" t="s">
        <v>66</v>
      </c>
    </row>
    <row r="28" spans="2:19" x14ac:dyDescent="0.2">
      <c r="C28" s="5" t="s">
        <v>270</v>
      </c>
      <c r="D28" s="73"/>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6" t="s">
        <v>252</v>
      </c>
      <c r="L32" s="5" t="s">
        <v>238</v>
      </c>
      <c r="M32" s="5" t="s">
        <v>237</v>
      </c>
      <c r="N32" s="5" t="s">
        <v>429</v>
      </c>
      <c r="O32" s="5" t="s">
        <v>533</v>
      </c>
      <c r="P32" s="5" t="s">
        <v>64</v>
      </c>
    </row>
    <row r="33" spans="2:16" x14ac:dyDescent="0.2">
      <c r="C33" s="5" t="s">
        <v>253</v>
      </c>
      <c r="D33" s="88">
        <v>30</v>
      </c>
      <c r="L33" s="5" t="s">
        <v>164</v>
      </c>
      <c r="M33" s="5" t="s">
        <v>163</v>
      </c>
      <c r="N33" s="5" t="s">
        <v>428</v>
      </c>
      <c r="O33" s="5" t="s">
        <v>534</v>
      </c>
      <c r="P33" s="5" t="s">
        <v>66</v>
      </c>
    </row>
    <row r="34" spans="2:16" x14ac:dyDescent="0.2">
      <c r="C34" s="5" t="s">
        <v>271</v>
      </c>
      <c r="D34" s="88">
        <v>3</v>
      </c>
      <c r="L34" s="5" t="s">
        <v>173</v>
      </c>
      <c r="M34" s="5" t="s">
        <v>172</v>
      </c>
      <c r="N34" s="5" t="s">
        <v>411</v>
      </c>
      <c r="O34" s="5" t="s">
        <v>518</v>
      </c>
      <c r="P34" s="5" t="s">
        <v>65</v>
      </c>
    </row>
    <row r="35" spans="2:16" x14ac:dyDescent="0.2">
      <c r="C35" s="5" t="s">
        <v>254</v>
      </c>
      <c r="D35" s="88" t="s">
        <v>452</v>
      </c>
      <c r="L35" s="5" t="s">
        <v>232</v>
      </c>
      <c r="M35" s="5" t="s">
        <v>231</v>
      </c>
      <c r="N35" s="5" t="s">
        <v>438</v>
      </c>
      <c r="O35" s="5" t="s">
        <v>535</v>
      </c>
      <c r="P35" s="5" t="s">
        <v>65</v>
      </c>
    </row>
    <row r="36" spans="2:16" x14ac:dyDescent="0.2">
      <c r="C36" s="5" t="s">
        <v>257</v>
      </c>
      <c r="D36" s="88">
        <v>10</v>
      </c>
      <c r="L36" s="5" t="s">
        <v>160</v>
      </c>
      <c r="M36" s="5" t="s">
        <v>159</v>
      </c>
      <c r="N36" s="5" t="s">
        <v>389</v>
      </c>
      <c r="O36" s="5" t="s">
        <v>536</v>
      </c>
      <c r="P36" s="5" t="s">
        <v>66</v>
      </c>
    </row>
    <row r="37" spans="2:16" x14ac:dyDescent="0.2">
      <c r="C37" s="5" t="s">
        <v>258</v>
      </c>
      <c r="D37" s="88">
        <v>5</v>
      </c>
      <c r="L37" s="5" t="s">
        <v>182</v>
      </c>
      <c r="M37" s="5" t="s">
        <v>181</v>
      </c>
      <c r="N37" s="5" t="s">
        <v>376</v>
      </c>
      <c r="O37" s="5" t="s">
        <v>537</v>
      </c>
      <c r="P37" s="5" t="s">
        <v>64</v>
      </c>
    </row>
    <row r="38" spans="2:16" x14ac:dyDescent="0.2">
      <c r="C38" s="5" t="s">
        <v>613</v>
      </c>
      <c r="D38" s="100" t="s">
        <v>632</v>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spans="2:16" x14ac:dyDescent="0.2">
      <c r="L46" s="5" t="s">
        <v>115</v>
      </c>
      <c r="M46" s="5" t="s">
        <v>114</v>
      </c>
      <c r="N46" s="5" t="s">
        <v>391</v>
      </c>
      <c r="O46" s="5" t="s">
        <v>544</v>
      </c>
      <c r="P46" s="5" t="s">
        <v>64</v>
      </c>
    </row>
    <row r="47" spans="2:16" x14ac:dyDescent="0.2">
      <c r="L47" s="5" t="s">
        <v>448</v>
      </c>
      <c r="M47" s="5" t="s">
        <v>418</v>
      </c>
      <c r="N47" s="5" t="s">
        <v>417</v>
      </c>
      <c r="O47" s="5" t="s">
        <v>545</v>
      </c>
      <c r="P47" s="5" t="s">
        <v>64</v>
      </c>
    </row>
    <row r="48" spans="2:16" x14ac:dyDescent="0.2">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FFC000"/>
  </sheetPr>
  <dimension ref="A1:J59"/>
  <sheetViews>
    <sheetView topLeftCell="B1" workbookViewId="0">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spans="1:10" x14ac:dyDescent="0.2">
      <c r="G1" s="115" t="s">
        <v>267</v>
      </c>
      <c r="H1" s="115"/>
      <c r="I1" s="115"/>
    </row>
    <row r="2" spans="1:10" x14ac:dyDescent="0.2">
      <c r="A2" s="6" t="s">
        <v>51</v>
      </c>
      <c r="B2" s="5" t="s">
        <v>505</v>
      </c>
      <c r="C2" s="6" t="s">
        <v>52</v>
      </c>
      <c r="D2" s="6" t="s">
        <v>53</v>
      </c>
      <c r="E2" s="6" t="s">
        <v>266</v>
      </c>
      <c r="F2" s="6" t="s">
        <v>320</v>
      </c>
      <c r="G2" s="7" t="s">
        <v>64</v>
      </c>
      <c r="H2" s="7" t="s">
        <v>65</v>
      </c>
      <c r="I2" s="7" t="s">
        <v>66</v>
      </c>
    </row>
    <row r="3" spans="1:10" x14ac:dyDescent="0.2">
      <c r="A3" s="6"/>
      <c r="B3" s="5" t="s">
        <v>454</v>
      </c>
      <c r="C3" s="6"/>
      <c r="D3" s="6"/>
      <c r="E3" s="6" t="s">
        <v>453</v>
      </c>
      <c r="F3" s="6" t="s">
        <v>453</v>
      </c>
      <c r="G3" s="7"/>
      <c r="H3" s="7"/>
      <c r="I3" s="7"/>
    </row>
    <row r="4" spans="1:10" x14ac:dyDescent="0.2">
      <c r="A4" s="6" t="s">
        <v>10</v>
      </c>
      <c r="B4" s="5" t="s">
        <v>54</v>
      </c>
      <c r="C4" s="1" t="s">
        <v>317</v>
      </c>
      <c r="D4" s="2" t="s">
        <v>63</v>
      </c>
      <c r="E4" s="3" t="s">
        <v>6</v>
      </c>
      <c r="F4" s="67">
        <v>4.2</v>
      </c>
      <c r="J4" s="5" t="s">
        <v>590</v>
      </c>
    </row>
    <row r="5" spans="1:10" x14ac:dyDescent="0.2">
      <c r="B5" s="5" t="s">
        <v>54</v>
      </c>
      <c r="C5" s="1" t="s">
        <v>318</v>
      </c>
      <c r="D5" s="2" t="s">
        <v>62</v>
      </c>
      <c r="E5" s="3" t="s">
        <v>6</v>
      </c>
      <c r="F5" s="67"/>
      <c r="J5" s="5" t="s">
        <v>590</v>
      </c>
    </row>
    <row r="6" spans="1:10" x14ac:dyDescent="0.2">
      <c r="B6" s="5" t="s">
        <v>54</v>
      </c>
      <c r="C6" s="1" t="s">
        <v>329</v>
      </c>
      <c r="D6" s="2" t="s">
        <v>331</v>
      </c>
      <c r="E6" s="3" t="s">
        <v>7</v>
      </c>
      <c r="F6" s="67">
        <v>4</v>
      </c>
    </row>
    <row r="7" spans="1:10" x14ac:dyDescent="0.2">
      <c r="B7" s="5" t="s">
        <v>54</v>
      </c>
      <c r="C7" s="1" t="s">
        <v>330</v>
      </c>
      <c r="D7" s="2" t="s">
        <v>332</v>
      </c>
      <c r="E7" s="3" t="s">
        <v>7</v>
      </c>
      <c r="F7" s="67">
        <v>6.5</v>
      </c>
    </row>
    <row r="8" spans="1:10" x14ac:dyDescent="0.2">
      <c r="B8" s="5" t="s">
        <v>54</v>
      </c>
      <c r="C8" s="1" t="s">
        <v>333</v>
      </c>
      <c r="D8" s="2" t="s">
        <v>335</v>
      </c>
      <c r="E8" s="3" t="s">
        <v>7</v>
      </c>
      <c r="F8" s="67">
        <v>8</v>
      </c>
    </row>
    <row r="9" spans="1:10" x14ac:dyDescent="0.2">
      <c r="B9" s="5" t="s">
        <v>54</v>
      </c>
      <c r="C9" s="1" t="s">
        <v>334</v>
      </c>
      <c r="D9" s="2" t="s">
        <v>336</v>
      </c>
      <c r="E9" s="3" t="s">
        <v>7</v>
      </c>
      <c r="F9" s="67">
        <v>8.5</v>
      </c>
    </row>
    <row r="10" spans="1:10" x14ac:dyDescent="0.2">
      <c r="B10" s="5" t="s">
        <v>54</v>
      </c>
      <c r="C10" s="1" t="s">
        <v>11</v>
      </c>
      <c r="D10" s="2" t="s">
        <v>359</v>
      </c>
      <c r="E10" s="3" t="s">
        <v>12</v>
      </c>
      <c r="F10" s="67">
        <f>7/9</f>
        <v>0.77777777777777779</v>
      </c>
    </row>
    <row r="11" spans="1:10" x14ac:dyDescent="0.2">
      <c r="B11" s="5" t="s">
        <v>54</v>
      </c>
      <c r="C11" s="1" t="s">
        <v>488</v>
      </c>
      <c r="D11" s="2" t="s">
        <v>337</v>
      </c>
      <c r="E11" s="3" t="s">
        <v>12</v>
      </c>
      <c r="F11" s="67">
        <v>8.5</v>
      </c>
      <c r="J11" s="5" t="s">
        <v>590</v>
      </c>
    </row>
    <row r="12" spans="1:10" x14ac:dyDescent="0.2">
      <c r="B12" s="5" t="s">
        <v>54</v>
      </c>
      <c r="C12" s="1" t="s">
        <v>489</v>
      </c>
      <c r="D12" s="2" t="s">
        <v>490</v>
      </c>
      <c r="E12" s="3" t="s">
        <v>12</v>
      </c>
      <c r="F12" s="67"/>
      <c r="J12" s="5" t="s">
        <v>593</v>
      </c>
    </row>
    <row r="13" spans="1:10" x14ac:dyDescent="0.2">
      <c r="B13" s="5" t="s">
        <v>54</v>
      </c>
      <c r="C13" s="1" t="s">
        <v>341</v>
      </c>
      <c r="D13" s="2" t="s">
        <v>338</v>
      </c>
      <c r="E13" s="3" t="s">
        <v>12</v>
      </c>
      <c r="F13" s="67">
        <v>60</v>
      </c>
      <c r="J13" s="5" t="s">
        <v>590</v>
      </c>
    </row>
    <row r="14" spans="1:10" x14ac:dyDescent="0.2">
      <c r="B14" s="5" t="s">
        <v>54</v>
      </c>
      <c r="C14" s="1" t="s">
        <v>342</v>
      </c>
      <c r="D14" s="2" t="s">
        <v>339</v>
      </c>
      <c r="E14" s="3" t="s">
        <v>6</v>
      </c>
      <c r="F14" s="67">
        <v>120</v>
      </c>
      <c r="J14" s="5" t="s">
        <v>590</v>
      </c>
    </row>
    <row r="15" spans="1:10" x14ac:dyDescent="0.2">
      <c r="B15" s="5" t="s">
        <v>54</v>
      </c>
      <c r="C15" s="1" t="s">
        <v>343</v>
      </c>
      <c r="D15" s="2" t="s">
        <v>340</v>
      </c>
      <c r="E15" s="3" t="s">
        <v>6</v>
      </c>
      <c r="F15" s="67">
        <v>100</v>
      </c>
    </row>
    <row r="16" spans="1:10" x14ac:dyDescent="0.2">
      <c r="B16" s="5" t="s">
        <v>54</v>
      </c>
      <c r="C16" s="1" t="s">
        <v>1</v>
      </c>
      <c r="D16" s="2" t="s">
        <v>13</v>
      </c>
      <c r="E16" s="3" t="s">
        <v>6</v>
      </c>
      <c r="F16" s="67">
        <f>10/2</f>
        <v>5</v>
      </c>
      <c r="J16" s="5" t="s">
        <v>590</v>
      </c>
    </row>
    <row r="17" spans="1:10" x14ac:dyDescent="0.2">
      <c r="B17" s="5" t="s">
        <v>54</v>
      </c>
      <c r="C17" s="1" t="s">
        <v>14</v>
      </c>
      <c r="D17" s="2" t="s">
        <v>316</v>
      </c>
      <c r="E17" s="3" t="s">
        <v>8</v>
      </c>
      <c r="F17" s="67"/>
    </row>
    <row r="18" spans="1:10" x14ac:dyDescent="0.2">
      <c r="B18" s="5" t="s">
        <v>54</v>
      </c>
      <c r="C18" s="1" t="s">
        <v>15</v>
      </c>
      <c r="D18" s="2" t="s">
        <v>315</v>
      </c>
      <c r="E18" s="3" t="s">
        <v>8</v>
      </c>
      <c r="F18" s="67"/>
    </row>
    <row r="19" spans="1:10" x14ac:dyDescent="0.2">
      <c r="B19" s="5" t="s">
        <v>54</v>
      </c>
      <c r="C19" s="1" t="s">
        <v>16</v>
      </c>
      <c r="D19" s="2" t="s">
        <v>17</v>
      </c>
      <c r="E19" s="3" t="s">
        <v>8</v>
      </c>
      <c r="F19" s="67">
        <v>55</v>
      </c>
    </row>
    <row r="20" spans="1:10" x14ac:dyDescent="0.2">
      <c r="B20" s="5" t="s">
        <v>54</v>
      </c>
      <c r="C20" s="1" t="s">
        <v>18</v>
      </c>
      <c r="D20" s="2" t="s">
        <v>633</v>
      </c>
      <c r="E20" s="3" t="s">
        <v>6</v>
      </c>
      <c r="F20" s="67"/>
    </row>
    <row r="21" spans="1:10" x14ac:dyDescent="0.2">
      <c r="B21" s="5" t="s">
        <v>54</v>
      </c>
      <c r="C21" s="1" t="s">
        <v>20</v>
      </c>
      <c r="D21" s="2" t="s">
        <v>21</v>
      </c>
      <c r="E21" s="3" t="s">
        <v>6</v>
      </c>
      <c r="F21" s="67">
        <v>10</v>
      </c>
      <c r="J21" s="5" t="s">
        <v>590</v>
      </c>
    </row>
    <row r="22" spans="1:10" x14ac:dyDescent="0.2">
      <c r="B22" s="5" t="s">
        <v>54</v>
      </c>
      <c r="C22" s="1" t="s">
        <v>22</v>
      </c>
      <c r="D22" s="2" t="s">
        <v>309</v>
      </c>
      <c r="E22" s="3" t="s">
        <v>6</v>
      </c>
      <c r="F22" s="67"/>
      <c r="J22" s="5" t="s">
        <v>590</v>
      </c>
    </row>
    <row r="23" spans="1:10" x14ac:dyDescent="0.2">
      <c r="B23" s="5" t="s">
        <v>54</v>
      </c>
      <c r="C23" s="1" t="s">
        <v>310</v>
      </c>
      <c r="D23" s="2" t="s">
        <v>312</v>
      </c>
      <c r="E23" s="3" t="s">
        <v>6</v>
      </c>
      <c r="F23" s="67"/>
      <c r="J23" s="5" t="s">
        <v>590</v>
      </c>
    </row>
    <row r="24" spans="1:10" x14ac:dyDescent="0.2">
      <c r="B24" s="5" t="s">
        <v>54</v>
      </c>
      <c r="C24" s="1" t="s">
        <v>311</v>
      </c>
      <c r="D24" s="2" t="s">
        <v>313</v>
      </c>
      <c r="E24" s="3" t="s">
        <v>6</v>
      </c>
      <c r="F24" s="67"/>
      <c r="J24" s="5" t="s">
        <v>590</v>
      </c>
    </row>
    <row r="25" spans="1:10" x14ac:dyDescent="0.2">
      <c r="B25" s="5" t="s">
        <v>54</v>
      </c>
      <c r="C25" s="1" t="s">
        <v>23</v>
      </c>
      <c r="D25" s="2" t="s">
        <v>314</v>
      </c>
      <c r="E25" s="3" t="s">
        <v>6</v>
      </c>
      <c r="F25" s="67"/>
      <c r="J25" s="5" t="s">
        <v>590</v>
      </c>
    </row>
    <row r="26" spans="1:10" ht="12.6" customHeight="1" x14ac:dyDescent="0.2">
      <c r="A26" s="6" t="s">
        <v>24</v>
      </c>
      <c r="B26" s="5" t="s">
        <v>289</v>
      </c>
      <c r="C26" s="1" t="s">
        <v>2</v>
      </c>
      <c r="D26" s="2" t="s">
        <v>288</v>
      </c>
      <c r="E26" s="3" t="s">
        <v>6</v>
      </c>
      <c r="F26" s="67"/>
      <c r="J26" s="5" t="s">
        <v>590</v>
      </c>
    </row>
    <row r="27" spans="1:10" x14ac:dyDescent="0.2">
      <c r="B27" s="5" t="s">
        <v>289</v>
      </c>
      <c r="C27" s="1" t="s">
        <v>25</v>
      </c>
      <c r="D27" s="2" t="s">
        <v>26</v>
      </c>
      <c r="E27" s="3" t="s">
        <v>8</v>
      </c>
      <c r="F27" s="67"/>
    </row>
    <row r="28" spans="1:10" x14ac:dyDescent="0.2">
      <c r="B28" s="5" t="s">
        <v>289</v>
      </c>
      <c r="C28" s="1" t="s">
        <v>27</v>
      </c>
      <c r="D28" s="2" t="s">
        <v>634</v>
      </c>
      <c r="E28" s="3" t="s">
        <v>6</v>
      </c>
      <c r="F28" s="67"/>
    </row>
    <row r="29" spans="1:10" x14ac:dyDescent="0.2">
      <c r="B29" s="5" t="s">
        <v>289</v>
      </c>
      <c r="C29" s="1" t="s">
        <v>0</v>
      </c>
      <c r="D29" s="2" t="s">
        <v>29</v>
      </c>
      <c r="E29" s="3" t="s">
        <v>8</v>
      </c>
      <c r="F29" s="67">
        <v>65</v>
      </c>
    </row>
    <row r="30" spans="1:10" x14ac:dyDescent="0.2">
      <c r="B30" s="5" t="s">
        <v>289</v>
      </c>
      <c r="C30" s="1" t="s">
        <v>30</v>
      </c>
      <c r="D30" s="2" t="s">
        <v>635</v>
      </c>
      <c r="E30" s="3" t="s">
        <v>6</v>
      </c>
      <c r="F30" s="67"/>
    </row>
    <row r="31" spans="1:10" x14ac:dyDescent="0.2">
      <c r="B31" s="5" t="s">
        <v>289</v>
      </c>
      <c r="C31" s="1" t="s">
        <v>31</v>
      </c>
      <c r="D31" s="2" t="s">
        <v>32</v>
      </c>
      <c r="E31" s="3" t="s">
        <v>8</v>
      </c>
      <c r="F31" s="67"/>
    </row>
    <row r="32" spans="1:10" x14ac:dyDescent="0.2">
      <c r="B32" s="5" t="s">
        <v>289</v>
      </c>
      <c r="C32" s="1" t="s">
        <v>33</v>
      </c>
      <c r="D32" s="2" t="s">
        <v>636</v>
      </c>
      <c r="E32" s="3" t="s">
        <v>6</v>
      </c>
      <c r="F32" s="67"/>
    </row>
    <row r="33" spans="1:10" x14ac:dyDescent="0.2">
      <c r="B33" s="5" t="s">
        <v>289</v>
      </c>
      <c r="C33" s="1" t="s">
        <v>34</v>
      </c>
      <c r="D33" s="2" t="s">
        <v>291</v>
      </c>
      <c r="E33" s="3" t="s">
        <v>6</v>
      </c>
      <c r="F33" s="67"/>
      <c r="J33" s="5" t="s">
        <v>590</v>
      </c>
    </row>
    <row r="34" spans="1:10" x14ac:dyDescent="0.2">
      <c r="A34" s="6" t="s">
        <v>35</v>
      </c>
      <c r="B34" s="5" t="s">
        <v>290</v>
      </c>
      <c r="C34" s="1" t="s">
        <v>36</v>
      </c>
      <c r="D34" s="2" t="s">
        <v>292</v>
      </c>
      <c r="E34" s="3" t="s">
        <v>8</v>
      </c>
      <c r="F34" s="67"/>
      <c r="J34" s="5" t="s">
        <v>592</v>
      </c>
    </row>
    <row r="35" spans="1:10" x14ac:dyDescent="0.2">
      <c r="B35" s="5" t="s">
        <v>290</v>
      </c>
      <c r="C35" s="1" t="s">
        <v>37</v>
      </c>
      <c r="D35" s="2" t="s">
        <v>293</v>
      </c>
      <c r="E35" s="3" t="s">
        <v>8</v>
      </c>
      <c r="F35" s="67"/>
      <c r="J35" s="5" t="s">
        <v>592</v>
      </c>
    </row>
    <row r="36" spans="1:10" x14ac:dyDescent="0.2">
      <c r="B36" s="5" t="s">
        <v>290</v>
      </c>
      <c r="C36" s="1" t="s">
        <v>38</v>
      </c>
      <c r="D36" s="2" t="s">
        <v>294</v>
      </c>
      <c r="E36" s="3" t="s">
        <v>8</v>
      </c>
      <c r="F36" s="67"/>
      <c r="J36" s="5" t="s">
        <v>592</v>
      </c>
    </row>
    <row r="37" spans="1:10" x14ac:dyDescent="0.2">
      <c r="A37" s="6" t="s">
        <v>39</v>
      </c>
      <c r="B37" s="5" t="s">
        <v>307</v>
      </c>
      <c r="C37" s="1" t="s">
        <v>301</v>
      </c>
      <c r="D37" s="2" t="s">
        <v>304</v>
      </c>
      <c r="E37" s="3" t="s">
        <v>5</v>
      </c>
      <c r="F37" s="67">
        <v>130</v>
      </c>
    </row>
    <row r="38" spans="1:10" x14ac:dyDescent="0.2">
      <c r="B38" s="5" t="s">
        <v>307</v>
      </c>
      <c r="C38" s="1" t="s">
        <v>302</v>
      </c>
      <c r="D38" s="2" t="s">
        <v>305</v>
      </c>
      <c r="E38" s="3" t="s">
        <v>5</v>
      </c>
      <c r="F38" s="67">
        <v>120</v>
      </c>
    </row>
    <row r="39" spans="1:10" x14ac:dyDescent="0.2">
      <c r="B39" s="5" t="s">
        <v>307</v>
      </c>
      <c r="C39" s="1" t="s">
        <v>303</v>
      </c>
      <c r="D39" s="2" t="s">
        <v>306</v>
      </c>
      <c r="E39" s="3" t="s">
        <v>5</v>
      </c>
      <c r="F39" s="67">
        <v>110</v>
      </c>
    </row>
    <row r="40" spans="1:10" x14ac:dyDescent="0.2">
      <c r="B40" s="5" t="s">
        <v>307</v>
      </c>
      <c r="C40" s="1" t="s">
        <v>295</v>
      </c>
      <c r="D40" s="2" t="s">
        <v>298</v>
      </c>
      <c r="E40" s="3" t="s">
        <v>5</v>
      </c>
      <c r="F40" s="67"/>
    </row>
    <row r="41" spans="1:10" x14ac:dyDescent="0.2">
      <c r="B41" s="5" t="s">
        <v>307</v>
      </c>
      <c r="C41" s="1" t="s">
        <v>296</v>
      </c>
      <c r="D41" s="2" t="s">
        <v>299</v>
      </c>
      <c r="E41" s="3" t="s">
        <v>5</v>
      </c>
      <c r="F41" s="67"/>
    </row>
    <row r="42" spans="1:10" x14ac:dyDescent="0.2">
      <c r="B42" s="5" t="s">
        <v>307</v>
      </c>
      <c r="C42" s="1" t="s">
        <v>297</v>
      </c>
      <c r="D42" s="2" t="s">
        <v>300</v>
      </c>
      <c r="E42" s="3" t="s">
        <v>5</v>
      </c>
      <c r="F42" s="67"/>
    </row>
    <row r="43" spans="1:10" x14ac:dyDescent="0.2">
      <c r="B43" s="5" t="s">
        <v>307</v>
      </c>
      <c r="C43" s="1" t="s">
        <v>50</v>
      </c>
      <c r="D43" s="2" t="s">
        <v>308</v>
      </c>
      <c r="E43" s="3" t="s">
        <v>5</v>
      </c>
      <c r="F43" s="67"/>
    </row>
    <row r="44" spans="1:10" x14ac:dyDescent="0.2">
      <c r="A44" s="6" t="s">
        <v>40</v>
      </c>
      <c r="B44" s="5" t="s">
        <v>55</v>
      </c>
      <c r="C44" s="1" t="s">
        <v>464</v>
      </c>
      <c r="D44" s="2" t="s">
        <v>463</v>
      </c>
      <c r="E44" s="3" t="s">
        <v>6</v>
      </c>
      <c r="F44" s="67">
        <v>79</v>
      </c>
      <c r="J44" s="5" t="s">
        <v>590</v>
      </c>
    </row>
    <row r="45" spans="1:10" x14ac:dyDescent="0.2">
      <c r="A45" s="6"/>
      <c r="B45" s="5" t="s">
        <v>55</v>
      </c>
      <c r="C45" s="1" t="s">
        <v>465</v>
      </c>
      <c r="D45" s="2" t="s">
        <v>468</v>
      </c>
      <c r="E45" s="3" t="s">
        <v>6</v>
      </c>
      <c r="F45" s="67">
        <v>82</v>
      </c>
      <c r="J45" s="5" t="s">
        <v>590</v>
      </c>
    </row>
    <row r="46" spans="1:10" x14ac:dyDescent="0.2">
      <c r="A46" s="6"/>
      <c r="B46" s="5" t="s">
        <v>55</v>
      </c>
      <c r="C46" s="1" t="s">
        <v>466</v>
      </c>
      <c r="D46" s="2" t="s">
        <v>469</v>
      </c>
      <c r="E46" s="3" t="s">
        <v>6</v>
      </c>
      <c r="F46" s="67">
        <v>85</v>
      </c>
      <c r="J46" s="5" t="s">
        <v>590</v>
      </c>
    </row>
    <row r="47" spans="1:10" x14ac:dyDescent="0.2">
      <c r="A47" s="6"/>
      <c r="B47" s="5" t="s">
        <v>55</v>
      </c>
      <c r="C47" s="1" t="s">
        <v>467</v>
      </c>
      <c r="D47" s="2" t="s">
        <v>470</v>
      </c>
      <c r="E47" s="3" t="s">
        <v>6</v>
      </c>
      <c r="F47" s="67">
        <v>91</v>
      </c>
      <c r="J47" s="5" t="s">
        <v>590</v>
      </c>
    </row>
    <row r="48" spans="1:10" x14ac:dyDescent="0.2">
      <c r="A48" s="6" t="s">
        <v>41</v>
      </c>
      <c r="B48" s="5" t="s">
        <v>280</v>
      </c>
      <c r="C48" s="1" t="s">
        <v>42</v>
      </c>
      <c r="D48" s="2" t="s">
        <v>276</v>
      </c>
      <c r="E48" s="3" t="s">
        <v>6</v>
      </c>
      <c r="F48" s="67">
        <v>4</v>
      </c>
    </row>
    <row r="49" spans="1:10" x14ac:dyDescent="0.2">
      <c r="B49" s="5" t="s">
        <v>280</v>
      </c>
      <c r="C49" s="1" t="s">
        <v>43</v>
      </c>
      <c r="D49" s="2" t="s">
        <v>277</v>
      </c>
      <c r="E49" s="3" t="s">
        <v>6</v>
      </c>
      <c r="F49" s="67">
        <v>5</v>
      </c>
    </row>
    <row r="50" spans="1:10" x14ac:dyDescent="0.2">
      <c r="B50" s="5" t="s">
        <v>280</v>
      </c>
      <c r="C50" s="1" t="s">
        <v>44</v>
      </c>
      <c r="D50" s="2" t="s">
        <v>278</v>
      </c>
      <c r="E50" s="3" t="s">
        <v>6</v>
      </c>
      <c r="F50" s="67">
        <v>7</v>
      </c>
    </row>
    <row r="51" spans="1:10" x14ac:dyDescent="0.2">
      <c r="B51" s="5" t="s">
        <v>280</v>
      </c>
      <c r="C51" s="1" t="s">
        <v>45</v>
      </c>
      <c r="D51" s="2" t="s">
        <v>279</v>
      </c>
      <c r="E51" s="3" t="s">
        <v>6</v>
      </c>
      <c r="F51" s="67"/>
    </row>
    <row r="52" spans="1:10" ht="12.6" customHeight="1" x14ac:dyDescent="0.2">
      <c r="B52" s="5" t="s">
        <v>280</v>
      </c>
      <c r="C52" s="1" t="s">
        <v>282</v>
      </c>
      <c r="D52" s="2" t="s">
        <v>281</v>
      </c>
      <c r="E52" s="3" t="s">
        <v>6</v>
      </c>
      <c r="F52" s="67"/>
    </row>
    <row r="53" spans="1:10" ht="12.6" customHeight="1" x14ac:dyDescent="0.2">
      <c r="B53" s="5" t="s">
        <v>280</v>
      </c>
      <c r="C53" s="1" t="s">
        <v>283</v>
      </c>
      <c r="D53" s="2" t="s">
        <v>284</v>
      </c>
      <c r="E53" s="3" t="s">
        <v>6</v>
      </c>
      <c r="F53" s="67"/>
    </row>
    <row r="54" spans="1:10" x14ac:dyDescent="0.2">
      <c r="A54" s="6" t="s">
        <v>46</v>
      </c>
      <c r="B54" s="5" t="s">
        <v>61</v>
      </c>
      <c r="C54" s="1" t="s">
        <v>3</v>
      </c>
      <c r="D54" s="2" t="s">
        <v>4</v>
      </c>
      <c r="E54" s="3" t="s">
        <v>274</v>
      </c>
      <c r="F54" s="67">
        <v>4.5</v>
      </c>
      <c r="J54" s="5" t="s">
        <v>591</v>
      </c>
    </row>
    <row r="55" spans="1:10" x14ac:dyDescent="0.2">
      <c r="B55" s="5" t="s">
        <v>285</v>
      </c>
      <c r="C55" s="1" t="s">
        <v>275</v>
      </c>
      <c r="D55" s="2" t="s">
        <v>286</v>
      </c>
      <c r="E55" s="3" t="s">
        <v>7</v>
      </c>
      <c r="F55" s="67">
        <v>7</v>
      </c>
      <c r="J55" s="5" t="s">
        <v>287</v>
      </c>
    </row>
    <row r="56" spans="1:10" x14ac:dyDescent="0.2">
      <c r="B56" s="5" t="s">
        <v>48</v>
      </c>
      <c r="C56" s="1" t="s">
        <v>47</v>
      </c>
      <c r="D56" s="2" t="s">
        <v>60</v>
      </c>
      <c r="E56" s="3" t="s">
        <v>12</v>
      </c>
      <c r="F56" s="67">
        <f>6/9</f>
        <v>0.66666666666666663</v>
      </c>
    </row>
    <row r="57" spans="1:10" x14ac:dyDescent="0.2">
      <c r="B57" s="5" t="s">
        <v>48</v>
      </c>
      <c r="C57" s="1" t="s">
        <v>272</v>
      </c>
      <c r="D57" s="2" t="s">
        <v>273</v>
      </c>
      <c r="E57" s="3" t="s">
        <v>12</v>
      </c>
      <c r="F57" s="67"/>
    </row>
    <row r="58" spans="1:10" x14ac:dyDescent="0.2">
      <c r="B58" s="5" t="s">
        <v>49</v>
      </c>
      <c r="C58" s="1" t="s">
        <v>58</v>
      </c>
      <c r="D58" s="2" t="s">
        <v>56</v>
      </c>
      <c r="E58" s="3" t="s">
        <v>6</v>
      </c>
      <c r="F58" s="67"/>
    </row>
    <row r="59" spans="1:10" x14ac:dyDescent="0.2">
      <c r="B59" s="5" t="s">
        <v>49</v>
      </c>
      <c r="C59" s="1" t="s">
        <v>59</v>
      </c>
      <c r="D59" s="2" t="s">
        <v>57</v>
      </c>
      <c r="E59" s="3" t="s">
        <v>6</v>
      </c>
      <c r="F59" s="67"/>
    </row>
  </sheetData>
  <mergeCells count="1">
    <mergeCell ref="G1:I1"/>
  </mergeCells>
  <phoneticPr fontId="6"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FFC000"/>
  </sheetPr>
  <dimension ref="B8:E86"/>
  <sheetViews>
    <sheetView topLeftCell="A51" workbookViewId="0">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8" spans="2:5" ht="13.5" thickBot="1" x14ac:dyDescent="0.25">
      <c r="B8" s="6" t="s">
        <v>494</v>
      </c>
    </row>
    <row r="9" spans="2:5" ht="27" thickTop="1" thickBot="1" x14ac:dyDescent="0.25">
      <c r="B9" s="11" t="s">
        <v>96</v>
      </c>
      <c r="C9" s="12" t="s">
        <v>95</v>
      </c>
      <c r="D9" s="12" t="s">
        <v>106</v>
      </c>
      <c r="E9" s="12"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6" t="s">
        <v>495</v>
      </c>
    </row>
    <row r="36" spans="2:5" ht="27" thickTop="1" thickBot="1" x14ac:dyDescent="0.25">
      <c r="B36" s="28" t="s">
        <v>105</v>
      </c>
      <c r="C36" s="29" t="s">
        <v>95</v>
      </c>
      <c r="D36" s="29" t="s">
        <v>106</v>
      </c>
      <c r="E36" s="29"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6" t="s">
        <v>496</v>
      </c>
    </row>
    <row r="50" spans="2:5" ht="27" thickTop="1" thickBot="1" x14ac:dyDescent="0.25">
      <c r="B50" s="11" t="s">
        <v>96</v>
      </c>
      <c r="C50" s="12" t="s">
        <v>95</v>
      </c>
      <c r="D50" s="12" t="s">
        <v>106</v>
      </c>
      <c r="E50" s="12"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6" t="s">
        <v>497</v>
      </c>
    </row>
    <row r="75" spans="2:5" ht="27" thickTop="1" thickBot="1" x14ac:dyDescent="0.25">
      <c r="B75" s="28" t="s">
        <v>105</v>
      </c>
      <c r="C75" s="29" t="s">
        <v>95</v>
      </c>
      <c r="D75" s="29" t="s">
        <v>106</v>
      </c>
      <c r="E75" s="29"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theme="0" tint="-0.34998626667073579"/>
  </sheetPr>
  <dimension ref="A1:BL67"/>
  <sheetViews>
    <sheetView zoomScale="80" zoomScaleNormal="80" workbookViewId="0">
      <selection activeCell="A32" sqref="A32"/>
    </sheetView>
  </sheetViews>
  <sheetFormatPr defaultRowHeight="15" x14ac:dyDescent="0.25"/>
  <cols>
    <col min="1" max="1" width="33.42578125" bestFit="1" customWidth="1"/>
    <col min="2" max="2" width="32.85546875" customWidth="1"/>
    <col min="3" max="3" width="41.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2</xdr:col>
                <xdr:colOff>2771775</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2</xdr:col>
                <xdr:colOff>2771775</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theme="0" tint="-0.34998626667073579"/>
  </sheetPr>
  <dimension ref="A1:BL67"/>
  <sheetViews>
    <sheetView topLeftCell="A5" zoomScale="80" zoomScaleNormal="80" workbookViewId="0">
      <selection activeCell="BQ20" sqref="BQ20"/>
    </sheetView>
  </sheetViews>
  <sheetFormatPr defaultRowHeight="15" x14ac:dyDescent="0.25"/>
  <cols>
    <col min="1" max="1" width="12.28515625" customWidth="1"/>
    <col min="2" max="2" width="19.7109375" customWidth="1"/>
    <col min="3" max="3" width="41.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spans="1:64" x14ac:dyDescent="0.25">
      <c r="I1" t="s">
        <v>248</v>
      </c>
    </row>
    <row r="2" spans="1:64" x14ac:dyDescent="0.25">
      <c r="A2" s="4" t="s">
        <v>504</v>
      </c>
      <c r="J2" s="62" t="s">
        <v>67</v>
      </c>
      <c r="R2" s="4" t="s">
        <v>70</v>
      </c>
      <c r="Z2" s="62" t="s">
        <v>71</v>
      </c>
      <c r="AH2" s="4" t="s">
        <v>74</v>
      </c>
      <c r="AP2" s="62" t="s">
        <v>77</v>
      </c>
      <c r="AX2" s="4" t="s">
        <v>81</v>
      </c>
      <c r="BF2" s="62" t="s">
        <v>82</v>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IF(L13="","N/A",VLOOKUP(L13,CHOOSE({1,2},Table2[Pay Item Description],Table2[Unit Cost]),2,0))</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IF(T13="","N/A",VLOOKUP(T13,CHOOSE({1,2},Table2[Pay Item Description],Table2[Unit Cost]),2,0))</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IF(AB13="","N/A",VLOOKUP(AB13,CHOOSE({1,2},Table2[Pay Item Description],Table2[Unit Cost]),2,0))</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IF(AJ13="","N/A",VLOOKUP(AJ13,CHOOSE({1,2},Table2[Pay Item Description],Table2[Unit Cost]),2,0))</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IF(AR13="","N/A",VLOOKUP(AR13,CHOOSE({1,2},Table2[Pay Item Description],Table2[Unit Cost]),2,0))</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IF(AZ13="","N/A",VLOOKUP(AZ13,CHOOSE({1,2},Table2[Pay Item Description],Table2[Unit Cost]),2,0))</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IF(BH13="","N/A",VLOOKUP(BH13,CHOOSE({1,2},Table2[Pay Item Description],Table2[Unit Cost]),2,0))</f>
        <v>8.5</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c r="F14" s="75" t="str">
        <f>IF(C14="","N/A",VLOOKUP(C14,CHOOSE({1,2},Table2[Pay Item Description],Table2[Unit Cost]),2,0))</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IF(L14="","N/A",VLOOKUP(L14,CHOOSE({1,2},Table2[Pay Item Description],Table2[Unit Cost]),2,0))</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IF(T14="","N/A",VLOOKUP(T14,CHOOSE({1,2},Table2[Pay Item Description],Table2[Unit Cost]),2,0))</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IF(AB14="","N/A",VLOOKUP(AB14,CHOOSE({1,2},Table2[Pay Item Description],Table2[Unit Cost]),2,0))</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IF(AJ14="","N/A",VLOOKUP(AJ14,CHOOSE({1,2},Table2[Pay Item Description],Table2[Unit Cost]),2,0))</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IF(AR14="","N/A",VLOOKUP(AR14,CHOOSE({1,2},Table2[Pay Item Description],Table2[Unit Cost]),2,0))</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IF(AZ14="","N/A",VLOOKUP(AZ14,CHOOSE({1,2},Table2[Pay Item Description],Table2[Unit Cost]),2,0))</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IF(BH14="","N/A",VLOOKUP(BH14,CHOOSE({1,2},Table2[Pay Item Description],Table2[Unit Cost]),2,0))</f>
        <v>4</v>
      </c>
      <c r="BL14" s="63">
        <f>BK14*BJ14</f>
        <v>0</v>
      </c>
    </row>
    <row r="15" spans="1:64" ht="19.5" customHeight="1" x14ac:dyDescent="0.25">
      <c r="A15">
        <v>3</v>
      </c>
      <c r="B15" s="71">
        <f>IF(C15="",0,VLOOKUP(C15,CHOOSE({1,2},Table2[Pay Item Description],Table2[Pay Item No.]),2,0))</f>
        <v>0</v>
      </c>
      <c r="C15" s="70"/>
      <c r="D15" s="3" t="str">
        <f>IF(C15="","N/A",VLOOKUP(C15,CHOOSE({1,2},Table2[Pay Item Description],Table2[Units]),2,0))</f>
        <v>N/A</v>
      </c>
      <c r="E15" s="76"/>
      <c r="F15" s="75" t="str">
        <f>IF(C15="","N/A",VLOOKUP(C15,CHOOSE({1,2},Table2[Pay Item Description],Table2[Unit Cost]),2,0))</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IF(L15="","N/A",VLOOKUP(L15,CHOOSE({1,2},Table2[Pay Item Description],Table2[Unit Cost]),2,0))</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IF(T15="","N/A",VLOOKUP(T15,CHOOSE({1,2},Table2[Pay Item Description],Table2[Unit Cost]),2,0))</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IF(AB15="","N/A",VLOOKUP(AB15,CHOOSE({1,2},Table2[Pay Item Description],Table2[Unit Cost]),2,0))</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IF(AJ15="","N/A",VLOOKUP(AJ15,CHOOSE({1,2},Table2[Pay Item Description],Table2[Unit Cost]),2,0))</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IF(AR15="","N/A",VLOOKUP(AR15,CHOOSE({1,2},Table2[Pay Item Description],Table2[Unit Cost]),2,0))</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IF(AZ15="","N/A",VLOOKUP(AZ15,CHOOSE({1,2},Table2[Pay Item Description],Table2[Unit Cost]),2,0))</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IF(BH15="","N/A",VLOOKUP(BH15,CHOOSE({1,2},Table2[Pay Item Description],Table2[Unit Cost]),2,0))</f>
        <v>4</v>
      </c>
      <c r="BL15" s="63">
        <f>BK15*BJ15</f>
        <v>0</v>
      </c>
    </row>
    <row r="16" spans="1:64" ht="19.5" customHeight="1" x14ac:dyDescent="0.25">
      <c r="A16">
        <v>4</v>
      </c>
      <c r="B16" s="71">
        <f>IF(C16="",0,VLOOKUP(C16,CHOOSE({1,2},Table2[Pay Item Description],Table2[Pay Item No.]),2,0))</f>
        <v>0</v>
      </c>
      <c r="C16" s="70"/>
      <c r="D16" s="3" t="str">
        <f>IF(C16="","N/A",VLOOKUP(C16,CHOOSE({1,2},Table2[Pay Item Description],Table2[Units]),2,0))</f>
        <v>N/A</v>
      </c>
      <c r="E16" s="76"/>
      <c r="F16" s="75" t="str">
        <f>IF(C16="","N/A",VLOOKUP(C16,CHOOSE({1,2},Table2[Pay Item Description],Table2[Unit Cost]),2,0))</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IF(AB16="","N/A",VLOOKUP(AB16,CHOOSE({1,2},Table2[Pay Item Description],Table2[Unit Cost]),2,0))</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IF(AJ16="","N/A",VLOOKUP(AJ16,CHOOSE({1,2},Table2[Pay Item Description],Table2[Unit Cost]),2,0))</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IF(AR16="","N/A",VLOOKUP(AR16,CHOOSE({1,2},Table2[Pay Item Description],Table2[Unit Cost]),2,0))</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IF(BH16="","N/A",VLOOKUP(BH16,CHOOSE({1,2},Table2[Pay Item Description],Table2[Unit Cost]),2,0))</f>
        <v>0.77777777777777779</v>
      </c>
      <c r="BL16" s="63">
        <f>BK16*BJ16</f>
        <v>0</v>
      </c>
    </row>
    <row r="17" spans="1:64" ht="19.5" customHeight="1" x14ac:dyDescent="0.25">
      <c r="A17">
        <v>5</v>
      </c>
      <c r="B17" s="71">
        <f>IF(C17="",0,VLOOKUP(C17,CHOOSE({1,2},Table2[Pay Item Description],Table2[Pay Item No.]),2,0))</f>
        <v>0</v>
      </c>
      <c r="C17" s="70"/>
      <c r="D17" s="3" t="str">
        <f>IF(C17="","N/A",VLOOKUP(C17,CHOOSE({1,2},Table2[Pay Item Description],Table2[Units]),2,0))</f>
        <v>N/A</v>
      </c>
      <c r="E17" s="76"/>
      <c r="F17" s="75" t="str">
        <f>IF(C17="","N/A",VLOOKUP(C17,CHOOSE({1,2},Table2[Pay Item Description],Table2[Unit Cost]),2,0))</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IF(AB17="","N/A",VLOOKUP(AB17,CHOOSE({1,2},Table2[Pay Item Description],Table2[Unit Cost]),2,0))</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IF(AJ17="","N/A",VLOOKUP(AJ17,CHOOSE({1,2},Table2[Pay Item Description],Table2[Unit Cost]),2,0))</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IF(AR17="","N/A",VLOOKUP(AR17,CHOOSE({1,2},Table2[Pay Item Description],Table2[Unit Cost]),2,0))</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IF(BH17="","N/A",VLOOKUP(BH17,CHOOSE({1,2},Table2[Pay Item Description],Table2[Unit Cost]),2,0))</f>
        <v>0.66666666666666663</v>
      </c>
      <c r="BL17" s="63">
        <f>BK17*BJ17</f>
        <v>0</v>
      </c>
    </row>
    <row r="18" spans="1:64" ht="19.5" customHeight="1" x14ac:dyDescent="0.25">
      <c r="A18">
        <v>6</v>
      </c>
      <c r="B18" s="71">
        <f>IF(C18="",0,VLOOKUP(C18,CHOOSE({1,2},Table2[Pay Item Description],Table2[Pay Item No.]),2,0))</f>
        <v>0</v>
      </c>
      <c r="C18" s="70"/>
      <c r="D18" s="3" t="str">
        <f>IF(C18="","N/A",VLOOKUP(C18,CHOOSE({1,2},Table2[Pay Item Description],Table2[Units]),2,0))</f>
        <v>N/A</v>
      </c>
      <c r="E18" s="76"/>
      <c r="F18" s="75" t="str">
        <f>IF(C18="","N/A",VLOOKUP(C18,CHOOSE({1,2},Table2[Pay Item Description],Table2[Unit Cost]),2,0))</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IF(AR18="","N/A",VLOOKUP(AR18,CHOOSE({1,2},Table2[Pay Item Description],Table2[Unit Cost]),2,0))</f>
        <v>0.66666666666666663</v>
      </c>
      <c r="AV18" s="63">
        <f t="shared" si="1"/>
        <v>0</v>
      </c>
      <c r="AZ18" t="s">
        <v>323</v>
      </c>
      <c r="BD18" s="46">
        <f>('General Information'!$D$37/100)*BD16</f>
        <v>0</v>
      </c>
      <c r="BK18" s="61" t="s">
        <v>348</v>
      </c>
      <c r="BL18" s="63">
        <f>SUM(BL13:BL17)</f>
        <v>0</v>
      </c>
    </row>
    <row r="19" spans="1:64" ht="19.5" customHeight="1" x14ac:dyDescent="0.25">
      <c r="A19">
        <v>7</v>
      </c>
      <c r="B19" s="71">
        <f>IF(C19="",0,VLOOKUP(C19,CHOOSE({1,2},Table2[Pay Item Description],Table2[Pay Item No.]),2,0))</f>
        <v>0</v>
      </c>
      <c r="C19" s="70"/>
      <c r="D19" s="3" t="str">
        <f>IF(C19="","N/A",VLOOKUP(C19,CHOOSE({1,2},Table2[Pay Item Description],Table2[Units]),2,0))</f>
        <v>N/A</v>
      </c>
      <c r="E19" s="76"/>
      <c r="F19" s="75" t="str">
        <f>IF(C19="","N/A",VLOOKUP(C19,CHOOSE({1,2},Table2[Pay Item Description],Table2[Unit Cost]),2,0))</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IF(C20="",0,VLOOKUP(C20,CHOOSE({1,2},Table2[Pay Item Description],Table2[Pay Item No.]),2,0))</f>
        <v>0</v>
      </c>
      <c r="C20" s="70"/>
      <c r="D20" s="3" t="str">
        <f>IF(C20="","N/A",VLOOKUP(C20,CHOOSE({1,2},Table2[Pay Item Description],Table2[Units]),2,0))</f>
        <v>N/A</v>
      </c>
      <c r="E20" s="76"/>
      <c r="F20" s="75" t="str">
        <f>IF(C20="","N/A",VLOOKUP(C20,CHOOSE({1,2},Table2[Pay Item Description],Table2[Unit Cost]),2,0))</f>
        <v>N/A</v>
      </c>
      <c r="G20" s="72">
        <f t="shared" ref="G20:G21" si="2">IF(B20&lt;&gt;0,F20*E20,0)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IF(C21="",0,VLOOKUP(C21,CHOOSE({1,2},Table2[Pay Item Description],Table2[Pay Item No.]),2,0))</f>
        <v>0</v>
      </c>
      <c r="C21" s="70"/>
      <c r="D21" s="3" t="str">
        <f>IF(C21="","N/A",VLOOKUP(C21,CHOOSE({1,2},Table2[Pay Item Description],Table2[Units]),2,0))</f>
        <v>N/A</v>
      </c>
      <c r="E21" s="76"/>
      <c r="F21" s="75" t="str">
        <f>IF(C21="","N/A",VLOOKUP(C21,CHOOSE({1,2},Table2[Pay Item Description],Table2[Unit Cost]),2,0))</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IF(C22="",0,VLOOKUP(C22,CHOOSE({1,2},Table2[Pay Item Description],Table2[Pay Item No.]),2,0))</f>
        <v>0</v>
      </c>
      <c r="C22" s="70"/>
      <c r="D22" s="3" t="str">
        <f>IF(C22="","N/A",VLOOKUP(C22,CHOOSE({1,2},Table2[Pay Item Description],Table2[Units]),2,0))</f>
        <v>N/A</v>
      </c>
      <c r="E22" s="76"/>
      <c r="F22" s="75" t="str">
        <f>IF(C22="","N/A",VLOOKUP(C22,CHOOSE({1,2},Table2[Pay Item Description],Table2[Unit Cost]),2,0))</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dataValidations count="1">
    <dataValidation allowBlank="1" showInputMessage="1" showErrorMessage="1" promptTitle="Qty" prompt="Enter quantity" sqref="E13" xr:uid="{60E3F3D1-DCAA-49C2-B270-FF9B34BE2F49}"/>
  </dataValidations>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2</xdr:col>
                <xdr:colOff>2771775</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2</xdr:col>
                <xdr:colOff>2771775</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2</xdr:col>
                <xdr:colOff>2781300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2</xdr:col>
                <xdr:colOff>2781300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2</xdr:col>
                <xdr:colOff>2781300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2</xdr:col>
                <xdr:colOff>2781300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2</xdr:col>
                <xdr:colOff>2781300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2</xdr:col>
                <xdr:colOff>2781300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2</xdr:col>
                <xdr:colOff>2781300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2</xdr:col>
                <xdr:colOff>2781300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theme="0" tint="-0.34998626667073579"/>
  </sheetPr>
  <dimension ref="A1:X68"/>
  <sheetViews>
    <sheetView topLeftCell="A2" zoomScale="80" zoomScaleNormal="80" workbookViewId="0">
      <selection activeCell="H44" sqref="H44"/>
    </sheetView>
  </sheetViews>
  <sheetFormatPr defaultRowHeight="15" x14ac:dyDescent="0.25"/>
  <cols>
    <col min="2" max="2" width="19.7109375" customWidth="1"/>
    <col min="3" max="3" width="41.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spans="1:24" x14ac:dyDescent="0.25">
      <c r="I1" t="s">
        <v>248</v>
      </c>
    </row>
    <row r="2" spans="1:24" x14ac:dyDescent="0.25">
      <c r="A2" s="4" t="s">
        <v>504</v>
      </c>
      <c r="J2" s="62" t="s">
        <v>67</v>
      </c>
      <c r="R2" s="4" t="s">
        <v>77</v>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IF(C13="",0,VLOOKUP(C13,CHOOSE({1,2},Table2[Pay Item Description],Table2[Pay Item No.]),2,0))</f>
        <v>0</v>
      </c>
      <c r="C13" s="70" t="s">
        <v>481</v>
      </c>
      <c r="D13" s="3" t="str">
        <f>IF(C13="","N/A",VLOOKUP(C13,CHOOSE({1,2},Table2[Pay Item Description],Table2[Units]),2,0))</f>
        <v>N/A</v>
      </c>
      <c r="E13" s="77"/>
      <c r="F13" s="75" t="str">
        <f>IF(C13="","N/A",VLOOKUP(C13,CHOOSE({1,2},Table2[Pay Item Description],Table2[Unit Cost]),2,0))</f>
        <v>N/A</v>
      </c>
      <c r="G13" s="72">
        <f t="shared" ref="G13:G17" si="0">IF(B13&lt;&gt;0,F13*E13,0)</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IF(L13="","N/A",VLOOKUP(L13,CHOOSE({1,2},Table2[Pay Item Description],Table2[Unit Cost]),2,0))</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IF(T13="","N/A",VLOOKUP(T13,CHOOSE({1,2},Table2[Pay Item Description],Table2[Unit Cost]),2,0))</f>
        <v>100</v>
      </c>
      <c r="X13" s="46">
        <f>W13*V13</f>
        <v>0</v>
      </c>
    </row>
    <row r="14" spans="1:24" ht="19.5" customHeight="1" x14ac:dyDescent="0.25">
      <c r="A14">
        <v>2</v>
      </c>
      <c r="B14" s="71">
        <f>IF(C14="",0,VLOOKUP(C14,CHOOSE({1,2},Table2[Pay Item Description],Table2[Pay Item No.]),2,0))</f>
        <v>0</v>
      </c>
      <c r="C14" s="70"/>
      <c r="D14" s="3" t="str">
        <f>IF(C14="","N/A",VLOOKUP(C14,CHOOSE({1,2},Table2[Pay Item Description],Table2[Units]),2,0))</f>
        <v>N/A</v>
      </c>
      <c r="E14" s="77"/>
      <c r="F14" s="75" t="str">
        <f>IF(C14="","N/A",VLOOKUP(C14,CHOOSE({1,2},Table2[Pay Item Description],Table2[Unit Cost]),2,0))</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IF(L14="","N/A",VLOOKUP(L14,CHOOSE({1,2},Table2[Pay Item Description],Table2[Unit Cost]),2,0))</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IF(T14="","N/A",VLOOKUP(T14,CHOOSE({1,2},Table2[Pay Item Description],Table2[Unit Cost]),2,0))</f>
        <v>120</v>
      </c>
      <c r="X14" s="46">
        <f>W14*V14</f>
        <v>0</v>
      </c>
    </row>
    <row r="15" spans="1:24" ht="19.5" customHeight="1" x14ac:dyDescent="0.25">
      <c r="A15">
        <v>3</v>
      </c>
      <c r="B15" s="71">
        <f>IF(C15="",0,VLOOKUP(C15,CHOOSE({1,2},Table2[Pay Item Description],Table2[Pay Item No.]),2,0))</f>
        <v>0</v>
      </c>
      <c r="C15" s="70"/>
      <c r="D15" s="3" t="str">
        <f>IF(C15="","N/A",VLOOKUP(C15,CHOOSE({1,2},Table2[Pay Item Description],Table2[Units]),2,0))</f>
        <v>N/A</v>
      </c>
      <c r="E15" s="77"/>
      <c r="F15" s="75" t="str">
        <f>IF(C15="","N/A",VLOOKUP(C15,CHOOSE({1,2},Table2[Pay Item Description],Table2[Unit Cost]),2,0))</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IF(L15="","N/A",VLOOKUP(L15,CHOOSE({1,2},Table2[Pay Item Description],Table2[Unit Cost]),2,0))</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IF(T15="","N/A",VLOOKUP(T15,CHOOSE({1,2},Table2[Pay Item Description],Table2[Unit Cost]),2,0))</f>
        <v>60</v>
      </c>
      <c r="X15" s="46">
        <f>W15*V15</f>
        <v>0</v>
      </c>
    </row>
    <row r="16" spans="1:24" ht="19.5" customHeight="1" x14ac:dyDescent="0.25">
      <c r="A16">
        <v>4</v>
      </c>
      <c r="B16" s="71">
        <f>IF(C16="",0,VLOOKUP(C16,CHOOSE({1,2},Table2[Pay Item Description],Table2[Pay Item No.]),2,0))</f>
        <v>0</v>
      </c>
      <c r="C16" s="70"/>
      <c r="D16" s="3" t="str">
        <f>IF(C16="","N/A",VLOOKUP(C16,CHOOSE({1,2},Table2[Pay Item Description],Table2[Units]),2,0))</f>
        <v>N/A</v>
      </c>
      <c r="E16" s="77"/>
      <c r="F16" s="75" t="str">
        <f>IF(C16="","N/A",VLOOKUP(C16,CHOOSE({1,2},Table2[Pay Item Description],Table2[Unit Cost]),2,0))</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IF(L16="","N/A",VLOOKUP(L16,CHOOSE({1,2},Table2[Pay Item Description],Table2[Unit Cost]),2,0))</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IF(T16="","N/A",VLOOKUP(T16,CHOOSE({1,2},Table2[Pay Item Description],Table2[Unit Cost]),2,0))</f>
        <v>8</v>
      </c>
      <c r="X16" s="46">
        <f>W16*V16</f>
        <v>0</v>
      </c>
    </row>
    <row r="17" spans="1:24" ht="19.5" customHeight="1" x14ac:dyDescent="0.25">
      <c r="A17">
        <v>5</v>
      </c>
      <c r="B17" s="71">
        <f>IF(C17="",0,VLOOKUP(C17,CHOOSE({1,2},Table2[Pay Item Description],Table2[Pay Item No.]),2,0))</f>
        <v>0</v>
      </c>
      <c r="C17" s="70"/>
      <c r="D17" s="3" t="str">
        <f>IF(C17="","N/A",VLOOKUP(C17,CHOOSE({1,2},Table2[Pay Item Description],Table2[Units]),2,0))</f>
        <v>N/A</v>
      </c>
      <c r="E17" s="77"/>
      <c r="F17" s="75" t="str">
        <f>IF(C17="","N/A",VLOOKUP(C17,CHOOSE({1,2},Table2[Pay Item Description],Table2[Unit Cost]),2,0))</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IF(T17="","N/A",VLOOKUP(T17,CHOOSE({1,2},Table2[Pay Item Description],Table2[Unit Cost]),2,0))</f>
        <v>7</v>
      </c>
      <c r="X17" s="46">
        <f>W17*V17</f>
        <v>0</v>
      </c>
    </row>
    <row r="18" spans="1:24" ht="19.5" customHeight="1" x14ac:dyDescent="0.25">
      <c r="A18">
        <v>6</v>
      </c>
      <c r="B18" s="71">
        <f>IF(C18="",0,VLOOKUP(C18,CHOOSE({1,2},Table2[Pay Item Description],Table2[Pay Item No.]),2,0))</f>
        <v>0</v>
      </c>
      <c r="C18" s="70"/>
      <c r="D18" s="3" t="str">
        <f>IF(C18="","N/A",VLOOKUP(C18,CHOOSE({1,2},Table2[Pay Item Description],Table2[Units]),2,0))</f>
        <v>N/A</v>
      </c>
      <c r="E18" s="77"/>
      <c r="F18" s="75" t="str">
        <f>IF(C18="","N/A",VLOOKUP(C18,CHOOSE({1,2},Table2[Pay Item Description],Table2[Unit Cost]),2,0))</f>
        <v>N/A</v>
      </c>
      <c r="G18" s="72">
        <f>IF(B18&lt;&gt;0,F18*E18,0)</f>
        <v>0</v>
      </c>
      <c r="L18" s="61" t="s">
        <v>9</v>
      </c>
      <c r="P18" s="63">
        <f>('General Information'!$D$36/100)*P17</f>
        <v>0</v>
      </c>
      <c r="W18" t="s">
        <v>348</v>
      </c>
      <c r="X18" s="46">
        <f>SUM(X13:X17)</f>
        <v>0</v>
      </c>
    </row>
    <row r="19" spans="1:24" ht="19.5" customHeight="1" x14ac:dyDescent="0.25">
      <c r="A19">
        <v>7</v>
      </c>
      <c r="B19" s="71">
        <f>IF(C19="",0,VLOOKUP(C19,CHOOSE({1,2},Table2[Pay Item Description],Table2[Pay Item No.]),2,0))</f>
        <v>0</v>
      </c>
      <c r="C19" s="70"/>
      <c r="D19" s="3" t="str">
        <f>IF(C19="","N/A",VLOOKUP(C19,CHOOSE({1,2},Table2[Pay Item Description],Table2[Units]),2,0))</f>
        <v>N/A</v>
      </c>
      <c r="E19" s="77"/>
      <c r="F19" s="75" t="str">
        <f>IF(C19="","N/A",VLOOKUP(C19,CHOOSE({1,2},Table2[Pay Item Description],Table2[Unit Cost]),2,0))</f>
        <v>N/A</v>
      </c>
      <c r="G19" s="72">
        <f t="shared" ref="G19:G22" si="1">IF(B19&lt;&gt;0,F19*E19,0)</f>
        <v>0</v>
      </c>
      <c r="L19" s="61" t="s">
        <v>323</v>
      </c>
      <c r="P19" s="63">
        <f>('General Information'!$D$37/100)*P17</f>
        <v>0</v>
      </c>
      <c r="T19" t="s">
        <v>9</v>
      </c>
      <c r="X19" s="46">
        <f>('General Information'!$D$36/100)*X18</f>
        <v>0</v>
      </c>
    </row>
    <row r="20" spans="1:24" ht="19.5" customHeight="1" x14ac:dyDescent="0.25">
      <c r="A20">
        <v>8</v>
      </c>
      <c r="B20" s="71">
        <f>IF(C20="",0,VLOOKUP(C20,CHOOSE({1,2},Table2[Pay Item Description],Table2[Pay Item No.]),2,0))</f>
        <v>0</v>
      </c>
      <c r="C20" s="70"/>
      <c r="D20" s="3" t="str">
        <f>IF(C20="","N/A",VLOOKUP(C20,CHOOSE({1,2},Table2[Pay Item Description],Table2[Units]),2,0))</f>
        <v>N/A</v>
      </c>
      <c r="E20" s="77"/>
      <c r="F20" s="75" t="str">
        <f>IF(C20="","N/A",VLOOKUP(C20,CHOOSE({1,2},Table2[Pay Item Description],Table2[Unit Cost]),2,0))</f>
        <v>N/A</v>
      </c>
      <c r="G20" s="72">
        <f t="shared" ref="G20:G21" si="2">IF(B20&lt;&gt;0,F20*E20,0)</f>
        <v>0</v>
      </c>
      <c r="O20" s="61" t="s">
        <v>349</v>
      </c>
      <c r="P20" s="63">
        <f>SUM(P17:P19)</f>
        <v>0</v>
      </c>
      <c r="T20" t="s">
        <v>323</v>
      </c>
      <c r="X20" s="46">
        <f>('General Information'!$D$37/100)*X18</f>
        <v>0</v>
      </c>
    </row>
    <row r="21" spans="1:24" ht="19.5" customHeight="1" x14ac:dyDescent="0.25">
      <c r="A21">
        <v>9</v>
      </c>
      <c r="B21" s="71">
        <f>IF(C21="",0,VLOOKUP(C21,CHOOSE({1,2},Table2[Pay Item Description],Table2[Pay Item No.]),2,0))</f>
        <v>0</v>
      </c>
      <c r="C21" s="70"/>
      <c r="D21" s="3" t="str">
        <f>IF(C21="","N/A",VLOOKUP(C21,CHOOSE({1,2},Table2[Pay Item Description],Table2[Units]),2,0))</f>
        <v>N/A</v>
      </c>
      <c r="E21" s="77"/>
      <c r="F21" s="75" t="str">
        <f>IF(C21="","N/A",VLOOKUP(C21,CHOOSE({1,2},Table2[Pay Item Description],Table2[Unit Cost]),2,0))</f>
        <v>N/A</v>
      </c>
      <c r="G21" s="72">
        <f t="shared" si="2"/>
        <v>0</v>
      </c>
      <c r="W21" t="s">
        <v>349</v>
      </c>
      <c r="X21" s="46">
        <f>SUM(X18:X20)</f>
        <v>0</v>
      </c>
    </row>
    <row r="22" spans="1:24" ht="19.5" customHeight="1" x14ac:dyDescent="0.25">
      <c r="A22">
        <v>10</v>
      </c>
      <c r="B22" s="71">
        <f>IF(C22="",0,VLOOKUP(C22,CHOOSE({1,2},Table2[Pay Item Description],Table2[Pay Item No.]),2,0))</f>
        <v>0</v>
      </c>
      <c r="C22" s="70"/>
      <c r="D22" s="3" t="str">
        <f>IF(C22="","N/A",VLOOKUP(C22,CHOOSE({1,2},Table2[Pay Item Description],Table2[Units]),2,0))</f>
        <v>N/A</v>
      </c>
      <c r="E22" s="77"/>
      <c r="F22" s="75" t="str">
        <f>IF(C22="","N/A",VLOOKUP(C22,CHOOSE({1,2},Table2[Pay Item Description],Table2[Unit Cost]),2,0))</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pageMargins left="0.7" right="0.7" top="0.75" bottom="0.75" header="0.3" footer="0.3"/>
  <pageSetup orientation="portrait" horizontalDpi="4294967293" verticalDpi="4294967295" r:id="rId1"/>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19050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9525</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2</xdr:col>
                <xdr:colOff>2781300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2</xdr:col>
                <xdr:colOff>2781300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2</xdr:col>
                <xdr:colOff>2781300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2</xdr:col>
                <xdr:colOff>2781300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2</xdr:col>
                <xdr:colOff>2781300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2</xdr:col>
                <xdr:colOff>2781300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2</xdr:col>
                <xdr:colOff>2781300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2</xdr:col>
                <xdr:colOff>2781300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theme="0" tint="-0.34998626667073579"/>
  </sheetPr>
  <dimension ref="A1:BL67"/>
  <sheetViews>
    <sheetView zoomScale="80" zoomScaleNormal="80" workbookViewId="0"/>
  </sheetViews>
  <sheetFormatPr defaultRowHeight="15" x14ac:dyDescent="0.25"/>
  <cols>
    <col min="1" max="1" width="12.28515625" customWidth="1"/>
    <col min="2" max="2" width="19.7109375" customWidth="1"/>
    <col min="3" max="3" width="41.7109375" customWidth="1"/>
    <col min="5" max="5" width="12.7109375" customWidth="1"/>
    <col min="6" max="7" width="10.5703125" customWidth="1"/>
    <col min="10" max="10" width="13.28515625" style="61" bestFit="1" customWidth="1"/>
    <col min="11" max="11" width="13.28515625" style="61" customWidth="1"/>
    <col min="12" max="12" width="41.5703125" style="61" customWidth="1"/>
    <col min="13" max="13" width="13.28515625" style="61" customWidth="1"/>
    <col min="14" max="16" width="13.28515625" style="61" bestFit="1" customWidth="1"/>
    <col min="17" max="17" width="3.5703125" customWidth="1"/>
    <col min="18" max="19" width="13.28515625" customWidth="1"/>
    <col min="20" max="20" width="41.140625" customWidth="1"/>
    <col min="21" max="24" width="13.28515625" customWidth="1"/>
    <col min="25" max="25" width="3.5703125" customWidth="1"/>
    <col min="26" max="26" width="13.28515625" style="61" bestFit="1" customWidth="1"/>
    <col min="27" max="27" width="13.28515625" style="61" customWidth="1"/>
    <col min="28" max="28" width="40.5703125" style="61" customWidth="1"/>
    <col min="29" max="29" width="13.28515625" style="61" customWidth="1"/>
    <col min="30" max="32" width="13.28515625" style="61" bestFit="1" customWidth="1"/>
    <col min="33" max="33" width="3.5703125" customWidth="1"/>
    <col min="34" max="34" width="13.28515625" bestFit="1" customWidth="1"/>
    <col min="35" max="35" width="13.28515625" customWidth="1"/>
    <col min="36" max="36" width="40.7109375" customWidth="1"/>
    <col min="37" max="37" width="13.28515625" customWidth="1"/>
    <col min="38" max="40" width="13.28515625" bestFit="1" customWidth="1"/>
    <col min="41" max="41" width="3.5703125" customWidth="1"/>
    <col min="42" max="42" width="13.28515625" style="61" bestFit="1" customWidth="1"/>
    <col min="43" max="43" width="13.28515625" style="61" customWidth="1"/>
    <col min="44" max="44" width="40.5703125" style="61" customWidth="1"/>
    <col min="45" max="45" width="13.28515625" style="61" customWidth="1"/>
    <col min="46" max="48" width="13.28515625" style="61" bestFit="1" customWidth="1"/>
    <col min="49" max="49" width="3.5703125" customWidth="1"/>
    <col min="50" max="50" width="13.28515625" bestFit="1" customWidth="1"/>
    <col min="51" max="51" width="13.28515625" customWidth="1"/>
    <col min="52" max="52" width="40.5703125" customWidth="1"/>
    <col min="53" max="53" width="13.28515625" customWidth="1"/>
    <col min="54" max="56" width="13.28515625" bestFit="1" customWidth="1"/>
    <col min="57" max="57" width="3.5703125" customWidth="1"/>
    <col min="58" max="58" width="13.28515625" style="61" bestFit="1" customWidth="1"/>
    <col min="59" max="59" width="13.28515625" style="61" customWidth="1"/>
    <col min="60" max="60" width="40.5703125" style="61" customWidth="1"/>
    <col min="61" max="61" width="13.28515625" style="61" customWidth="1"/>
    <col min="62" max="64" width="13.28515625" style="61" bestFit="1" customWidth="1"/>
    <col min="65" max="65" width="3.5703125" customWidth="1"/>
  </cols>
  <sheetData>
    <row r="1" spans="1:64" x14ac:dyDescent="0.25">
      <c r="I1" t="s">
        <v>248</v>
      </c>
    </row>
    <row r="2" spans="1:64" x14ac:dyDescent="0.25">
      <c r="A2" s="4" t="s">
        <v>504</v>
      </c>
      <c r="J2" s="62" t="s">
        <v>67</v>
      </c>
      <c r="R2" s="4" t="s">
        <v>70</v>
      </c>
      <c r="Z2" s="62" t="s">
        <v>71</v>
      </c>
      <c r="AH2" s="4" t="s">
        <v>77</v>
      </c>
      <c r="AP2" s="62" t="s">
        <v>74</v>
      </c>
      <c r="AX2" s="4" t="s">
        <v>81</v>
      </c>
      <c r="BF2" s="62" t="s">
        <v>82</v>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IF(C13="",0,VLOOKUP(C13,CHOOSE({1,2},Table2[Pay Item Description],Table2[Pay Item No.]),2,0))</f>
        <v>0</v>
      </c>
      <c r="C13" s="70" t="s">
        <v>481</v>
      </c>
      <c r="D13" s="3" t="str">
        <f>IF(C13="","N/A",VLOOKUP(C13,CHOOSE({1,2},Table2[Pay Item Description],Table2[Units]),2,0))</f>
        <v>N/A</v>
      </c>
      <c r="E13" s="76">
        <v>0</v>
      </c>
      <c r="F13" s="75" t="str">
        <f>IF(C13="","N/A",VLOOKUP(C13,CHOOSE({1,2},Table2[Pay Item Description],Table2[Unit Cost]),2,0))</f>
        <v>N/A</v>
      </c>
      <c r="G13" s="72">
        <f t="shared" ref="G13:G22" si="0">IF(B13&lt;&gt;0,F13*E13,0)</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IF(L13="","N/A",VLOOKUP(L13,CHOOSE({1,2},Table2[Pay Item Description],Table2[Unit Cost]),2,0))</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IF(T13="","N/A",VLOOKUP(T13,CHOOSE({1,2},Table2[Pay Item Description],Table2[Unit Cost]),2,0))</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IF(AB13="","N/A",VLOOKUP(AB13,CHOOSE({1,2},Table2[Pay Item Description],Table2[Unit Cost]),2,0))</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IF(AJ13="","N/A",VLOOKUP(AJ13,CHOOSE({1,2},Table2[Pay Item Description],Table2[Unit Cost]),2,0))</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IF(AR13="","N/A",VLOOKUP(AR13,CHOOSE({1,2},Table2[Pay Item Description],Table2[Unit Cost]),2,0))</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IF(AZ13="","N/A",VLOOKUP(AZ13,CHOOSE({1,2},Table2[Pay Item Description],Table2[Unit Cost]),2,0))</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IF(BH13="","N/A",VLOOKUP(BH13,CHOOSE({1,2},Table2[Pay Item Description],Table2[Unit Cost]),2,0))</f>
        <v>4</v>
      </c>
      <c r="BL13" s="63">
        <f>BK13*BJ13</f>
        <v>0</v>
      </c>
    </row>
    <row r="14" spans="1:64" ht="19.5" customHeight="1" x14ac:dyDescent="0.25">
      <c r="A14">
        <v>2</v>
      </c>
      <c r="B14" s="71">
        <f>IF(C14="",0,VLOOKUP(C14,CHOOSE({1,2},Table2[Pay Item Description],Table2[Pay Item No.]),2,0))</f>
        <v>0</v>
      </c>
      <c r="C14" s="70" t="s">
        <v>481</v>
      </c>
      <c r="D14" s="3" t="str">
        <f>IF(C14="","N/A",VLOOKUP(C14,CHOOSE({1,2},Table2[Pay Item Description],Table2[Units]),2,0))</f>
        <v>N/A</v>
      </c>
      <c r="E14" s="76">
        <v>0</v>
      </c>
      <c r="F14" s="75" t="str">
        <f>IF(C14="","N/A",VLOOKUP(C14,CHOOSE({1,2},Table2[Pay Item Description],Table2[Unit Cost]),2,0))</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IF(L14="","N/A",VLOOKUP(L14,CHOOSE({1,2},Table2[Pay Item Description],Table2[Unit Cost]),2,0))</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IF(T14="","N/A",VLOOKUP(T14,CHOOSE({1,2},Table2[Pay Item Description],Table2[Unit Cost]),2,0))</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IF(AB14="","N/A",VLOOKUP(AB14,CHOOSE({1,2},Table2[Pay Item Description],Table2[Unit Cost]),2,0))</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IF(AJ14="","N/A",VLOOKUP(AJ14,CHOOSE({1,2},Table2[Pay Item Description],Table2[Unit Cost]),2,0))</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IF(AR14="","N/A",VLOOKUP(AR14,CHOOSE({1,2},Table2[Pay Item Description],Table2[Unit Cost]),2,0))</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IF(AZ14="","N/A",VLOOKUP(AZ14,CHOOSE({1,2},Table2[Pay Item Description],Table2[Unit Cost]),2,0))</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IF(BH14="","N/A",VLOOKUP(BH14,CHOOSE({1,2},Table2[Pay Item Description],Table2[Unit Cost]),2,0))</f>
        <v>0.77777777777777779</v>
      </c>
      <c r="BL14" s="63">
        <f>BK14*BJ14</f>
        <v>0</v>
      </c>
    </row>
    <row r="15" spans="1:64" ht="19.5" customHeight="1" x14ac:dyDescent="0.25">
      <c r="A15">
        <v>3</v>
      </c>
      <c r="B15" s="71">
        <f>IF(C15="",0,VLOOKUP(C15,CHOOSE({1,2},Table2[Pay Item Description],Table2[Pay Item No.]),2,0))</f>
        <v>0</v>
      </c>
      <c r="C15" s="70" t="s">
        <v>481</v>
      </c>
      <c r="D15" s="3" t="str">
        <f>IF(C15="","N/A",VLOOKUP(C15,CHOOSE({1,2},Table2[Pay Item Description],Table2[Units]),2,0))</f>
        <v>N/A</v>
      </c>
      <c r="E15" s="76">
        <v>0</v>
      </c>
      <c r="F15" s="75" t="str">
        <f>IF(C15="","N/A",VLOOKUP(C15,CHOOSE({1,2},Table2[Pay Item Description],Table2[Unit Cost]),2,0))</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IF(L15="","N/A",VLOOKUP(L15,CHOOSE({1,2},Table2[Pay Item Description],Table2[Unit Cost]),2,0))</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IF(T15="","N/A",VLOOKUP(T15,CHOOSE({1,2},Table2[Pay Item Description],Table2[Unit Cost]),2,0))</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IF(AB15="","N/A",VLOOKUP(AB15,CHOOSE({1,2},Table2[Pay Item Description],Table2[Unit Cost]),2,0))</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IF(AJ15="","N/A",VLOOKUP(AJ15,CHOOSE({1,2},Table2[Pay Item Description],Table2[Unit Cost]),2,0))</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IF(AR15="","N/A",VLOOKUP(AR15,CHOOSE({1,2},Table2[Pay Item Description],Table2[Unit Cost]),2,0))</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IF(AZ15="","N/A",VLOOKUP(AZ15,CHOOSE({1,2},Table2[Pay Item Description],Table2[Unit Cost]),2,0))</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IF(BH15="","N/A",VLOOKUP(BH15,CHOOSE({1,2},Table2[Pay Item Description],Table2[Unit Cost]),2,0))</f>
        <v>0.66666666666666663</v>
      </c>
      <c r="BL15" s="63">
        <f>BK15*BJ15</f>
        <v>0</v>
      </c>
    </row>
    <row r="16" spans="1:64" ht="19.5" customHeight="1" x14ac:dyDescent="0.25">
      <c r="A16">
        <v>4</v>
      </c>
      <c r="B16" s="71">
        <f>IF(C16="",0,VLOOKUP(C16,CHOOSE({1,2},Table2[Pay Item Description],Table2[Pay Item No.]),2,0))</f>
        <v>0</v>
      </c>
      <c r="C16" s="70" t="s">
        <v>481</v>
      </c>
      <c r="D16" s="3" t="str">
        <f>IF(C16="","N/A",VLOOKUP(C16,CHOOSE({1,2},Table2[Pay Item Description],Table2[Units]),2,0))</f>
        <v>N/A</v>
      </c>
      <c r="E16" s="76">
        <v>0</v>
      </c>
      <c r="F16" s="75" t="str">
        <f>IF(C16="","N/A",VLOOKUP(C16,CHOOSE({1,2},Table2[Pay Item Description],Table2[Unit Cost]),2,0))</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IF(T16="","N/A",VLOOKUP(T16,CHOOSE({1,2},Table2[Pay Item Description],Table2[Unit Cost]),2,0))</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IF(AJ16="","N/A",VLOOKUP(AJ16,CHOOSE({1,2},Table2[Pay Item Description],Table2[Unit Cost]),2,0))</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IF(AZ16="","N/A",VLOOKUP(AZ16,CHOOSE({1,2},Table2[Pay Item Description],Table2[Unit Cost]),2,0))</f>
        <v>0.77777777777777779</v>
      </c>
      <c r="BD16" s="46">
        <f>BC16*BB16</f>
        <v>0</v>
      </c>
      <c r="BK16" s="61" t="s">
        <v>348</v>
      </c>
      <c r="BL16" s="63">
        <f>SUM(BL13:BL15)</f>
        <v>0</v>
      </c>
    </row>
    <row r="17" spans="1:64" ht="19.5" customHeight="1" x14ac:dyDescent="0.25">
      <c r="A17">
        <v>5</v>
      </c>
      <c r="B17" s="71">
        <f>IF(C17="",0,VLOOKUP(C17,CHOOSE({1,2},Table2[Pay Item Description],Table2[Pay Item No.]),2,0))</f>
        <v>0</v>
      </c>
      <c r="C17" s="70" t="s">
        <v>481</v>
      </c>
      <c r="D17" s="3" t="str">
        <f>IF(C17="","N/A",VLOOKUP(C17,CHOOSE({1,2},Table2[Pay Item Description],Table2[Units]),2,0))</f>
        <v>N/A</v>
      </c>
      <c r="E17" s="76">
        <v>0</v>
      </c>
      <c r="F17" s="75" t="str">
        <f>IF(C17="","N/A",VLOOKUP(C17,CHOOSE({1,2},Table2[Pay Item Description],Table2[Unit Cost]),2,0))</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IF(T17="","N/A",VLOOKUP(T17,CHOOSE({1,2},Table2[Pay Item Description],Table2[Unit Cost]),2,0))</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IF(AJ17="","N/A",VLOOKUP(AJ17,CHOOSE({1,2},Table2[Pay Item Description],Table2[Unit Cost]),2,0))</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IF(AZ17="","N/A",VLOOKUP(AZ17,CHOOSE({1,2},Table2[Pay Item Description],Table2[Unit Cost]),2,0))</f>
        <v>0.66666666666666663</v>
      </c>
      <c r="BD17" s="46">
        <f>BC17*BB17</f>
        <v>0</v>
      </c>
      <c r="BH17" s="61" t="s">
        <v>9</v>
      </c>
      <c r="BL17" s="63">
        <f>('General Information'!$D$36/100)*BL16</f>
        <v>0</v>
      </c>
    </row>
    <row r="18" spans="1:64" ht="19.5" customHeight="1" x14ac:dyDescent="0.25">
      <c r="A18">
        <v>6</v>
      </c>
      <c r="B18" s="71">
        <f>IF(C18="",0,VLOOKUP(C18,CHOOSE({1,2},Table2[Pay Item Description],Table2[Pay Item No.]),2,0))</f>
        <v>0</v>
      </c>
      <c r="C18" s="70" t="s">
        <v>481</v>
      </c>
      <c r="D18" s="3" t="str">
        <f>IF(C18="","N/A",VLOOKUP(C18,CHOOSE({1,2},Table2[Pay Item Description],Table2[Units]),2,0))</f>
        <v>N/A</v>
      </c>
      <c r="E18" s="76">
        <v>0</v>
      </c>
      <c r="F18" s="75" t="str">
        <f>IF(C18="","N/A",VLOOKUP(C18,CHOOSE({1,2},Table2[Pay Item Description],Table2[Unit Cost]),2,0))</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IF(AJ18="","N/A",VLOOKUP(AJ18,CHOOSE({1,2},Table2[Pay Item Description],Table2[Unit Cost]),2,0))</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IF(C19="",0,VLOOKUP(C19,CHOOSE({1,2},Table2[Pay Item Description],Table2[Pay Item No.]),2,0))</f>
        <v>0</v>
      </c>
      <c r="C19" s="70" t="s">
        <v>481</v>
      </c>
      <c r="D19" s="3" t="str">
        <f>IF(C19="","N/A",VLOOKUP(C19,CHOOSE({1,2},Table2[Pay Item Description],Table2[Units]),2,0))</f>
        <v>N/A</v>
      </c>
      <c r="E19" s="76">
        <v>0</v>
      </c>
      <c r="F19" s="75" t="str">
        <f>IF(C19="","N/A",VLOOKUP(C19,CHOOSE({1,2},Table2[Pay Item Description],Table2[Unit Cost]),2,0))</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IF(C20="",0,VLOOKUP(C20,CHOOSE({1,2},Table2[Pay Item Description],Table2[Pay Item No.]),2,0))</f>
        <v>0</v>
      </c>
      <c r="C20" s="70" t="s">
        <v>481</v>
      </c>
      <c r="D20" s="3" t="str">
        <f>IF(C20="","N/A",VLOOKUP(C20,CHOOSE({1,2},Table2[Pay Item Description],Table2[Units]),2,0))</f>
        <v>N/A</v>
      </c>
      <c r="E20" s="76">
        <v>0</v>
      </c>
      <c r="F20" s="75" t="str">
        <f>IF(C20="","N/A",VLOOKUP(C20,CHOOSE({1,2},Table2[Pay Item Description],Table2[Unit Cost]),2,0))</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IF(C21="",0,VLOOKUP(C21,CHOOSE({1,2},Table2[Pay Item Description],Table2[Pay Item No.]),2,0))</f>
        <v>0</v>
      </c>
      <c r="C21" s="70" t="s">
        <v>481</v>
      </c>
      <c r="D21" s="3" t="str">
        <f>IF(C21="","N/A",VLOOKUP(C21,CHOOSE({1,2},Table2[Pay Item Description],Table2[Units]),2,0))</f>
        <v>N/A</v>
      </c>
      <c r="E21" s="76">
        <v>0</v>
      </c>
      <c r="F21" s="75" t="str">
        <f>IF(C21="","N/A",VLOOKUP(C21,CHOOSE({1,2},Table2[Pay Item Description],Table2[Unit Cost]),2,0))</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IF(C22="",0,VLOOKUP(C22,CHOOSE({1,2},Table2[Pay Item Description],Table2[Pay Item No.]),2,0))</f>
        <v>0</v>
      </c>
      <c r="C22" s="70" t="s">
        <v>481</v>
      </c>
      <c r="D22" s="3" t="str">
        <f>IF(C22="","N/A",VLOOKUP(C22,CHOOSE({1,2},Table2[Pay Item Description],Table2[Units]),2,0))</f>
        <v>N/A</v>
      </c>
      <c r="E22" s="76">
        <v>0</v>
      </c>
      <c r="F22" s="75" t="str">
        <f>IF(C22="","N/A",VLOOKUP(C22,CHOOSE({1,2},Table2[Pay Item Description],Table2[Unit Cost]),2,0))</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pageMargins left="0.7" right="0.7" top="0.75" bottom="0.75" header="0.3" footer="0.3"/>
  <pageSetup orientation="portrait" horizontalDpi="4294967293" verticalDpi="0" r:id="rId1"/>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9525</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9525</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9525</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9525</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9525</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9525</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9525</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9525</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9525</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9525</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92D050"/>
    <pageSetUpPr fitToPage="1"/>
  </sheetPr>
  <dimension ref="A1:AJ71"/>
  <sheetViews>
    <sheetView workbookViewId="0">
      <pane ySplit="3" topLeftCell="A4" activePane="bottomLeft" state="frozen"/>
      <selection pane="bottomLeft" activeCell="A1" sqref="A1"/>
    </sheetView>
  </sheetViews>
  <sheetFormatPr baseColWidth="8" defaultRowHeight="15"/>
  <cols>
    <col width="22" customWidth="1" min="1" max="1"/>
    <col width="32" customWidth="1" min="2" max="2"/>
    <col width="17" customWidth="1" min="3" max="3"/>
    <col width="17" customWidth="1" min="4" max="4"/>
    <col width="34" customWidth="1" min="5" max="5"/>
    <col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14" customWidth="1" min="16" max="16"/>
    <col width="14"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22" customHeight="1">
      <c r="A1" s="119">
        <f>HYPERLINK("#'General Information'!D9","◄ General Information")</f>
        <v/>
      </c>
      <c r="B1" s="120">
        <f>HYPERLINK("#Instructions!B9","Instructions")</f>
        <v/>
      </c>
      <c r="G1" s="121" t="inlineStr">
        <is>
          <t>LCCA SUMMARY</t>
        </is>
      </c>
      <c r="W1" s="122" t="inlineStr">
        <is>
          <t>CHART DATA (calculated automatically from the table on the left; do not edit)</t>
        </is>
      </c>
    </row>
    <row r="2">
      <c r="G2" s="123" t="inlineStr">
        <is>
          <t>Everything from this column onward calculates from the alternative worksheets and updates by itself. Columns A:E and "Chart 1" are written by the Alternative Setup form as before.</t>
        </is>
      </c>
    </row>
    <row r="3">
      <c r="A3" s="124" t="inlineStr">
        <is>
          <t>Alternative</t>
        </is>
      </c>
      <c r="B3" s="124" t="inlineStr">
        <is>
          <t>Name</t>
        </is>
      </c>
      <c r="C3" s="124" t="inlineStr">
        <is>
          <t>Initial Construction</t>
        </is>
      </c>
      <c r="D3" s="124" t="inlineStr">
        <is>
          <t>Present Worth</t>
        </is>
      </c>
      <c r="E3" s="124" t="inlineStr">
        <is>
          <t>Alternative Description</t>
        </is>
      </c>
      <c r="G3" s="124" t="inlineStr">
        <is>
          <t>Worksheet</t>
        </is>
      </c>
      <c r="H3" s="124" t="inlineStr">
        <is>
          <t>Alternative</t>
        </is>
      </c>
      <c r="I3" s="124" t="inlineStr">
        <is>
          <t>Type</t>
        </is>
      </c>
      <c r="J3" s="124" t="inlineStr">
        <is>
          <t>Initial construction</t>
        </is>
      </c>
      <c r="K3" s="124" t="inlineStr">
        <is>
          <t>Maintenance PW</t>
        </is>
      </c>
      <c r="L3" s="124" t="inlineStr">
        <is>
          <t>Rehabilitation PW</t>
        </is>
      </c>
      <c r="M3" s="124" t="inlineStr">
        <is>
          <t>Lost revenue PW</t>
        </is>
      </c>
      <c r="N3" s="124" t="inlineStr">
        <is>
          <t>Salvage PW</t>
        </is>
      </c>
      <c r="O3" s="124" t="inlineStr">
        <is>
          <t>Net present worth</t>
        </is>
      </c>
      <c r="P3" s="124" t="inlineStr">
        <is>
          <t>vs. lowest NPW</t>
        </is>
      </c>
      <c r="Q3" s="124" t="inlineStr">
        <is>
          <t>Closure days in period</t>
        </is>
      </c>
      <c r="R3" s="124" t="inlineStr">
        <is>
          <t>Runway availability</t>
        </is>
      </c>
      <c r="W3" s="122" t="inlineStr">
        <is>
          <t>Present worth by category</t>
        </is>
      </c>
    </row>
    <row r="4">
      <c r="G4" s="125">
        <f>IF(Database!$D$4="","",Database!$D$4)</f>
        <v/>
      </c>
      <c r="H4" s="125">
        <f>IF($G4="","",Database!$A$4)</f>
        <v/>
      </c>
      <c r="I4" s="125">
        <f>IF($G4="","",Database!$B$4)</f>
        <v/>
      </c>
      <c r="J4" s="126">
        <f>IF($G4="","",IFERROR(INDEX(INDIRECT("'"&amp;$G4&amp;"'!$G$1:$G$70"),MATCH("Total",INDIRECT("'"&amp;$G4&amp;"'!$A$1:$A$70"),0)),0))</f>
        <v/>
      </c>
      <c r="K4" s="126">
        <f>IF($G4="","",IFERROR(SUMIFS(INDIRECT("'"&amp;$G4&amp;"'!$E$37:$E$52"),INDIRECT("'"&amp;$G4&amp;"'!$B$37:$B$52"),"Maintenance*",INDIRECT("'"&amp;$G4&amp;"'!$B$37:$B$52"),"&lt;&gt;*Indirect*"),0))</f>
        <v/>
      </c>
      <c r="L4" s="126">
        <f>IF($G4="","",IFERROR(SUMIFS(INDIRECT("'"&amp;$G4&amp;"'!$E$37:$E$52"),INDIRECT("'"&amp;$G4&amp;"'!$B$37:$B$52"),"Rehabilitation*",INDIRECT("'"&amp;$G4&amp;"'!$B$37:$B$52"),"&lt;&gt;*Indirect*"),0))</f>
        <v/>
      </c>
      <c r="M4" s="126">
        <f>IF($G4="","",IFERROR(SUMIFS(INDIRECT("'"&amp;$G4&amp;"'!$E$37:$E$52"),INDIRECT("'"&amp;$G4&amp;"'!$B$37:$B$52"),"*Indirect*"),0))</f>
        <v/>
      </c>
      <c r="N4" s="126">
        <f>IF($G4="","",IFERROR(SUMIFS(INDIRECT("'"&amp;$G4&amp;"'!$E$37:$E$52"),INDIRECT("'"&amp;$G4&amp;"'!$B$37:$B$52"),"Salvage*"),0))</f>
        <v/>
      </c>
      <c r="O4" s="126">
        <f>IF($G4="","",IFERROR(INDEX(INDIRECT("'"&amp;$G4&amp;"'!$E$1:$E$70"),MATCH("Net Present Worth",INDIRECT("'"&amp;$G4&amp;"'!$B$1:$B$70"),0)),0))</f>
        <v/>
      </c>
      <c r="P4" s="126">
        <f>IF($G4="","",O4-MIN($O$4:$O$7))</f>
        <v/>
      </c>
      <c r="Q4" s="125">
        <f>IF($G4="","",IFERROR(SUM(INDIRECT("'"&amp;$G4&amp;"'!$F$4:$F$10")),0))</f>
        <v/>
      </c>
      <c r="R4" s="127">
        <f>IF($G4="","",1-Q4/('General Information'!$D$33*365))</f>
        <v/>
      </c>
      <c r="W4" s="124" t="inlineStr">
        <is>
          <t>Category</t>
        </is>
      </c>
      <c r="X4" s="124">
        <f>IF($H$4="","Alt "&amp;1,$H$4)</f>
        <v/>
      </c>
      <c r="Y4" s="124">
        <f>IF($H$5="","Alt "&amp;2,$H$5)</f>
        <v/>
      </c>
      <c r="Z4" s="124">
        <f>IF($H$6="","Alt "&amp;3,$H$6)</f>
        <v/>
      </c>
      <c r="AA4" s="124">
        <f>IF($H$7="","Alt "&amp;4,$H$7)</f>
        <v/>
      </c>
    </row>
    <row r="5">
      <c r="G5" s="125">
        <f>IF(Database!$D$5="","",Database!$D$5)</f>
        <v/>
      </c>
      <c r="H5" s="125">
        <f>IF($G5="","",Database!$A$5)</f>
        <v/>
      </c>
      <c r="I5" s="125">
        <f>IF($G5="","",Database!$B$5)</f>
        <v/>
      </c>
      <c r="J5" s="126">
        <f>IF($G5="","",IFERROR(INDEX(INDIRECT("'"&amp;$G5&amp;"'!$G$1:$G$70"),MATCH("Total",INDIRECT("'"&amp;$G5&amp;"'!$A$1:$A$70"),0)),0))</f>
        <v/>
      </c>
      <c r="K5" s="126">
        <f>IF($G5="","",IFERROR(SUMIFS(INDIRECT("'"&amp;$G5&amp;"'!$E$37:$E$52"),INDIRECT("'"&amp;$G5&amp;"'!$B$37:$B$52"),"Maintenance*",INDIRECT("'"&amp;$G5&amp;"'!$B$37:$B$52"),"&lt;&gt;*Indirect*"),0))</f>
        <v/>
      </c>
      <c r="L5" s="126">
        <f>IF($G5="","",IFERROR(SUMIFS(INDIRECT("'"&amp;$G5&amp;"'!$E$37:$E$52"),INDIRECT("'"&amp;$G5&amp;"'!$B$37:$B$52"),"Rehabilitation*",INDIRECT("'"&amp;$G5&amp;"'!$B$37:$B$52"),"&lt;&gt;*Indirect*"),0))</f>
        <v/>
      </c>
      <c r="M5" s="126">
        <f>IF($G5="","",IFERROR(SUMIFS(INDIRECT("'"&amp;$G5&amp;"'!$E$37:$E$52"),INDIRECT("'"&amp;$G5&amp;"'!$B$37:$B$52"),"*Indirect*"),0))</f>
        <v/>
      </c>
      <c r="N5" s="126">
        <f>IF($G5="","",IFERROR(SUMIFS(INDIRECT("'"&amp;$G5&amp;"'!$E$37:$E$52"),INDIRECT("'"&amp;$G5&amp;"'!$B$37:$B$52"),"Salvage*"),0))</f>
        <v/>
      </c>
      <c r="O5" s="126">
        <f>IF($G5="","",IFERROR(INDEX(INDIRECT("'"&amp;$G5&amp;"'!$E$1:$E$70"),MATCH("Net Present Worth",INDIRECT("'"&amp;$G5&amp;"'!$B$1:$B$70"),0)),0))</f>
        <v/>
      </c>
      <c r="P5" s="126">
        <f>IF($G5="","",O5-MIN($O$4:$O$7))</f>
        <v/>
      </c>
      <c r="Q5" s="125">
        <f>IF($G5="","",IFERROR(SUM(INDIRECT("'"&amp;$G5&amp;"'!$F$4:$F$10")),0))</f>
        <v/>
      </c>
      <c r="R5" s="127">
        <f>IF($G5="","",1-Q5/('General Information'!$D$33*365))</f>
        <v/>
      </c>
      <c r="W5" s="128" t="inlineStr">
        <is>
          <t>Initial construction</t>
        </is>
      </c>
      <c r="X5" s="129">
        <f>IF(J4="",0,J4)</f>
        <v/>
      </c>
      <c r="Y5" s="129">
        <f>IF(J5="",0,J5)</f>
        <v/>
      </c>
      <c r="Z5" s="129">
        <f>IF(J6="",0,J6)</f>
        <v/>
      </c>
      <c r="AA5" s="129">
        <f>IF(J7="",0,J7)</f>
        <v/>
      </c>
    </row>
    <row r="6">
      <c r="G6" s="125">
        <f>IF(Database!$D$6="","",Database!$D$6)</f>
        <v/>
      </c>
      <c r="H6" s="125">
        <f>IF($G6="","",Database!$A$6)</f>
        <v/>
      </c>
      <c r="I6" s="125">
        <f>IF($G6="","",Database!$B$6)</f>
        <v/>
      </c>
      <c r="J6" s="126">
        <f>IF($G6="","",IFERROR(INDEX(INDIRECT("'"&amp;$G6&amp;"'!$G$1:$G$70"),MATCH("Total",INDIRECT("'"&amp;$G6&amp;"'!$A$1:$A$70"),0)),0))</f>
        <v/>
      </c>
      <c r="K6" s="126">
        <f>IF($G6="","",IFERROR(SUMIFS(INDIRECT("'"&amp;$G6&amp;"'!$E$37:$E$52"),INDIRECT("'"&amp;$G6&amp;"'!$B$37:$B$52"),"Maintenance*",INDIRECT("'"&amp;$G6&amp;"'!$B$37:$B$52"),"&lt;&gt;*Indirect*"),0))</f>
        <v/>
      </c>
      <c r="L6" s="126">
        <f>IF($G6="","",IFERROR(SUMIFS(INDIRECT("'"&amp;$G6&amp;"'!$E$37:$E$52"),INDIRECT("'"&amp;$G6&amp;"'!$B$37:$B$52"),"Rehabilitation*",INDIRECT("'"&amp;$G6&amp;"'!$B$37:$B$52"),"&lt;&gt;*Indirect*"),0))</f>
        <v/>
      </c>
      <c r="M6" s="126">
        <f>IF($G6="","",IFERROR(SUMIFS(INDIRECT("'"&amp;$G6&amp;"'!$E$37:$E$52"),INDIRECT("'"&amp;$G6&amp;"'!$B$37:$B$52"),"*Indirect*"),0))</f>
        <v/>
      </c>
      <c r="N6" s="126">
        <f>IF($G6="","",IFERROR(SUMIFS(INDIRECT("'"&amp;$G6&amp;"'!$E$37:$E$52"),INDIRECT("'"&amp;$G6&amp;"'!$B$37:$B$52"),"Salvage*"),0))</f>
        <v/>
      </c>
      <c r="O6" s="126">
        <f>IF($G6="","",IFERROR(INDEX(INDIRECT("'"&amp;$G6&amp;"'!$E$1:$E$70"),MATCH("Net Present Worth",INDIRECT("'"&amp;$G6&amp;"'!$B$1:$B$70"),0)),0))</f>
        <v/>
      </c>
      <c r="P6" s="126">
        <f>IF($G6="","",O6-MIN($O$4:$O$7))</f>
        <v/>
      </c>
      <c r="Q6" s="125">
        <f>IF($G6="","",IFERROR(SUM(INDIRECT("'"&amp;$G6&amp;"'!$F$4:$F$10")),0))</f>
        <v/>
      </c>
      <c r="R6" s="127">
        <f>IF($G6="","",1-Q6/('General Information'!$D$33*365))</f>
        <v/>
      </c>
      <c r="W6" s="128" t="inlineStr">
        <is>
          <t>Maintenance</t>
        </is>
      </c>
      <c r="X6" s="129">
        <f>IF(K4="",0,K4)</f>
        <v/>
      </c>
      <c r="Y6" s="129">
        <f>IF(K5="",0,K5)</f>
        <v/>
      </c>
      <c r="Z6" s="129">
        <f>IF(K6="",0,K6)</f>
        <v/>
      </c>
      <c r="AA6" s="129">
        <f>IF(K7="",0,K7)</f>
        <v/>
      </c>
    </row>
    <row r="7">
      <c r="G7" s="125">
        <f>IF(Database!$D$7="","",Database!$D$7)</f>
        <v/>
      </c>
      <c r="H7" s="125">
        <f>IF($G7="","",Database!$A$7)</f>
        <v/>
      </c>
      <c r="I7" s="125">
        <f>IF($G7="","",Database!$B$7)</f>
        <v/>
      </c>
      <c r="J7" s="126">
        <f>IF($G7="","",IFERROR(INDEX(INDIRECT("'"&amp;$G7&amp;"'!$G$1:$G$70"),MATCH("Total",INDIRECT("'"&amp;$G7&amp;"'!$A$1:$A$70"),0)),0))</f>
        <v/>
      </c>
      <c r="K7" s="126">
        <f>IF($G7="","",IFERROR(SUMIFS(INDIRECT("'"&amp;$G7&amp;"'!$E$37:$E$52"),INDIRECT("'"&amp;$G7&amp;"'!$B$37:$B$52"),"Maintenance*",INDIRECT("'"&amp;$G7&amp;"'!$B$37:$B$52"),"&lt;&gt;*Indirect*"),0))</f>
        <v/>
      </c>
      <c r="L7" s="126">
        <f>IF($G7="","",IFERROR(SUMIFS(INDIRECT("'"&amp;$G7&amp;"'!$E$37:$E$52"),INDIRECT("'"&amp;$G7&amp;"'!$B$37:$B$52"),"Rehabilitation*",INDIRECT("'"&amp;$G7&amp;"'!$B$37:$B$52"),"&lt;&gt;*Indirect*"),0))</f>
        <v/>
      </c>
      <c r="M7" s="126">
        <f>IF($G7="","",IFERROR(SUMIFS(INDIRECT("'"&amp;$G7&amp;"'!$E$37:$E$52"),INDIRECT("'"&amp;$G7&amp;"'!$B$37:$B$52"),"*Indirect*"),0))</f>
        <v/>
      </c>
      <c r="N7" s="126">
        <f>IF($G7="","",IFERROR(SUMIFS(INDIRECT("'"&amp;$G7&amp;"'!$E$37:$E$52"),INDIRECT("'"&amp;$G7&amp;"'!$B$37:$B$52"),"Salvage*"),0))</f>
        <v/>
      </c>
      <c r="O7" s="126">
        <f>IF($G7="","",IFERROR(INDEX(INDIRECT("'"&amp;$G7&amp;"'!$E$1:$E$70"),MATCH("Net Present Worth",INDIRECT("'"&amp;$G7&amp;"'!$B$1:$B$70"),0)),0))</f>
        <v/>
      </c>
      <c r="P7" s="126">
        <f>IF($G7="","",O7-MIN($O$4:$O$7))</f>
        <v/>
      </c>
      <c r="Q7" s="125">
        <f>IF($G7="","",IFERROR(SUM(INDIRECT("'"&amp;$G7&amp;"'!$F$4:$F$10")),0))</f>
        <v/>
      </c>
      <c r="R7" s="127">
        <f>IF($G7="","",1-Q7/('General Information'!$D$33*365))</f>
        <v/>
      </c>
      <c r="W7" s="128" t="inlineStr">
        <is>
          <t>Rehabilitation</t>
        </is>
      </c>
      <c r="X7" s="129">
        <f>IF(L4="",0,L4)</f>
        <v/>
      </c>
      <c r="Y7" s="129">
        <f>IF(L5="",0,L5)</f>
        <v/>
      </c>
      <c r="Z7" s="129">
        <f>IF(L6="",0,L6)</f>
        <v/>
      </c>
      <c r="AA7" s="129">
        <f>IF(L7="",0,L7)</f>
        <v/>
      </c>
    </row>
    <row r="8">
      <c r="W8" s="128" t="inlineStr">
        <is>
          <t>Lost revenue</t>
        </is>
      </c>
      <c r="X8" s="129">
        <f>IF(M4="",0,M4)</f>
        <v/>
      </c>
      <c r="Y8" s="129">
        <f>IF(M5="",0,M5)</f>
        <v/>
      </c>
      <c r="Z8" s="129">
        <f>IF(M6="",0,M6)</f>
        <v/>
      </c>
      <c r="AA8" s="129">
        <f>IF(M7="",0,M7)</f>
        <v/>
      </c>
    </row>
    <row r="9">
      <c r="G9" s="130">
        <f>IF(COUNT($O$4:$O$7)=0,"No alternatives yet. Go to General Information and click Alternative Setup.","Lowest present worth: "&amp;INDEX($H$4:$H$7,MATCH(MIN($O$4:$O$7),$O$4:$O$7,0))&amp;"   |   margin to next: "&amp;TEXT(SMALL($O$4:$O$7,MIN(2,COUNT($O$4:$O$7)))-MIN($O$4:$O$7),"$#,##0")&amp;"   |   "&amp;'General Information'!$D$34&amp;"% over "&amp;'General Information'!$D$33&amp;" years   |   lost revenue: "&amp;'General Information'!$D$38)</f>
        <v/>
      </c>
      <c r="H9" s="131" t="n"/>
      <c r="I9" s="131" t="n"/>
      <c r="J9" s="131" t="n"/>
      <c r="K9" s="131" t="n"/>
      <c r="L9" s="131" t="n"/>
      <c r="M9" s="131" t="n"/>
      <c r="N9" s="131" t="n"/>
      <c r="O9" s="131" t="n"/>
      <c r="P9" s="131" t="n"/>
      <c r="Q9" s="131" t="n"/>
      <c r="R9" s="131" t="n"/>
      <c r="W9" s="128" t="inlineStr">
        <is>
          <t>Salvage</t>
        </is>
      </c>
      <c r="X9" s="129">
        <f>IF(N4="",0,N4)</f>
        <v/>
      </c>
      <c r="Y9" s="129">
        <f>IF(N5="",0,N5)</f>
        <v/>
      </c>
      <c r="Z9" s="129">
        <f>IF(N6="",0,N6)</f>
        <v/>
      </c>
      <c r="AA9" s="129">
        <f>IF(N7="",0,N7)</f>
        <v/>
      </c>
    </row>
    <row r="10">
      <c r="G10" s="123">
        <f>IF(COUNT($O$4:$O$7)&lt;2,"",IF(INDEX($H$4:$H$7,MATCH(MIN($O$4:$O$7),$O$4:$O$7,0))=INDEX($H$4:$H$7,MATCH(MIN($X$32:$AA$32),$X$32:$AA$32,0)),"The same alternative is lowest at the FAA AIP rate of 7%.","At the FAA AIP rate of 7% the lowest-cost alternative changes: see chart 2."))</f>
        <v/>
      </c>
      <c r="W10" s="122" t="inlineStr">
        <is>
          <t>Net present worth vs. discount rate</t>
        </is>
      </c>
    </row>
    <row r="11">
      <c r="W11" s="124" t="inlineStr">
        <is>
          <t>Rate (%)</t>
        </is>
      </c>
      <c r="X11" s="124">
        <f>X$4</f>
        <v/>
      </c>
      <c r="Y11" s="124">
        <f>Y$4</f>
        <v/>
      </c>
      <c r="Z11" s="124">
        <f>Z$4</f>
        <v/>
      </c>
      <c r="AA11" s="124">
        <f>AA$4</f>
        <v/>
      </c>
    </row>
    <row r="12">
      <c r="G12" s="121" t="inlineStr">
        <is>
          <t>CHARTS</t>
        </is>
      </c>
      <c r="W12" s="132" t="n">
        <v>2</v>
      </c>
      <c r="X12" s="129">
        <f>IF($G$4="",0,IFERROR($J$4+SUMPRODUCT((INDIRECT("'"&amp;$G$4&amp;"'!$C$37:$C$52")&lt;='General Information'!$D$33)*INDIRECT("'"&amp;$G$4&amp;"'!$D$37:$D$52")/(1+$W12/100)^INDIRECT("'"&amp;$G$4&amp;"'!$C$37:$C$52")),0))</f>
        <v/>
      </c>
      <c r="Y12" s="129">
        <f>IF($G$5="",0,IFERROR($J$5+SUMPRODUCT((INDIRECT("'"&amp;$G$5&amp;"'!$C$37:$C$52")&lt;='General Information'!$D$33)*INDIRECT("'"&amp;$G$5&amp;"'!$D$37:$D$52")/(1+$W12/100)^INDIRECT("'"&amp;$G$5&amp;"'!$C$37:$C$52")),0))</f>
        <v/>
      </c>
      <c r="Z12" s="129">
        <f>IF($G$6="",0,IFERROR($J$6+SUMPRODUCT((INDIRECT("'"&amp;$G$6&amp;"'!$C$37:$C$52")&lt;='General Information'!$D$33)*INDIRECT("'"&amp;$G$6&amp;"'!$D$37:$D$52")/(1+$W12/100)^INDIRECT("'"&amp;$G$6&amp;"'!$C$37:$C$52")),0))</f>
        <v/>
      </c>
      <c r="AA12" s="129">
        <f>IF($G$7="",0,IFERROR($J$7+SUMPRODUCT((INDIRECT("'"&amp;$G$7&amp;"'!$C$37:$C$52")&lt;='General Information'!$D$33)*INDIRECT("'"&amp;$G$7&amp;"'!$D$37:$D$52")/(1+$W12/100)^INDIRECT("'"&amp;$G$7&amp;"'!$C$37:$C$52")),0))</f>
        <v/>
      </c>
    </row>
    <row r="13">
      <c r="W13" s="132" t="n">
        <v>2.25</v>
      </c>
      <c r="X13" s="129">
        <f>IF($G$4="",0,IFERROR($J$4+SUMPRODUCT((INDIRECT("'"&amp;$G$4&amp;"'!$C$37:$C$52")&lt;='General Information'!$D$33)*INDIRECT("'"&amp;$G$4&amp;"'!$D$37:$D$52")/(1+$W13/100)^INDIRECT("'"&amp;$G$4&amp;"'!$C$37:$C$52")),0))</f>
        <v/>
      </c>
      <c r="Y13" s="129">
        <f>IF($G$5="",0,IFERROR($J$5+SUMPRODUCT((INDIRECT("'"&amp;$G$5&amp;"'!$C$37:$C$52")&lt;='General Information'!$D$33)*INDIRECT("'"&amp;$G$5&amp;"'!$D$37:$D$52")/(1+$W13/100)^INDIRECT("'"&amp;$G$5&amp;"'!$C$37:$C$52")),0))</f>
        <v/>
      </c>
      <c r="Z13" s="129">
        <f>IF($G$6="",0,IFERROR($J$6+SUMPRODUCT((INDIRECT("'"&amp;$G$6&amp;"'!$C$37:$C$52")&lt;='General Information'!$D$33)*INDIRECT("'"&amp;$G$6&amp;"'!$D$37:$D$52")/(1+$W13/100)^INDIRECT("'"&amp;$G$6&amp;"'!$C$37:$C$52")),0))</f>
        <v/>
      </c>
      <c r="AA13" s="129">
        <f>IF($G$7="",0,IFERROR($J$7+SUMPRODUCT((INDIRECT("'"&amp;$G$7&amp;"'!$C$37:$C$52")&lt;='General Information'!$D$33)*INDIRECT("'"&amp;$G$7&amp;"'!$D$37:$D$52")/(1+$W13/100)^INDIRECT("'"&amp;$G$7&amp;"'!$C$37:$C$52")),0))</f>
        <v/>
      </c>
    </row>
    <row r="14">
      <c r="W14" s="132" t="n">
        <v>2.5</v>
      </c>
      <c r="X14" s="129">
        <f>IF($G$4="",0,IFERROR($J$4+SUMPRODUCT((INDIRECT("'"&amp;$G$4&amp;"'!$C$37:$C$52")&lt;='General Information'!$D$33)*INDIRECT("'"&amp;$G$4&amp;"'!$D$37:$D$52")/(1+$W14/100)^INDIRECT("'"&amp;$G$4&amp;"'!$C$37:$C$52")),0))</f>
        <v/>
      </c>
      <c r="Y14" s="129">
        <f>IF($G$5="",0,IFERROR($J$5+SUMPRODUCT((INDIRECT("'"&amp;$G$5&amp;"'!$C$37:$C$52")&lt;='General Information'!$D$33)*INDIRECT("'"&amp;$G$5&amp;"'!$D$37:$D$52")/(1+$W14/100)^INDIRECT("'"&amp;$G$5&amp;"'!$C$37:$C$52")),0))</f>
        <v/>
      </c>
      <c r="Z14" s="129">
        <f>IF($G$6="",0,IFERROR($J$6+SUMPRODUCT((INDIRECT("'"&amp;$G$6&amp;"'!$C$37:$C$52")&lt;='General Information'!$D$33)*INDIRECT("'"&amp;$G$6&amp;"'!$D$37:$D$52")/(1+$W14/100)^INDIRECT("'"&amp;$G$6&amp;"'!$C$37:$C$52")),0))</f>
        <v/>
      </c>
      <c r="AA14" s="129">
        <f>IF($G$7="",0,IFERROR($J$7+SUMPRODUCT((INDIRECT("'"&amp;$G$7&amp;"'!$C$37:$C$52")&lt;='General Information'!$D$33)*INDIRECT("'"&amp;$G$7&amp;"'!$D$37:$D$52")/(1+$W14/100)^INDIRECT("'"&amp;$G$7&amp;"'!$C$37:$C$52")),0))</f>
        <v/>
      </c>
    </row>
    <row r="15">
      <c r="W15" s="132" t="n">
        <v>2.75</v>
      </c>
      <c r="X15" s="129">
        <f>IF($G$4="",0,IFERROR($J$4+SUMPRODUCT((INDIRECT("'"&amp;$G$4&amp;"'!$C$37:$C$52")&lt;='General Information'!$D$33)*INDIRECT("'"&amp;$G$4&amp;"'!$D$37:$D$52")/(1+$W15/100)^INDIRECT("'"&amp;$G$4&amp;"'!$C$37:$C$52")),0))</f>
        <v/>
      </c>
      <c r="Y15" s="129">
        <f>IF($G$5="",0,IFERROR($J$5+SUMPRODUCT((INDIRECT("'"&amp;$G$5&amp;"'!$C$37:$C$52")&lt;='General Information'!$D$33)*INDIRECT("'"&amp;$G$5&amp;"'!$D$37:$D$52")/(1+$W15/100)^INDIRECT("'"&amp;$G$5&amp;"'!$C$37:$C$52")),0))</f>
        <v/>
      </c>
      <c r="Z15" s="129">
        <f>IF($G$6="",0,IFERROR($J$6+SUMPRODUCT((INDIRECT("'"&amp;$G$6&amp;"'!$C$37:$C$52")&lt;='General Information'!$D$33)*INDIRECT("'"&amp;$G$6&amp;"'!$D$37:$D$52")/(1+$W15/100)^INDIRECT("'"&amp;$G$6&amp;"'!$C$37:$C$52")),0))</f>
        <v/>
      </c>
      <c r="AA15" s="129">
        <f>IF($G$7="",0,IFERROR($J$7+SUMPRODUCT((INDIRECT("'"&amp;$G$7&amp;"'!$C$37:$C$52")&lt;='General Information'!$D$33)*INDIRECT("'"&amp;$G$7&amp;"'!$D$37:$D$52")/(1+$W15/100)^INDIRECT("'"&amp;$G$7&amp;"'!$C$37:$C$52")),0))</f>
        <v/>
      </c>
    </row>
    <row r="16">
      <c r="W16" s="132" t="n">
        <v>3</v>
      </c>
      <c r="X16" s="129">
        <f>IF($G$4="",0,IFERROR($J$4+SUMPRODUCT((INDIRECT("'"&amp;$G$4&amp;"'!$C$37:$C$52")&lt;='General Information'!$D$33)*INDIRECT("'"&amp;$G$4&amp;"'!$D$37:$D$52")/(1+$W16/100)^INDIRECT("'"&amp;$G$4&amp;"'!$C$37:$C$52")),0))</f>
        <v/>
      </c>
      <c r="Y16" s="129">
        <f>IF($G$5="",0,IFERROR($J$5+SUMPRODUCT((INDIRECT("'"&amp;$G$5&amp;"'!$C$37:$C$52")&lt;='General Information'!$D$33)*INDIRECT("'"&amp;$G$5&amp;"'!$D$37:$D$52")/(1+$W16/100)^INDIRECT("'"&amp;$G$5&amp;"'!$C$37:$C$52")),0))</f>
        <v/>
      </c>
      <c r="Z16" s="129">
        <f>IF($G$6="",0,IFERROR($J$6+SUMPRODUCT((INDIRECT("'"&amp;$G$6&amp;"'!$C$37:$C$52")&lt;='General Information'!$D$33)*INDIRECT("'"&amp;$G$6&amp;"'!$D$37:$D$52")/(1+$W16/100)^INDIRECT("'"&amp;$G$6&amp;"'!$C$37:$C$52")),0))</f>
        <v/>
      </c>
      <c r="AA16" s="129">
        <f>IF($G$7="",0,IFERROR($J$7+SUMPRODUCT((INDIRECT("'"&amp;$G$7&amp;"'!$C$37:$C$52")&lt;='General Information'!$D$33)*INDIRECT("'"&amp;$G$7&amp;"'!$D$37:$D$52")/(1+$W16/100)^INDIRECT("'"&amp;$G$7&amp;"'!$C$37:$C$52")),0))</f>
        <v/>
      </c>
    </row>
    <row r="17">
      <c r="W17" s="132" t="n">
        <v>3.25</v>
      </c>
      <c r="X17" s="129">
        <f>IF($G$4="",0,IFERROR($J$4+SUMPRODUCT((INDIRECT("'"&amp;$G$4&amp;"'!$C$37:$C$52")&lt;='General Information'!$D$33)*INDIRECT("'"&amp;$G$4&amp;"'!$D$37:$D$52")/(1+$W17/100)^INDIRECT("'"&amp;$G$4&amp;"'!$C$37:$C$52")),0))</f>
        <v/>
      </c>
      <c r="Y17" s="129">
        <f>IF($G$5="",0,IFERROR($J$5+SUMPRODUCT((INDIRECT("'"&amp;$G$5&amp;"'!$C$37:$C$52")&lt;='General Information'!$D$33)*INDIRECT("'"&amp;$G$5&amp;"'!$D$37:$D$52")/(1+$W17/100)^INDIRECT("'"&amp;$G$5&amp;"'!$C$37:$C$52")),0))</f>
        <v/>
      </c>
      <c r="Z17" s="129">
        <f>IF($G$6="",0,IFERROR($J$6+SUMPRODUCT((INDIRECT("'"&amp;$G$6&amp;"'!$C$37:$C$52")&lt;='General Information'!$D$33)*INDIRECT("'"&amp;$G$6&amp;"'!$D$37:$D$52")/(1+$W17/100)^INDIRECT("'"&amp;$G$6&amp;"'!$C$37:$C$52")),0))</f>
        <v/>
      </c>
      <c r="AA17" s="129">
        <f>IF($G$7="",0,IFERROR($J$7+SUMPRODUCT((INDIRECT("'"&amp;$G$7&amp;"'!$C$37:$C$52")&lt;='General Information'!$D$33)*INDIRECT("'"&amp;$G$7&amp;"'!$D$37:$D$52")/(1+$W17/100)^INDIRECT("'"&amp;$G$7&amp;"'!$C$37:$C$52")),0))</f>
        <v/>
      </c>
    </row>
    <row r="18">
      <c r="W18" s="132" t="n">
        <v>3.5</v>
      </c>
      <c r="X18" s="129">
        <f>IF($G$4="",0,IFERROR($J$4+SUMPRODUCT((INDIRECT("'"&amp;$G$4&amp;"'!$C$37:$C$52")&lt;='General Information'!$D$33)*INDIRECT("'"&amp;$G$4&amp;"'!$D$37:$D$52")/(1+$W18/100)^INDIRECT("'"&amp;$G$4&amp;"'!$C$37:$C$52")),0))</f>
        <v/>
      </c>
      <c r="Y18" s="129">
        <f>IF($G$5="",0,IFERROR($J$5+SUMPRODUCT((INDIRECT("'"&amp;$G$5&amp;"'!$C$37:$C$52")&lt;='General Information'!$D$33)*INDIRECT("'"&amp;$G$5&amp;"'!$D$37:$D$52")/(1+$W18/100)^INDIRECT("'"&amp;$G$5&amp;"'!$C$37:$C$52")),0))</f>
        <v/>
      </c>
      <c r="Z18" s="129">
        <f>IF($G$6="",0,IFERROR($J$6+SUMPRODUCT((INDIRECT("'"&amp;$G$6&amp;"'!$C$37:$C$52")&lt;='General Information'!$D$33)*INDIRECT("'"&amp;$G$6&amp;"'!$D$37:$D$52")/(1+$W18/100)^INDIRECT("'"&amp;$G$6&amp;"'!$C$37:$C$52")),0))</f>
        <v/>
      </c>
      <c r="AA18" s="129">
        <f>IF($G$7="",0,IFERROR($J$7+SUMPRODUCT((INDIRECT("'"&amp;$G$7&amp;"'!$C$37:$C$52")&lt;='General Information'!$D$33)*INDIRECT("'"&amp;$G$7&amp;"'!$D$37:$D$52")/(1+$W18/100)^INDIRECT("'"&amp;$G$7&amp;"'!$C$37:$C$52")),0))</f>
        <v/>
      </c>
    </row>
    <row r="19">
      <c r="W19" s="132" t="n">
        <v>3.75</v>
      </c>
      <c r="X19" s="129">
        <f>IF($G$4="",0,IFERROR($J$4+SUMPRODUCT((INDIRECT("'"&amp;$G$4&amp;"'!$C$37:$C$52")&lt;='General Information'!$D$33)*INDIRECT("'"&amp;$G$4&amp;"'!$D$37:$D$52")/(1+$W19/100)^INDIRECT("'"&amp;$G$4&amp;"'!$C$37:$C$52")),0))</f>
        <v/>
      </c>
      <c r="Y19" s="129">
        <f>IF($G$5="",0,IFERROR($J$5+SUMPRODUCT((INDIRECT("'"&amp;$G$5&amp;"'!$C$37:$C$52")&lt;='General Information'!$D$33)*INDIRECT("'"&amp;$G$5&amp;"'!$D$37:$D$52")/(1+$W19/100)^INDIRECT("'"&amp;$G$5&amp;"'!$C$37:$C$52")),0))</f>
        <v/>
      </c>
      <c r="Z19" s="129">
        <f>IF($G$6="",0,IFERROR($J$6+SUMPRODUCT((INDIRECT("'"&amp;$G$6&amp;"'!$C$37:$C$52")&lt;='General Information'!$D$33)*INDIRECT("'"&amp;$G$6&amp;"'!$D$37:$D$52")/(1+$W19/100)^INDIRECT("'"&amp;$G$6&amp;"'!$C$37:$C$52")),0))</f>
        <v/>
      </c>
      <c r="AA19" s="129">
        <f>IF($G$7="",0,IFERROR($J$7+SUMPRODUCT((INDIRECT("'"&amp;$G$7&amp;"'!$C$37:$C$52")&lt;='General Information'!$D$33)*INDIRECT("'"&amp;$G$7&amp;"'!$D$37:$D$52")/(1+$W19/100)^INDIRECT("'"&amp;$G$7&amp;"'!$C$37:$C$52")),0))</f>
        <v/>
      </c>
    </row>
    <row r="20">
      <c r="W20" s="132" t="n">
        <v>4</v>
      </c>
      <c r="X20" s="129">
        <f>IF($G$4="",0,IFERROR($J$4+SUMPRODUCT((INDIRECT("'"&amp;$G$4&amp;"'!$C$37:$C$52")&lt;='General Information'!$D$33)*INDIRECT("'"&amp;$G$4&amp;"'!$D$37:$D$52")/(1+$W20/100)^INDIRECT("'"&amp;$G$4&amp;"'!$C$37:$C$52")),0))</f>
        <v/>
      </c>
      <c r="Y20" s="129">
        <f>IF($G$5="",0,IFERROR($J$5+SUMPRODUCT((INDIRECT("'"&amp;$G$5&amp;"'!$C$37:$C$52")&lt;='General Information'!$D$33)*INDIRECT("'"&amp;$G$5&amp;"'!$D$37:$D$52")/(1+$W20/100)^INDIRECT("'"&amp;$G$5&amp;"'!$C$37:$C$52")),0))</f>
        <v/>
      </c>
      <c r="Z20" s="129">
        <f>IF($G$6="",0,IFERROR($J$6+SUMPRODUCT((INDIRECT("'"&amp;$G$6&amp;"'!$C$37:$C$52")&lt;='General Information'!$D$33)*INDIRECT("'"&amp;$G$6&amp;"'!$D$37:$D$52")/(1+$W20/100)^INDIRECT("'"&amp;$G$6&amp;"'!$C$37:$C$52")),0))</f>
        <v/>
      </c>
      <c r="AA20" s="129">
        <f>IF($G$7="",0,IFERROR($J$7+SUMPRODUCT((INDIRECT("'"&amp;$G$7&amp;"'!$C$37:$C$52")&lt;='General Information'!$D$33)*INDIRECT("'"&amp;$G$7&amp;"'!$D$37:$D$52")/(1+$W20/100)^INDIRECT("'"&amp;$G$7&amp;"'!$C$37:$C$52")),0))</f>
        <v/>
      </c>
    </row>
    <row r="21">
      <c r="W21" s="132" t="n">
        <v>4.25</v>
      </c>
      <c r="X21" s="129">
        <f>IF($G$4="",0,IFERROR($J$4+SUMPRODUCT((INDIRECT("'"&amp;$G$4&amp;"'!$C$37:$C$52")&lt;='General Information'!$D$33)*INDIRECT("'"&amp;$G$4&amp;"'!$D$37:$D$52")/(1+$W21/100)^INDIRECT("'"&amp;$G$4&amp;"'!$C$37:$C$52")),0))</f>
        <v/>
      </c>
      <c r="Y21" s="129">
        <f>IF($G$5="",0,IFERROR($J$5+SUMPRODUCT((INDIRECT("'"&amp;$G$5&amp;"'!$C$37:$C$52")&lt;='General Information'!$D$33)*INDIRECT("'"&amp;$G$5&amp;"'!$D$37:$D$52")/(1+$W21/100)^INDIRECT("'"&amp;$G$5&amp;"'!$C$37:$C$52")),0))</f>
        <v/>
      </c>
      <c r="Z21" s="129">
        <f>IF($G$6="",0,IFERROR($J$6+SUMPRODUCT((INDIRECT("'"&amp;$G$6&amp;"'!$C$37:$C$52")&lt;='General Information'!$D$33)*INDIRECT("'"&amp;$G$6&amp;"'!$D$37:$D$52")/(1+$W21/100)^INDIRECT("'"&amp;$G$6&amp;"'!$C$37:$C$52")),0))</f>
        <v/>
      </c>
      <c r="AA21" s="129">
        <f>IF($G$7="",0,IFERROR($J$7+SUMPRODUCT((INDIRECT("'"&amp;$G$7&amp;"'!$C$37:$C$52")&lt;='General Information'!$D$33)*INDIRECT("'"&amp;$G$7&amp;"'!$D$37:$D$52")/(1+$W21/100)^INDIRECT("'"&amp;$G$7&amp;"'!$C$37:$C$52")),0))</f>
        <v/>
      </c>
    </row>
    <row r="22">
      <c r="W22" s="132" t="n">
        <v>4.5</v>
      </c>
      <c r="X22" s="129">
        <f>IF($G$4="",0,IFERROR($J$4+SUMPRODUCT((INDIRECT("'"&amp;$G$4&amp;"'!$C$37:$C$52")&lt;='General Information'!$D$33)*INDIRECT("'"&amp;$G$4&amp;"'!$D$37:$D$52")/(1+$W22/100)^INDIRECT("'"&amp;$G$4&amp;"'!$C$37:$C$52")),0))</f>
        <v/>
      </c>
      <c r="Y22" s="129">
        <f>IF($G$5="",0,IFERROR($J$5+SUMPRODUCT((INDIRECT("'"&amp;$G$5&amp;"'!$C$37:$C$52")&lt;='General Information'!$D$33)*INDIRECT("'"&amp;$G$5&amp;"'!$D$37:$D$52")/(1+$W22/100)^INDIRECT("'"&amp;$G$5&amp;"'!$C$37:$C$52")),0))</f>
        <v/>
      </c>
      <c r="Z22" s="129">
        <f>IF($G$6="",0,IFERROR($J$6+SUMPRODUCT((INDIRECT("'"&amp;$G$6&amp;"'!$C$37:$C$52")&lt;='General Information'!$D$33)*INDIRECT("'"&amp;$G$6&amp;"'!$D$37:$D$52")/(1+$W22/100)^INDIRECT("'"&amp;$G$6&amp;"'!$C$37:$C$52")),0))</f>
        <v/>
      </c>
      <c r="AA22" s="129">
        <f>IF($G$7="",0,IFERROR($J$7+SUMPRODUCT((INDIRECT("'"&amp;$G$7&amp;"'!$C$37:$C$52")&lt;='General Information'!$D$33)*INDIRECT("'"&amp;$G$7&amp;"'!$D$37:$D$52")/(1+$W22/100)^INDIRECT("'"&amp;$G$7&amp;"'!$C$37:$C$52")),0))</f>
        <v/>
      </c>
    </row>
    <row r="23">
      <c r="W23" s="132" t="n">
        <v>4.75</v>
      </c>
      <c r="X23" s="129">
        <f>IF($G$4="",0,IFERROR($J$4+SUMPRODUCT((INDIRECT("'"&amp;$G$4&amp;"'!$C$37:$C$52")&lt;='General Information'!$D$33)*INDIRECT("'"&amp;$G$4&amp;"'!$D$37:$D$52")/(1+$W23/100)^INDIRECT("'"&amp;$G$4&amp;"'!$C$37:$C$52")),0))</f>
        <v/>
      </c>
      <c r="Y23" s="129">
        <f>IF($G$5="",0,IFERROR($J$5+SUMPRODUCT((INDIRECT("'"&amp;$G$5&amp;"'!$C$37:$C$52")&lt;='General Information'!$D$33)*INDIRECT("'"&amp;$G$5&amp;"'!$D$37:$D$52")/(1+$W23/100)^INDIRECT("'"&amp;$G$5&amp;"'!$C$37:$C$52")),0))</f>
        <v/>
      </c>
      <c r="Z23" s="129">
        <f>IF($G$6="",0,IFERROR($J$6+SUMPRODUCT((INDIRECT("'"&amp;$G$6&amp;"'!$C$37:$C$52")&lt;='General Information'!$D$33)*INDIRECT("'"&amp;$G$6&amp;"'!$D$37:$D$52")/(1+$W23/100)^INDIRECT("'"&amp;$G$6&amp;"'!$C$37:$C$52")),0))</f>
        <v/>
      </c>
      <c r="AA23" s="129">
        <f>IF($G$7="",0,IFERROR($J$7+SUMPRODUCT((INDIRECT("'"&amp;$G$7&amp;"'!$C$37:$C$52")&lt;='General Information'!$D$33)*INDIRECT("'"&amp;$G$7&amp;"'!$D$37:$D$52")/(1+$W23/100)^INDIRECT("'"&amp;$G$7&amp;"'!$C$37:$C$52")),0))</f>
        <v/>
      </c>
    </row>
    <row r="24">
      <c r="W24" s="132" t="n">
        <v>5</v>
      </c>
      <c r="X24" s="129">
        <f>IF($G$4="",0,IFERROR($J$4+SUMPRODUCT((INDIRECT("'"&amp;$G$4&amp;"'!$C$37:$C$52")&lt;='General Information'!$D$33)*INDIRECT("'"&amp;$G$4&amp;"'!$D$37:$D$52")/(1+$W24/100)^INDIRECT("'"&amp;$G$4&amp;"'!$C$37:$C$52")),0))</f>
        <v/>
      </c>
      <c r="Y24" s="129">
        <f>IF($G$5="",0,IFERROR($J$5+SUMPRODUCT((INDIRECT("'"&amp;$G$5&amp;"'!$C$37:$C$52")&lt;='General Information'!$D$33)*INDIRECT("'"&amp;$G$5&amp;"'!$D$37:$D$52")/(1+$W24/100)^INDIRECT("'"&amp;$G$5&amp;"'!$C$37:$C$52")),0))</f>
        <v/>
      </c>
      <c r="Z24" s="129">
        <f>IF($G$6="",0,IFERROR($J$6+SUMPRODUCT((INDIRECT("'"&amp;$G$6&amp;"'!$C$37:$C$52")&lt;='General Information'!$D$33)*INDIRECT("'"&amp;$G$6&amp;"'!$D$37:$D$52")/(1+$W24/100)^INDIRECT("'"&amp;$G$6&amp;"'!$C$37:$C$52")),0))</f>
        <v/>
      </c>
      <c r="AA24" s="129">
        <f>IF($G$7="",0,IFERROR($J$7+SUMPRODUCT((INDIRECT("'"&amp;$G$7&amp;"'!$C$37:$C$52")&lt;='General Information'!$D$33)*INDIRECT("'"&amp;$G$7&amp;"'!$D$37:$D$52")/(1+$W24/100)^INDIRECT("'"&amp;$G$7&amp;"'!$C$37:$C$52")),0))</f>
        <v/>
      </c>
    </row>
    <row r="25">
      <c r="W25" s="132" t="n">
        <v>5.25</v>
      </c>
      <c r="X25" s="129">
        <f>IF($G$4="",0,IFERROR($J$4+SUMPRODUCT((INDIRECT("'"&amp;$G$4&amp;"'!$C$37:$C$52")&lt;='General Information'!$D$33)*INDIRECT("'"&amp;$G$4&amp;"'!$D$37:$D$52")/(1+$W25/100)^INDIRECT("'"&amp;$G$4&amp;"'!$C$37:$C$52")),0))</f>
        <v/>
      </c>
      <c r="Y25" s="129">
        <f>IF($G$5="",0,IFERROR($J$5+SUMPRODUCT((INDIRECT("'"&amp;$G$5&amp;"'!$C$37:$C$52")&lt;='General Information'!$D$33)*INDIRECT("'"&amp;$G$5&amp;"'!$D$37:$D$52")/(1+$W25/100)^INDIRECT("'"&amp;$G$5&amp;"'!$C$37:$C$52")),0))</f>
        <v/>
      </c>
      <c r="Z25" s="129">
        <f>IF($G$6="",0,IFERROR($J$6+SUMPRODUCT((INDIRECT("'"&amp;$G$6&amp;"'!$C$37:$C$52")&lt;='General Information'!$D$33)*INDIRECT("'"&amp;$G$6&amp;"'!$D$37:$D$52")/(1+$W25/100)^INDIRECT("'"&amp;$G$6&amp;"'!$C$37:$C$52")),0))</f>
        <v/>
      </c>
      <c r="AA25" s="129">
        <f>IF($G$7="",0,IFERROR($J$7+SUMPRODUCT((INDIRECT("'"&amp;$G$7&amp;"'!$C$37:$C$52")&lt;='General Information'!$D$33)*INDIRECT("'"&amp;$G$7&amp;"'!$D$37:$D$52")/(1+$W25/100)^INDIRECT("'"&amp;$G$7&amp;"'!$C$37:$C$52")),0))</f>
        <v/>
      </c>
    </row>
    <row r="26">
      <c r="W26" s="132" t="n">
        <v>5.5</v>
      </c>
      <c r="X26" s="129">
        <f>IF($G$4="",0,IFERROR($J$4+SUMPRODUCT((INDIRECT("'"&amp;$G$4&amp;"'!$C$37:$C$52")&lt;='General Information'!$D$33)*INDIRECT("'"&amp;$G$4&amp;"'!$D$37:$D$52")/(1+$W26/100)^INDIRECT("'"&amp;$G$4&amp;"'!$C$37:$C$52")),0))</f>
        <v/>
      </c>
      <c r="Y26" s="129">
        <f>IF($G$5="",0,IFERROR($J$5+SUMPRODUCT((INDIRECT("'"&amp;$G$5&amp;"'!$C$37:$C$52")&lt;='General Information'!$D$33)*INDIRECT("'"&amp;$G$5&amp;"'!$D$37:$D$52")/(1+$W26/100)^INDIRECT("'"&amp;$G$5&amp;"'!$C$37:$C$52")),0))</f>
        <v/>
      </c>
      <c r="Z26" s="129">
        <f>IF($G$6="",0,IFERROR($J$6+SUMPRODUCT((INDIRECT("'"&amp;$G$6&amp;"'!$C$37:$C$52")&lt;='General Information'!$D$33)*INDIRECT("'"&amp;$G$6&amp;"'!$D$37:$D$52")/(1+$W26/100)^INDIRECT("'"&amp;$G$6&amp;"'!$C$37:$C$52")),0))</f>
        <v/>
      </c>
      <c r="AA26" s="129">
        <f>IF($G$7="",0,IFERROR($J$7+SUMPRODUCT((INDIRECT("'"&amp;$G$7&amp;"'!$C$37:$C$52")&lt;='General Information'!$D$33)*INDIRECT("'"&amp;$G$7&amp;"'!$D$37:$D$52")/(1+$W26/100)^INDIRECT("'"&amp;$G$7&amp;"'!$C$37:$C$52")),0))</f>
        <v/>
      </c>
    </row>
    <row r="27">
      <c r="W27" s="132" t="n">
        <v>5.75</v>
      </c>
      <c r="X27" s="129">
        <f>IF($G$4="",0,IFERROR($J$4+SUMPRODUCT((INDIRECT("'"&amp;$G$4&amp;"'!$C$37:$C$52")&lt;='General Information'!$D$33)*INDIRECT("'"&amp;$G$4&amp;"'!$D$37:$D$52")/(1+$W27/100)^INDIRECT("'"&amp;$G$4&amp;"'!$C$37:$C$52")),0))</f>
        <v/>
      </c>
      <c r="Y27" s="129">
        <f>IF($G$5="",0,IFERROR($J$5+SUMPRODUCT((INDIRECT("'"&amp;$G$5&amp;"'!$C$37:$C$52")&lt;='General Information'!$D$33)*INDIRECT("'"&amp;$G$5&amp;"'!$D$37:$D$52")/(1+$W27/100)^INDIRECT("'"&amp;$G$5&amp;"'!$C$37:$C$52")),0))</f>
        <v/>
      </c>
      <c r="Z27" s="129">
        <f>IF($G$6="",0,IFERROR($J$6+SUMPRODUCT((INDIRECT("'"&amp;$G$6&amp;"'!$C$37:$C$52")&lt;='General Information'!$D$33)*INDIRECT("'"&amp;$G$6&amp;"'!$D$37:$D$52")/(1+$W27/100)^INDIRECT("'"&amp;$G$6&amp;"'!$C$37:$C$52")),0))</f>
        <v/>
      </c>
      <c r="AA27" s="129">
        <f>IF($G$7="",0,IFERROR($J$7+SUMPRODUCT((INDIRECT("'"&amp;$G$7&amp;"'!$C$37:$C$52")&lt;='General Information'!$D$33)*INDIRECT("'"&amp;$G$7&amp;"'!$D$37:$D$52")/(1+$W27/100)^INDIRECT("'"&amp;$G$7&amp;"'!$C$37:$C$52")),0))</f>
        <v/>
      </c>
    </row>
    <row r="28">
      <c r="W28" s="132" t="n">
        <v>6</v>
      </c>
      <c r="X28" s="129">
        <f>IF($G$4="",0,IFERROR($J$4+SUMPRODUCT((INDIRECT("'"&amp;$G$4&amp;"'!$C$37:$C$52")&lt;='General Information'!$D$33)*INDIRECT("'"&amp;$G$4&amp;"'!$D$37:$D$52")/(1+$W28/100)^INDIRECT("'"&amp;$G$4&amp;"'!$C$37:$C$52")),0))</f>
        <v/>
      </c>
      <c r="Y28" s="129">
        <f>IF($G$5="",0,IFERROR($J$5+SUMPRODUCT((INDIRECT("'"&amp;$G$5&amp;"'!$C$37:$C$52")&lt;='General Information'!$D$33)*INDIRECT("'"&amp;$G$5&amp;"'!$D$37:$D$52")/(1+$W28/100)^INDIRECT("'"&amp;$G$5&amp;"'!$C$37:$C$52")),0))</f>
        <v/>
      </c>
      <c r="Z28" s="129">
        <f>IF($G$6="",0,IFERROR($J$6+SUMPRODUCT((INDIRECT("'"&amp;$G$6&amp;"'!$C$37:$C$52")&lt;='General Information'!$D$33)*INDIRECT("'"&amp;$G$6&amp;"'!$D$37:$D$52")/(1+$W28/100)^INDIRECT("'"&amp;$G$6&amp;"'!$C$37:$C$52")),0))</f>
        <v/>
      </c>
      <c r="AA28" s="129">
        <f>IF($G$7="",0,IFERROR($J$7+SUMPRODUCT((INDIRECT("'"&amp;$G$7&amp;"'!$C$37:$C$52")&lt;='General Information'!$D$33)*INDIRECT("'"&amp;$G$7&amp;"'!$D$37:$D$52")/(1+$W28/100)^INDIRECT("'"&amp;$G$7&amp;"'!$C$37:$C$52")),0))</f>
        <v/>
      </c>
    </row>
    <row r="29">
      <c r="W29" s="132" t="n">
        <v>6.25</v>
      </c>
      <c r="X29" s="129">
        <f>IF($G$4="",0,IFERROR($J$4+SUMPRODUCT((INDIRECT("'"&amp;$G$4&amp;"'!$C$37:$C$52")&lt;='General Information'!$D$33)*INDIRECT("'"&amp;$G$4&amp;"'!$D$37:$D$52")/(1+$W29/100)^INDIRECT("'"&amp;$G$4&amp;"'!$C$37:$C$52")),0))</f>
        <v/>
      </c>
      <c r="Y29" s="129">
        <f>IF($G$5="",0,IFERROR($J$5+SUMPRODUCT((INDIRECT("'"&amp;$G$5&amp;"'!$C$37:$C$52")&lt;='General Information'!$D$33)*INDIRECT("'"&amp;$G$5&amp;"'!$D$37:$D$52")/(1+$W29/100)^INDIRECT("'"&amp;$G$5&amp;"'!$C$37:$C$52")),0))</f>
        <v/>
      </c>
      <c r="Z29" s="129">
        <f>IF($G$6="",0,IFERROR($J$6+SUMPRODUCT((INDIRECT("'"&amp;$G$6&amp;"'!$C$37:$C$52")&lt;='General Information'!$D$33)*INDIRECT("'"&amp;$G$6&amp;"'!$D$37:$D$52")/(1+$W29/100)^INDIRECT("'"&amp;$G$6&amp;"'!$C$37:$C$52")),0))</f>
        <v/>
      </c>
      <c r="AA29" s="129">
        <f>IF($G$7="",0,IFERROR($J$7+SUMPRODUCT((INDIRECT("'"&amp;$G$7&amp;"'!$C$37:$C$52")&lt;='General Information'!$D$33)*INDIRECT("'"&amp;$G$7&amp;"'!$D$37:$D$52")/(1+$W29/100)^INDIRECT("'"&amp;$G$7&amp;"'!$C$37:$C$52")),0))</f>
        <v/>
      </c>
    </row>
    <row r="30">
      <c r="W30" s="132" t="n">
        <v>6.5</v>
      </c>
      <c r="X30" s="129">
        <f>IF($G$4="",0,IFERROR($J$4+SUMPRODUCT((INDIRECT("'"&amp;$G$4&amp;"'!$C$37:$C$52")&lt;='General Information'!$D$33)*INDIRECT("'"&amp;$G$4&amp;"'!$D$37:$D$52")/(1+$W30/100)^INDIRECT("'"&amp;$G$4&amp;"'!$C$37:$C$52")),0))</f>
        <v/>
      </c>
      <c r="Y30" s="129">
        <f>IF($G$5="",0,IFERROR($J$5+SUMPRODUCT((INDIRECT("'"&amp;$G$5&amp;"'!$C$37:$C$52")&lt;='General Information'!$D$33)*INDIRECT("'"&amp;$G$5&amp;"'!$D$37:$D$52")/(1+$W30/100)^INDIRECT("'"&amp;$G$5&amp;"'!$C$37:$C$52")),0))</f>
        <v/>
      </c>
      <c r="Z30" s="129">
        <f>IF($G$6="",0,IFERROR($J$6+SUMPRODUCT((INDIRECT("'"&amp;$G$6&amp;"'!$C$37:$C$52")&lt;='General Information'!$D$33)*INDIRECT("'"&amp;$G$6&amp;"'!$D$37:$D$52")/(1+$W30/100)^INDIRECT("'"&amp;$G$6&amp;"'!$C$37:$C$52")),0))</f>
        <v/>
      </c>
      <c r="AA30" s="129">
        <f>IF($G$7="",0,IFERROR($J$7+SUMPRODUCT((INDIRECT("'"&amp;$G$7&amp;"'!$C$37:$C$52")&lt;='General Information'!$D$33)*INDIRECT("'"&amp;$G$7&amp;"'!$D$37:$D$52")/(1+$W30/100)^INDIRECT("'"&amp;$G$7&amp;"'!$C$37:$C$52")),0))</f>
        <v/>
      </c>
    </row>
    <row r="31">
      <c r="W31" s="132" t="n">
        <v>6.75</v>
      </c>
      <c r="X31" s="129">
        <f>IF($G$4="",0,IFERROR($J$4+SUMPRODUCT((INDIRECT("'"&amp;$G$4&amp;"'!$C$37:$C$52")&lt;='General Information'!$D$33)*INDIRECT("'"&amp;$G$4&amp;"'!$D$37:$D$52")/(1+$W31/100)^INDIRECT("'"&amp;$G$4&amp;"'!$C$37:$C$52")),0))</f>
        <v/>
      </c>
      <c r="Y31" s="129">
        <f>IF($G$5="",0,IFERROR($J$5+SUMPRODUCT((INDIRECT("'"&amp;$G$5&amp;"'!$C$37:$C$52")&lt;='General Information'!$D$33)*INDIRECT("'"&amp;$G$5&amp;"'!$D$37:$D$52")/(1+$W31/100)^INDIRECT("'"&amp;$G$5&amp;"'!$C$37:$C$52")),0))</f>
        <v/>
      </c>
      <c r="Z31" s="129">
        <f>IF($G$6="",0,IFERROR($J$6+SUMPRODUCT((INDIRECT("'"&amp;$G$6&amp;"'!$C$37:$C$52")&lt;='General Information'!$D$33)*INDIRECT("'"&amp;$G$6&amp;"'!$D$37:$D$52")/(1+$W31/100)^INDIRECT("'"&amp;$G$6&amp;"'!$C$37:$C$52")),0))</f>
        <v/>
      </c>
      <c r="AA31" s="129">
        <f>IF($G$7="",0,IFERROR($J$7+SUMPRODUCT((INDIRECT("'"&amp;$G$7&amp;"'!$C$37:$C$52")&lt;='General Information'!$D$33)*INDIRECT("'"&amp;$G$7&amp;"'!$D$37:$D$52")/(1+$W31/100)^INDIRECT("'"&amp;$G$7&amp;"'!$C$37:$C$52")),0))</f>
        <v/>
      </c>
    </row>
    <row r="32">
      <c r="W32" s="132" t="n">
        <v>7</v>
      </c>
      <c r="X32" s="129">
        <f>IF($G$4="",0,IFERROR($J$4+SUMPRODUCT((INDIRECT("'"&amp;$G$4&amp;"'!$C$37:$C$52")&lt;='General Information'!$D$33)*INDIRECT("'"&amp;$G$4&amp;"'!$D$37:$D$52")/(1+$W32/100)^INDIRECT("'"&amp;$G$4&amp;"'!$C$37:$C$52")),0))</f>
        <v/>
      </c>
      <c r="Y32" s="129">
        <f>IF($G$5="",0,IFERROR($J$5+SUMPRODUCT((INDIRECT("'"&amp;$G$5&amp;"'!$C$37:$C$52")&lt;='General Information'!$D$33)*INDIRECT("'"&amp;$G$5&amp;"'!$D$37:$D$52")/(1+$W32/100)^INDIRECT("'"&amp;$G$5&amp;"'!$C$37:$C$52")),0))</f>
        <v/>
      </c>
      <c r="Z32" s="129">
        <f>IF($G$6="",0,IFERROR($J$6+SUMPRODUCT((INDIRECT("'"&amp;$G$6&amp;"'!$C$37:$C$52")&lt;='General Information'!$D$33)*INDIRECT("'"&amp;$G$6&amp;"'!$D$37:$D$52")/(1+$W32/100)^INDIRECT("'"&amp;$G$6&amp;"'!$C$37:$C$52")),0))</f>
        <v/>
      </c>
      <c r="AA32" s="129">
        <f>IF($G$7="",0,IFERROR($J$7+SUMPRODUCT((INDIRECT("'"&amp;$G$7&amp;"'!$C$37:$C$52")&lt;='General Information'!$D$33)*INDIRECT("'"&amp;$G$7&amp;"'!$D$37:$D$52")/(1+$W32/100)^INDIRECT("'"&amp;$G$7&amp;"'!$C$37:$C$52")),0))</f>
        <v/>
      </c>
    </row>
    <row r="33">
      <c r="W33" s="132" t="n">
        <v>7.25</v>
      </c>
      <c r="X33" s="129">
        <f>IF($G$4="",0,IFERROR($J$4+SUMPRODUCT((INDIRECT("'"&amp;$G$4&amp;"'!$C$37:$C$52")&lt;='General Information'!$D$33)*INDIRECT("'"&amp;$G$4&amp;"'!$D$37:$D$52")/(1+$W33/100)^INDIRECT("'"&amp;$G$4&amp;"'!$C$37:$C$52")),0))</f>
        <v/>
      </c>
      <c r="Y33" s="129">
        <f>IF($G$5="",0,IFERROR($J$5+SUMPRODUCT((INDIRECT("'"&amp;$G$5&amp;"'!$C$37:$C$52")&lt;='General Information'!$D$33)*INDIRECT("'"&amp;$G$5&amp;"'!$D$37:$D$52")/(1+$W33/100)^INDIRECT("'"&amp;$G$5&amp;"'!$C$37:$C$52")),0))</f>
        <v/>
      </c>
      <c r="Z33" s="129">
        <f>IF($G$6="",0,IFERROR($J$6+SUMPRODUCT((INDIRECT("'"&amp;$G$6&amp;"'!$C$37:$C$52")&lt;='General Information'!$D$33)*INDIRECT("'"&amp;$G$6&amp;"'!$D$37:$D$52")/(1+$W33/100)^INDIRECT("'"&amp;$G$6&amp;"'!$C$37:$C$52")),0))</f>
        <v/>
      </c>
      <c r="AA33" s="129">
        <f>IF($G$7="",0,IFERROR($J$7+SUMPRODUCT((INDIRECT("'"&amp;$G$7&amp;"'!$C$37:$C$52")&lt;='General Information'!$D$33)*INDIRECT("'"&amp;$G$7&amp;"'!$D$37:$D$52")/(1+$W33/100)^INDIRECT("'"&amp;$G$7&amp;"'!$C$37:$C$52")),0))</f>
        <v/>
      </c>
    </row>
    <row r="34">
      <c r="W34" s="132" t="n">
        <v>7.5</v>
      </c>
      <c r="X34" s="129">
        <f>IF($G$4="",0,IFERROR($J$4+SUMPRODUCT((INDIRECT("'"&amp;$G$4&amp;"'!$C$37:$C$52")&lt;='General Information'!$D$33)*INDIRECT("'"&amp;$G$4&amp;"'!$D$37:$D$52")/(1+$W34/100)^INDIRECT("'"&amp;$G$4&amp;"'!$C$37:$C$52")),0))</f>
        <v/>
      </c>
      <c r="Y34" s="129">
        <f>IF($G$5="",0,IFERROR($J$5+SUMPRODUCT((INDIRECT("'"&amp;$G$5&amp;"'!$C$37:$C$52")&lt;='General Information'!$D$33)*INDIRECT("'"&amp;$G$5&amp;"'!$D$37:$D$52")/(1+$W34/100)^INDIRECT("'"&amp;$G$5&amp;"'!$C$37:$C$52")),0))</f>
        <v/>
      </c>
      <c r="Z34" s="129">
        <f>IF($G$6="",0,IFERROR($J$6+SUMPRODUCT((INDIRECT("'"&amp;$G$6&amp;"'!$C$37:$C$52")&lt;='General Information'!$D$33)*INDIRECT("'"&amp;$G$6&amp;"'!$D$37:$D$52")/(1+$W34/100)^INDIRECT("'"&amp;$G$6&amp;"'!$C$37:$C$52")),0))</f>
        <v/>
      </c>
      <c r="AA34" s="129">
        <f>IF($G$7="",0,IFERROR($J$7+SUMPRODUCT((INDIRECT("'"&amp;$G$7&amp;"'!$C$37:$C$52")&lt;='General Information'!$D$33)*INDIRECT("'"&amp;$G$7&amp;"'!$D$37:$D$52")/(1+$W34/100)^INDIRECT("'"&amp;$G$7&amp;"'!$C$37:$C$52")),0))</f>
        <v/>
      </c>
    </row>
    <row r="35">
      <c r="W35" s="132" t="n">
        <v>7.75</v>
      </c>
      <c r="X35" s="129">
        <f>IF($G$4="",0,IFERROR($J$4+SUMPRODUCT((INDIRECT("'"&amp;$G$4&amp;"'!$C$37:$C$52")&lt;='General Information'!$D$33)*INDIRECT("'"&amp;$G$4&amp;"'!$D$37:$D$52")/(1+$W35/100)^INDIRECT("'"&amp;$G$4&amp;"'!$C$37:$C$52")),0))</f>
        <v/>
      </c>
      <c r="Y35" s="129">
        <f>IF($G$5="",0,IFERROR($J$5+SUMPRODUCT((INDIRECT("'"&amp;$G$5&amp;"'!$C$37:$C$52")&lt;='General Information'!$D$33)*INDIRECT("'"&amp;$G$5&amp;"'!$D$37:$D$52")/(1+$W35/100)^INDIRECT("'"&amp;$G$5&amp;"'!$C$37:$C$52")),0))</f>
        <v/>
      </c>
      <c r="Z35" s="129">
        <f>IF($G$6="",0,IFERROR($J$6+SUMPRODUCT((INDIRECT("'"&amp;$G$6&amp;"'!$C$37:$C$52")&lt;='General Information'!$D$33)*INDIRECT("'"&amp;$G$6&amp;"'!$D$37:$D$52")/(1+$W35/100)^INDIRECT("'"&amp;$G$6&amp;"'!$C$37:$C$52")),0))</f>
        <v/>
      </c>
      <c r="AA35" s="129">
        <f>IF($G$7="",0,IFERROR($J$7+SUMPRODUCT((INDIRECT("'"&amp;$G$7&amp;"'!$C$37:$C$52")&lt;='General Information'!$D$33)*INDIRECT("'"&amp;$G$7&amp;"'!$D$37:$D$52")/(1+$W35/100)^INDIRECT("'"&amp;$G$7&amp;"'!$C$37:$C$52")),0))</f>
        <v/>
      </c>
    </row>
    <row r="36">
      <c r="W36" s="132" t="n">
        <v>8</v>
      </c>
      <c r="X36" s="129">
        <f>IF($G$4="",0,IFERROR($J$4+SUMPRODUCT((INDIRECT("'"&amp;$G$4&amp;"'!$C$37:$C$52")&lt;='General Information'!$D$33)*INDIRECT("'"&amp;$G$4&amp;"'!$D$37:$D$52")/(1+$W36/100)^INDIRECT("'"&amp;$G$4&amp;"'!$C$37:$C$52")),0))</f>
        <v/>
      </c>
      <c r="Y36" s="129">
        <f>IF($G$5="",0,IFERROR($J$5+SUMPRODUCT((INDIRECT("'"&amp;$G$5&amp;"'!$C$37:$C$52")&lt;='General Information'!$D$33)*INDIRECT("'"&amp;$G$5&amp;"'!$D$37:$D$52")/(1+$W36/100)^INDIRECT("'"&amp;$G$5&amp;"'!$C$37:$C$52")),0))</f>
        <v/>
      </c>
      <c r="Z36" s="129">
        <f>IF($G$6="",0,IFERROR($J$6+SUMPRODUCT((INDIRECT("'"&amp;$G$6&amp;"'!$C$37:$C$52")&lt;='General Information'!$D$33)*INDIRECT("'"&amp;$G$6&amp;"'!$D$37:$D$52")/(1+$W36/100)^INDIRECT("'"&amp;$G$6&amp;"'!$C$37:$C$52")),0))</f>
        <v/>
      </c>
      <c r="AA36" s="129">
        <f>IF($G$7="",0,IFERROR($J$7+SUMPRODUCT((INDIRECT("'"&amp;$G$7&amp;"'!$C$37:$C$52")&lt;='General Information'!$D$33)*INDIRECT("'"&amp;$G$7&amp;"'!$D$37:$D$52")/(1+$W36/100)^INDIRECT("'"&amp;$G$7&amp;"'!$C$37:$C$52")),0))</f>
        <v/>
      </c>
    </row>
    <row r="39">
      <c r="W39" s="122" t="inlineStr">
        <is>
          <t>By calendar year: spend (undiscounted), cumulative discounted cost, closure days</t>
        </is>
      </c>
    </row>
    <row r="40">
      <c r="W40" s="124" t="inlineStr">
        <is>
          <t>Year</t>
        </is>
      </c>
      <c r="X40" s="124" t="inlineStr">
        <is>
          <t>Calendar year</t>
        </is>
      </c>
      <c r="Y40" s="124">
        <f>X$4&amp;" spend"</f>
        <v/>
      </c>
      <c r="Z40" s="124">
        <f>Y$4&amp;" spend"</f>
        <v/>
      </c>
      <c r="AA40" s="124">
        <f>Z$4&amp;" spend"</f>
        <v/>
      </c>
      <c r="AB40" s="124">
        <f>AA$4&amp;" spend"</f>
        <v/>
      </c>
      <c r="AC40" s="124">
        <f>X$4&amp;" cumulative PW"</f>
        <v/>
      </c>
      <c r="AD40" s="124">
        <f>Y$4&amp;" cumulative PW"</f>
        <v/>
      </c>
      <c r="AE40" s="124">
        <f>Z$4&amp;" cumulative PW"</f>
        <v/>
      </c>
      <c r="AF40" s="124">
        <f>AA$4&amp;" cumulative PW"</f>
        <v/>
      </c>
      <c r="AG40" s="124">
        <f>X$4&amp;" closure days"</f>
        <v/>
      </c>
      <c r="AH40" s="124">
        <f>Y$4&amp;" closure days"</f>
        <v/>
      </c>
      <c r="AI40" s="124">
        <f>Z$4&amp;" closure days"</f>
        <v/>
      </c>
      <c r="AJ40" s="124">
        <f>AA$4&amp;" closure days"</f>
        <v/>
      </c>
    </row>
    <row r="41">
      <c r="W41" s="128" t="n">
        <v>0</v>
      </c>
      <c r="X41" s="128">
        <f>'General Information'!$D$25+W41</f>
        <v/>
      </c>
      <c r="Y41" s="129">
        <f>IF($G$4="",0,IF(W41&gt;'General Information'!$D$33,0,IF(W41=0,$J$4,IFERROR(SUMIF(INDIRECT("'"&amp;$G$4&amp;"'!$C$37:$C$52"),W41,INDIRECT("'"&amp;$G$4&amp;"'!$D$37:$D$52")),0))))</f>
        <v/>
      </c>
      <c r="Z41" s="129">
        <f>IF($G$5="",0,IF(W41&gt;'General Information'!$D$33,0,IF(W41=0,$J$5,IFERROR(SUMIF(INDIRECT("'"&amp;$G$5&amp;"'!$C$37:$C$52"),W41,INDIRECT("'"&amp;$G$5&amp;"'!$D$37:$D$52")),0))))</f>
        <v/>
      </c>
      <c r="AA41" s="129">
        <f>IF($G$6="",0,IF(W41&gt;'General Information'!$D$33,0,IF(W41=0,$J$6,IFERROR(SUMIF(INDIRECT("'"&amp;$G$6&amp;"'!$C$37:$C$52"),W41,INDIRECT("'"&amp;$G$6&amp;"'!$D$37:$D$52")),0))))</f>
        <v/>
      </c>
      <c r="AB41" s="129">
        <f>IF($G$7="",0,IF(W41&gt;'General Information'!$D$33,0,IF(W41=0,$J$7,IFERROR(SUMIF(INDIRECT("'"&amp;$G$7&amp;"'!$C$37:$C$52"),W41,INDIRECT("'"&amp;$G$7&amp;"'!$D$37:$D$52")),0))))</f>
        <v/>
      </c>
      <c r="AC41" s="129">
        <f>IF($G$4="",0,IF(W41&gt;'General Information'!$D$33,0,IF(W41=0,$J$4,IFERROR(SUMIF(INDIRECT("'"&amp;$G$4&amp;"'!$C$37:$C$52"),W41,INDIRECT("'"&amp;$G$4&amp;"'!$E$37:$E$52")),0))))</f>
        <v/>
      </c>
      <c r="AD41" s="129">
        <f>IF($G$5="",0,IF(W41&gt;'General Information'!$D$33,0,IF(W41=0,$J$5,IFERROR(SUMIF(INDIRECT("'"&amp;$G$5&amp;"'!$C$37:$C$52"),W41,INDIRECT("'"&amp;$G$5&amp;"'!$E$37:$E$52")),0))))</f>
        <v/>
      </c>
      <c r="AE41" s="129">
        <f>IF($G$6="",0,IF(W41&gt;'General Information'!$D$33,0,IF(W41=0,$J$6,IFERROR(SUMIF(INDIRECT("'"&amp;$G$6&amp;"'!$C$37:$C$52"),W41,INDIRECT("'"&amp;$G$6&amp;"'!$E$37:$E$52")),0))))</f>
        <v/>
      </c>
      <c r="AF41" s="129">
        <f>IF($G$7="",0,IF(W41&gt;'General Information'!$D$33,0,IF(W41=0,$J$7,IFERROR(SUMIF(INDIRECT("'"&amp;$G$7&amp;"'!$C$37:$C$52"),W41,INDIRECT("'"&amp;$G$7&amp;"'!$E$37:$E$52")),0))))</f>
        <v/>
      </c>
      <c r="AG41" s="133">
        <f>IF($G$4="",0,IF(W41&gt;'General Information'!$D$33,0,IFERROR(SUMIFS(INDIRECT("'"&amp;$G$4&amp;"'!$D$37:$D$52"),INDIRECT("'"&amp;$G$4&amp;"'!$C$37:$C$52"),W41,INDIRECT("'"&amp;$G$4&amp;"'!$B$37:$B$52"),"*Indirect*")/INDIRECT("'"&amp;$G$4&amp;"'!$F$2"),0)))</f>
        <v/>
      </c>
      <c r="AH41" s="133">
        <f>IF($G$5="",0,IF(W41&gt;'General Information'!$D$33,0,IFERROR(SUMIFS(INDIRECT("'"&amp;$G$5&amp;"'!$D$37:$D$52"),INDIRECT("'"&amp;$G$5&amp;"'!$C$37:$C$52"),W41,INDIRECT("'"&amp;$G$5&amp;"'!$B$37:$B$52"),"*Indirect*")/INDIRECT("'"&amp;$G$5&amp;"'!$F$2"),0)))</f>
        <v/>
      </c>
      <c r="AI41" s="133">
        <f>IF($G$6="",0,IF(W41&gt;'General Information'!$D$33,0,IFERROR(SUMIFS(INDIRECT("'"&amp;$G$6&amp;"'!$D$37:$D$52"),INDIRECT("'"&amp;$G$6&amp;"'!$C$37:$C$52"),W41,INDIRECT("'"&amp;$G$6&amp;"'!$B$37:$B$52"),"*Indirect*")/INDIRECT("'"&amp;$G$6&amp;"'!$F$2"),0)))</f>
        <v/>
      </c>
      <c r="AJ41" s="133">
        <f>IF($G$7="",0,IF(W41&gt;'General Information'!$D$33,0,IFERROR(SUMIFS(INDIRECT("'"&amp;$G$7&amp;"'!$D$37:$D$52"),INDIRECT("'"&amp;$G$7&amp;"'!$C$37:$C$52"),W41,INDIRECT("'"&amp;$G$7&amp;"'!$B$37:$B$52"),"*Indirect*")/INDIRECT("'"&amp;$G$7&amp;"'!$F$2"),0)))</f>
        <v/>
      </c>
    </row>
    <row r="42">
      <c r="W42" s="128" t="n">
        <v>1</v>
      </c>
      <c r="X42" s="128">
        <f>'General Information'!$D$25+W42</f>
        <v/>
      </c>
      <c r="Y42" s="129">
        <f>IF($G$4="",0,IF(W42&gt;'General Information'!$D$33,0,IF(W42=0,$J$4,IFERROR(SUMIF(INDIRECT("'"&amp;$G$4&amp;"'!$C$37:$C$52"),W42,INDIRECT("'"&amp;$G$4&amp;"'!$D$37:$D$52")),0))))</f>
        <v/>
      </c>
      <c r="Z42" s="129">
        <f>IF($G$5="",0,IF(W42&gt;'General Information'!$D$33,0,IF(W42=0,$J$5,IFERROR(SUMIF(INDIRECT("'"&amp;$G$5&amp;"'!$C$37:$C$52"),W42,INDIRECT("'"&amp;$G$5&amp;"'!$D$37:$D$52")),0))))</f>
        <v/>
      </c>
      <c r="AA42" s="129">
        <f>IF($G$6="",0,IF(W42&gt;'General Information'!$D$33,0,IF(W42=0,$J$6,IFERROR(SUMIF(INDIRECT("'"&amp;$G$6&amp;"'!$C$37:$C$52"),W42,INDIRECT("'"&amp;$G$6&amp;"'!$D$37:$D$52")),0))))</f>
        <v/>
      </c>
      <c r="AB42" s="129">
        <f>IF($G$7="",0,IF(W42&gt;'General Information'!$D$33,0,IF(W42=0,$J$7,IFERROR(SUMIF(INDIRECT("'"&amp;$G$7&amp;"'!$C$37:$C$52"),W42,INDIRECT("'"&amp;$G$7&amp;"'!$D$37:$D$52")),0))))</f>
        <v/>
      </c>
      <c r="AC42" s="129">
        <f>IF($G$4="",0,AC41+IF(W42&gt;'General Information'!$D$33,0,IF(W42=0,$J$4,IFERROR(SUMIF(INDIRECT("'"&amp;$G$4&amp;"'!$C$37:$C$52"),W42,INDIRECT("'"&amp;$G$4&amp;"'!$E$37:$E$52")),0))))</f>
        <v/>
      </c>
      <c r="AD42" s="129">
        <f>IF($G$5="",0,AD41+IF(W42&gt;'General Information'!$D$33,0,IF(W42=0,$J$5,IFERROR(SUMIF(INDIRECT("'"&amp;$G$5&amp;"'!$C$37:$C$52"),W42,INDIRECT("'"&amp;$G$5&amp;"'!$E$37:$E$52")),0))))</f>
        <v/>
      </c>
      <c r="AE42" s="129">
        <f>IF($G$6="",0,AE41+IF(W42&gt;'General Information'!$D$33,0,IF(W42=0,$J$6,IFERROR(SUMIF(INDIRECT("'"&amp;$G$6&amp;"'!$C$37:$C$52"),W42,INDIRECT("'"&amp;$G$6&amp;"'!$E$37:$E$52")),0))))</f>
        <v/>
      </c>
      <c r="AF42" s="129">
        <f>IF($G$7="",0,AF41+IF(W42&gt;'General Information'!$D$33,0,IF(W42=0,$J$7,IFERROR(SUMIF(INDIRECT("'"&amp;$G$7&amp;"'!$C$37:$C$52"),W42,INDIRECT("'"&amp;$G$7&amp;"'!$E$37:$E$52")),0))))</f>
        <v/>
      </c>
      <c r="AG42" s="133">
        <f>IF($G$4="",0,IF(W42&gt;'General Information'!$D$33,0,IFERROR(SUMIFS(INDIRECT("'"&amp;$G$4&amp;"'!$D$37:$D$52"),INDIRECT("'"&amp;$G$4&amp;"'!$C$37:$C$52"),W42,INDIRECT("'"&amp;$G$4&amp;"'!$B$37:$B$52"),"*Indirect*")/INDIRECT("'"&amp;$G$4&amp;"'!$F$2"),0)))</f>
        <v/>
      </c>
      <c r="AH42" s="133">
        <f>IF($G$5="",0,IF(W42&gt;'General Information'!$D$33,0,IFERROR(SUMIFS(INDIRECT("'"&amp;$G$5&amp;"'!$D$37:$D$52"),INDIRECT("'"&amp;$G$5&amp;"'!$C$37:$C$52"),W42,INDIRECT("'"&amp;$G$5&amp;"'!$B$37:$B$52"),"*Indirect*")/INDIRECT("'"&amp;$G$5&amp;"'!$F$2"),0)))</f>
        <v/>
      </c>
      <c r="AI42" s="133">
        <f>IF($G$6="",0,IF(W42&gt;'General Information'!$D$33,0,IFERROR(SUMIFS(INDIRECT("'"&amp;$G$6&amp;"'!$D$37:$D$52"),INDIRECT("'"&amp;$G$6&amp;"'!$C$37:$C$52"),W42,INDIRECT("'"&amp;$G$6&amp;"'!$B$37:$B$52"),"*Indirect*")/INDIRECT("'"&amp;$G$6&amp;"'!$F$2"),0)))</f>
        <v/>
      </c>
      <c r="AJ42" s="133">
        <f>IF($G$7="",0,IF(W42&gt;'General Information'!$D$33,0,IFERROR(SUMIFS(INDIRECT("'"&amp;$G$7&amp;"'!$D$37:$D$52"),INDIRECT("'"&amp;$G$7&amp;"'!$C$37:$C$52"),W42,INDIRECT("'"&amp;$G$7&amp;"'!$B$37:$B$52"),"*Indirect*")/INDIRECT("'"&amp;$G$7&amp;"'!$F$2"),0)))</f>
        <v/>
      </c>
    </row>
    <row r="43">
      <c r="W43" s="128" t="n">
        <v>2</v>
      </c>
      <c r="X43" s="128">
        <f>'General Information'!$D$25+W43</f>
        <v/>
      </c>
      <c r="Y43" s="129">
        <f>IF($G$4="",0,IF(W43&gt;'General Information'!$D$33,0,IF(W43=0,$J$4,IFERROR(SUMIF(INDIRECT("'"&amp;$G$4&amp;"'!$C$37:$C$52"),W43,INDIRECT("'"&amp;$G$4&amp;"'!$D$37:$D$52")),0))))</f>
        <v/>
      </c>
      <c r="Z43" s="129">
        <f>IF($G$5="",0,IF(W43&gt;'General Information'!$D$33,0,IF(W43=0,$J$5,IFERROR(SUMIF(INDIRECT("'"&amp;$G$5&amp;"'!$C$37:$C$52"),W43,INDIRECT("'"&amp;$G$5&amp;"'!$D$37:$D$52")),0))))</f>
        <v/>
      </c>
      <c r="AA43" s="129">
        <f>IF($G$6="",0,IF(W43&gt;'General Information'!$D$33,0,IF(W43=0,$J$6,IFERROR(SUMIF(INDIRECT("'"&amp;$G$6&amp;"'!$C$37:$C$52"),W43,INDIRECT("'"&amp;$G$6&amp;"'!$D$37:$D$52")),0))))</f>
        <v/>
      </c>
      <c r="AB43" s="129">
        <f>IF($G$7="",0,IF(W43&gt;'General Information'!$D$33,0,IF(W43=0,$J$7,IFERROR(SUMIF(INDIRECT("'"&amp;$G$7&amp;"'!$C$37:$C$52"),W43,INDIRECT("'"&amp;$G$7&amp;"'!$D$37:$D$52")),0))))</f>
        <v/>
      </c>
      <c r="AC43" s="129">
        <f>IF($G$4="",0,AC42+IF(W43&gt;'General Information'!$D$33,0,IF(W43=0,$J$4,IFERROR(SUMIF(INDIRECT("'"&amp;$G$4&amp;"'!$C$37:$C$52"),W43,INDIRECT("'"&amp;$G$4&amp;"'!$E$37:$E$52")),0))))</f>
        <v/>
      </c>
      <c r="AD43" s="129">
        <f>IF($G$5="",0,AD42+IF(W43&gt;'General Information'!$D$33,0,IF(W43=0,$J$5,IFERROR(SUMIF(INDIRECT("'"&amp;$G$5&amp;"'!$C$37:$C$52"),W43,INDIRECT("'"&amp;$G$5&amp;"'!$E$37:$E$52")),0))))</f>
        <v/>
      </c>
      <c r="AE43" s="129">
        <f>IF($G$6="",0,AE42+IF(W43&gt;'General Information'!$D$33,0,IF(W43=0,$J$6,IFERROR(SUMIF(INDIRECT("'"&amp;$G$6&amp;"'!$C$37:$C$52"),W43,INDIRECT("'"&amp;$G$6&amp;"'!$E$37:$E$52")),0))))</f>
        <v/>
      </c>
      <c r="AF43" s="129">
        <f>IF($G$7="",0,AF42+IF(W43&gt;'General Information'!$D$33,0,IF(W43=0,$J$7,IFERROR(SUMIF(INDIRECT("'"&amp;$G$7&amp;"'!$C$37:$C$52"),W43,INDIRECT("'"&amp;$G$7&amp;"'!$E$37:$E$52")),0))))</f>
        <v/>
      </c>
      <c r="AG43" s="133">
        <f>IF($G$4="",0,IF(W43&gt;'General Information'!$D$33,0,IFERROR(SUMIFS(INDIRECT("'"&amp;$G$4&amp;"'!$D$37:$D$52"),INDIRECT("'"&amp;$G$4&amp;"'!$C$37:$C$52"),W43,INDIRECT("'"&amp;$G$4&amp;"'!$B$37:$B$52"),"*Indirect*")/INDIRECT("'"&amp;$G$4&amp;"'!$F$2"),0)))</f>
        <v/>
      </c>
      <c r="AH43" s="133">
        <f>IF($G$5="",0,IF(W43&gt;'General Information'!$D$33,0,IFERROR(SUMIFS(INDIRECT("'"&amp;$G$5&amp;"'!$D$37:$D$52"),INDIRECT("'"&amp;$G$5&amp;"'!$C$37:$C$52"),W43,INDIRECT("'"&amp;$G$5&amp;"'!$B$37:$B$52"),"*Indirect*")/INDIRECT("'"&amp;$G$5&amp;"'!$F$2"),0)))</f>
        <v/>
      </c>
      <c r="AI43" s="133">
        <f>IF($G$6="",0,IF(W43&gt;'General Information'!$D$33,0,IFERROR(SUMIFS(INDIRECT("'"&amp;$G$6&amp;"'!$D$37:$D$52"),INDIRECT("'"&amp;$G$6&amp;"'!$C$37:$C$52"),W43,INDIRECT("'"&amp;$G$6&amp;"'!$B$37:$B$52"),"*Indirect*")/INDIRECT("'"&amp;$G$6&amp;"'!$F$2"),0)))</f>
        <v/>
      </c>
      <c r="AJ43" s="133">
        <f>IF($G$7="",0,IF(W43&gt;'General Information'!$D$33,0,IFERROR(SUMIFS(INDIRECT("'"&amp;$G$7&amp;"'!$D$37:$D$52"),INDIRECT("'"&amp;$G$7&amp;"'!$C$37:$C$52"),W43,INDIRECT("'"&amp;$G$7&amp;"'!$B$37:$B$52"),"*Indirect*")/INDIRECT("'"&amp;$G$7&amp;"'!$F$2"),0)))</f>
        <v/>
      </c>
    </row>
    <row r="44">
      <c r="W44" s="128" t="n">
        <v>3</v>
      </c>
      <c r="X44" s="128">
        <f>'General Information'!$D$25+W44</f>
        <v/>
      </c>
      <c r="Y44" s="129">
        <f>IF($G$4="",0,IF(W44&gt;'General Information'!$D$33,0,IF(W44=0,$J$4,IFERROR(SUMIF(INDIRECT("'"&amp;$G$4&amp;"'!$C$37:$C$52"),W44,INDIRECT("'"&amp;$G$4&amp;"'!$D$37:$D$52")),0))))</f>
        <v/>
      </c>
      <c r="Z44" s="129">
        <f>IF($G$5="",0,IF(W44&gt;'General Information'!$D$33,0,IF(W44=0,$J$5,IFERROR(SUMIF(INDIRECT("'"&amp;$G$5&amp;"'!$C$37:$C$52"),W44,INDIRECT("'"&amp;$G$5&amp;"'!$D$37:$D$52")),0))))</f>
        <v/>
      </c>
      <c r="AA44" s="129">
        <f>IF($G$6="",0,IF(W44&gt;'General Information'!$D$33,0,IF(W44=0,$J$6,IFERROR(SUMIF(INDIRECT("'"&amp;$G$6&amp;"'!$C$37:$C$52"),W44,INDIRECT("'"&amp;$G$6&amp;"'!$D$37:$D$52")),0))))</f>
        <v/>
      </c>
      <c r="AB44" s="129">
        <f>IF($G$7="",0,IF(W44&gt;'General Information'!$D$33,0,IF(W44=0,$J$7,IFERROR(SUMIF(INDIRECT("'"&amp;$G$7&amp;"'!$C$37:$C$52"),W44,INDIRECT("'"&amp;$G$7&amp;"'!$D$37:$D$52")),0))))</f>
        <v/>
      </c>
      <c r="AC44" s="129">
        <f>IF($G$4="",0,AC43+IF(W44&gt;'General Information'!$D$33,0,IF(W44=0,$J$4,IFERROR(SUMIF(INDIRECT("'"&amp;$G$4&amp;"'!$C$37:$C$52"),W44,INDIRECT("'"&amp;$G$4&amp;"'!$E$37:$E$52")),0))))</f>
        <v/>
      </c>
      <c r="AD44" s="129">
        <f>IF($G$5="",0,AD43+IF(W44&gt;'General Information'!$D$33,0,IF(W44=0,$J$5,IFERROR(SUMIF(INDIRECT("'"&amp;$G$5&amp;"'!$C$37:$C$52"),W44,INDIRECT("'"&amp;$G$5&amp;"'!$E$37:$E$52")),0))))</f>
        <v/>
      </c>
      <c r="AE44" s="129">
        <f>IF($G$6="",0,AE43+IF(W44&gt;'General Information'!$D$33,0,IF(W44=0,$J$6,IFERROR(SUMIF(INDIRECT("'"&amp;$G$6&amp;"'!$C$37:$C$52"),W44,INDIRECT("'"&amp;$G$6&amp;"'!$E$37:$E$52")),0))))</f>
        <v/>
      </c>
      <c r="AF44" s="129">
        <f>IF($G$7="",0,AF43+IF(W44&gt;'General Information'!$D$33,0,IF(W44=0,$J$7,IFERROR(SUMIF(INDIRECT("'"&amp;$G$7&amp;"'!$C$37:$C$52"),W44,INDIRECT("'"&amp;$G$7&amp;"'!$E$37:$E$52")),0))))</f>
        <v/>
      </c>
      <c r="AG44" s="133">
        <f>IF($G$4="",0,IF(W44&gt;'General Information'!$D$33,0,IFERROR(SUMIFS(INDIRECT("'"&amp;$G$4&amp;"'!$D$37:$D$52"),INDIRECT("'"&amp;$G$4&amp;"'!$C$37:$C$52"),W44,INDIRECT("'"&amp;$G$4&amp;"'!$B$37:$B$52"),"*Indirect*")/INDIRECT("'"&amp;$G$4&amp;"'!$F$2"),0)))</f>
        <v/>
      </c>
      <c r="AH44" s="133">
        <f>IF($G$5="",0,IF(W44&gt;'General Information'!$D$33,0,IFERROR(SUMIFS(INDIRECT("'"&amp;$G$5&amp;"'!$D$37:$D$52"),INDIRECT("'"&amp;$G$5&amp;"'!$C$37:$C$52"),W44,INDIRECT("'"&amp;$G$5&amp;"'!$B$37:$B$52"),"*Indirect*")/INDIRECT("'"&amp;$G$5&amp;"'!$F$2"),0)))</f>
        <v/>
      </c>
      <c r="AI44" s="133">
        <f>IF($G$6="",0,IF(W44&gt;'General Information'!$D$33,0,IFERROR(SUMIFS(INDIRECT("'"&amp;$G$6&amp;"'!$D$37:$D$52"),INDIRECT("'"&amp;$G$6&amp;"'!$C$37:$C$52"),W44,INDIRECT("'"&amp;$G$6&amp;"'!$B$37:$B$52"),"*Indirect*")/INDIRECT("'"&amp;$G$6&amp;"'!$F$2"),0)))</f>
        <v/>
      </c>
      <c r="AJ44" s="133">
        <f>IF($G$7="",0,IF(W44&gt;'General Information'!$D$33,0,IFERROR(SUMIFS(INDIRECT("'"&amp;$G$7&amp;"'!$D$37:$D$52"),INDIRECT("'"&amp;$G$7&amp;"'!$C$37:$C$52"),W44,INDIRECT("'"&amp;$G$7&amp;"'!$B$37:$B$52"),"*Indirect*")/INDIRECT("'"&amp;$G$7&amp;"'!$F$2"),0)))</f>
        <v/>
      </c>
    </row>
    <row r="45">
      <c r="W45" s="128" t="n">
        <v>4</v>
      </c>
      <c r="X45" s="128">
        <f>'General Information'!$D$25+W45</f>
        <v/>
      </c>
      <c r="Y45" s="129">
        <f>IF($G$4="",0,IF(W45&gt;'General Information'!$D$33,0,IF(W45=0,$J$4,IFERROR(SUMIF(INDIRECT("'"&amp;$G$4&amp;"'!$C$37:$C$52"),W45,INDIRECT("'"&amp;$G$4&amp;"'!$D$37:$D$52")),0))))</f>
        <v/>
      </c>
      <c r="Z45" s="129">
        <f>IF($G$5="",0,IF(W45&gt;'General Information'!$D$33,0,IF(W45=0,$J$5,IFERROR(SUMIF(INDIRECT("'"&amp;$G$5&amp;"'!$C$37:$C$52"),W45,INDIRECT("'"&amp;$G$5&amp;"'!$D$37:$D$52")),0))))</f>
        <v/>
      </c>
      <c r="AA45" s="129">
        <f>IF($G$6="",0,IF(W45&gt;'General Information'!$D$33,0,IF(W45=0,$J$6,IFERROR(SUMIF(INDIRECT("'"&amp;$G$6&amp;"'!$C$37:$C$52"),W45,INDIRECT("'"&amp;$G$6&amp;"'!$D$37:$D$52")),0))))</f>
        <v/>
      </c>
      <c r="AB45" s="129">
        <f>IF($G$7="",0,IF(W45&gt;'General Information'!$D$33,0,IF(W45=0,$J$7,IFERROR(SUMIF(INDIRECT("'"&amp;$G$7&amp;"'!$C$37:$C$52"),W45,INDIRECT("'"&amp;$G$7&amp;"'!$D$37:$D$52")),0))))</f>
        <v/>
      </c>
      <c r="AC45" s="129">
        <f>IF($G$4="",0,AC44+IF(W45&gt;'General Information'!$D$33,0,IF(W45=0,$J$4,IFERROR(SUMIF(INDIRECT("'"&amp;$G$4&amp;"'!$C$37:$C$52"),W45,INDIRECT("'"&amp;$G$4&amp;"'!$E$37:$E$52")),0))))</f>
        <v/>
      </c>
      <c r="AD45" s="129">
        <f>IF($G$5="",0,AD44+IF(W45&gt;'General Information'!$D$33,0,IF(W45=0,$J$5,IFERROR(SUMIF(INDIRECT("'"&amp;$G$5&amp;"'!$C$37:$C$52"),W45,INDIRECT("'"&amp;$G$5&amp;"'!$E$37:$E$52")),0))))</f>
        <v/>
      </c>
      <c r="AE45" s="129">
        <f>IF($G$6="",0,AE44+IF(W45&gt;'General Information'!$D$33,0,IF(W45=0,$J$6,IFERROR(SUMIF(INDIRECT("'"&amp;$G$6&amp;"'!$C$37:$C$52"),W45,INDIRECT("'"&amp;$G$6&amp;"'!$E$37:$E$52")),0))))</f>
        <v/>
      </c>
      <c r="AF45" s="129">
        <f>IF($G$7="",0,AF44+IF(W45&gt;'General Information'!$D$33,0,IF(W45=0,$J$7,IFERROR(SUMIF(INDIRECT("'"&amp;$G$7&amp;"'!$C$37:$C$52"),W45,INDIRECT("'"&amp;$G$7&amp;"'!$E$37:$E$52")),0))))</f>
        <v/>
      </c>
      <c r="AG45" s="133">
        <f>IF($G$4="",0,IF(W45&gt;'General Information'!$D$33,0,IFERROR(SUMIFS(INDIRECT("'"&amp;$G$4&amp;"'!$D$37:$D$52"),INDIRECT("'"&amp;$G$4&amp;"'!$C$37:$C$52"),W45,INDIRECT("'"&amp;$G$4&amp;"'!$B$37:$B$52"),"*Indirect*")/INDIRECT("'"&amp;$G$4&amp;"'!$F$2"),0)))</f>
        <v/>
      </c>
      <c r="AH45" s="133">
        <f>IF($G$5="",0,IF(W45&gt;'General Information'!$D$33,0,IFERROR(SUMIFS(INDIRECT("'"&amp;$G$5&amp;"'!$D$37:$D$52"),INDIRECT("'"&amp;$G$5&amp;"'!$C$37:$C$52"),W45,INDIRECT("'"&amp;$G$5&amp;"'!$B$37:$B$52"),"*Indirect*")/INDIRECT("'"&amp;$G$5&amp;"'!$F$2"),0)))</f>
        <v/>
      </c>
      <c r="AI45" s="133">
        <f>IF($G$6="",0,IF(W45&gt;'General Information'!$D$33,0,IFERROR(SUMIFS(INDIRECT("'"&amp;$G$6&amp;"'!$D$37:$D$52"),INDIRECT("'"&amp;$G$6&amp;"'!$C$37:$C$52"),W45,INDIRECT("'"&amp;$G$6&amp;"'!$B$37:$B$52"),"*Indirect*")/INDIRECT("'"&amp;$G$6&amp;"'!$F$2"),0)))</f>
        <v/>
      </c>
      <c r="AJ45" s="133">
        <f>IF($G$7="",0,IF(W45&gt;'General Information'!$D$33,0,IFERROR(SUMIFS(INDIRECT("'"&amp;$G$7&amp;"'!$D$37:$D$52"),INDIRECT("'"&amp;$G$7&amp;"'!$C$37:$C$52"),W45,INDIRECT("'"&amp;$G$7&amp;"'!$B$37:$B$52"),"*Indirect*")/INDIRECT("'"&amp;$G$7&amp;"'!$F$2"),0)))</f>
        <v/>
      </c>
    </row>
    <row r="46">
      <c r="W46" s="128" t="n">
        <v>5</v>
      </c>
      <c r="X46" s="128">
        <f>'General Information'!$D$25+W46</f>
        <v/>
      </c>
      <c r="Y46" s="129">
        <f>IF($G$4="",0,IF(W46&gt;'General Information'!$D$33,0,IF(W46=0,$J$4,IFERROR(SUMIF(INDIRECT("'"&amp;$G$4&amp;"'!$C$37:$C$52"),W46,INDIRECT("'"&amp;$G$4&amp;"'!$D$37:$D$52")),0))))</f>
        <v/>
      </c>
      <c r="Z46" s="129">
        <f>IF($G$5="",0,IF(W46&gt;'General Information'!$D$33,0,IF(W46=0,$J$5,IFERROR(SUMIF(INDIRECT("'"&amp;$G$5&amp;"'!$C$37:$C$52"),W46,INDIRECT("'"&amp;$G$5&amp;"'!$D$37:$D$52")),0))))</f>
        <v/>
      </c>
      <c r="AA46" s="129">
        <f>IF($G$6="",0,IF(W46&gt;'General Information'!$D$33,0,IF(W46=0,$J$6,IFERROR(SUMIF(INDIRECT("'"&amp;$G$6&amp;"'!$C$37:$C$52"),W46,INDIRECT("'"&amp;$G$6&amp;"'!$D$37:$D$52")),0))))</f>
        <v/>
      </c>
      <c r="AB46" s="129">
        <f>IF($G$7="",0,IF(W46&gt;'General Information'!$D$33,0,IF(W46=0,$J$7,IFERROR(SUMIF(INDIRECT("'"&amp;$G$7&amp;"'!$C$37:$C$52"),W46,INDIRECT("'"&amp;$G$7&amp;"'!$D$37:$D$52")),0))))</f>
        <v/>
      </c>
      <c r="AC46" s="129">
        <f>IF($G$4="",0,AC45+IF(W46&gt;'General Information'!$D$33,0,IF(W46=0,$J$4,IFERROR(SUMIF(INDIRECT("'"&amp;$G$4&amp;"'!$C$37:$C$52"),W46,INDIRECT("'"&amp;$G$4&amp;"'!$E$37:$E$52")),0))))</f>
        <v/>
      </c>
      <c r="AD46" s="129">
        <f>IF($G$5="",0,AD45+IF(W46&gt;'General Information'!$D$33,0,IF(W46=0,$J$5,IFERROR(SUMIF(INDIRECT("'"&amp;$G$5&amp;"'!$C$37:$C$52"),W46,INDIRECT("'"&amp;$G$5&amp;"'!$E$37:$E$52")),0))))</f>
        <v/>
      </c>
      <c r="AE46" s="129">
        <f>IF($G$6="",0,AE45+IF(W46&gt;'General Information'!$D$33,0,IF(W46=0,$J$6,IFERROR(SUMIF(INDIRECT("'"&amp;$G$6&amp;"'!$C$37:$C$52"),W46,INDIRECT("'"&amp;$G$6&amp;"'!$E$37:$E$52")),0))))</f>
        <v/>
      </c>
      <c r="AF46" s="129">
        <f>IF($G$7="",0,AF45+IF(W46&gt;'General Information'!$D$33,0,IF(W46=0,$J$7,IFERROR(SUMIF(INDIRECT("'"&amp;$G$7&amp;"'!$C$37:$C$52"),W46,INDIRECT("'"&amp;$G$7&amp;"'!$E$37:$E$52")),0))))</f>
        <v/>
      </c>
      <c r="AG46" s="133">
        <f>IF($G$4="",0,IF(W46&gt;'General Information'!$D$33,0,IFERROR(SUMIFS(INDIRECT("'"&amp;$G$4&amp;"'!$D$37:$D$52"),INDIRECT("'"&amp;$G$4&amp;"'!$C$37:$C$52"),W46,INDIRECT("'"&amp;$G$4&amp;"'!$B$37:$B$52"),"*Indirect*")/INDIRECT("'"&amp;$G$4&amp;"'!$F$2"),0)))</f>
        <v/>
      </c>
      <c r="AH46" s="133">
        <f>IF($G$5="",0,IF(W46&gt;'General Information'!$D$33,0,IFERROR(SUMIFS(INDIRECT("'"&amp;$G$5&amp;"'!$D$37:$D$52"),INDIRECT("'"&amp;$G$5&amp;"'!$C$37:$C$52"),W46,INDIRECT("'"&amp;$G$5&amp;"'!$B$37:$B$52"),"*Indirect*")/INDIRECT("'"&amp;$G$5&amp;"'!$F$2"),0)))</f>
        <v/>
      </c>
      <c r="AI46" s="133">
        <f>IF($G$6="",0,IF(W46&gt;'General Information'!$D$33,0,IFERROR(SUMIFS(INDIRECT("'"&amp;$G$6&amp;"'!$D$37:$D$52"),INDIRECT("'"&amp;$G$6&amp;"'!$C$37:$C$52"),W46,INDIRECT("'"&amp;$G$6&amp;"'!$B$37:$B$52"),"*Indirect*")/INDIRECT("'"&amp;$G$6&amp;"'!$F$2"),0)))</f>
        <v/>
      </c>
      <c r="AJ46" s="133">
        <f>IF($G$7="",0,IF(W46&gt;'General Information'!$D$33,0,IFERROR(SUMIFS(INDIRECT("'"&amp;$G$7&amp;"'!$D$37:$D$52"),INDIRECT("'"&amp;$G$7&amp;"'!$C$37:$C$52"),W46,INDIRECT("'"&amp;$G$7&amp;"'!$B$37:$B$52"),"*Indirect*")/INDIRECT("'"&amp;$G$7&amp;"'!$F$2"),0)))</f>
        <v/>
      </c>
    </row>
    <row r="47">
      <c r="W47" s="128" t="n">
        <v>6</v>
      </c>
      <c r="X47" s="128">
        <f>'General Information'!$D$25+W47</f>
        <v/>
      </c>
      <c r="Y47" s="129">
        <f>IF($G$4="",0,IF(W47&gt;'General Information'!$D$33,0,IF(W47=0,$J$4,IFERROR(SUMIF(INDIRECT("'"&amp;$G$4&amp;"'!$C$37:$C$52"),W47,INDIRECT("'"&amp;$G$4&amp;"'!$D$37:$D$52")),0))))</f>
        <v/>
      </c>
      <c r="Z47" s="129">
        <f>IF($G$5="",0,IF(W47&gt;'General Information'!$D$33,0,IF(W47=0,$J$5,IFERROR(SUMIF(INDIRECT("'"&amp;$G$5&amp;"'!$C$37:$C$52"),W47,INDIRECT("'"&amp;$G$5&amp;"'!$D$37:$D$52")),0))))</f>
        <v/>
      </c>
      <c r="AA47" s="129">
        <f>IF($G$6="",0,IF(W47&gt;'General Information'!$D$33,0,IF(W47=0,$J$6,IFERROR(SUMIF(INDIRECT("'"&amp;$G$6&amp;"'!$C$37:$C$52"),W47,INDIRECT("'"&amp;$G$6&amp;"'!$D$37:$D$52")),0))))</f>
        <v/>
      </c>
      <c r="AB47" s="129">
        <f>IF($G$7="",0,IF(W47&gt;'General Information'!$D$33,0,IF(W47=0,$J$7,IFERROR(SUMIF(INDIRECT("'"&amp;$G$7&amp;"'!$C$37:$C$52"),W47,INDIRECT("'"&amp;$G$7&amp;"'!$D$37:$D$52")),0))))</f>
        <v/>
      </c>
      <c r="AC47" s="129">
        <f>IF($G$4="",0,AC46+IF(W47&gt;'General Information'!$D$33,0,IF(W47=0,$J$4,IFERROR(SUMIF(INDIRECT("'"&amp;$G$4&amp;"'!$C$37:$C$52"),W47,INDIRECT("'"&amp;$G$4&amp;"'!$E$37:$E$52")),0))))</f>
        <v/>
      </c>
      <c r="AD47" s="129">
        <f>IF($G$5="",0,AD46+IF(W47&gt;'General Information'!$D$33,0,IF(W47=0,$J$5,IFERROR(SUMIF(INDIRECT("'"&amp;$G$5&amp;"'!$C$37:$C$52"),W47,INDIRECT("'"&amp;$G$5&amp;"'!$E$37:$E$52")),0))))</f>
        <v/>
      </c>
      <c r="AE47" s="129">
        <f>IF($G$6="",0,AE46+IF(W47&gt;'General Information'!$D$33,0,IF(W47=0,$J$6,IFERROR(SUMIF(INDIRECT("'"&amp;$G$6&amp;"'!$C$37:$C$52"),W47,INDIRECT("'"&amp;$G$6&amp;"'!$E$37:$E$52")),0))))</f>
        <v/>
      </c>
      <c r="AF47" s="129">
        <f>IF($G$7="",0,AF46+IF(W47&gt;'General Information'!$D$33,0,IF(W47=0,$J$7,IFERROR(SUMIF(INDIRECT("'"&amp;$G$7&amp;"'!$C$37:$C$52"),W47,INDIRECT("'"&amp;$G$7&amp;"'!$E$37:$E$52")),0))))</f>
        <v/>
      </c>
      <c r="AG47" s="133">
        <f>IF($G$4="",0,IF(W47&gt;'General Information'!$D$33,0,IFERROR(SUMIFS(INDIRECT("'"&amp;$G$4&amp;"'!$D$37:$D$52"),INDIRECT("'"&amp;$G$4&amp;"'!$C$37:$C$52"),W47,INDIRECT("'"&amp;$G$4&amp;"'!$B$37:$B$52"),"*Indirect*")/INDIRECT("'"&amp;$G$4&amp;"'!$F$2"),0)))</f>
        <v/>
      </c>
      <c r="AH47" s="133">
        <f>IF($G$5="",0,IF(W47&gt;'General Information'!$D$33,0,IFERROR(SUMIFS(INDIRECT("'"&amp;$G$5&amp;"'!$D$37:$D$52"),INDIRECT("'"&amp;$G$5&amp;"'!$C$37:$C$52"),W47,INDIRECT("'"&amp;$G$5&amp;"'!$B$37:$B$52"),"*Indirect*")/INDIRECT("'"&amp;$G$5&amp;"'!$F$2"),0)))</f>
        <v/>
      </c>
      <c r="AI47" s="133">
        <f>IF($G$6="",0,IF(W47&gt;'General Information'!$D$33,0,IFERROR(SUMIFS(INDIRECT("'"&amp;$G$6&amp;"'!$D$37:$D$52"),INDIRECT("'"&amp;$G$6&amp;"'!$C$37:$C$52"),W47,INDIRECT("'"&amp;$G$6&amp;"'!$B$37:$B$52"),"*Indirect*")/INDIRECT("'"&amp;$G$6&amp;"'!$F$2"),0)))</f>
        <v/>
      </c>
      <c r="AJ47" s="133">
        <f>IF($G$7="",0,IF(W47&gt;'General Information'!$D$33,0,IFERROR(SUMIFS(INDIRECT("'"&amp;$G$7&amp;"'!$D$37:$D$52"),INDIRECT("'"&amp;$G$7&amp;"'!$C$37:$C$52"),W47,INDIRECT("'"&amp;$G$7&amp;"'!$B$37:$B$52"),"*Indirect*")/INDIRECT("'"&amp;$G$7&amp;"'!$F$2"),0)))</f>
        <v/>
      </c>
    </row>
    <row r="48">
      <c r="W48" s="128" t="n">
        <v>7</v>
      </c>
      <c r="X48" s="128">
        <f>'General Information'!$D$25+W48</f>
        <v/>
      </c>
      <c r="Y48" s="129">
        <f>IF($G$4="",0,IF(W48&gt;'General Information'!$D$33,0,IF(W48=0,$J$4,IFERROR(SUMIF(INDIRECT("'"&amp;$G$4&amp;"'!$C$37:$C$52"),W48,INDIRECT("'"&amp;$G$4&amp;"'!$D$37:$D$52")),0))))</f>
        <v/>
      </c>
      <c r="Z48" s="129">
        <f>IF($G$5="",0,IF(W48&gt;'General Information'!$D$33,0,IF(W48=0,$J$5,IFERROR(SUMIF(INDIRECT("'"&amp;$G$5&amp;"'!$C$37:$C$52"),W48,INDIRECT("'"&amp;$G$5&amp;"'!$D$37:$D$52")),0))))</f>
        <v/>
      </c>
      <c r="AA48" s="129">
        <f>IF($G$6="",0,IF(W48&gt;'General Information'!$D$33,0,IF(W48=0,$J$6,IFERROR(SUMIF(INDIRECT("'"&amp;$G$6&amp;"'!$C$37:$C$52"),W48,INDIRECT("'"&amp;$G$6&amp;"'!$D$37:$D$52")),0))))</f>
        <v/>
      </c>
      <c r="AB48" s="129">
        <f>IF($G$7="",0,IF(W48&gt;'General Information'!$D$33,0,IF(W48=0,$J$7,IFERROR(SUMIF(INDIRECT("'"&amp;$G$7&amp;"'!$C$37:$C$52"),W48,INDIRECT("'"&amp;$G$7&amp;"'!$D$37:$D$52")),0))))</f>
        <v/>
      </c>
      <c r="AC48" s="129">
        <f>IF($G$4="",0,AC47+IF(W48&gt;'General Information'!$D$33,0,IF(W48=0,$J$4,IFERROR(SUMIF(INDIRECT("'"&amp;$G$4&amp;"'!$C$37:$C$52"),W48,INDIRECT("'"&amp;$G$4&amp;"'!$E$37:$E$52")),0))))</f>
        <v/>
      </c>
      <c r="AD48" s="129">
        <f>IF($G$5="",0,AD47+IF(W48&gt;'General Information'!$D$33,0,IF(W48=0,$J$5,IFERROR(SUMIF(INDIRECT("'"&amp;$G$5&amp;"'!$C$37:$C$52"),W48,INDIRECT("'"&amp;$G$5&amp;"'!$E$37:$E$52")),0))))</f>
        <v/>
      </c>
      <c r="AE48" s="129">
        <f>IF($G$6="",0,AE47+IF(W48&gt;'General Information'!$D$33,0,IF(W48=0,$J$6,IFERROR(SUMIF(INDIRECT("'"&amp;$G$6&amp;"'!$C$37:$C$52"),W48,INDIRECT("'"&amp;$G$6&amp;"'!$E$37:$E$52")),0))))</f>
        <v/>
      </c>
      <c r="AF48" s="129">
        <f>IF($G$7="",0,AF47+IF(W48&gt;'General Information'!$D$33,0,IF(W48=0,$J$7,IFERROR(SUMIF(INDIRECT("'"&amp;$G$7&amp;"'!$C$37:$C$52"),W48,INDIRECT("'"&amp;$G$7&amp;"'!$E$37:$E$52")),0))))</f>
        <v/>
      </c>
      <c r="AG48" s="133">
        <f>IF($G$4="",0,IF(W48&gt;'General Information'!$D$33,0,IFERROR(SUMIFS(INDIRECT("'"&amp;$G$4&amp;"'!$D$37:$D$52"),INDIRECT("'"&amp;$G$4&amp;"'!$C$37:$C$52"),W48,INDIRECT("'"&amp;$G$4&amp;"'!$B$37:$B$52"),"*Indirect*")/INDIRECT("'"&amp;$G$4&amp;"'!$F$2"),0)))</f>
        <v/>
      </c>
      <c r="AH48" s="133">
        <f>IF($G$5="",0,IF(W48&gt;'General Information'!$D$33,0,IFERROR(SUMIFS(INDIRECT("'"&amp;$G$5&amp;"'!$D$37:$D$52"),INDIRECT("'"&amp;$G$5&amp;"'!$C$37:$C$52"),W48,INDIRECT("'"&amp;$G$5&amp;"'!$B$37:$B$52"),"*Indirect*")/INDIRECT("'"&amp;$G$5&amp;"'!$F$2"),0)))</f>
        <v/>
      </c>
      <c r="AI48" s="133">
        <f>IF($G$6="",0,IF(W48&gt;'General Information'!$D$33,0,IFERROR(SUMIFS(INDIRECT("'"&amp;$G$6&amp;"'!$D$37:$D$52"),INDIRECT("'"&amp;$G$6&amp;"'!$C$37:$C$52"),W48,INDIRECT("'"&amp;$G$6&amp;"'!$B$37:$B$52"),"*Indirect*")/INDIRECT("'"&amp;$G$6&amp;"'!$F$2"),0)))</f>
        <v/>
      </c>
      <c r="AJ48" s="133">
        <f>IF($G$7="",0,IF(W48&gt;'General Information'!$D$33,0,IFERROR(SUMIFS(INDIRECT("'"&amp;$G$7&amp;"'!$D$37:$D$52"),INDIRECT("'"&amp;$G$7&amp;"'!$C$37:$C$52"),W48,INDIRECT("'"&amp;$G$7&amp;"'!$B$37:$B$52"),"*Indirect*")/INDIRECT("'"&amp;$G$7&amp;"'!$F$2"),0)))</f>
        <v/>
      </c>
    </row>
    <row r="49">
      <c r="W49" s="128" t="n">
        <v>8</v>
      </c>
      <c r="X49" s="128">
        <f>'General Information'!$D$25+W49</f>
        <v/>
      </c>
      <c r="Y49" s="129">
        <f>IF($G$4="",0,IF(W49&gt;'General Information'!$D$33,0,IF(W49=0,$J$4,IFERROR(SUMIF(INDIRECT("'"&amp;$G$4&amp;"'!$C$37:$C$52"),W49,INDIRECT("'"&amp;$G$4&amp;"'!$D$37:$D$52")),0))))</f>
        <v/>
      </c>
      <c r="Z49" s="129">
        <f>IF($G$5="",0,IF(W49&gt;'General Information'!$D$33,0,IF(W49=0,$J$5,IFERROR(SUMIF(INDIRECT("'"&amp;$G$5&amp;"'!$C$37:$C$52"),W49,INDIRECT("'"&amp;$G$5&amp;"'!$D$37:$D$52")),0))))</f>
        <v/>
      </c>
      <c r="AA49" s="129">
        <f>IF($G$6="",0,IF(W49&gt;'General Information'!$D$33,0,IF(W49=0,$J$6,IFERROR(SUMIF(INDIRECT("'"&amp;$G$6&amp;"'!$C$37:$C$52"),W49,INDIRECT("'"&amp;$G$6&amp;"'!$D$37:$D$52")),0))))</f>
        <v/>
      </c>
      <c r="AB49" s="129">
        <f>IF($G$7="",0,IF(W49&gt;'General Information'!$D$33,0,IF(W49=0,$J$7,IFERROR(SUMIF(INDIRECT("'"&amp;$G$7&amp;"'!$C$37:$C$52"),W49,INDIRECT("'"&amp;$G$7&amp;"'!$D$37:$D$52")),0))))</f>
        <v/>
      </c>
      <c r="AC49" s="129">
        <f>IF($G$4="",0,AC48+IF(W49&gt;'General Information'!$D$33,0,IF(W49=0,$J$4,IFERROR(SUMIF(INDIRECT("'"&amp;$G$4&amp;"'!$C$37:$C$52"),W49,INDIRECT("'"&amp;$G$4&amp;"'!$E$37:$E$52")),0))))</f>
        <v/>
      </c>
      <c r="AD49" s="129">
        <f>IF($G$5="",0,AD48+IF(W49&gt;'General Information'!$D$33,0,IF(W49=0,$J$5,IFERROR(SUMIF(INDIRECT("'"&amp;$G$5&amp;"'!$C$37:$C$52"),W49,INDIRECT("'"&amp;$G$5&amp;"'!$E$37:$E$52")),0))))</f>
        <v/>
      </c>
      <c r="AE49" s="129">
        <f>IF($G$6="",0,AE48+IF(W49&gt;'General Information'!$D$33,0,IF(W49=0,$J$6,IFERROR(SUMIF(INDIRECT("'"&amp;$G$6&amp;"'!$C$37:$C$52"),W49,INDIRECT("'"&amp;$G$6&amp;"'!$E$37:$E$52")),0))))</f>
        <v/>
      </c>
      <c r="AF49" s="129">
        <f>IF($G$7="",0,AF48+IF(W49&gt;'General Information'!$D$33,0,IF(W49=0,$J$7,IFERROR(SUMIF(INDIRECT("'"&amp;$G$7&amp;"'!$C$37:$C$52"),W49,INDIRECT("'"&amp;$G$7&amp;"'!$E$37:$E$52")),0))))</f>
        <v/>
      </c>
      <c r="AG49" s="133">
        <f>IF($G$4="",0,IF(W49&gt;'General Information'!$D$33,0,IFERROR(SUMIFS(INDIRECT("'"&amp;$G$4&amp;"'!$D$37:$D$52"),INDIRECT("'"&amp;$G$4&amp;"'!$C$37:$C$52"),W49,INDIRECT("'"&amp;$G$4&amp;"'!$B$37:$B$52"),"*Indirect*")/INDIRECT("'"&amp;$G$4&amp;"'!$F$2"),0)))</f>
        <v/>
      </c>
      <c r="AH49" s="133">
        <f>IF($G$5="",0,IF(W49&gt;'General Information'!$D$33,0,IFERROR(SUMIFS(INDIRECT("'"&amp;$G$5&amp;"'!$D$37:$D$52"),INDIRECT("'"&amp;$G$5&amp;"'!$C$37:$C$52"),W49,INDIRECT("'"&amp;$G$5&amp;"'!$B$37:$B$52"),"*Indirect*")/INDIRECT("'"&amp;$G$5&amp;"'!$F$2"),0)))</f>
        <v/>
      </c>
      <c r="AI49" s="133">
        <f>IF($G$6="",0,IF(W49&gt;'General Information'!$D$33,0,IFERROR(SUMIFS(INDIRECT("'"&amp;$G$6&amp;"'!$D$37:$D$52"),INDIRECT("'"&amp;$G$6&amp;"'!$C$37:$C$52"),W49,INDIRECT("'"&amp;$G$6&amp;"'!$B$37:$B$52"),"*Indirect*")/INDIRECT("'"&amp;$G$6&amp;"'!$F$2"),0)))</f>
        <v/>
      </c>
      <c r="AJ49" s="133">
        <f>IF($G$7="",0,IF(W49&gt;'General Information'!$D$33,0,IFERROR(SUMIFS(INDIRECT("'"&amp;$G$7&amp;"'!$D$37:$D$52"),INDIRECT("'"&amp;$G$7&amp;"'!$C$37:$C$52"),W49,INDIRECT("'"&amp;$G$7&amp;"'!$B$37:$B$52"),"*Indirect*")/INDIRECT("'"&amp;$G$7&amp;"'!$F$2"),0)))</f>
        <v/>
      </c>
    </row>
    <row r="50">
      <c r="W50" s="128" t="n">
        <v>9</v>
      </c>
      <c r="X50" s="128">
        <f>'General Information'!$D$25+W50</f>
        <v/>
      </c>
      <c r="Y50" s="129">
        <f>IF($G$4="",0,IF(W50&gt;'General Information'!$D$33,0,IF(W50=0,$J$4,IFERROR(SUMIF(INDIRECT("'"&amp;$G$4&amp;"'!$C$37:$C$52"),W50,INDIRECT("'"&amp;$G$4&amp;"'!$D$37:$D$52")),0))))</f>
        <v/>
      </c>
      <c r="Z50" s="129">
        <f>IF($G$5="",0,IF(W50&gt;'General Information'!$D$33,0,IF(W50=0,$J$5,IFERROR(SUMIF(INDIRECT("'"&amp;$G$5&amp;"'!$C$37:$C$52"),W50,INDIRECT("'"&amp;$G$5&amp;"'!$D$37:$D$52")),0))))</f>
        <v/>
      </c>
      <c r="AA50" s="129">
        <f>IF($G$6="",0,IF(W50&gt;'General Information'!$D$33,0,IF(W50=0,$J$6,IFERROR(SUMIF(INDIRECT("'"&amp;$G$6&amp;"'!$C$37:$C$52"),W50,INDIRECT("'"&amp;$G$6&amp;"'!$D$37:$D$52")),0))))</f>
        <v/>
      </c>
      <c r="AB50" s="129">
        <f>IF($G$7="",0,IF(W50&gt;'General Information'!$D$33,0,IF(W50=0,$J$7,IFERROR(SUMIF(INDIRECT("'"&amp;$G$7&amp;"'!$C$37:$C$52"),W50,INDIRECT("'"&amp;$G$7&amp;"'!$D$37:$D$52")),0))))</f>
        <v/>
      </c>
      <c r="AC50" s="129">
        <f>IF($G$4="",0,AC49+IF(W50&gt;'General Information'!$D$33,0,IF(W50=0,$J$4,IFERROR(SUMIF(INDIRECT("'"&amp;$G$4&amp;"'!$C$37:$C$52"),W50,INDIRECT("'"&amp;$G$4&amp;"'!$E$37:$E$52")),0))))</f>
        <v/>
      </c>
      <c r="AD50" s="129">
        <f>IF($G$5="",0,AD49+IF(W50&gt;'General Information'!$D$33,0,IF(W50=0,$J$5,IFERROR(SUMIF(INDIRECT("'"&amp;$G$5&amp;"'!$C$37:$C$52"),W50,INDIRECT("'"&amp;$G$5&amp;"'!$E$37:$E$52")),0))))</f>
        <v/>
      </c>
      <c r="AE50" s="129">
        <f>IF($G$6="",0,AE49+IF(W50&gt;'General Information'!$D$33,0,IF(W50=0,$J$6,IFERROR(SUMIF(INDIRECT("'"&amp;$G$6&amp;"'!$C$37:$C$52"),W50,INDIRECT("'"&amp;$G$6&amp;"'!$E$37:$E$52")),0))))</f>
        <v/>
      </c>
      <c r="AF50" s="129">
        <f>IF($G$7="",0,AF49+IF(W50&gt;'General Information'!$D$33,0,IF(W50=0,$J$7,IFERROR(SUMIF(INDIRECT("'"&amp;$G$7&amp;"'!$C$37:$C$52"),W50,INDIRECT("'"&amp;$G$7&amp;"'!$E$37:$E$52")),0))))</f>
        <v/>
      </c>
      <c r="AG50" s="133">
        <f>IF($G$4="",0,IF(W50&gt;'General Information'!$D$33,0,IFERROR(SUMIFS(INDIRECT("'"&amp;$G$4&amp;"'!$D$37:$D$52"),INDIRECT("'"&amp;$G$4&amp;"'!$C$37:$C$52"),W50,INDIRECT("'"&amp;$G$4&amp;"'!$B$37:$B$52"),"*Indirect*")/INDIRECT("'"&amp;$G$4&amp;"'!$F$2"),0)))</f>
        <v/>
      </c>
      <c r="AH50" s="133">
        <f>IF($G$5="",0,IF(W50&gt;'General Information'!$D$33,0,IFERROR(SUMIFS(INDIRECT("'"&amp;$G$5&amp;"'!$D$37:$D$52"),INDIRECT("'"&amp;$G$5&amp;"'!$C$37:$C$52"),W50,INDIRECT("'"&amp;$G$5&amp;"'!$B$37:$B$52"),"*Indirect*")/INDIRECT("'"&amp;$G$5&amp;"'!$F$2"),0)))</f>
        <v/>
      </c>
      <c r="AI50" s="133">
        <f>IF($G$6="",0,IF(W50&gt;'General Information'!$D$33,0,IFERROR(SUMIFS(INDIRECT("'"&amp;$G$6&amp;"'!$D$37:$D$52"),INDIRECT("'"&amp;$G$6&amp;"'!$C$37:$C$52"),W50,INDIRECT("'"&amp;$G$6&amp;"'!$B$37:$B$52"),"*Indirect*")/INDIRECT("'"&amp;$G$6&amp;"'!$F$2"),0)))</f>
        <v/>
      </c>
      <c r="AJ50" s="133">
        <f>IF($G$7="",0,IF(W50&gt;'General Information'!$D$33,0,IFERROR(SUMIFS(INDIRECT("'"&amp;$G$7&amp;"'!$D$37:$D$52"),INDIRECT("'"&amp;$G$7&amp;"'!$C$37:$C$52"),W50,INDIRECT("'"&amp;$G$7&amp;"'!$B$37:$B$52"),"*Indirect*")/INDIRECT("'"&amp;$G$7&amp;"'!$F$2"),0)))</f>
        <v/>
      </c>
    </row>
    <row r="51">
      <c r="W51" s="128" t="n">
        <v>10</v>
      </c>
      <c r="X51" s="128">
        <f>'General Information'!$D$25+W51</f>
        <v/>
      </c>
      <c r="Y51" s="129">
        <f>IF($G$4="",0,IF(W51&gt;'General Information'!$D$33,0,IF(W51=0,$J$4,IFERROR(SUMIF(INDIRECT("'"&amp;$G$4&amp;"'!$C$37:$C$52"),W51,INDIRECT("'"&amp;$G$4&amp;"'!$D$37:$D$52")),0))))</f>
        <v/>
      </c>
      <c r="Z51" s="129">
        <f>IF($G$5="",0,IF(W51&gt;'General Information'!$D$33,0,IF(W51=0,$J$5,IFERROR(SUMIF(INDIRECT("'"&amp;$G$5&amp;"'!$C$37:$C$52"),W51,INDIRECT("'"&amp;$G$5&amp;"'!$D$37:$D$52")),0))))</f>
        <v/>
      </c>
      <c r="AA51" s="129">
        <f>IF($G$6="",0,IF(W51&gt;'General Information'!$D$33,0,IF(W51=0,$J$6,IFERROR(SUMIF(INDIRECT("'"&amp;$G$6&amp;"'!$C$37:$C$52"),W51,INDIRECT("'"&amp;$G$6&amp;"'!$D$37:$D$52")),0))))</f>
        <v/>
      </c>
      <c r="AB51" s="129">
        <f>IF($G$7="",0,IF(W51&gt;'General Information'!$D$33,0,IF(W51=0,$J$7,IFERROR(SUMIF(INDIRECT("'"&amp;$G$7&amp;"'!$C$37:$C$52"),W51,INDIRECT("'"&amp;$G$7&amp;"'!$D$37:$D$52")),0))))</f>
        <v/>
      </c>
      <c r="AC51" s="129">
        <f>IF($G$4="",0,AC50+IF(W51&gt;'General Information'!$D$33,0,IF(W51=0,$J$4,IFERROR(SUMIF(INDIRECT("'"&amp;$G$4&amp;"'!$C$37:$C$52"),W51,INDIRECT("'"&amp;$G$4&amp;"'!$E$37:$E$52")),0))))</f>
        <v/>
      </c>
      <c r="AD51" s="129">
        <f>IF($G$5="",0,AD50+IF(W51&gt;'General Information'!$D$33,0,IF(W51=0,$J$5,IFERROR(SUMIF(INDIRECT("'"&amp;$G$5&amp;"'!$C$37:$C$52"),W51,INDIRECT("'"&amp;$G$5&amp;"'!$E$37:$E$52")),0))))</f>
        <v/>
      </c>
      <c r="AE51" s="129">
        <f>IF($G$6="",0,AE50+IF(W51&gt;'General Information'!$D$33,0,IF(W51=0,$J$6,IFERROR(SUMIF(INDIRECT("'"&amp;$G$6&amp;"'!$C$37:$C$52"),W51,INDIRECT("'"&amp;$G$6&amp;"'!$E$37:$E$52")),0))))</f>
        <v/>
      </c>
      <c r="AF51" s="129">
        <f>IF($G$7="",0,AF50+IF(W51&gt;'General Information'!$D$33,0,IF(W51=0,$J$7,IFERROR(SUMIF(INDIRECT("'"&amp;$G$7&amp;"'!$C$37:$C$52"),W51,INDIRECT("'"&amp;$G$7&amp;"'!$E$37:$E$52")),0))))</f>
        <v/>
      </c>
      <c r="AG51" s="133">
        <f>IF($G$4="",0,IF(W51&gt;'General Information'!$D$33,0,IFERROR(SUMIFS(INDIRECT("'"&amp;$G$4&amp;"'!$D$37:$D$52"),INDIRECT("'"&amp;$G$4&amp;"'!$C$37:$C$52"),W51,INDIRECT("'"&amp;$G$4&amp;"'!$B$37:$B$52"),"*Indirect*")/INDIRECT("'"&amp;$G$4&amp;"'!$F$2"),0)))</f>
        <v/>
      </c>
      <c r="AH51" s="133">
        <f>IF($G$5="",0,IF(W51&gt;'General Information'!$D$33,0,IFERROR(SUMIFS(INDIRECT("'"&amp;$G$5&amp;"'!$D$37:$D$52"),INDIRECT("'"&amp;$G$5&amp;"'!$C$37:$C$52"),W51,INDIRECT("'"&amp;$G$5&amp;"'!$B$37:$B$52"),"*Indirect*")/INDIRECT("'"&amp;$G$5&amp;"'!$F$2"),0)))</f>
        <v/>
      </c>
      <c r="AI51" s="133">
        <f>IF($G$6="",0,IF(W51&gt;'General Information'!$D$33,0,IFERROR(SUMIFS(INDIRECT("'"&amp;$G$6&amp;"'!$D$37:$D$52"),INDIRECT("'"&amp;$G$6&amp;"'!$C$37:$C$52"),W51,INDIRECT("'"&amp;$G$6&amp;"'!$B$37:$B$52"),"*Indirect*")/INDIRECT("'"&amp;$G$6&amp;"'!$F$2"),0)))</f>
        <v/>
      </c>
      <c r="AJ51" s="133">
        <f>IF($G$7="",0,IF(W51&gt;'General Information'!$D$33,0,IFERROR(SUMIFS(INDIRECT("'"&amp;$G$7&amp;"'!$D$37:$D$52"),INDIRECT("'"&amp;$G$7&amp;"'!$C$37:$C$52"),W51,INDIRECT("'"&amp;$G$7&amp;"'!$B$37:$B$52"),"*Indirect*")/INDIRECT("'"&amp;$G$7&amp;"'!$F$2"),0)))</f>
        <v/>
      </c>
    </row>
    <row r="52">
      <c r="W52" s="128" t="n">
        <v>11</v>
      </c>
      <c r="X52" s="128">
        <f>'General Information'!$D$25+W52</f>
        <v/>
      </c>
      <c r="Y52" s="129">
        <f>IF($G$4="",0,IF(W52&gt;'General Information'!$D$33,0,IF(W52=0,$J$4,IFERROR(SUMIF(INDIRECT("'"&amp;$G$4&amp;"'!$C$37:$C$52"),W52,INDIRECT("'"&amp;$G$4&amp;"'!$D$37:$D$52")),0))))</f>
        <v/>
      </c>
      <c r="Z52" s="129">
        <f>IF($G$5="",0,IF(W52&gt;'General Information'!$D$33,0,IF(W52=0,$J$5,IFERROR(SUMIF(INDIRECT("'"&amp;$G$5&amp;"'!$C$37:$C$52"),W52,INDIRECT("'"&amp;$G$5&amp;"'!$D$37:$D$52")),0))))</f>
        <v/>
      </c>
      <c r="AA52" s="129">
        <f>IF($G$6="",0,IF(W52&gt;'General Information'!$D$33,0,IF(W52=0,$J$6,IFERROR(SUMIF(INDIRECT("'"&amp;$G$6&amp;"'!$C$37:$C$52"),W52,INDIRECT("'"&amp;$G$6&amp;"'!$D$37:$D$52")),0))))</f>
        <v/>
      </c>
      <c r="AB52" s="129">
        <f>IF($G$7="",0,IF(W52&gt;'General Information'!$D$33,0,IF(W52=0,$J$7,IFERROR(SUMIF(INDIRECT("'"&amp;$G$7&amp;"'!$C$37:$C$52"),W52,INDIRECT("'"&amp;$G$7&amp;"'!$D$37:$D$52")),0))))</f>
        <v/>
      </c>
      <c r="AC52" s="129">
        <f>IF($G$4="",0,AC51+IF(W52&gt;'General Information'!$D$33,0,IF(W52=0,$J$4,IFERROR(SUMIF(INDIRECT("'"&amp;$G$4&amp;"'!$C$37:$C$52"),W52,INDIRECT("'"&amp;$G$4&amp;"'!$E$37:$E$52")),0))))</f>
        <v/>
      </c>
      <c r="AD52" s="129">
        <f>IF($G$5="",0,AD51+IF(W52&gt;'General Information'!$D$33,0,IF(W52=0,$J$5,IFERROR(SUMIF(INDIRECT("'"&amp;$G$5&amp;"'!$C$37:$C$52"),W52,INDIRECT("'"&amp;$G$5&amp;"'!$E$37:$E$52")),0))))</f>
        <v/>
      </c>
      <c r="AE52" s="129">
        <f>IF($G$6="",0,AE51+IF(W52&gt;'General Information'!$D$33,0,IF(W52=0,$J$6,IFERROR(SUMIF(INDIRECT("'"&amp;$G$6&amp;"'!$C$37:$C$52"),W52,INDIRECT("'"&amp;$G$6&amp;"'!$E$37:$E$52")),0))))</f>
        <v/>
      </c>
      <c r="AF52" s="129">
        <f>IF($G$7="",0,AF51+IF(W52&gt;'General Information'!$D$33,0,IF(W52=0,$J$7,IFERROR(SUMIF(INDIRECT("'"&amp;$G$7&amp;"'!$C$37:$C$52"),W52,INDIRECT("'"&amp;$G$7&amp;"'!$E$37:$E$52")),0))))</f>
        <v/>
      </c>
      <c r="AG52" s="133">
        <f>IF($G$4="",0,IF(W52&gt;'General Information'!$D$33,0,IFERROR(SUMIFS(INDIRECT("'"&amp;$G$4&amp;"'!$D$37:$D$52"),INDIRECT("'"&amp;$G$4&amp;"'!$C$37:$C$52"),W52,INDIRECT("'"&amp;$G$4&amp;"'!$B$37:$B$52"),"*Indirect*")/INDIRECT("'"&amp;$G$4&amp;"'!$F$2"),0)))</f>
        <v/>
      </c>
      <c r="AH52" s="133">
        <f>IF($G$5="",0,IF(W52&gt;'General Information'!$D$33,0,IFERROR(SUMIFS(INDIRECT("'"&amp;$G$5&amp;"'!$D$37:$D$52"),INDIRECT("'"&amp;$G$5&amp;"'!$C$37:$C$52"),W52,INDIRECT("'"&amp;$G$5&amp;"'!$B$37:$B$52"),"*Indirect*")/INDIRECT("'"&amp;$G$5&amp;"'!$F$2"),0)))</f>
        <v/>
      </c>
      <c r="AI52" s="133">
        <f>IF($G$6="",0,IF(W52&gt;'General Information'!$D$33,0,IFERROR(SUMIFS(INDIRECT("'"&amp;$G$6&amp;"'!$D$37:$D$52"),INDIRECT("'"&amp;$G$6&amp;"'!$C$37:$C$52"),W52,INDIRECT("'"&amp;$G$6&amp;"'!$B$37:$B$52"),"*Indirect*")/INDIRECT("'"&amp;$G$6&amp;"'!$F$2"),0)))</f>
        <v/>
      </c>
      <c r="AJ52" s="133">
        <f>IF($G$7="",0,IF(W52&gt;'General Information'!$D$33,0,IFERROR(SUMIFS(INDIRECT("'"&amp;$G$7&amp;"'!$D$37:$D$52"),INDIRECT("'"&amp;$G$7&amp;"'!$C$37:$C$52"),W52,INDIRECT("'"&amp;$G$7&amp;"'!$B$37:$B$52"),"*Indirect*")/INDIRECT("'"&amp;$G$7&amp;"'!$F$2"),0)))</f>
        <v/>
      </c>
    </row>
    <row r="53">
      <c r="W53" s="128" t="n">
        <v>12</v>
      </c>
      <c r="X53" s="128">
        <f>'General Information'!$D$25+W53</f>
        <v/>
      </c>
      <c r="Y53" s="129">
        <f>IF($G$4="",0,IF(W53&gt;'General Information'!$D$33,0,IF(W53=0,$J$4,IFERROR(SUMIF(INDIRECT("'"&amp;$G$4&amp;"'!$C$37:$C$52"),W53,INDIRECT("'"&amp;$G$4&amp;"'!$D$37:$D$52")),0))))</f>
        <v/>
      </c>
      <c r="Z53" s="129">
        <f>IF($G$5="",0,IF(W53&gt;'General Information'!$D$33,0,IF(W53=0,$J$5,IFERROR(SUMIF(INDIRECT("'"&amp;$G$5&amp;"'!$C$37:$C$52"),W53,INDIRECT("'"&amp;$G$5&amp;"'!$D$37:$D$52")),0))))</f>
        <v/>
      </c>
      <c r="AA53" s="129">
        <f>IF($G$6="",0,IF(W53&gt;'General Information'!$D$33,0,IF(W53=0,$J$6,IFERROR(SUMIF(INDIRECT("'"&amp;$G$6&amp;"'!$C$37:$C$52"),W53,INDIRECT("'"&amp;$G$6&amp;"'!$D$37:$D$52")),0))))</f>
        <v/>
      </c>
      <c r="AB53" s="129">
        <f>IF($G$7="",0,IF(W53&gt;'General Information'!$D$33,0,IF(W53=0,$J$7,IFERROR(SUMIF(INDIRECT("'"&amp;$G$7&amp;"'!$C$37:$C$52"),W53,INDIRECT("'"&amp;$G$7&amp;"'!$D$37:$D$52")),0))))</f>
        <v/>
      </c>
      <c r="AC53" s="129">
        <f>IF($G$4="",0,AC52+IF(W53&gt;'General Information'!$D$33,0,IF(W53=0,$J$4,IFERROR(SUMIF(INDIRECT("'"&amp;$G$4&amp;"'!$C$37:$C$52"),W53,INDIRECT("'"&amp;$G$4&amp;"'!$E$37:$E$52")),0))))</f>
        <v/>
      </c>
      <c r="AD53" s="129">
        <f>IF($G$5="",0,AD52+IF(W53&gt;'General Information'!$D$33,0,IF(W53=0,$J$5,IFERROR(SUMIF(INDIRECT("'"&amp;$G$5&amp;"'!$C$37:$C$52"),W53,INDIRECT("'"&amp;$G$5&amp;"'!$E$37:$E$52")),0))))</f>
        <v/>
      </c>
      <c r="AE53" s="129">
        <f>IF($G$6="",0,AE52+IF(W53&gt;'General Information'!$D$33,0,IF(W53=0,$J$6,IFERROR(SUMIF(INDIRECT("'"&amp;$G$6&amp;"'!$C$37:$C$52"),W53,INDIRECT("'"&amp;$G$6&amp;"'!$E$37:$E$52")),0))))</f>
        <v/>
      </c>
      <c r="AF53" s="129">
        <f>IF($G$7="",0,AF52+IF(W53&gt;'General Information'!$D$33,0,IF(W53=0,$J$7,IFERROR(SUMIF(INDIRECT("'"&amp;$G$7&amp;"'!$C$37:$C$52"),W53,INDIRECT("'"&amp;$G$7&amp;"'!$E$37:$E$52")),0))))</f>
        <v/>
      </c>
      <c r="AG53" s="133">
        <f>IF($G$4="",0,IF(W53&gt;'General Information'!$D$33,0,IFERROR(SUMIFS(INDIRECT("'"&amp;$G$4&amp;"'!$D$37:$D$52"),INDIRECT("'"&amp;$G$4&amp;"'!$C$37:$C$52"),W53,INDIRECT("'"&amp;$G$4&amp;"'!$B$37:$B$52"),"*Indirect*")/INDIRECT("'"&amp;$G$4&amp;"'!$F$2"),0)))</f>
        <v/>
      </c>
      <c r="AH53" s="133">
        <f>IF($G$5="",0,IF(W53&gt;'General Information'!$D$33,0,IFERROR(SUMIFS(INDIRECT("'"&amp;$G$5&amp;"'!$D$37:$D$52"),INDIRECT("'"&amp;$G$5&amp;"'!$C$37:$C$52"),W53,INDIRECT("'"&amp;$G$5&amp;"'!$B$37:$B$52"),"*Indirect*")/INDIRECT("'"&amp;$G$5&amp;"'!$F$2"),0)))</f>
        <v/>
      </c>
      <c r="AI53" s="133">
        <f>IF($G$6="",0,IF(W53&gt;'General Information'!$D$33,0,IFERROR(SUMIFS(INDIRECT("'"&amp;$G$6&amp;"'!$D$37:$D$52"),INDIRECT("'"&amp;$G$6&amp;"'!$C$37:$C$52"),W53,INDIRECT("'"&amp;$G$6&amp;"'!$B$37:$B$52"),"*Indirect*")/INDIRECT("'"&amp;$G$6&amp;"'!$F$2"),0)))</f>
        <v/>
      </c>
      <c r="AJ53" s="133">
        <f>IF($G$7="",0,IF(W53&gt;'General Information'!$D$33,0,IFERROR(SUMIFS(INDIRECT("'"&amp;$G$7&amp;"'!$D$37:$D$52"),INDIRECT("'"&amp;$G$7&amp;"'!$C$37:$C$52"),W53,INDIRECT("'"&amp;$G$7&amp;"'!$B$37:$B$52"),"*Indirect*")/INDIRECT("'"&amp;$G$7&amp;"'!$F$2"),0)))</f>
        <v/>
      </c>
    </row>
    <row r="54">
      <c r="W54" s="128" t="n">
        <v>13</v>
      </c>
      <c r="X54" s="128">
        <f>'General Information'!$D$25+W54</f>
        <v/>
      </c>
      <c r="Y54" s="129">
        <f>IF($G$4="",0,IF(W54&gt;'General Information'!$D$33,0,IF(W54=0,$J$4,IFERROR(SUMIF(INDIRECT("'"&amp;$G$4&amp;"'!$C$37:$C$52"),W54,INDIRECT("'"&amp;$G$4&amp;"'!$D$37:$D$52")),0))))</f>
        <v/>
      </c>
      <c r="Z54" s="129">
        <f>IF($G$5="",0,IF(W54&gt;'General Information'!$D$33,0,IF(W54=0,$J$5,IFERROR(SUMIF(INDIRECT("'"&amp;$G$5&amp;"'!$C$37:$C$52"),W54,INDIRECT("'"&amp;$G$5&amp;"'!$D$37:$D$52")),0))))</f>
        <v/>
      </c>
      <c r="AA54" s="129">
        <f>IF($G$6="",0,IF(W54&gt;'General Information'!$D$33,0,IF(W54=0,$J$6,IFERROR(SUMIF(INDIRECT("'"&amp;$G$6&amp;"'!$C$37:$C$52"),W54,INDIRECT("'"&amp;$G$6&amp;"'!$D$37:$D$52")),0))))</f>
        <v/>
      </c>
      <c r="AB54" s="129">
        <f>IF($G$7="",0,IF(W54&gt;'General Information'!$D$33,0,IF(W54=0,$J$7,IFERROR(SUMIF(INDIRECT("'"&amp;$G$7&amp;"'!$C$37:$C$52"),W54,INDIRECT("'"&amp;$G$7&amp;"'!$D$37:$D$52")),0))))</f>
        <v/>
      </c>
      <c r="AC54" s="129">
        <f>IF($G$4="",0,AC53+IF(W54&gt;'General Information'!$D$33,0,IF(W54=0,$J$4,IFERROR(SUMIF(INDIRECT("'"&amp;$G$4&amp;"'!$C$37:$C$52"),W54,INDIRECT("'"&amp;$G$4&amp;"'!$E$37:$E$52")),0))))</f>
        <v/>
      </c>
      <c r="AD54" s="129">
        <f>IF($G$5="",0,AD53+IF(W54&gt;'General Information'!$D$33,0,IF(W54=0,$J$5,IFERROR(SUMIF(INDIRECT("'"&amp;$G$5&amp;"'!$C$37:$C$52"),W54,INDIRECT("'"&amp;$G$5&amp;"'!$E$37:$E$52")),0))))</f>
        <v/>
      </c>
      <c r="AE54" s="129">
        <f>IF($G$6="",0,AE53+IF(W54&gt;'General Information'!$D$33,0,IF(W54=0,$J$6,IFERROR(SUMIF(INDIRECT("'"&amp;$G$6&amp;"'!$C$37:$C$52"),W54,INDIRECT("'"&amp;$G$6&amp;"'!$E$37:$E$52")),0))))</f>
        <v/>
      </c>
      <c r="AF54" s="129">
        <f>IF($G$7="",0,AF53+IF(W54&gt;'General Information'!$D$33,0,IF(W54=0,$J$7,IFERROR(SUMIF(INDIRECT("'"&amp;$G$7&amp;"'!$C$37:$C$52"),W54,INDIRECT("'"&amp;$G$7&amp;"'!$E$37:$E$52")),0))))</f>
        <v/>
      </c>
      <c r="AG54" s="133">
        <f>IF($G$4="",0,IF(W54&gt;'General Information'!$D$33,0,IFERROR(SUMIFS(INDIRECT("'"&amp;$G$4&amp;"'!$D$37:$D$52"),INDIRECT("'"&amp;$G$4&amp;"'!$C$37:$C$52"),W54,INDIRECT("'"&amp;$G$4&amp;"'!$B$37:$B$52"),"*Indirect*")/INDIRECT("'"&amp;$G$4&amp;"'!$F$2"),0)))</f>
        <v/>
      </c>
      <c r="AH54" s="133">
        <f>IF($G$5="",0,IF(W54&gt;'General Information'!$D$33,0,IFERROR(SUMIFS(INDIRECT("'"&amp;$G$5&amp;"'!$D$37:$D$52"),INDIRECT("'"&amp;$G$5&amp;"'!$C$37:$C$52"),W54,INDIRECT("'"&amp;$G$5&amp;"'!$B$37:$B$52"),"*Indirect*")/INDIRECT("'"&amp;$G$5&amp;"'!$F$2"),0)))</f>
        <v/>
      </c>
      <c r="AI54" s="133">
        <f>IF($G$6="",0,IF(W54&gt;'General Information'!$D$33,0,IFERROR(SUMIFS(INDIRECT("'"&amp;$G$6&amp;"'!$D$37:$D$52"),INDIRECT("'"&amp;$G$6&amp;"'!$C$37:$C$52"),W54,INDIRECT("'"&amp;$G$6&amp;"'!$B$37:$B$52"),"*Indirect*")/INDIRECT("'"&amp;$G$6&amp;"'!$F$2"),0)))</f>
        <v/>
      </c>
      <c r="AJ54" s="133">
        <f>IF($G$7="",0,IF(W54&gt;'General Information'!$D$33,0,IFERROR(SUMIFS(INDIRECT("'"&amp;$G$7&amp;"'!$D$37:$D$52"),INDIRECT("'"&amp;$G$7&amp;"'!$C$37:$C$52"),W54,INDIRECT("'"&amp;$G$7&amp;"'!$B$37:$B$52"),"*Indirect*")/INDIRECT("'"&amp;$G$7&amp;"'!$F$2"),0)))</f>
        <v/>
      </c>
    </row>
    <row r="55">
      <c r="W55" s="128" t="n">
        <v>14</v>
      </c>
      <c r="X55" s="128">
        <f>'General Information'!$D$25+W55</f>
        <v/>
      </c>
      <c r="Y55" s="129">
        <f>IF($G$4="",0,IF(W55&gt;'General Information'!$D$33,0,IF(W55=0,$J$4,IFERROR(SUMIF(INDIRECT("'"&amp;$G$4&amp;"'!$C$37:$C$52"),W55,INDIRECT("'"&amp;$G$4&amp;"'!$D$37:$D$52")),0))))</f>
        <v/>
      </c>
      <c r="Z55" s="129">
        <f>IF($G$5="",0,IF(W55&gt;'General Information'!$D$33,0,IF(W55=0,$J$5,IFERROR(SUMIF(INDIRECT("'"&amp;$G$5&amp;"'!$C$37:$C$52"),W55,INDIRECT("'"&amp;$G$5&amp;"'!$D$37:$D$52")),0))))</f>
        <v/>
      </c>
      <c r="AA55" s="129">
        <f>IF($G$6="",0,IF(W55&gt;'General Information'!$D$33,0,IF(W55=0,$J$6,IFERROR(SUMIF(INDIRECT("'"&amp;$G$6&amp;"'!$C$37:$C$52"),W55,INDIRECT("'"&amp;$G$6&amp;"'!$D$37:$D$52")),0))))</f>
        <v/>
      </c>
      <c r="AB55" s="129">
        <f>IF($G$7="",0,IF(W55&gt;'General Information'!$D$33,0,IF(W55=0,$J$7,IFERROR(SUMIF(INDIRECT("'"&amp;$G$7&amp;"'!$C$37:$C$52"),W55,INDIRECT("'"&amp;$G$7&amp;"'!$D$37:$D$52")),0))))</f>
        <v/>
      </c>
      <c r="AC55" s="129">
        <f>IF($G$4="",0,AC54+IF(W55&gt;'General Information'!$D$33,0,IF(W55=0,$J$4,IFERROR(SUMIF(INDIRECT("'"&amp;$G$4&amp;"'!$C$37:$C$52"),W55,INDIRECT("'"&amp;$G$4&amp;"'!$E$37:$E$52")),0))))</f>
        <v/>
      </c>
      <c r="AD55" s="129">
        <f>IF($G$5="",0,AD54+IF(W55&gt;'General Information'!$D$33,0,IF(W55=0,$J$5,IFERROR(SUMIF(INDIRECT("'"&amp;$G$5&amp;"'!$C$37:$C$52"),W55,INDIRECT("'"&amp;$G$5&amp;"'!$E$37:$E$52")),0))))</f>
        <v/>
      </c>
      <c r="AE55" s="129">
        <f>IF($G$6="",0,AE54+IF(W55&gt;'General Information'!$D$33,0,IF(W55=0,$J$6,IFERROR(SUMIF(INDIRECT("'"&amp;$G$6&amp;"'!$C$37:$C$52"),W55,INDIRECT("'"&amp;$G$6&amp;"'!$E$37:$E$52")),0))))</f>
        <v/>
      </c>
      <c r="AF55" s="129">
        <f>IF($G$7="",0,AF54+IF(W55&gt;'General Information'!$D$33,0,IF(W55=0,$J$7,IFERROR(SUMIF(INDIRECT("'"&amp;$G$7&amp;"'!$C$37:$C$52"),W55,INDIRECT("'"&amp;$G$7&amp;"'!$E$37:$E$52")),0))))</f>
        <v/>
      </c>
      <c r="AG55" s="133">
        <f>IF($G$4="",0,IF(W55&gt;'General Information'!$D$33,0,IFERROR(SUMIFS(INDIRECT("'"&amp;$G$4&amp;"'!$D$37:$D$52"),INDIRECT("'"&amp;$G$4&amp;"'!$C$37:$C$52"),W55,INDIRECT("'"&amp;$G$4&amp;"'!$B$37:$B$52"),"*Indirect*")/INDIRECT("'"&amp;$G$4&amp;"'!$F$2"),0)))</f>
        <v/>
      </c>
      <c r="AH55" s="133">
        <f>IF($G$5="",0,IF(W55&gt;'General Information'!$D$33,0,IFERROR(SUMIFS(INDIRECT("'"&amp;$G$5&amp;"'!$D$37:$D$52"),INDIRECT("'"&amp;$G$5&amp;"'!$C$37:$C$52"),W55,INDIRECT("'"&amp;$G$5&amp;"'!$B$37:$B$52"),"*Indirect*")/INDIRECT("'"&amp;$G$5&amp;"'!$F$2"),0)))</f>
        <v/>
      </c>
      <c r="AI55" s="133">
        <f>IF($G$6="",0,IF(W55&gt;'General Information'!$D$33,0,IFERROR(SUMIFS(INDIRECT("'"&amp;$G$6&amp;"'!$D$37:$D$52"),INDIRECT("'"&amp;$G$6&amp;"'!$C$37:$C$52"),W55,INDIRECT("'"&amp;$G$6&amp;"'!$B$37:$B$52"),"*Indirect*")/INDIRECT("'"&amp;$G$6&amp;"'!$F$2"),0)))</f>
        <v/>
      </c>
      <c r="AJ55" s="133">
        <f>IF($G$7="",0,IF(W55&gt;'General Information'!$D$33,0,IFERROR(SUMIFS(INDIRECT("'"&amp;$G$7&amp;"'!$D$37:$D$52"),INDIRECT("'"&amp;$G$7&amp;"'!$C$37:$C$52"),W55,INDIRECT("'"&amp;$G$7&amp;"'!$B$37:$B$52"),"*Indirect*")/INDIRECT("'"&amp;$G$7&amp;"'!$F$2"),0)))</f>
        <v/>
      </c>
    </row>
    <row r="56">
      <c r="W56" s="128" t="n">
        <v>15</v>
      </c>
      <c r="X56" s="128">
        <f>'General Information'!$D$25+W56</f>
        <v/>
      </c>
      <c r="Y56" s="129">
        <f>IF($G$4="",0,IF(W56&gt;'General Information'!$D$33,0,IF(W56=0,$J$4,IFERROR(SUMIF(INDIRECT("'"&amp;$G$4&amp;"'!$C$37:$C$52"),W56,INDIRECT("'"&amp;$G$4&amp;"'!$D$37:$D$52")),0))))</f>
        <v/>
      </c>
      <c r="Z56" s="129">
        <f>IF($G$5="",0,IF(W56&gt;'General Information'!$D$33,0,IF(W56=0,$J$5,IFERROR(SUMIF(INDIRECT("'"&amp;$G$5&amp;"'!$C$37:$C$52"),W56,INDIRECT("'"&amp;$G$5&amp;"'!$D$37:$D$52")),0))))</f>
        <v/>
      </c>
      <c r="AA56" s="129">
        <f>IF($G$6="",0,IF(W56&gt;'General Information'!$D$33,0,IF(W56=0,$J$6,IFERROR(SUMIF(INDIRECT("'"&amp;$G$6&amp;"'!$C$37:$C$52"),W56,INDIRECT("'"&amp;$G$6&amp;"'!$D$37:$D$52")),0))))</f>
        <v/>
      </c>
      <c r="AB56" s="129">
        <f>IF($G$7="",0,IF(W56&gt;'General Information'!$D$33,0,IF(W56=0,$J$7,IFERROR(SUMIF(INDIRECT("'"&amp;$G$7&amp;"'!$C$37:$C$52"),W56,INDIRECT("'"&amp;$G$7&amp;"'!$D$37:$D$52")),0))))</f>
        <v/>
      </c>
      <c r="AC56" s="129">
        <f>IF($G$4="",0,AC55+IF(W56&gt;'General Information'!$D$33,0,IF(W56=0,$J$4,IFERROR(SUMIF(INDIRECT("'"&amp;$G$4&amp;"'!$C$37:$C$52"),W56,INDIRECT("'"&amp;$G$4&amp;"'!$E$37:$E$52")),0))))</f>
        <v/>
      </c>
      <c r="AD56" s="129">
        <f>IF($G$5="",0,AD55+IF(W56&gt;'General Information'!$D$33,0,IF(W56=0,$J$5,IFERROR(SUMIF(INDIRECT("'"&amp;$G$5&amp;"'!$C$37:$C$52"),W56,INDIRECT("'"&amp;$G$5&amp;"'!$E$37:$E$52")),0))))</f>
        <v/>
      </c>
      <c r="AE56" s="129">
        <f>IF($G$6="",0,AE55+IF(W56&gt;'General Information'!$D$33,0,IF(W56=0,$J$6,IFERROR(SUMIF(INDIRECT("'"&amp;$G$6&amp;"'!$C$37:$C$52"),W56,INDIRECT("'"&amp;$G$6&amp;"'!$E$37:$E$52")),0))))</f>
        <v/>
      </c>
      <c r="AF56" s="129">
        <f>IF($G$7="",0,AF55+IF(W56&gt;'General Information'!$D$33,0,IF(W56=0,$J$7,IFERROR(SUMIF(INDIRECT("'"&amp;$G$7&amp;"'!$C$37:$C$52"),W56,INDIRECT("'"&amp;$G$7&amp;"'!$E$37:$E$52")),0))))</f>
        <v/>
      </c>
      <c r="AG56" s="133">
        <f>IF($G$4="",0,IF(W56&gt;'General Information'!$D$33,0,IFERROR(SUMIFS(INDIRECT("'"&amp;$G$4&amp;"'!$D$37:$D$52"),INDIRECT("'"&amp;$G$4&amp;"'!$C$37:$C$52"),W56,INDIRECT("'"&amp;$G$4&amp;"'!$B$37:$B$52"),"*Indirect*")/INDIRECT("'"&amp;$G$4&amp;"'!$F$2"),0)))</f>
        <v/>
      </c>
      <c r="AH56" s="133">
        <f>IF($G$5="",0,IF(W56&gt;'General Information'!$D$33,0,IFERROR(SUMIFS(INDIRECT("'"&amp;$G$5&amp;"'!$D$37:$D$52"),INDIRECT("'"&amp;$G$5&amp;"'!$C$37:$C$52"),W56,INDIRECT("'"&amp;$G$5&amp;"'!$B$37:$B$52"),"*Indirect*")/INDIRECT("'"&amp;$G$5&amp;"'!$F$2"),0)))</f>
        <v/>
      </c>
      <c r="AI56" s="133">
        <f>IF($G$6="",0,IF(W56&gt;'General Information'!$D$33,0,IFERROR(SUMIFS(INDIRECT("'"&amp;$G$6&amp;"'!$D$37:$D$52"),INDIRECT("'"&amp;$G$6&amp;"'!$C$37:$C$52"),W56,INDIRECT("'"&amp;$G$6&amp;"'!$B$37:$B$52"),"*Indirect*")/INDIRECT("'"&amp;$G$6&amp;"'!$F$2"),0)))</f>
        <v/>
      </c>
      <c r="AJ56" s="133">
        <f>IF($G$7="",0,IF(W56&gt;'General Information'!$D$33,0,IFERROR(SUMIFS(INDIRECT("'"&amp;$G$7&amp;"'!$D$37:$D$52"),INDIRECT("'"&amp;$G$7&amp;"'!$C$37:$C$52"),W56,INDIRECT("'"&amp;$G$7&amp;"'!$B$37:$B$52"),"*Indirect*")/INDIRECT("'"&amp;$G$7&amp;"'!$F$2"),0)))</f>
        <v/>
      </c>
    </row>
    <row r="57">
      <c r="W57" s="128" t="n">
        <v>16</v>
      </c>
      <c r="X57" s="128">
        <f>'General Information'!$D$25+W57</f>
        <v/>
      </c>
      <c r="Y57" s="129">
        <f>IF($G$4="",0,IF(W57&gt;'General Information'!$D$33,0,IF(W57=0,$J$4,IFERROR(SUMIF(INDIRECT("'"&amp;$G$4&amp;"'!$C$37:$C$52"),W57,INDIRECT("'"&amp;$G$4&amp;"'!$D$37:$D$52")),0))))</f>
        <v/>
      </c>
      <c r="Z57" s="129">
        <f>IF($G$5="",0,IF(W57&gt;'General Information'!$D$33,0,IF(W57=0,$J$5,IFERROR(SUMIF(INDIRECT("'"&amp;$G$5&amp;"'!$C$37:$C$52"),W57,INDIRECT("'"&amp;$G$5&amp;"'!$D$37:$D$52")),0))))</f>
        <v/>
      </c>
      <c r="AA57" s="129">
        <f>IF($G$6="",0,IF(W57&gt;'General Information'!$D$33,0,IF(W57=0,$J$6,IFERROR(SUMIF(INDIRECT("'"&amp;$G$6&amp;"'!$C$37:$C$52"),W57,INDIRECT("'"&amp;$G$6&amp;"'!$D$37:$D$52")),0))))</f>
        <v/>
      </c>
      <c r="AB57" s="129">
        <f>IF($G$7="",0,IF(W57&gt;'General Information'!$D$33,0,IF(W57=0,$J$7,IFERROR(SUMIF(INDIRECT("'"&amp;$G$7&amp;"'!$C$37:$C$52"),W57,INDIRECT("'"&amp;$G$7&amp;"'!$D$37:$D$52")),0))))</f>
        <v/>
      </c>
      <c r="AC57" s="129">
        <f>IF($G$4="",0,AC56+IF(W57&gt;'General Information'!$D$33,0,IF(W57=0,$J$4,IFERROR(SUMIF(INDIRECT("'"&amp;$G$4&amp;"'!$C$37:$C$52"),W57,INDIRECT("'"&amp;$G$4&amp;"'!$E$37:$E$52")),0))))</f>
        <v/>
      </c>
      <c r="AD57" s="129">
        <f>IF($G$5="",0,AD56+IF(W57&gt;'General Information'!$D$33,0,IF(W57=0,$J$5,IFERROR(SUMIF(INDIRECT("'"&amp;$G$5&amp;"'!$C$37:$C$52"),W57,INDIRECT("'"&amp;$G$5&amp;"'!$E$37:$E$52")),0))))</f>
        <v/>
      </c>
      <c r="AE57" s="129">
        <f>IF($G$6="",0,AE56+IF(W57&gt;'General Information'!$D$33,0,IF(W57=0,$J$6,IFERROR(SUMIF(INDIRECT("'"&amp;$G$6&amp;"'!$C$37:$C$52"),W57,INDIRECT("'"&amp;$G$6&amp;"'!$E$37:$E$52")),0))))</f>
        <v/>
      </c>
      <c r="AF57" s="129">
        <f>IF($G$7="",0,AF56+IF(W57&gt;'General Information'!$D$33,0,IF(W57=0,$J$7,IFERROR(SUMIF(INDIRECT("'"&amp;$G$7&amp;"'!$C$37:$C$52"),W57,INDIRECT("'"&amp;$G$7&amp;"'!$E$37:$E$52")),0))))</f>
        <v/>
      </c>
      <c r="AG57" s="133">
        <f>IF($G$4="",0,IF(W57&gt;'General Information'!$D$33,0,IFERROR(SUMIFS(INDIRECT("'"&amp;$G$4&amp;"'!$D$37:$D$52"),INDIRECT("'"&amp;$G$4&amp;"'!$C$37:$C$52"),W57,INDIRECT("'"&amp;$G$4&amp;"'!$B$37:$B$52"),"*Indirect*")/INDIRECT("'"&amp;$G$4&amp;"'!$F$2"),0)))</f>
        <v/>
      </c>
      <c r="AH57" s="133">
        <f>IF($G$5="",0,IF(W57&gt;'General Information'!$D$33,0,IFERROR(SUMIFS(INDIRECT("'"&amp;$G$5&amp;"'!$D$37:$D$52"),INDIRECT("'"&amp;$G$5&amp;"'!$C$37:$C$52"),W57,INDIRECT("'"&amp;$G$5&amp;"'!$B$37:$B$52"),"*Indirect*")/INDIRECT("'"&amp;$G$5&amp;"'!$F$2"),0)))</f>
        <v/>
      </c>
      <c r="AI57" s="133">
        <f>IF($G$6="",0,IF(W57&gt;'General Information'!$D$33,0,IFERROR(SUMIFS(INDIRECT("'"&amp;$G$6&amp;"'!$D$37:$D$52"),INDIRECT("'"&amp;$G$6&amp;"'!$C$37:$C$52"),W57,INDIRECT("'"&amp;$G$6&amp;"'!$B$37:$B$52"),"*Indirect*")/INDIRECT("'"&amp;$G$6&amp;"'!$F$2"),0)))</f>
        <v/>
      </c>
      <c r="AJ57" s="133">
        <f>IF($G$7="",0,IF(W57&gt;'General Information'!$D$33,0,IFERROR(SUMIFS(INDIRECT("'"&amp;$G$7&amp;"'!$D$37:$D$52"),INDIRECT("'"&amp;$G$7&amp;"'!$C$37:$C$52"),W57,INDIRECT("'"&amp;$G$7&amp;"'!$B$37:$B$52"),"*Indirect*")/INDIRECT("'"&amp;$G$7&amp;"'!$F$2"),0)))</f>
        <v/>
      </c>
    </row>
    <row r="58">
      <c r="W58" s="128" t="n">
        <v>17</v>
      </c>
      <c r="X58" s="128">
        <f>'General Information'!$D$25+W58</f>
        <v/>
      </c>
      <c r="Y58" s="129">
        <f>IF($G$4="",0,IF(W58&gt;'General Information'!$D$33,0,IF(W58=0,$J$4,IFERROR(SUMIF(INDIRECT("'"&amp;$G$4&amp;"'!$C$37:$C$52"),W58,INDIRECT("'"&amp;$G$4&amp;"'!$D$37:$D$52")),0))))</f>
        <v/>
      </c>
      <c r="Z58" s="129">
        <f>IF($G$5="",0,IF(W58&gt;'General Information'!$D$33,0,IF(W58=0,$J$5,IFERROR(SUMIF(INDIRECT("'"&amp;$G$5&amp;"'!$C$37:$C$52"),W58,INDIRECT("'"&amp;$G$5&amp;"'!$D$37:$D$52")),0))))</f>
        <v/>
      </c>
      <c r="AA58" s="129">
        <f>IF($G$6="",0,IF(W58&gt;'General Information'!$D$33,0,IF(W58=0,$J$6,IFERROR(SUMIF(INDIRECT("'"&amp;$G$6&amp;"'!$C$37:$C$52"),W58,INDIRECT("'"&amp;$G$6&amp;"'!$D$37:$D$52")),0))))</f>
        <v/>
      </c>
      <c r="AB58" s="129">
        <f>IF($G$7="",0,IF(W58&gt;'General Information'!$D$33,0,IF(W58=0,$J$7,IFERROR(SUMIF(INDIRECT("'"&amp;$G$7&amp;"'!$C$37:$C$52"),W58,INDIRECT("'"&amp;$G$7&amp;"'!$D$37:$D$52")),0))))</f>
        <v/>
      </c>
      <c r="AC58" s="129">
        <f>IF($G$4="",0,AC57+IF(W58&gt;'General Information'!$D$33,0,IF(W58=0,$J$4,IFERROR(SUMIF(INDIRECT("'"&amp;$G$4&amp;"'!$C$37:$C$52"),W58,INDIRECT("'"&amp;$G$4&amp;"'!$E$37:$E$52")),0))))</f>
        <v/>
      </c>
      <c r="AD58" s="129">
        <f>IF($G$5="",0,AD57+IF(W58&gt;'General Information'!$D$33,0,IF(W58=0,$J$5,IFERROR(SUMIF(INDIRECT("'"&amp;$G$5&amp;"'!$C$37:$C$52"),W58,INDIRECT("'"&amp;$G$5&amp;"'!$E$37:$E$52")),0))))</f>
        <v/>
      </c>
      <c r="AE58" s="129">
        <f>IF($G$6="",0,AE57+IF(W58&gt;'General Information'!$D$33,0,IF(W58=0,$J$6,IFERROR(SUMIF(INDIRECT("'"&amp;$G$6&amp;"'!$C$37:$C$52"),W58,INDIRECT("'"&amp;$G$6&amp;"'!$E$37:$E$52")),0))))</f>
        <v/>
      </c>
      <c r="AF58" s="129">
        <f>IF($G$7="",0,AF57+IF(W58&gt;'General Information'!$D$33,0,IF(W58=0,$J$7,IFERROR(SUMIF(INDIRECT("'"&amp;$G$7&amp;"'!$C$37:$C$52"),W58,INDIRECT("'"&amp;$G$7&amp;"'!$E$37:$E$52")),0))))</f>
        <v/>
      </c>
      <c r="AG58" s="133">
        <f>IF($G$4="",0,IF(W58&gt;'General Information'!$D$33,0,IFERROR(SUMIFS(INDIRECT("'"&amp;$G$4&amp;"'!$D$37:$D$52"),INDIRECT("'"&amp;$G$4&amp;"'!$C$37:$C$52"),W58,INDIRECT("'"&amp;$G$4&amp;"'!$B$37:$B$52"),"*Indirect*")/INDIRECT("'"&amp;$G$4&amp;"'!$F$2"),0)))</f>
        <v/>
      </c>
      <c r="AH58" s="133">
        <f>IF($G$5="",0,IF(W58&gt;'General Information'!$D$33,0,IFERROR(SUMIFS(INDIRECT("'"&amp;$G$5&amp;"'!$D$37:$D$52"),INDIRECT("'"&amp;$G$5&amp;"'!$C$37:$C$52"),W58,INDIRECT("'"&amp;$G$5&amp;"'!$B$37:$B$52"),"*Indirect*")/INDIRECT("'"&amp;$G$5&amp;"'!$F$2"),0)))</f>
        <v/>
      </c>
      <c r="AI58" s="133">
        <f>IF($G$6="",0,IF(W58&gt;'General Information'!$D$33,0,IFERROR(SUMIFS(INDIRECT("'"&amp;$G$6&amp;"'!$D$37:$D$52"),INDIRECT("'"&amp;$G$6&amp;"'!$C$37:$C$52"),W58,INDIRECT("'"&amp;$G$6&amp;"'!$B$37:$B$52"),"*Indirect*")/INDIRECT("'"&amp;$G$6&amp;"'!$F$2"),0)))</f>
        <v/>
      </c>
      <c r="AJ58" s="133">
        <f>IF($G$7="",0,IF(W58&gt;'General Information'!$D$33,0,IFERROR(SUMIFS(INDIRECT("'"&amp;$G$7&amp;"'!$D$37:$D$52"),INDIRECT("'"&amp;$G$7&amp;"'!$C$37:$C$52"),W58,INDIRECT("'"&amp;$G$7&amp;"'!$B$37:$B$52"),"*Indirect*")/INDIRECT("'"&amp;$G$7&amp;"'!$F$2"),0)))</f>
        <v/>
      </c>
    </row>
    <row r="59">
      <c r="W59" s="128" t="n">
        <v>18</v>
      </c>
      <c r="X59" s="128">
        <f>'General Information'!$D$25+W59</f>
        <v/>
      </c>
      <c r="Y59" s="129">
        <f>IF($G$4="",0,IF(W59&gt;'General Information'!$D$33,0,IF(W59=0,$J$4,IFERROR(SUMIF(INDIRECT("'"&amp;$G$4&amp;"'!$C$37:$C$52"),W59,INDIRECT("'"&amp;$G$4&amp;"'!$D$37:$D$52")),0))))</f>
        <v/>
      </c>
      <c r="Z59" s="129">
        <f>IF($G$5="",0,IF(W59&gt;'General Information'!$D$33,0,IF(W59=0,$J$5,IFERROR(SUMIF(INDIRECT("'"&amp;$G$5&amp;"'!$C$37:$C$52"),W59,INDIRECT("'"&amp;$G$5&amp;"'!$D$37:$D$52")),0))))</f>
        <v/>
      </c>
      <c r="AA59" s="129">
        <f>IF($G$6="",0,IF(W59&gt;'General Information'!$D$33,0,IF(W59=0,$J$6,IFERROR(SUMIF(INDIRECT("'"&amp;$G$6&amp;"'!$C$37:$C$52"),W59,INDIRECT("'"&amp;$G$6&amp;"'!$D$37:$D$52")),0))))</f>
        <v/>
      </c>
      <c r="AB59" s="129">
        <f>IF($G$7="",0,IF(W59&gt;'General Information'!$D$33,0,IF(W59=0,$J$7,IFERROR(SUMIF(INDIRECT("'"&amp;$G$7&amp;"'!$C$37:$C$52"),W59,INDIRECT("'"&amp;$G$7&amp;"'!$D$37:$D$52")),0))))</f>
        <v/>
      </c>
      <c r="AC59" s="129">
        <f>IF($G$4="",0,AC58+IF(W59&gt;'General Information'!$D$33,0,IF(W59=0,$J$4,IFERROR(SUMIF(INDIRECT("'"&amp;$G$4&amp;"'!$C$37:$C$52"),W59,INDIRECT("'"&amp;$G$4&amp;"'!$E$37:$E$52")),0))))</f>
        <v/>
      </c>
      <c r="AD59" s="129">
        <f>IF($G$5="",0,AD58+IF(W59&gt;'General Information'!$D$33,0,IF(W59=0,$J$5,IFERROR(SUMIF(INDIRECT("'"&amp;$G$5&amp;"'!$C$37:$C$52"),W59,INDIRECT("'"&amp;$G$5&amp;"'!$E$37:$E$52")),0))))</f>
        <v/>
      </c>
      <c r="AE59" s="129">
        <f>IF($G$6="",0,AE58+IF(W59&gt;'General Information'!$D$33,0,IF(W59=0,$J$6,IFERROR(SUMIF(INDIRECT("'"&amp;$G$6&amp;"'!$C$37:$C$52"),W59,INDIRECT("'"&amp;$G$6&amp;"'!$E$37:$E$52")),0))))</f>
        <v/>
      </c>
      <c r="AF59" s="129">
        <f>IF($G$7="",0,AF58+IF(W59&gt;'General Information'!$D$33,0,IF(W59=0,$J$7,IFERROR(SUMIF(INDIRECT("'"&amp;$G$7&amp;"'!$C$37:$C$52"),W59,INDIRECT("'"&amp;$G$7&amp;"'!$E$37:$E$52")),0))))</f>
        <v/>
      </c>
      <c r="AG59" s="133">
        <f>IF($G$4="",0,IF(W59&gt;'General Information'!$D$33,0,IFERROR(SUMIFS(INDIRECT("'"&amp;$G$4&amp;"'!$D$37:$D$52"),INDIRECT("'"&amp;$G$4&amp;"'!$C$37:$C$52"),W59,INDIRECT("'"&amp;$G$4&amp;"'!$B$37:$B$52"),"*Indirect*")/INDIRECT("'"&amp;$G$4&amp;"'!$F$2"),0)))</f>
        <v/>
      </c>
      <c r="AH59" s="133">
        <f>IF($G$5="",0,IF(W59&gt;'General Information'!$D$33,0,IFERROR(SUMIFS(INDIRECT("'"&amp;$G$5&amp;"'!$D$37:$D$52"),INDIRECT("'"&amp;$G$5&amp;"'!$C$37:$C$52"),W59,INDIRECT("'"&amp;$G$5&amp;"'!$B$37:$B$52"),"*Indirect*")/INDIRECT("'"&amp;$G$5&amp;"'!$F$2"),0)))</f>
        <v/>
      </c>
      <c r="AI59" s="133">
        <f>IF($G$6="",0,IF(W59&gt;'General Information'!$D$33,0,IFERROR(SUMIFS(INDIRECT("'"&amp;$G$6&amp;"'!$D$37:$D$52"),INDIRECT("'"&amp;$G$6&amp;"'!$C$37:$C$52"),W59,INDIRECT("'"&amp;$G$6&amp;"'!$B$37:$B$52"),"*Indirect*")/INDIRECT("'"&amp;$G$6&amp;"'!$F$2"),0)))</f>
        <v/>
      </c>
      <c r="AJ59" s="133">
        <f>IF($G$7="",0,IF(W59&gt;'General Information'!$D$33,0,IFERROR(SUMIFS(INDIRECT("'"&amp;$G$7&amp;"'!$D$37:$D$52"),INDIRECT("'"&amp;$G$7&amp;"'!$C$37:$C$52"),W59,INDIRECT("'"&amp;$G$7&amp;"'!$B$37:$B$52"),"*Indirect*")/INDIRECT("'"&amp;$G$7&amp;"'!$F$2"),0)))</f>
        <v/>
      </c>
    </row>
    <row r="60">
      <c r="W60" s="128" t="n">
        <v>19</v>
      </c>
      <c r="X60" s="128">
        <f>'General Information'!$D$25+W60</f>
        <v/>
      </c>
      <c r="Y60" s="129">
        <f>IF($G$4="",0,IF(W60&gt;'General Information'!$D$33,0,IF(W60=0,$J$4,IFERROR(SUMIF(INDIRECT("'"&amp;$G$4&amp;"'!$C$37:$C$52"),W60,INDIRECT("'"&amp;$G$4&amp;"'!$D$37:$D$52")),0))))</f>
        <v/>
      </c>
      <c r="Z60" s="129">
        <f>IF($G$5="",0,IF(W60&gt;'General Information'!$D$33,0,IF(W60=0,$J$5,IFERROR(SUMIF(INDIRECT("'"&amp;$G$5&amp;"'!$C$37:$C$52"),W60,INDIRECT("'"&amp;$G$5&amp;"'!$D$37:$D$52")),0))))</f>
        <v/>
      </c>
      <c r="AA60" s="129">
        <f>IF($G$6="",0,IF(W60&gt;'General Information'!$D$33,0,IF(W60=0,$J$6,IFERROR(SUMIF(INDIRECT("'"&amp;$G$6&amp;"'!$C$37:$C$52"),W60,INDIRECT("'"&amp;$G$6&amp;"'!$D$37:$D$52")),0))))</f>
        <v/>
      </c>
      <c r="AB60" s="129">
        <f>IF($G$7="",0,IF(W60&gt;'General Information'!$D$33,0,IF(W60=0,$J$7,IFERROR(SUMIF(INDIRECT("'"&amp;$G$7&amp;"'!$C$37:$C$52"),W60,INDIRECT("'"&amp;$G$7&amp;"'!$D$37:$D$52")),0))))</f>
        <v/>
      </c>
      <c r="AC60" s="129">
        <f>IF($G$4="",0,AC59+IF(W60&gt;'General Information'!$D$33,0,IF(W60=0,$J$4,IFERROR(SUMIF(INDIRECT("'"&amp;$G$4&amp;"'!$C$37:$C$52"),W60,INDIRECT("'"&amp;$G$4&amp;"'!$E$37:$E$52")),0))))</f>
        <v/>
      </c>
      <c r="AD60" s="129">
        <f>IF($G$5="",0,AD59+IF(W60&gt;'General Information'!$D$33,0,IF(W60=0,$J$5,IFERROR(SUMIF(INDIRECT("'"&amp;$G$5&amp;"'!$C$37:$C$52"),W60,INDIRECT("'"&amp;$G$5&amp;"'!$E$37:$E$52")),0))))</f>
        <v/>
      </c>
      <c r="AE60" s="129">
        <f>IF($G$6="",0,AE59+IF(W60&gt;'General Information'!$D$33,0,IF(W60=0,$J$6,IFERROR(SUMIF(INDIRECT("'"&amp;$G$6&amp;"'!$C$37:$C$52"),W60,INDIRECT("'"&amp;$G$6&amp;"'!$E$37:$E$52")),0))))</f>
        <v/>
      </c>
      <c r="AF60" s="129">
        <f>IF($G$7="",0,AF59+IF(W60&gt;'General Information'!$D$33,0,IF(W60=0,$J$7,IFERROR(SUMIF(INDIRECT("'"&amp;$G$7&amp;"'!$C$37:$C$52"),W60,INDIRECT("'"&amp;$G$7&amp;"'!$E$37:$E$52")),0))))</f>
        <v/>
      </c>
      <c r="AG60" s="133">
        <f>IF($G$4="",0,IF(W60&gt;'General Information'!$D$33,0,IFERROR(SUMIFS(INDIRECT("'"&amp;$G$4&amp;"'!$D$37:$D$52"),INDIRECT("'"&amp;$G$4&amp;"'!$C$37:$C$52"),W60,INDIRECT("'"&amp;$G$4&amp;"'!$B$37:$B$52"),"*Indirect*")/INDIRECT("'"&amp;$G$4&amp;"'!$F$2"),0)))</f>
        <v/>
      </c>
      <c r="AH60" s="133">
        <f>IF($G$5="",0,IF(W60&gt;'General Information'!$D$33,0,IFERROR(SUMIFS(INDIRECT("'"&amp;$G$5&amp;"'!$D$37:$D$52"),INDIRECT("'"&amp;$G$5&amp;"'!$C$37:$C$52"),W60,INDIRECT("'"&amp;$G$5&amp;"'!$B$37:$B$52"),"*Indirect*")/INDIRECT("'"&amp;$G$5&amp;"'!$F$2"),0)))</f>
        <v/>
      </c>
      <c r="AI60" s="133">
        <f>IF($G$6="",0,IF(W60&gt;'General Information'!$D$33,0,IFERROR(SUMIFS(INDIRECT("'"&amp;$G$6&amp;"'!$D$37:$D$52"),INDIRECT("'"&amp;$G$6&amp;"'!$C$37:$C$52"),W60,INDIRECT("'"&amp;$G$6&amp;"'!$B$37:$B$52"),"*Indirect*")/INDIRECT("'"&amp;$G$6&amp;"'!$F$2"),0)))</f>
        <v/>
      </c>
      <c r="AJ60" s="133">
        <f>IF($G$7="",0,IF(W60&gt;'General Information'!$D$33,0,IFERROR(SUMIFS(INDIRECT("'"&amp;$G$7&amp;"'!$D$37:$D$52"),INDIRECT("'"&amp;$G$7&amp;"'!$C$37:$C$52"),W60,INDIRECT("'"&amp;$G$7&amp;"'!$B$37:$B$52"),"*Indirect*")/INDIRECT("'"&amp;$G$7&amp;"'!$F$2"),0)))</f>
        <v/>
      </c>
    </row>
    <row r="61">
      <c r="W61" s="128" t="n">
        <v>20</v>
      </c>
      <c r="X61" s="128">
        <f>'General Information'!$D$25+W61</f>
        <v/>
      </c>
      <c r="Y61" s="129">
        <f>IF($G$4="",0,IF(W61&gt;'General Information'!$D$33,0,IF(W61=0,$J$4,IFERROR(SUMIF(INDIRECT("'"&amp;$G$4&amp;"'!$C$37:$C$52"),W61,INDIRECT("'"&amp;$G$4&amp;"'!$D$37:$D$52")),0))))</f>
        <v/>
      </c>
      <c r="Z61" s="129">
        <f>IF($G$5="",0,IF(W61&gt;'General Information'!$D$33,0,IF(W61=0,$J$5,IFERROR(SUMIF(INDIRECT("'"&amp;$G$5&amp;"'!$C$37:$C$52"),W61,INDIRECT("'"&amp;$G$5&amp;"'!$D$37:$D$52")),0))))</f>
        <v/>
      </c>
      <c r="AA61" s="129">
        <f>IF($G$6="",0,IF(W61&gt;'General Information'!$D$33,0,IF(W61=0,$J$6,IFERROR(SUMIF(INDIRECT("'"&amp;$G$6&amp;"'!$C$37:$C$52"),W61,INDIRECT("'"&amp;$G$6&amp;"'!$D$37:$D$52")),0))))</f>
        <v/>
      </c>
      <c r="AB61" s="129">
        <f>IF($G$7="",0,IF(W61&gt;'General Information'!$D$33,0,IF(W61=0,$J$7,IFERROR(SUMIF(INDIRECT("'"&amp;$G$7&amp;"'!$C$37:$C$52"),W61,INDIRECT("'"&amp;$G$7&amp;"'!$D$37:$D$52")),0))))</f>
        <v/>
      </c>
      <c r="AC61" s="129">
        <f>IF($G$4="",0,AC60+IF(W61&gt;'General Information'!$D$33,0,IF(W61=0,$J$4,IFERROR(SUMIF(INDIRECT("'"&amp;$G$4&amp;"'!$C$37:$C$52"),W61,INDIRECT("'"&amp;$G$4&amp;"'!$E$37:$E$52")),0))))</f>
        <v/>
      </c>
      <c r="AD61" s="129">
        <f>IF($G$5="",0,AD60+IF(W61&gt;'General Information'!$D$33,0,IF(W61=0,$J$5,IFERROR(SUMIF(INDIRECT("'"&amp;$G$5&amp;"'!$C$37:$C$52"),W61,INDIRECT("'"&amp;$G$5&amp;"'!$E$37:$E$52")),0))))</f>
        <v/>
      </c>
      <c r="AE61" s="129">
        <f>IF($G$6="",0,AE60+IF(W61&gt;'General Information'!$D$33,0,IF(W61=0,$J$6,IFERROR(SUMIF(INDIRECT("'"&amp;$G$6&amp;"'!$C$37:$C$52"),W61,INDIRECT("'"&amp;$G$6&amp;"'!$E$37:$E$52")),0))))</f>
        <v/>
      </c>
      <c r="AF61" s="129">
        <f>IF($G$7="",0,AF60+IF(W61&gt;'General Information'!$D$33,0,IF(W61=0,$J$7,IFERROR(SUMIF(INDIRECT("'"&amp;$G$7&amp;"'!$C$37:$C$52"),W61,INDIRECT("'"&amp;$G$7&amp;"'!$E$37:$E$52")),0))))</f>
        <v/>
      </c>
      <c r="AG61" s="133">
        <f>IF($G$4="",0,IF(W61&gt;'General Information'!$D$33,0,IFERROR(SUMIFS(INDIRECT("'"&amp;$G$4&amp;"'!$D$37:$D$52"),INDIRECT("'"&amp;$G$4&amp;"'!$C$37:$C$52"),W61,INDIRECT("'"&amp;$G$4&amp;"'!$B$37:$B$52"),"*Indirect*")/INDIRECT("'"&amp;$G$4&amp;"'!$F$2"),0)))</f>
        <v/>
      </c>
      <c r="AH61" s="133">
        <f>IF($G$5="",0,IF(W61&gt;'General Information'!$D$33,0,IFERROR(SUMIFS(INDIRECT("'"&amp;$G$5&amp;"'!$D$37:$D$52"),INDIRECT("'"&amp;$G$5&amp;"'!$C$37:$C$52"),W61,INDIRECT("'"&amp;$G$5&amp;"'!$B$37:$B$52"),"*Indirect*")/INDIRECT("'"&amp;$G$5&amp;"'!$F$2"),0)))</f>
        <v/>
      </c>
      <c r="AI61" s="133">
        <f>IF($G$6="",0,IF(W61&gt;'General Information'!$D$33,0,IFERROR(SUMIFS(INDIRECT("'"&amp;$G$6&amp;"'!$D$37:$D$52"),INDIRECT("'"&amp;$G$6&amp;"'!$C$37:$C$52"),W61,INDIRECT("'"&amp;$G$6&amp;"'!$B$37:$B$52"),"*Indirect*")/INDIRECT("'"&amp;$G$6&amp;"'!$F$2"),0)))</f>
        <v/>
      </c>
      <c r="AJ61" s="133">
        <f>IF($G$7="",0,IF(W61&gt;'General Information'!$D$33,0,IFERROR(SUMIFS(INDIRECT("'"&amp;$G$7&amp;"'!$D$37:$D$52"),INDIRECT("'"&amp;$G$7&amp;"'!$C$37:$C$52"),W61,INDIRECT("'"&amp;$G$7&amp;"'!$B$37:$B$52"),"*Indirect*")/INDIRECT("'"&amp;$G$7&amp;"'!$F$2"),0)))</f>
        <v/>
      </c>
    </row>
    <row r="62">
      <c r="W62" s="128" t="n">
        <v>21</v>
      </c>
      <c r="X62" s="128">
        <f>'General Information'!$D$25+W62</f>
        <v/>
      </c>
      <c r="Y62" s="129">
        <f>IF($G$4="",0,IF(W62&gt;'General Information'!$D$33,0,IF(W62=0,$J$4,IFERROR(SUMIF(INDIRECT("'"&amp;$G$4&amp;"'!$C$37:$C$52"),W62,INDIRECT("'"&amp;$G$4&amp;"'!$D$37:$D$52")),0))))</f>
        <v/>
      </c>
      <c r="Z62" s="129">
        <f>IF($G$5="",0,IF(W62&gt;'General Information'!$D$33,0,IF(W62=0,$J$5,IFERROR(SUMIF(INDIRECT("'"&amp;$G$5&amp;"'!$C$37:$C$52"),W62,INDIRECT("'"&amp;$G$5&amp;"'!$D$37:$D$52")),0))))</f>
        <v/>
      </c>
      <c r="AA62" s="129">
        <f>IF($G$6="",0,IF(W62&gt;'General Information'!$D$33,0,IF(W62=0,$J$6,IFERROR(SUMIF(INDIRECT("'"&amp;$G$6&amp;"'!$C$37:$C$52"),W62,INDIRECT("'"&amp;$G$6&amp;"'!$D$37:$D$52")),0))))</f>
        <v/>
      </c>
      <c r="AB62" s="129">
        <f>IF($G$7="",0,IF(W62&gt;'General Information'!$D$33,0,IF(W62=0,$J$7,IFERROR(SUMIF(INDIRECT("'"&amp;$G$7&amp;"'!$C$37:$C$52"),W62,INDIRECT("'"&amp;$G$7&amp;"'!$D$37:$D$52")),0))))</f>
        <v/>
      </c>
      <c r="AC62" s="129">
        <f>IF($G$4="",0,AC61+IF(W62&gt;'General Information'!$D$33,0,IF(W62=0,$J$4,IFERROR(SUMIF(INDIRECT("'"&amp;$G$4&amp;"'!$C$37:$C$52"),W62,INDIRECT("'"&amp;$G$4&amp;"'!$E$37:$E$52")),0))))</f>
        <v/>
      </c>
      <c r="AD62" s="129">
        <f>IF($G$5="",0,AD61+IF(W62&gt;'General Information'!$D$33,0,IF(W62=0,$J$5,IFERROR(SUMIF(INDIRECT("'"&amp;$G$5&amp;"'!$C$37:$C$52"),W62,INDIRECT("'"&amp;$G$5&amp;"'!$E$37:$E$52")),0))))</f>
        <v/>
      </c>
      <c r="AE62" s="129">
        <f>IF($G$6="",0,AE61+IF(W62&gt;'General Information'!$D$33,0,IF(W62=0,$J$6,IFERROR(SUMIF(INDIRECT("'"&amp;$G$6&amp;"'!$C$37:$C$52"),W62,INDIRECT("'"&amp;$G$6&amp;"'!$E$37:$E$52")),0))))</f>
        <v/>
      </c>
      <c r="AF62" s="129">
        <f>IF($G$7="",0,AF61+IF(W62&gt;'General Information'!$D$33,0,IF(W62=0,$J$7,IFERROR(SUMIF(INDIRECT("'"&amp;$G$7&amp;"'!$C$37:$C$52"),W62,INDIRECT("'"&amp;$G$7&amp;"'!$E$37:$E$52")),0))))</f>
        <v/>
      </c>
      <c r="AG62" s="133">
        <f>IF($G$4="",0,IF(W62&gt;'General Information'!$D$33,0,IFERROR(SUMIFS(INDIRECT("'"&amp;$G$4&amp;"'!$D$37:$D$52"),INDIRECT("'"&amp;$G$4&amp;"'!$C$37:$C$52"),W62,INDIRECT("'"&amp;$G$4&amp;"'!$B$37:$B$52"),"*Indirect*")/INDIRECT("'"&amp;$G$4&amp;"'!$F$2"),0)))</f>
        <v/>
      </c>
      <c r="AH62" s="133">
        <f>IF($G$5="",0,IF(W62&gt;'General Information'!$D$33,0,IFERROR(SUMIFS(INDIRECT("'"&amp;$G$5&amp;"'!$D$37:$D$52"),INDIRECT("'"&amp;$G$5&amp;"'!$C$37:$C$52"),W62,INDIRECT("'"&amp;$G$5&amp;"'!$B$37:$B$52"),"*Indirect*")/INDIRECT("'"&amp;$G$5&amp;"'!$F$2"),0)))</f>
        <v/>
      </c>
      <c r="AI62" s="133">
        <f>IF($G$6="",0,IF(W62&gt;'General Information'!$D$33,0,IFERROR(SUMIFS(INDIRECT("'"&amp;$G$6&amp;"'!$D$37:$D$52"),INDIRECT("'"&amp;$G$6&amp;"'!$C$37:$C$52"),W62,INDIRECT("'"&amp;$G$6&amp;"'!$B$37:$B$52"),"*Indirect*")/INDIRECT("'"&amp;$G$6&amp;"'!$F$2"),0)))</f>
        <v/>
      </c>
      <c r="AJ62" s="133">
        <f>IF($G$7="",0,IF(W62&gt;'General Information'!$D$33,0,IFERROR(SUMIFS(INDIRECT("'"&amp;$G$7&amp;"'!$D$37:$D$52"),INDIRECT("'"&amp;$G$7&amp;"'!$C$37:$C$52"),W62,INDIRECT("'"&amp;$G$7&amp;"'!$B$37:$B$52"),"*Indirect*")/INDIRECT("'"&amp;$G$7&amp;"'!$F$2"),0)))</f>
        <v/>
      </c>
    </row>
    <row r="63">
      <c r="W63" s="128" t="n">
        <v>22</v>
      </c>
      <c r="X63" s="128">
        <f>'General Information'!$D$25+W63</f>
        <v/>
      </c>
      <c r="Y63" s="129">
        <f>IF($G$4="",0,IF(W63&gt;'General Information'!$D$33,0,IF(W63=0,$J$4,IFERROR(SUMIF(INDIRECT("'"&amp;$G$4&amp;"'!$C$37:$C$52"),W63,INDIRECT("'"&amp;$G$4&amp;"'!$D$37:$D$52")),0))))</f>
        <v/>
      </c>
      <c r="Z63" s="129">
        <f>IF($G$5="",0,IF(W63&gt;'General Information'!$D$33,0,IF(W63=0,$J$5,IFERROR(SUMIF(INDIRECT("'"&amp;$G$5&amp;"'!$C$37:$C$52"),W63,INDIRECT("'"&amp;$G$5&amp;"'!$D$37:$D$52")),0))))</f>
        <v/>
      </c>
      <c r="AA63" s="129">
        <f>IF($G$6="",0,IF(W63&gt;'General Information'!$D$33,0,IF(W63=0,$J$6,IFERROR(SUMIF(INDIRECT("'"&amp;$G$6&amp;"'!$C$37:$C$52"),W63,INDIRECT("'"&amp;$G$6&amp;"'!$D$37:$D$52")),0))))</f>
        <v/>
      </c>
      <c r="AB63" s="129">
        <f>IF($G$7="",0,IF(W63&gt;'General Information'!$D$33,0,IF(W63=0,$J$7,IFERROR(SUMIF(INDIRECT("'"&amp;$G$7&amp;"'!$C$37:$C$52"),W63,INDIRECT("'"&amp;$G$7&amp;"'!$D$37:$D$52")),0))))</f>
        <v/>
      </c>
      <c r="AC63" s="129">
        <f>IF($G$4="",0,AC62+IF(W63&gt;'General Information'!$D$33,0,IF(W63=0,$J$4,IFERROR(SUMIF(INDIRECT("'"&amp;$G$4&amp;"'!$C$37:$C$52"),W63,INDIRECT("'"&amp;$G$4&amp;"'!$E$37:$E$52")),0))))</f>
        <v/>
      </c>
      <c r="AD63" s="129">
        <f>IF($G$5="",0,AD62+IF(W63&gt;'General Information'!$D$33,0,IF(W63=0,$J$5,IFERROR(SUMIF(INDIRECT("'"&amp;$G$5&amp;"'!$C$37:$C$52"),W63,INDIRECT("'"&amp;$G$5&amp;"'!$E$37:$E$52")),0))))</f>
        <v/>
      </c>
      <c r="AE63" s="129">
        <f>IF($G$6="",0,AE62+IF(W63&gt;'General Information'!$D$33,0,IF(W63=0,$J$6,IFERROR(SUMIF(INDIRECT("'"&amp;$G$6&amp;"'!$C$37:$C$52"),W63,INDIRECT("'"&amp;$G$6&amp;"'!$E$37:$E$52")),0))))</f>
        <v/>
      </c>
      <c r="AF63" s="129">
        <f>IF($G$7="",0,AF62+IF(W63&gt;'General Information'!$D$33,0,IF(W63=0,$J$7,IFERROR(SUMIF(INDIRECT("'"&amp;$G$7&amp;"'!$C$37:$C$52"),W63,INDIRECT("'"&amp;$G$7&amp;"'!$E$37:$E$52")),0))))</f>
        <v/>
      </c>
      <c r="AG63" s="133">
        <f>IF($G$4="",0,IF(W63&gt;'General Information'!$D$33,0,IFERROR(SUMIFS(INDIRECT("'"&amp;$G$4&amp;"'!$D$37:$D$52"),INDIRECT("'"&amp;$G$4&amp;"'!$C$37:$C$52"),W63,INDIRECT("'"&amp;$G$4&amp;"'!$B$37:$B$52"),"*Indirect*")/INDIRECT("'"&amp;$G$4&amp;"'!$F$2"),0)))</f>
        <v/>
      </c>
      <c r="AH63" s="133">
        <f>IF($G$5="",0,IF(W63&gt;'General Information'!$D$33,0,IFERROR(SUMIFS(INDIRECT("'"&amp;$G$5&amp;"'!$D$37:$D$52"),INDIRECT("'"&amp;$G$5&amp;"'!$C$37:$C$52"),W63,INDIRECT("'"&amp;$G$5&amp;"'!$B$37:$B$52"),"*Indirect*")/INDIRECT("'"&amp;$G$5&amp;"'!$F$2"),0)))</f>
        <v/>
      </c>
      <c r="AI63" s="133">
        <f>IF($G$6="",0,IF(W63&gt;'General Information'!$D$33,0,IFERROR(SUMIFS(INDIRECT("'"&amp;$G$6&amp;"'!$D$37:$D$52"),INDIRECT("'"&amp;$G$6&amp;"'!$C$37:$C$52"),W63,INDIRECT("'"&amp;$G$6&amp;"'!$B$37:$B$52"),"*Indirect*")/INDIRECT("'"&amp;$G$6&amp;"'!$F$2"),0)))</f>
        <v/>
      </c>
      <c r="AJ63" s="133">
        <f>IF($G$7="",0,IF(W63&gt;'General Information'!$D$33,0,IFERROR(SUMIFS(INDIRECT("'"&amp;$G$7&amp;"'!$D$37:$D$52"),INDIRECT("'"&amp;$G$7&amp;"'!$C$37:$C$52"),W63,INDIRECT("'"&amp;$G$7&amp;"'!$B$37:$B$52"),"*Indirect*")/INDIRECT("'"&amp;$G$7&amp;"'!$F$2"),0)))</f>
        <v/>
      </c>
    </row>
    <row r="64">
      <c r="W64" s="128" t="n">
        <v>23</v>
      </c>
      <c r="X64" s="128">
        <f>'General Information'!$D$25+W64</f>
        <v/>
      </c>
      <c r="Y64" s="129">
        <f>IF($G$4="",0,IF(W64&gt;'General Information'!$D$33,0,IF(W64=0,$J$4,IFERROR(SUMIF(INDIRECT("'"&amp;$G$4&amp;"'!$C$37:$C$52"),W64,INDIRECT("'"&amp;$G$4&amp;"'!$D$37:$D$52")),0))))</f>
        <v/>
      </c>
      <c r="Z64" s="129">
        <f>IF($G$5="",0,IF(W64&gt;'General Information'!$D$33,0,IF(W64=0,$J$5,IFERROR(SUMIF(INDIRECT("'"&amp;$G$5&amp;"'!$C$37:$C$52"),W64,INDIRECT("'"&amp;$G$5&amp;"'!$D$37:$D$52")),0))))</f>
        <v/>
      </c>
      <c r="AA64" s="129">
        <f>IF($G$6="",0,IF(W64&gt;'General Information'!$D$33,0,IF(W64=0,$J$6,IFERROR(SUMIF(INDIRECT("'"&amp;$G$6&amp;"'!$C$37:$C$52"),W64,INDIRECT("'"&amp;$G$6&amp;"'!$D$37:$D$52")),0))))</f>
        <v/>
      </c>
      <c r="AB64" s="129">
        <f>IF($G$7="",0,IF(W64&gt;'General Information'!$D$33,0,IF(W64=0,$J$7,IFERROR(SUMIF(INDIRECT("'"&amp;$G$7&amp;"'!$C$37:$C$52"),W64,INDIRECT("'"&amp;$G$7&amp;"'!$D$37:$D$52")),0))))</f>
        <v/>
      </c>
      <c r="AC64" s="129">
        <f>IF($G$4="",0,AC63+IF(W64&gt;'General Information'!$D$33,0,IF(W64=0,$J$4,IFERROR(SUMIF(INDIRECT("'"&amp;$G$4&amp;"'!$C$37:$C$52"),W64,INDIRECT("'"&amp;$G$4&amp;"'!$E$37:$E$52")),0))))</f>
        <v/>
      </c>
      <c r="AD64" s="129">
        <f>IF($G$5="",0,AD63+IF(W64&gt;'General Information'!$D$33,0,IF(W64=0,$J$5,IFERROR(SUMIF(INDIRECT("'"&amp;$G$5&amp;"'!$C$37:$C$52"),W64,INDIRECT("'"&amp;$G$5&amp;"'!$E$37:$E$52")),0))))</f>
        <v/>
      </c>
      <c r="AE64" s="129">
        <f>IF($G$6="",0,AE63+IF(W64&gt;'General Information'!$D$33,0,IF(W64=0,$J$6,IFERROR(SUMIF(INDIRECT("'"&amp;$G$6&amp;"'!$C$37:$C$52"),W64,INDIRECT("'"&amp;$G$6&amp;"'!$E$37:$E$52")),0))))</f>
        <v/>
      </c>
      <c r="AF64" s="129">
        <f>IF($G$7="",0,AF63+IF(W64&gt;'General Information'!$D$33,0,IF(W64=0,$J$7,IFERROR(SUMIF(INDIRECT("'"&amp;$G$7&amp;"'!$C$37:$C$52"),W64,INDIRECT("'"&amp;$G$7&amp;"'!$E$37:$E$52")),0))))</f>
        <v/>
      </c>
      <c r="AG64" s="133">
        <f>IF($G$4="",0,IF(W64&gt;'General Information'!$D$33,0,IFERROR(SUMIFS(INDIRECT("'"&amp;$G$4&amp;"'!$D$37:$D$52"),INDIRECT("'"&amp;$G$4&amp;"'!$C$37:$C$52"),W64,INDIRECT("'"&amp;$G$4&amp;"'!$B$37:$B$52"),"*Indirect*")/INDIRECT("'"&amp;$G$4&amp;"'!$F$2"),0)))</f>
        <v/>
      </c>
      <c r="AH64" s="133">
        <f>IF($G$5="",0,IF(W64&gt;'General Information'!$D$33,0,IFERROR(SUMIFS(INDIRECT("'"&amp;$G$5&amp;"'!$D$37:$D$52"),INDIRECT("'"&amp;$G$5&amp;"'!$C$37:$C$52"),W64,INDIRECT("'"&amp;$G$5&amp;"'!$B$37:$B$52"),"*Indirect*")/INDIRECT("'"&amp;$G$5&amp;"'!$F$2"),0)))</f>
        <v/>
      </c>
      <c r="AI64" s="133">
        <f>IF($G$6="",0,IF(W64&gt;'General Information'!$D$33,0,IFERROR(SUMIFS(INDIRECT("'"&amp;$G$6&amp;"'!$D$37:$D$52"),INDIRECT("'"&amp;$G$6&amp;"'!$C$37:$C$52"),W64,INDIRECT("'"&amp;$G$6&amp;"'!$B$37:$B$52"),"*Indirect*")/INDIRECT("'"&amp;$G$6&amp;"'!$F$2"),0)))</f>
        <v/>
      </c>
      <c r="AJ64" s="133">
        <f>IF($G$7="",0,IF(W64&gt;'General Information'!$D$33,0,IFERROR(SUMIFS(INDIRECT("'"&amp;$G$7&amp;"'!$D$37:$D$52"),INDIRECT("'"&amp;$G$7&amp;"'!$C$37:$C$52"),W64,INDIRECT("'"&amp;$G$7&amp;"'!$B$37:$B$52"),"*Indirect*")/INDIRECT("'"&amp;$G$7&amp;"'!$F$2"),0)))</f>
        <v/>
      </c>
    </row>
    <row r="65">
      <c r="W65" s="128" t="n">
        <v>24</v>
      </c>
      <c r="X65" s="128">
        <f>'General Information'!$D$25+W65</f>
        <v/>
      </c>
      <c r="Y65" s="129">
        <f>IF($G$4="",0,IF(W65&gt;'General Information'!$D$33,0,IF(W65=0,$J$4,IFERROR(SUMIF(INDIRECT("'"&amp;$G$4&amp;"'!$C$37:$C$52"),W65,INDIRECT("'"&amp;$G$4&amp;"'!$D$37:$D$52")),0))))</f>
        <v/>
      </c>
      <c r="Z65" s="129">
        <f>IF($G$5="",0,IF(W65&gt;'General Information'!$D$33,0,IF(W65=0,$J$5,IFERROR(SUMIF(INDIRECT("'"&amp;$G$5&amp;"'!$C$37:$C$52"),W65,INDIRECT("'"&amp;$G$5&amp;"'!$D$37:$D$52")),0))))</f>
        <v/>
      </c>
      <c r="AA65" s="129">
        <f>IF($G$6="",0,IF(W65&gt;'General Information'!$D$33,0,IF(W65=0,$J$6,IFERROR(SUMIF(INDIRECT("'"&amp;$G$6&amp;"'!$C$37:$C$52"),W65,INDIRECT("'"&amp;$G$6&amp;"'!$D$37:$D$52")),0))))</f>
        <v/>
      </c>
      <c r="AB65" s="129">
        <f>IF($G$7="",0,IF(W65&gt;'General Information'!$D$33,0,IF(W65=0,$J$7,IFERROR(SUMIF(INDIRECT("'"&amp;$G$7&amp;"'!$C$37:$C$52"),W65,INDIRECT("'"&amp;$G$7&amp;"'!$D$37:$D$52")),0))))</f>
        <v/>
      </c>
      <c r="AC65" s="129">
        <f>IF($G$4="",0,AC64+IF(W65&gt;'General Information'!$D$33,0,IF(W65=0,$J$4,IFERROR(SUMIF(INDIRECT("'"&amp;$G$4&amp;"'!$C$37:$C$52"),W65,INDIRECT("'"&amp;$G$4&amp;"'!$E$37:$E$52")),0))))</f>
        <v/>
      </c>
      <c r="AD65" s="129">
        <f>IF($G$5="",0,AD64+IF(W65&gt;'General Information'!$D$33,0,IF(W65=0,$J$5,IFERROR(SUMIF(INDIRECT("'"&amp;$G$5&amp;"'!$C$37:$C$52"),W65,INDIRECT("'"&amp;$G$5&amp;"'!$E$37:$E$52")),0))))</f>
        <v/>
      </c>
      <c r="AE65" s="129">
        <f>IF($G$6="",0,AE64+IF(W65&gt;'General Information'!$D$33,0,IF(W65=0,$J$6,IFERROR(SUMIF(INDIRECT("'"&amp;$G$6&amp;"'!$C$37:$C$52"),W65,INDIRECT("'"&amp;$G$6&amp;"'!$E$37:$E$52")),0))))</f>
        <v/>
      </c>
      <c r="AF65" s="129">
        <f>IF($G$7="",0,AF64+IF(W65&gt;'General Information'!$D$33,0,IF(W65=0,$J$7,IFERROR(SUMIF(INDIRECT("'"&amp;$G$7&amp;"'!$C$37:$C$52"),W65,INDIRECT("'"&amp;$G$7&amp;"'!$E$37:$E$52")),0))))</f>
        <v/>
      </c>
      <c r="AG65" s="133">
        <f>IF($G$4="",0,IF(W65&gt;'General Information'!$D$33,0,IFERROR(SUMIFS(INDIRECT("'"&amp;$G$4&amp;"'!$D$37:$D$52"),INDIRECT("'"&amp;$G$4&amp;"'!$C$37:$C$52"),W65,INDIRECT("'"&amp;$G$4&amp;"'!$B$37:$B$52"),"*Indirect*")/INDIRECT("'"&amp;$G$4&amp;"'!$F$2"),0)))</f>
        <v/>
      </c>
      <c r="AH65" s="133">
        <f>IF($G$5="",0,IF(W65&gt;'General Information'!$D$33,0,IFERROR(SUMIFS(INDIRECT("'"&amp;$G$5&amp;"'!$D$37:$D$52"),INDIRECT("'"&amp;$G$5&amp;"'!$C$37:$C$52"),W65,INDIRECT("'"&amp;$G$5&amp;"'!$B$37:$B$52"),"*Indirect*")/INDIRECT("'"&amp;$G$5&amp;"'!$F$2"),0)))</f>
        <v/>
      </c>
      <c r="AI65" s="133">
        <f>IF($G$6="",0,IF(W65&gt;'General Information'!$D$33,0,IFERROR(SUMIFS(INDIRECT("'"&amp;$G$6&amp;"'!$D$37:$D$52"),INDIRECT("'"&amp;$G$6&amp;"'!$C$37:$C$52"),W65,INDIRECT("'"&amp;$G$6&amp;"'!$B$37:$B$52"),"*Indirect*")/INDIRECT("'"&amp;$G$6&amp;"'!$F$2"),0)))</f>
        <v/>
      </c>
      <c r="AJ65" s="133">
        <f>IF($G$7="",0,IF(W65&gt;'General Information'!$D$33,0,IFERROR(SUMIFS(INDIRECT("'"&amp;$G$7&amp;"'!$D$37:$D$52"),INDIRECT("'"&amp;$G$7&amp;"'!$C$37:$C$52"),W65,INDIRECT("'"&amp;$G$7&amp;"'!$B$37:$B$52"),"*Indirect*")/INDIRECT("'"&amp;$G$7&amp;"'!$F$2"),0)))</f>
        <v/>
      </c>
    </row>
    <row r="66">
      <c r="W66" s="128" t="n">
        <v>25</v>
      </c>
      <c r="X66" s="128">
        <f>'General Information'!$D$25+W66</f>
        <v/>
      </c>
      <c r="Y66" s="129">
        <f>IF($G$4="",0,IF(W66&gt;'General Information'!$D$33,0,IF(W66=0,$J$4,IFERROR(SUMIF(INDIRECT("'"&amp;$G$4&amp;"'!$C$37:$C$52"),W66,INDIRECT("'"&amp;$G$4&amp;"'!$D$37:$D$52")),0))))</f>
        <v/>
      </c>
      <c r="Z66" s="129">
        <f>IF($G$5="",0,IF(W66&gt;'General Information'!$D$33,0,IF(W66=0,$J$5,IFERROR(SUMIF(INDIRECT("'"&amp;$G$5&amp;"'!$C$37:$C$52"),W66,INDIRECT("'"&amp;$G$5&amp;"'!$D$37:$D$52")),0))))</f>
        <v/>
      </c>
      <c r="AA66" s="129">
        <f>IF($G$6="",0,IF(W66&gt;'General Information'!$D$33,0,IF(W66=0,$J$6,IFERROR(SUMIF(INDIRECT("'"&amp;$G$6&amp;"'!$C$37:$C$52"),W66,INDIRECT("'"&amp;$G$6&amp;"'!$D$37:$D$52")),0))))</f>
        <v/>
      </c>
      <c r="AB66" s="129">
        <f>IF($G$7="",0,IF(W66&gt;'General Information'!$D$33,0,IF(W66=0,$J$7,IFERROR(SUMIF(INDIRECT("'"&amp;$G$7&amp;"'!$C$37:$C$52"),W66,INDIRECT("'"&amp;$G$7&amp;"'!$D$37:$D$52")),0))))</f>
        <v/>
      </c>
      <c r="AC66" s="129">
        <f>IF($G$4="",0,AC65+IF(W66&gt;'General Information'!$D$33,0,IF(W66=0,$J$4,IFERROR(SUMIF(INDIRECT("'"&amp;$G$4&amp;"'!$C$37:$C$52"),W66,INDIRECT("'"&amp;$G$4&amp;"'!$E$37:$E$52")),0))))</f>
        <v/>
      </c>
      <c r="AD66" s="129">
        <f>IF($G$5="",0,AD65+IF(W66&gt;'General Information'!$D$33,0,IF(W66=0,$J$5,IFERROR(SUMIF(INDIRECT("'"&amp;$G$5&amp;"'!$C$37:$C$52"),W66,INDIRECT("'"&amp;$G$5&amp;"'!$E$37:$E$52")),0))))</f>
        <v/>
      </c>
      <c r="AE66" s="129">
        <f>IF($G$6="",0,AE65+IF(W66&gt;'General Information'!$D$33,0,IF(W66=0,$J$6,IFERROR(SUMIF(INDIRECT("'"&amp;$G$6&amp;"'!$C$37:$C$52"),W66,INDIRECT("'"&amp;$G$6&amp;"'!$E$37:$E$52")),0))))</f>
        <v/>
      </c>
      <c r="AF66" s="129">
        <f>IF($G$7="",0,AF65+IF(W66&gt;'General Information'!$D$33,0,IF(W66=0,$J$7,IFERROR(SUMIF(INDIRECT("'"&amp;$G$7&amp;"'!$C$37:$C$52"),W66,INDIRECT("'"&amp;$G$7&amp;"'!$E$37:$E$52")),0))))</f>
        <v/>
      </c>
      <c r="AG66" s="133">
        <f>IF($G$4="",0,IF(W66&gt;'General Information'!$D$33,0,IFERROR(SUMIFS(INDIRECT("'"&amp;$G$4&amp;"'!$D$37:$D$52"),INDIRECT("'"&amp;$G$4&amp;"'!$C$37:$C$52"),W66,INDIRECT("'"&amp;$G$4&amp;"'!$B$37:$B$52"),"*Indirect*")/INDIRECT("'"&amp;$G$4&amp;"'!$F$2"),0)))</f>
        <v/>
      </c>
      <c r="AH66" s="133">
        <f>IF($G$5="",0,IF(W66&gt;'General Information'!$D$33,0,IFERROR(SUMIFS(INDIRECT("'"&amp;$G$5&amp;"'!$D$37:$D$52"),INDIRECT("'"&amp;$G$5&amp;"'!$C$37:$C$52"),W66,INDIRECT("'"&amp;$G$5&amp;"'!$B$37:$B$52"),"*Indirect*")/INDIRECT("'"&amp;$G$5&amp;"'!$F$2"),0)))</f>
        <v/>
      </c>
      <c r="AI66" s="133">
        <f>IF($G$6="",0,IF(W66&gt;'General Information'!$D$33,0,IFERROR(SUMIFS(INDIRECT("'"&amp;$G$6&amp;"'!$D$37:$D$52"),INDIRECT("'"&amp;$G$6&amp;"'!$C$37:$C$52"),W66,INDIRECT("'"&amp;$G$6&amp;"'!$B$37:$B$52"),"*Indirect*")/INDIRECT("'"&amp;$G$6&amp;"'!$F$2"),0)))</f>
        <v/>
      </c>
      <c r="AJ66" s="133">
        <f>IF($G$7="",0,IF(W66&gt;'General Information'!$D$33,0,IFERROR(SUMIFS(INDIRECT("'"&amp;$G$7&amp;"'!$D$37:$D$52"),INDIRECT("'"&amp;$G$7&amp;"'!$C$37:$C$52"),W66,INDIRECT("'"&amp;$G$7&amp;"'!$B$37:$B$52"),"*Indirect*")/INDIRECT("'"&amp;$G$7&amp;"'!$F$2"),0)))</f>
        <v/>
      </c>
    </row>
    <row r="67">
      <c r="W67" s="128" t="n">
        <v>26</v>
      </c>
      <c r="X67" s="128">
        <f>'General Information'!$D$25+W67</f>
        <v/>
      </c>
      <c r="Y67" s="129">
        <f>IF($G$4="",0,IF(W67&gt;'General Information'!$D$33,0,IF(W67=0,$J$4,IFERROR(SUMIF(INDIRECT("'"&amp;$G$4&amp;"'!$C$37:$C$52"),W67,INDIRECT("'"&amp;$G$4&amp;"'!$D$37:$D$52")),0))))</f>
        <v/>
      </c>
      <c r="Z67" s="129">
        <f>IF($G$5="",0,IF(W67&gt;'General Information'!$D$33,0,IF(W67=0,$J$5,IFERROR(SUMIF(INDIRECT("'"&amp;$G$5&amp;"'!$C$37:$C$52"),W67,INDIRECT("'"&amp;$G$5&amp;"'!$D$37:$D$52")),0))))</f>
        <v/>
      </c>
      <c r="AA67" s="129">
        <f>IF($G$6="",0,IF(W67&gt;'General Information'!$D$33,0,IF(W67=0,$J$6,IFERROR(SUMIF(INDIRECT("'"&amp;$G$6&amp;"'!$C$37:$C$52"),W67,INDIRECT("'"&amp;$G$6&amp;"'!$D$37:$D$52")),0))))</f>
        <v/>
      </c>
      <c r="AB67" s="129">
        <f>IF($G$7="",0,IF(W67&gt;'General Information'!$D$33,0,IF(W67=0,$J$7,IFERROR(SUMIF(INDIRECT("'"&amp;$G$7&amp;"'!$C$37:$C$52"),W67,INDIRECT("'"&amp;$G$7&amp;"'!$D$37:$D$52")),0))))</f>
        <v/>
      </c>
      <c r="AC67" s="129">
        <f>IF($G$4="",0,AC66+IF(W67&gt;'General Information'!$D$33,0,IF(W67=0,$J$4,IFERROR(SUMIF(INDIRECT("'"&amp;$G$4&amp;"'!$C$37:$C$52"),W67,INDIRECT("'"&amp;$G$4&amp;"'!$E$37:$E$52")),0))))</f>
        <v/>
      </c>
      <c r="AD67" s="129">
        <f>IF($G$5="",0,AD66+IF(W67&gt;'General Information'!$D$33,0,IF(W67=0,$J$5,IFERROR(SUMIF(INDIRECT("'"&amp;$G$5&amp;"'!$C$37:$C$52"),W67,INDIRECT("'"&amp;$G$5&amp;"'!$E$37:$E$52")),0))))</f>
        <v/>
      </c>
      <c r="AE67" s="129">
        <f>IF($G$6="",0,AE66+IF(W67&gt;'General Information'!$D$33,0,IF(W67=0,$J$6,IFERROR(SUMIF(INDIRECT("'"&amp;$G$6&amp;"'!$C$37:$C$52"),W67,INDIRECT("'"&amp;$G$6&amp;"'!$E$37:$E$52")),0))))</f>
        <v/>
      </c>
      <c r="AF67" s="129">
        <f>IF($G$7="",0,AF66+IF(W67&gt;'General Information'!$D$33,0,IF(W67=0,$J$7,IFERROR(SUMIF(INDIRECT("'"&amp;$G$7&amp;"'!$C$37:$C$52"),W67,INDIRECT("'"&amp;$G$7&amp;"'!$E$37:$E$52")),0))))</f>
        <v/>
      </c>
      <c r="AG67" s="133">
        <f>IF($G$4="",0,IF(W67&gt;'General Information'!$D$33,0,IFERROR(SUMIFS(INDIRECT("'"&amp;$G$4&amp;"'!$D$37:$D$52"),INDIRECT("'"&amp;$G$4&amp;"'!$C$37:$C$52"),W67,INDIRECT("'"&amp;$G$4&amp;"'!$B$37:$B$52"),"*Indirect*")/INDIRECT("'"&amp;$G$4&amp;"'!$F$2"),0)))</f>
        <v/>
      </c>
      <c r="AH67" s="133">
        <f>IF($G$5="",0,IF(W67&gt;'General Information'!$D$33,0,IFERROR(SUMIFS(INDIRECT("'"&amp;$G$5&amp;"'!$D$37:$D$52"),INDIRECT("'"&amp;$G$5&amp;"'!$C$37:$C$52"),W67,INDIRECT("'"&amp;$G$5&amp;"'!$B$37:$B$52"),"*Indirect*")/INDIRECT("'"&amp;$G$5&amp;"'!$F$2"),0)))</f>
        <v/>
      </c>
      <c r="AI67" s="133">
        <f>IF($G$6="",0,IF(W67&gt;'General Information'!$D$33,0,IFERROR(SUMIFS(INDIRECT("'"&amp;$G$6&amp;"'!$D$37:$D$52"),INDIRECT("'"&amp;$G$6&amp;"'!$C$37:$C$52"),W67,INDIRECT("'"&amp;$G$6&amp;"'!$B$37:$B$52"),"*Indirect*")/INDIRECT("'"&amp;$G$6&amp;"'!$F$2"),0)))</f>
        <v/>
      </c>
      <c r="AJ67" s="133">
        <f>IF($G$7="",0,IF(W67&gt;'General Information'!$D$33,0,IFERROR(SUMIFS(INDIRECT("'"&amp;$G$7&amp;"'!$D$37:$D$52"),INDIRECT("'"&amp;$G$7&amp;"'!$C$37:$C$52"),W67,INDIRECT("'"&amp;$G$7&amp;"'!$B$37:$B$52"),"*Indirect*")/INDIRECT("'"&amp;$G$7&amp;"'!$F$2"),0)))</f>
        <v/>
      </c>
    </row>
    <row r="68">
      <c r="W68" s="128" t="n">
        <v>27</v>
      </c>
      <c r="X68" s="128">
        <f>'General Information'!$D$25+W68</f>
        <v/>
      </c>
      <c r="Y68" s="129">
        <f>IF($G$4="",0,IF(W68&gt;'General Information'!$D$33,0,IF(W68=0,$J$4,IFERROR(SUMIF(INDIRECT("'"&amp;$G$4&amp;"'!$C$37:$C$52"),W68,INDIRECT("'"&amp;$G$4&amp;"'!$D$37:$D$52")),0))))</f>
        <v/>
      </c>
      <c r="Z68" s="129">
        <f>IF($G$5="",0,IF(W68&gt;'General Information'!$D$33,0,IF(W68=0,$J$5,IFERROR(SUMIF(INDIRECT("'"&amp;$G$5&amp;"'!$C$37:$C$52"),W68,INDIRECT("'"&amp;$G$5&amp;"'!$D$37:$D$52")),0))))</f>
        <v/>
      </c>
      <c r="AA68" s="129">
        <f>IF($G$6="",0,IF(W68&gt;'General Information'!$D$33,0,IF(W68=0,$J$6,IFERROR(SUMIF(INDIRECT("'"&amp;$G$6&amp;"'!$C$37:$C$52"),W68,INDIRECT("'"&amp;$G$6&amp;"'!$D$37:$D$52")),0))))</f>
        <v/>
      </c>
      <c r="AB68" s="129">
        <f>IF($G$7="",0,IF(W68&gt;'General Information'!$D$33,0,IF(W68=0,$J$7,IFERROR(SUMIF(INDIRECT("'"&amp;$G$7&amp;"'!$C$37:$C$52"),W68,INDIRECT("'"&amp;$G$7&amp;"'!$D$37:$D$52")),0))))</f>
        <v/>
      </c>
      <c r="AC68" s="129">
        <f>IF($G$4="",0,AC67+IF(W68&gt;'General Information'!$D$33,0,IF(W68=0,$J$4,IFERROR(SUMIF(INDIRECT("'"&amp;$G$4&amp;"'!$C$37:$C$52"),W68,INDIRECT("'"&amp;$G$4&amp;"'!$E$37:$E$52")),0))))</f>
        <v/>
      </c>
      <c r="AD68" s="129">
        <f>IF($G$5="",0,AD67+IF(W68&gt;'General Information'!$D$33,0,IF(W68=0,$J$5,IFERROR(SUMIF(INDIRECT("'"&amp;$G$5&amp;"'!$C$37:$C$52"),W68,INDIRECT("'"&amp;$G$5&amp;"'!$E$37:$E$52")),0))))</f>
        <v/>
      </c>
      <c r="AE68" s="129">
        <f>IF($G$6="",0,AE67+IF(W68&gt;'General Information'!$D$33,0,IF(W68=0,$J$6,IFERROR(SUMIF(INDIRECT("'"&amp;$G$6&amp;"'!$C$37:$C$52"),W68,INDIRECT("'"&amp;$G$6&amp;"'!$E$37:$E$52")),0))))</f>
        <v/>
      </c>
      <c r="AF68" s="129">
        <f>IF($G$7="",0,AF67+IF(W68&gt;'General Information'!$D$33,0,IF(W68=0,$J$7,IFERROR(SUMIF(INDIRECT("'"&amp;$G$7&amp;"'!$C$37:$C$52"),W68,INDIRECT("'"&amp;$G$7&amp;"'!$E$37:$E$52")),0))))</f>
        <v/>
      </c>
      <c r="AG68" s="133">
        <f>IF($G$4="",0,IF(W68&gt;'General Information'!$D$33,0,IFERROR(SUMIFS(INDIRECT("'"&amp;$G$4&amp;"'!$D$37:$D$52"),INDIRECT("'"&amp;$G$4&amp;"'!$C$37:$C$52"),W68,INDIRECT("'"&amp;$G$4&amp;"'!$B$37:$B$52"),"*Indirect*")/INDIRECT("'"&amp;$G$4&amp;"'!$F$2"),0)))</f>
        <v/>
      </c>
      <c r="AH68" s="133">
        <f>IF($G$5="",0,IF(W68&gt;'General Information'!$D$33,0,IFERROR(SUMIFS(INDIRECT("'"&amp;$G$5&amp;"'!$D$37:$D$52"),INDIRECT("'"&amp;$G$5&amp;"'!$C$37:$C$52"),W68,INDIRECT("'"&amp;$G$5&amp;"'!$B$37:$B$52"),"*Indirect*")/INDIRECT("'"&amp;$G$5&amp;"'!$F$2"),0)))</f>
        <v/>
      </c>
      <c r="AI68" s="133">
        <f>IF($G$6="",0,IF(W68&gt;'General Information'!$D$33,0,IFERROR(SUMIFS(INDIRECT("'"&amp;$G$6&amp;"'!$D$37:$D$52"),INDIRECT("'"&amp;$G$6&amp;"'!$C$37:$C$52"),W68,INDIRECT("'"&amp;$G$6&amp;"'!$B$37:$B$52"),"*Indirect*")/INDIRECT("'"&amp;$G$6&amp;"'!$F$2"),0)))</f>
        <v/>
      </c>
      <c r="AJ68" s="133">
        <f>IF($G$7="",0,IF(W68&gt;'General Information'!$D$33,0,IFERROR(SUMIFS(INDIRECT("'"&amp;$G$7&amp;"'!$D$37:$D$52"),INDIRECT("'"&amp;$G$7&amp;"'!$C$37:$C$52"),W68,INDIRECT("'"&amp;$G$7&amp;"'!$B$37:$B$52"),"*Indirect*")/INDIRECT("'"&amp;$G$7&amp;"'!$F$2"),0)))</f>
        <v/>
      </c>
    </row>
    <row r="69">
      <c r="G69" s="123" t="inlineStr">
        <is>
          <t>How to read: 1 shows where each alternative's cost sits; 2 whether the lowest-cost alternative holds at other discount rates (FAA AIP uses 7%); 3 and 4 when the money is spent and when the higher first cost is paid back; 5 how often and how long the runway closes.</t>
        </is>
      </c>
      <c r="W69" s="128" t="n">
        <v>28</v>
      </c>
      <c r="X69" s="128">
        <f>'General Information'!$D$25+W69</f>
        <v/>
      </c>
      <c r="Y69" s="129">
        <f>IF($G$4="",0,IF(W69&gt;'General Information'!$D$33,0,IF(W69=0,$J$4,IFERROR(SUMIF(INDIRECT("'"&amp;$G$4&amp;"'!$C$37:$C$52"),W69,INDIRECT("'"&amp;$G$4&amp;"'!$D$37:$D$52")),0))))</f>
        <v/>
      </c>
      <c r="Z69" s="129">
        <f>IF($G$5="",0,IF(W69&gt;'General Information'!$D$33,0,IF(W69=0,$J$5,IFERROR(SUMIF(INDIRECT("'"&amp;$G$5&amp;"'!$C$37:$C$52"),W69,INDIRECT("'"&amp;$G$5&amp;"'!$D$37:$D$52")),0))))</f>
        <v/>
      </c>
      <c r="AA69" s="129">
        <f>IF($G$6="",0,IF(W69&gt;'General Information'!$D$33,0,IF(W69=0,$J$6,IFERROR(SUMIF(INDIRECT("'"&amp;$G$6&amp;"'!$C$37:$C$52"),W69,INDIRECT("'"&amp;$G$6&amp;"'!$D$37:$D$52")),0))))</f>
        <v/>
      </c>
      <c r="AB69" s="129">
        <f>IF($G$7="",0,IF(W69&gt;'General Information'!$D$33,0,IF(W69=0,$J$7,IFERROR(SUMIF(INDIRECT("'"&amp;$G$7&amp;"'!$C$37:$C$52"),W69,INDIRECT("'"&amp;$G$7&amp;"'!$D$37:$D$52")),0))))</f>
        <v/>
      </c>
      <c r="AC69" s="129">
        <f>IF($G$4="",0,AC68+IF(W69&gt;'General Information'!$D$33,0,IF(W69=0,$J$4,IFERROR(SUMIF(INDIRECT("'"&amp;$G$4&amp;"'!$C$37:$C$52"),W69,INDIRECT("'"&amp;$G$4&amp;"'!$E$37:$E$52")),0))))</f>
        <v/>
      </c>
      <c r="AD69" s="129">
        <f>IF($G$5="",0,AD68+IF(W69&gt;'General Information'!$D$33,0,IF(W69=0,$J$5,IFERROR(SUMIF(INDIRECT("'"&amp;$G$5&amp;"'!$C$37:$C$52"),W69,INDIRECT("'"&amp;$G$5&amp;"'!$E$37:$E$52")),0))))</f>
        <v/>
      </c>
      <c r="AE69" s="129">
        <f>IF($G$6="",0,AE68+IF(W69&gt;'General Information'!$D$33,0,IF(W69=0,$J$6,IFERROR(SUMIF(INDIRECT("'"&amp;$G$6&amp;"'!$C$37:$C$52"),W69,INDIRECT("'"&amp;$G$6&amp;"'!$E$37:$E$52")),0))))</f>
        <v/>
      </c>
      <c r="AF69" s="129">
        <f>IF($G$7="",0,AF68+IF(W69&gt;'General Information'!$D$33,0,IF(W69=0,$J$7,IFERROR(SUMIF(INDIRECT("'"&amp;$G$7&amp;"'!$C$37:$C$52"),W69,INDIRECT("'"&amp;$G$7&amp;"'!$E$37:$E$52")),0))))</f>
        <v/>
      </c>
      <c r="AG69" s="133">
        <f>IF($G$4="",0,IF(W69&gt;'General Information'!$D$33,0,IFERROR(SUMIFS(INDIRECT("'"&amp;$G$4&amp;"'!$D$37:$D$52"),INDIRECT("'"&amp;$G$4&amp;"'!$C$37:$C$52"),W69,INDIRECT("'"&amp;$G$4&amp;"'!$B$37:$B$52"),"*Indirect*")/INDIRECT("'"&amp;$G$4&amp;"'!$F$2"),0)))</f>
        <v/>
      </c>
      <c r="AH69" s="133">
        <f>IF($G$5="",0,IF(W69&gt;'General Information'!$D$33,0,IFERROR(SUMIFS(INDIRECT("'"&amp;$G$5&amp;"'!$D$37:$D$52"),INDIRECT("'"&amp;$G$5&amp;"'!$C$37:$C$52"),W69,INDIRECT("'"&amp;$G$5&amp;"'!$B$37:$B$52"),"*Indirect*")/INDIRECT("'"&amp;$G$5&amp;"'!$F$2"),0)))</f>
        <v/>
      </c>
      <c r="AI69" s="133">
        <f>IF($G$6="",0,IF(W69&gt;'General Information'!$D$33,0,IFERROR(SUMIFS(INDIRECT("'"&amp;$G$6&amp;"'!$D$37:$D$52"),INDIRECT("'"&amp;$G$6&amp;"'!$C$37:$C$52"),W69,INDIRECT("'"&amp;$G$6&amp;"'!$B$37:$B$52"),"*Indirect*")/INDIRECT("'"&amp;$G$6&amp;"'!$F$2"),0)))</f>
        <v/>
      </c>
      <c r="AJ69" s="133">
        <f>IF($G$7="",0,IF(W69&gt;'General Information'!$D$33,0,IFERROR(SUMIFS(INDIRECT("'"&amp;$G$7&amp;"'!$D$37:$D$52"),INDIRECT("'"&amp;$G$7&amp;"'!$C$37:$C$52"),W69,INDIRECT("'"&amp;$G$7&amp;"'!$B$37:$B$52"),"*Indirect*")/INDIRECT("'"&amp;$G$7&amp;"'!$F$2"),0)))</f>
        <v/>
      </c>
    </row>
    <row r="70">
      <c r="W70" s="128" t="n">
        <v>29</v>
      </c>
      <c r="X70" s="128">
        <f>'General Information'!$D$25+W70</f>
        <v/>
      </c>
      <c r="Y70" s="129">
        <f>IF($G$4="",0,IF(W70&gt;'General Information'!$D$33,0,IF(W70=0,$J$4,IFERROR(SUMIF(INDIRECT("'"&amp;$G$4&amp;"'!$C$37:$C$52"),W70,INDIRECT("'"&amp;$G$4&amp;"'!$D$37:$D$52")),0))))</f>
        <v/>
      </c>
      <c r="Z70" s="129">
        <f>IF($G$5="",0,IF(W70&gt;'General Information'!$D$33,0,IF(W70=0,$J$5,IFERROR(SUMIF(INDIRECT("'"&amp;$G$5&amp;"'!$C$37:$C$52"),W70,INDIRECT("'"&amp;$G$5&amp;"'!$D$37:$D$52")),0))))</f>
        <v/>
      </c>
      <c r="AA70" s="129">
        <f>IF($G$6="",0,IF(W70&gt;'General Information'!$D$33,0,IF(W70=0,$J$6,IFERROR(SUMIF(INDIRECT("'"&amp;$G$6&amp;"'!$C$37:$C$52"),W70,INDIRECT("'"&amp;$G$6&amp;"'!$D$37:$D$52")),0))))</f>
        <v/>
      </c>
      <c r="AB70" s="129">
        <f>IF($G$7="",0,IF(W70&gt;'General Information'!$D$33,0,IF(W70=0,$J$7,IFERROR(SUMIF(INDIRECT("'"&amp;$G$7&amp;"'!$C$37:$C$52"),W70,INDIRECT("'"&amp;$G$7&amp;"'!$D$37:$D$52")),0))))</f>
        <v/>
      </c>
      <c r="AC70" s="129">
        <f>IF($G$4="",0,AC69+IF(W70&gt;'General Information'!$D$33,0,IF(W70=0,$J$4,IFERROR(SUMIF(INDIRECT("'"&amp;$G$4&amp;"'!$C$37:$C$52"),W70,INDIRECT("'"&amp;$G$4&amp;"'!$E$37:$E$52")),0))))</f>
        <v/>
      </c>
      <c r="AD70" s="129">
        <f>IF($G$5="",0,AD69+IF(W70&gt;'General Information'!$D$33,0,IF(W70=0,$J$5,IFERROR(SUMIF(INDIRECT("'"&amp;$G$5&amp;"'!$C$37:$C$52"),W70,INDIRECT("'"&amp;$G$5&amp;"'!$E$37:$E$52")),0))))</f>
        <v/>
      </c>
      <c r="AE70" s="129">
        <f>IF($G$6="",0,AE69+IF(W70&gt;'General Information'!$D$33,0,IF(W70=0,$J$6,IFERROR(SUMIF(INDIRECT("'"&amp;$G$6&amp;"'!$C$37:$C$52"),W70,INDIRECT("'"&amp;$G$6&amp;"'!$E$37:$E$52")),0))))</f>
        <v/>
      </c>
      <c r="AF70" s="129">
        <f>IF($G$7="",0,AF69+IF(W70&gt;'General Information'!$D$33,0,IF(W70=0,$J$7,IFERROR(SUMIF(INDIRECT("'"&amp;$G$7&amp;"'!$C$37:$C$52"),W70,INDIRECT("'"&amp;$G$7&amp;"'!$E$37:$E$52")),0))))</f>
        <v/>
      </c>
      <c r="AG70" s="133">
        <f>IF($G$4="",0,IF(W70&gt;'General Information'!$D$33,0,IFERROR(SUMIFS(INDIRECT("'"&amp;$G$4&amp;"'!$D$37:$D$52"),INDIRECT("'"&amp;$G$4&amp;"'!$C$37:$C$52"),W70,INDIRECT("'"&amp;$G$4&amp;"'!$B$37:$B$52"),"*Indirect*")/INDIRECT("'"&amp;$G$4&amp;"'!$F$2"),0)))</f>
        <v/>
      </c>
      <c r="AH70" s="133">
        <f>IF($G$5="",0,IF(W70&gt;'General Information'!$D$33,0,IFERROR(SUMIFS(INDIRECT("'"&amp;$G$5&amp;"'!$D$37:$D$52"),INDIRECT("'"&amp;$G$5&amp;"'!$C$37:$C$52"),W70,INDIRECT("'"&amp;$G$5&amp;"'!$B$37:$B$52"),"*Indirect*")/INDIRECT("'"&amp;$G$5&amp;"'!$F$2"),0)))</f>
        <v/>
      </c>
      <c r="AI70" s="133">
        <f>IF($G$6="",0,IF(W70&gt;'General Information'!$D$33,0,IFERROR(SUMIFS(INDIRECT("'"&amp;$G$6&amp;"'!$D$37:$D$52"),INDIRECT("'"&amp;$G$6&amp;"'!$C$37:$C$52"),W70,INDIRECT("'"&amp;$G$6&amp;"'!$B$37:$B$52"),"*Indirect*")/INDIRECT("'"&amp;$G$6&amp;"'!$F$2"),0)))</f>
        <v/>
      </c>
      <c r="AJ70" s="133">
        <f>IF($G$7="",0,IF(W70&gt;'General Information'!$D$33,0,IFERROR(SUMIFS(INDIRECT("'"&amp;$G$7&amp;"'!$D$37:$D$52"),INDIRECT("'"&amp;$G$7&amp;"'!$C$37:$C$52"),W70,INDIRECT("'"&amp;$G$7&amp;"'!$B$37:$B$52"),"*Indirect*")/INDIRECT("'"&amp;$G$7&amp;"'!$F$2"),0)))</f>
        <v/>
      </c>
    </row>
    <row r="71">
      <c r="W71" s="128" t="n">
        <v>30</v>
      </c>
      <c r="X71" s="128">
        <f>'General Information'!$D$25+W71</f>
        <v/>
      </c>
      <c r="Y71" s="129">
        <f>IF($G$4="",0,IF(W71&gt;'General Information'!$D$33,0,IF(W71=0,$J$4,IFERROR(SUMIF(INDIRECT("'"&amp;$G$4&amp;"'!$C$37:$C$52"),W71,INDIRECT("'"&amp;$G$4&amp;"'!$D$37:$D$52")),0))))</f>
        <v/>
      </c>
      <c r="Z71" s="129">
        <f>IF($G$5="",0,IF(W71&gt;'General Information'!$D$33,0,IF(W71=0,$J$5,IFERROR(SUMIF(INDIRECT("'"&amp;$G$5&amp;"'!$C$37:$C$52"),W71,INDIRECT("'"&amp;$G$5&amp;"'!$D$37:$D$52")),0))))</f>
        <v/>
      </c>
      <c r="AA71" s="129">
        <f>IF($G$6="",0,IF(W71&gt;'General Information'!$D$33,0,IF(W71=0,$J$6,IFERROR(SUMIF(INDIRECT("'"&amp;$G$6&amp;"'!$C$37:$C$52"),W71,INDIRECT("'"&amp;$G$6&amp;"'!$D$37:$D$52")),0))))</f>
        <v/>
      </c>
      <c r="AB71" s="129">
        <f>IF($G$7="",0,IF(W71&gt;'General Information'!$D$33,0,IF(W71=0,$J$7,IFERROR(SUMIF(INDIRECT("'"&amp;$G$7&amp;"'!$C$37:$C$52"),W71,INDIRECT("'"&amp;$G$7&amp;"'!$D$37:$D$52")),0))))</f>
        <v/>
      </c>
      <c r="AC71" s="129">
        <f>IF($G$4="",0,AC70+IF(W71&gt;'General Information'!$D$33,0,IF(W71=0,$J$4,IFERROR(SUMIF(INDIRECT("'"&amp;$G$4&amp;"'!$C$37:$C$52"),W71,INDIRECT("'"&amp;$G$4&amp;"'!$E$37:$E$52")),0))))</f>
        <v/>
      </c>
      <c r="AD71" s="129">
        <f>IF($G$5="",0,AD70+IF(W71&gt;'General Information'!$D$33,0,IF(W71=0,$J$5,IFERROR(SUMIF(INDIRECT("'"&amp;$G$5&amp;"'!$C$37:$C$52"),W71,INDIRECT("'"&amp;$G$5&amp;"'!$E$37:$E$52")),0))))</f>
        <v/>
      </c>
      <c r="AE71" s="129">
        <f>IF($G$6="",0,AE70+IF(W71&gt;'General Information'!$D$33,0,IF(W71=0,$J$6,IFERROR(SUMIF(INDIRECT("'"&amp;$G$6&amp;"'!$C$37:$C$52"),W71,INDIRECT("'"&amp;$G$6&amp;"'!$E$37:$E$52")),0))))</f>
        <v/>
      </c>
      <c r="AF71" s="129">
        <f>IF($G$7="",0,AF70+IF(W71&gt;'General Information'!$D$33,0,IF(W71=0,$J$7,IFERROR(SUMIF(INDIRECT("'"&amp;$G$7&amp;"'!$C$37:$C$52"),W71,INDIRECT("'"&amp;$G$7&amp;"'!$E$37:$E$52")),0))))</f>
        <v/>
      </c>
      <c r="AG71" s="133">
        <f>IF($G$4="",0,IF(W71&gt;'General Information'!$D$33,0,IFERROR(SUMIFS(INDIRECT("'"&amp;$G$4&amp;"'!$D$37:$D$52"),INDIRECT("'"&amp;$G$4&amp;"'!$C$37:$C$52"),W71,INDIRECT("'"&amp;$G$4&amp;"'!$B$37:$B$52"),"*Indirect*")/INDIRECT("'"&amp;$G$4&amp;"'!$F$2"),0)))</f>
        <v/>
      </c>
      <c r="AH71" s="133">
        <f>IF($G$5="",0,IF(W71&gt;'General Information'!$D$33,0,IFERROR(SUMIFS(INDIRECT("'"&amp;$G$5&amp;"'!$D$37:$D$52"),INDIRECT("'"&amp;$G$5&amp;"'!$C$37:$C$52"),W71,INDIRECT("'"&amp;$G$5&amp;"'!$B$37:$B$52"),"*Indirect*")/INDIRECT("'"&amp;$G$5&amp;"'!$F$2"),0)))</f>
        <v/>
      </c>
      <c r="AI71" s="133">
        <f>IF($G$6="",0,IF(W71&gt;'General Information'!$D$33,0,IFERROR(SUMIFS(INDIRECT("'"&amp;$G$6&amp;"'!$D$37:$D$52"),INDIRECT("'"&amp;$G$6&amp;"'!$C$37:$C$52"),W71,INDIRECT("'"&amp;$G$6&amp;"'!$B$37:$B$52"),"*Indirect*")/INDIRECT("'"&amp;$G$6&amp;"'!$F$2"),0)))</f>
        <v/>
      </c>
      <c r="AJ71" s="133">
        <f>IF($G$7="",0,IF(W71&gt;'General Information'!$D$33,0,IFERROR(SUMIFS(INDIRECT("'"&amp;$G$7&amp;"'!$D$37:$D$52"),INDIRECT("'"&amp;$G$7&amp;"'!$C$37:$C$52"),W71,INDIRECT("'"&amp;$G$7&amp;"'!$B$37:$B$52"),"*Indirect*")/INDIRECT("'"&amp;$G$7&amp;"'!$F$2"),0)))</f>
        <v/>
      </c>
    </row>
  </sheetData>
  <pageMargins left="0.75" right="0.75" top="1" bottom="1" header="0.5" footer="0.5"/>
  <pageSetup orientation="landscape" fitToWidth="1" fitToHeight="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4B88566-E933-4244-856C-A2F9DB7159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Jim Bruinsma</dc:creator>
  <cp:lastModifiedBy>Marti Denis</cp:lastModifiedBy>
  <dcterms:created xsi:type="dcterms:W3CDTF">2021-03-15T15:18:27Z</dcterms:created>
  <dcterms:modified xsi:type="dcterms:W3CDTF">2026-08-18T19:02:43Z</dcterms:modified>
</cp:coreProperties>
</file>
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<sst xmlns="http://schemas.openxmlformats.org/spreadsheetml/2006/main" count="1480" uniqueCount="637">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</sst>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s>
  <fonts count="58"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38">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4">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0">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left" vertical="center" wrapText="1"/>
    </xf>
    <xf numFmtId="0" xfId="0" fontId="51" applyFont="1"/>
    <xf numFmtId="0" xfId="0" fontId="52" applyFont="1" fillId="34" applyFill="1" applyAlignment="1">
      <alignment horizontal="left" vertical="center" wrapText="1"/>
    </xf>
    <xf numFmtId="0" xfId="0" fontId="53" applyFont="1" fillId="35" applyFill="1" applyAlignment="1">
      <alignment horizontal="left" vertical="center" wrapText="1"/>
    </xf>
    <xf numFmtId="174" xfId="0" applyNumberFormat="1" fontId="54" applyFont="1" fillId="36" applyFill="1" borderId="53" applyBorder="1" applyAlignment="1">
      <alignment horizontal="right" vertical="center"/>
    </xf>
    <xf numFmtId="0" xfId="0" fontId="55" applyFont="1" fillId="37" applyFill="1" applyAlignment="1">
      <alignment horizontal="left" vertical="center" wrapText="1"/>
    </xf>
    <xf numFmtId="0" xfId="0" fontId="56" applyFont="1" applyAlignment="1">
      <alignment horizontal="left" vertical="center"/>
    </xf>
    <xf numFmtId="0" xfId="0" fontId="57"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2">
    <mergeCell ref="A1:B1"/>
    <mergeCell ref="A3:G3"/>
  </mergeCell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2" t="inlineStr">
        <is>
          <t xml:space="preserve">STEP 1 of 5</t>
        </is>
      </c>
    </row>
    <row r="2" spans="2:5" x14ac:dyDescent="0.2">
      <c r="B2" s="199" t="inlineStr">
        <is>
          <t xml:space="preserve">What the framework does and the rules behind it. Read this and Instructions, then go to General Information.</t>
        </is>
      </c>
    </row>
    <row r="3" spans="2:5" x14ac:dyDescent="0.2">
      <c r="B3" s="198" t="s">
        <v>360</v>
      </c>
    </row>
    <row r="4" spans="2:5" x14ac:dyDescent="0.2">
      <c r="B4" s="198" t="s">
        <v>361</v>
      </c>
    </row>
    <row r="5" spans="2:5" x14ac:dyDescent="0.2">
      <c r="B5" s="198" t="s">
        <v>362</v>
      </c>
    </row>
    <row r="6" spans="2:5" x14ac:dyDescent="0.2">
      <c r="B6" s="198" t="s">
        <v>363</v>
      </c>
    </row>
    <row r="7" spans="2:5" ht="15" x14ac:dyDescent="0.25">
      <c r="B7" s="198" t="s">
        <v>364</v>
      </c>
    </row>
    <row r="8">
      <c r="B8" s="198"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2" t="inlineStr">
        <is>
          <t xml:space="preserve">STEP 1 of 5</t>
        </is>
      </c>
    </row>
    <row r="2" spans="2:5" x14ac:dyDescent="0.2">
      <c r="B2" s="199" t="inlineStr">
        <is>
          <t xml:space="preserve">How to run an analysis, start to finish. When you are ready, go to General Information and fill in the grey cells.</t>
        </is>
      </c>
    </row>
    <row r="3" spans="2:5" x14ac:dyDescent="0.2">
      <c r="B3" s="198" t="s">
        <v>360</v>
      </c>
    </row>
    <row r="4" spans="2:5" x14ac:dyDescent="0.2">
      <c r="B4" s="198" t="s">
        <v>361</v>
      </c>
    </row>
    <row r="5" spans="2:5" x14ac:dyDescent="0.2">
      <c r="B5" s="198" t="s">
        <v>362</v>
      </c>
    </row>
    <row r="6" spans="2:5" x14ac:dyDescent="0.2">
      <c r="B6" s="198" t="s">
        <v>363</v>
      </c>
    </row>
    <row r="7" spans="2:5" x14ac:dyDescent="0.2">
      <c r="B7" s="198" t="s">
        <v>364</v>
      </c>
    </row>
    <row r="8">
      <c r="B8" s="198"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2" t="inlineStr">
        <is>
          <t xml:space="preserve">STEP 3 of 5</t>
        </is>
      </c>
      <c r="D1" s="192"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196" t="s">
        <v>453</v>
      </c>
      <c r="G3" s="7"/>
      <c r="H3" s="7"/>
      <c r="I3" s="7"/>
    </row>
    <row r="4" spans="1:10" x14ac:dyDescent="0.2">
      <c r="A4" s="194" t="s">
        <v>10</v>
      </c>
      <c r="B4" s="5" t="s">
        <v>54</v>
      </c>
      <c r="C4" s="1" t="s">
        <v>317</v>
      </c>
      <c r="D4" s="2" t="s">
        <v>63</v>
      </c>
      <c r="E4" s="3" t="s">
        <v>6</v>
      </c>
      <c r="F4" s="196">
        <v>4.2</v>
      </c>
      <c r="J4" s="5" t="s">
        <v>590</v>
      </c>
    </row>
    <row r="5" spans="1:10" x14ac:dyDescent="0.2">
      <c r="B5" s="5" t="s">
        <v>54</v>
      </c>
      <c r="C5" s="1" t="s">
        <v>318</v>
      </c>
      <c r="D5" s="2" t="s">
        <v>62</v>
      </c>
      <c r="E5" s="3" t="s">
        <v>6</v>
      </c>
      <c r="F5" s="196"/>
      <c r="J5" s="5" t="s">
        <v>590</v>
      </c>
    </row>
    <row r="6" spans="1:10" x14ac:dyDescent="0.2">
      <c r="B6" s="5" t="s">
        <v>54</v>
      </c>
      <c r="C6" s="1" t="s">
        <v>329</v>
      </c>
      <c r="D6" s="2" t="s">
        <v>331</v>
      </c>
      <c r="E6" s="3" t="s">
        <v>7</v>
      </c>
      <c r="F6" s="196">
        <v>4</v>
      </c>
    </row>
    <row r="7" spans="1:10" x14ac:dyDescent="0.2">
      <c r="B7" s="5" t="s">
        <v>54</v>
      </c>
      <c r="C7" s="1" t="s">
        <v>330</v>
      </c>
      <c r="D7" s="2" t="s">
        <v>332</v>
      </c>
      <c r="E7" s="3" t="s">
        <v>7</v>
      </c>
      <c r="F7" s="196">
        <v>6.5</v>
      </c>
    </row>
    <row r="8" spans="1:10" x14ac:dyDescent="0.2">
      <c r="B8" s="5" t="s">
        <v>54</v>
      </c>
      <c r="C8" s="1" t="s">
        <v>333</v>
      </c>
      <c r="D8" s="2" t="s">
        <v>335</v>
      </c>
      <c r="E8" s="3" t="s">
        <v>7</v>
      </c>
      <c r="F8" s="196">
        <v>8</v>
      </c>
    </row>
    <row r="9" spans="1:10" x14ac:dyDescent="0.2">
      <c r="B9" s="5" t="s">
        <v>54</v>
      </c>
      <c r="C9" s="1" t="s">
        <v>334</v>
      </c>
      <c r="D9" s="2" t="s">
        <v>336</v>
      </c>
      <c r="E9" s="3" t="s">
        <v>7</v>
      </c>
      <c r="F9" s="196">
        <v>8.5</v>
      </c>
    </row>
    <row r="10" spans="1:10" x14ac:dyDescent="0.2">
      <c r="B10" s="5" t="s">
        <v>54</v>
      </c>
      <c r="C10" s="1" t="s">
        <v>11</v>
      </c>
      <c r="D10" s="2" t="s">
        <v>359</v>
      </c>
      <c r="E10" s="3" t="s">
        <v>12</v>
      </c>
      <c r="F10" s="196">
        <f>7/9</f>
        <v>0.77777777777777779</v>
      </c>
    </row>
    <row r="11" spans="1:10" x14ac:dyDescent="0.2">
      <c r="B11" s="5" t="s">
        <v>54</v>
      </c>
      <c r="C11" s="1" t="s">
        <v>488</v>
      </c>
      <c r="D11" s="2" t="s">
        <v>337</v>
      </c>
      <c r="E11" s="3" t="s">
        <v>12</v>
      </c>
      <c r="F11" s="196">
        <v>8.5</v>
      </c>
      <c r="J11" s="5" t="s">
        <v>590</v>
      </c>
    </row>
    <row r="12" spans="1:10" x14ac:dyDescent="0.2">
      <c r="B12" s="5" t="s">
        <v>54</v>
      </c>
      <c r="C12" s="1" t="s">
        <v>489</v>
      </c>
      <c r="D12" s="2" t="s">
        <v>490</v>
      </c>
      <c r="E12" s="3" t="s">
        <v>12</v>
      </c>
      <c r="F12" s="196"/>
      <c r="J12" s="5" t="s">
        <v>593</v>
      </c>
    </row>
    <row r="13" spans="1:10" x14ac:dyDescent="0.2">
      <c r="B13" s="5" t="s">
        <v>54</v>
      </c>
      <c r="C13" s="1" t="s">
        <v>341</v>
      </c>
      <c r="D13" s="2" t="s">
        <v>338</v>
      </c>
      <c r="E13" s="3" t="s">
        <v>12</v>
      </c>
      <c r="F13" s="196">
        <v>60</v>
      </c>
      <c r="J13" s="5" t="s">
        <v>590</v>
      </c>
    </row>
    <row r="14" spans="1:10" x14ac:dyDescent="0.2">
      <c r="B14" s="5" t="s">
        <v>54</v>
      </c>
      <c r="C14" s="1" t="s">
        <v>342</v>
      </c>
      <c r="D14" s="2" t="s">
        <v>339</v>
      </c>
      <c r="E14" s="3" t="s">
        <v>6</v>
      </c>
      <c r="F14" s="196">
        <v>120</v>
      </c>
      <c r="J14" s="5" t="s">
        <v>590</v>
      </c>
    </row>
    <row r="15" spans="1:10" x14ac:dyDescent="0.2">
      <c r="B15" s="5" t="s">
        <v>54</v>
      </c>
      <c r="C15" s="1" t="s">
        <v>343</v>
      </c>
      <c r="D15" s="2" t="s">
        <v>340</v>
      </c>
      <c r="E15" s="3" t="s">
        <v>6</v>
      </c>
      <c r="F15" s="196">
        <v>100</v>
      </c>
    </row>
    <row r="16" spans="1:10" x14ac:dyDescent="0.2">
      <c r="B16" s="5" t="s">
        <v>54</v>
      </c>
      <c r="C16" s="1" t="s">
        <v>1</v>
      </c>
      <c r="D16" s="2" t="s">
        <v>13</v>
      </c>
      <c r="E16" s="3" t="s">
        <v>6</v>
      </c>
      <c r="F16" s="196">
        <f>10/2</f>
        <v>5</v>
      </c>
      <c r="J16" s="5" t="s">
        <v>590</v>
      </c>
    </row>
    <row r="17" spans="1:10" x14ac:dyDescent="0.2">
      <c r="B17" s="5" t="s">
        <v>54</v>
      </c>
      <c r="C17" s="1" t="s">
        <v>14</v>
      </c>
      <c r="D17" s="2" t="s">
        <v>316</v>
      </c>
      <c r="E17" s="3" t="s">
        <v>8</v>
      </c>
      <c r="F17" s="196"/>
    </row>
    <row r="18" spans="1:10" x14ac:dyDescent="0.2">
      <c r="B18" s="5" t="s">
        <v>54</v>
      </c>
      <c r="C18" s="1" t="s">
        <v>15</v>
      </c>
      <c r="D18" s="2" t="s">
        <v>315</v>
      </c>
      <c r="E18" s="3" t="s">
        <v>8</v>
      </c>
      <c r="F18" s="196"/>
    </row>
    <row r="19" spans="1:10" x14ac:dyDescent="0.2">
      <c r="B19" s="5" t="s">
        <v>54</v>
      </c>
      <c r="C19" s="1" t="s">
        <v>16</v>
      </c>
      <c r="D19" s="2" t="s">
        <v>17</v>
      </c>
      <c r="E19" s="3" t="s">
        <v>8</v>
      </c>
      <c r="F19" s="196">
        <v>55</v>
      </c>
    </row>
    <row r="20" spans="1:10" x14ac:dyDescent="0.2">
      <c r="B20" s="5" t="s">
        <v>54</v>
      </c>
      <c r="C20" s="1" t="s">
        <v>18</v>
      </c>
      <c r="D20" s="2" t="s">
        <v>633</v>
      </c>
      <c r="E20" s="3" t="s">
        <v>6</v>
      </c>
      <c r="F20" s="196"/>
    </row>
    <row r="21" spans="1:10" x14ac:dyDescent="0.2">
      <c r="B21" s="5" t="s">
        <v>54</v>
      </c>
      <c r="C21" s="1" t="s">
        <v>20</v>
      </c>
      <c r="D21" s="2" t="s">
        <v>21</v>
      </c>
      <c r="E21" s="3" t="s">
        <v>6</v>
      </c>
      <c r="F21" s="196">
        <v>10</v>
      </c>
      <c r="J21" s="5" t="s">
        <v>590</v>
      </c>
    </row>
    <row r="22" spans="1:10" x14ac:dyDescent="0.2">
      <c r="B22" s="5" t="s">
        <v>54</v>
      </c>
      <c r="C22" s="1" t="s">
        <v>22</v>
      </c>
      <c r="D22" s="2" t="s">
        <v>309</v>
      </c>
      <c r="E22" s="3" t="s">
        <v>6</v>
      </c>
      <c r="F22" s="196"/>
      <c r="J22" s="5" t="s">
        <v>590</v>
      </c>
    </row>
    <row r="23" spans="1:10" x14ac:dyDescent="0.2">
      <c r="B23" s="5" t="s">
        <v>54</v>
      </c>
      <c r="C23" s="1" t="s">
        <v>310</v>
      </c>
      <c r="D23" s="2" t="s">
        <v>312</v>
      </c>
      <c r="E23" s="3" t="s">
        <v>6</v>
      </c>
      <c r="F23" s="196"/>
      <c r="J23" s="5" t="s">
        <v>590</v>
      </c>
    </row>
    <row r="24" spans="1:10" x14ac:dyDescent="0.2">
      <c r="B24" s="5" t="s">
        <v>54</v>
      </c>
      <c r="C24" s="1" t="s">
        <v>311</v>
      </c>
      <c r="D24" s="2" t="s">
        <v>313</v>
      </c>
      <c r="E24" s="3" t="s">
        <v>6</v>
      </c>
      <c r="F24" s="196"/>
      <c r="J24" s="5" t="s">
        <v>590</v>
      </c>
    </row>
    <row r="25" spans="1:10" x14ac:dyDescent="0.2">
      <c r="B25" s="5" t="s">
        <v>54</v>
      </c>
      <c r="C25" s="1" t="s">
        <v>23</v>
      </c>
      <c r="D25" s="2" t="s">
        <v>314</v>
      </c>
      <c r="E25" s="3" t="s">
        <v>6</v>
      </c>
      <c r="F25" s="196"/>
      <c r="J25" s="5" t="s">
        <v>590</v>
      </c>
    </row>
    <row r="26" spans="1:10" ht="12.6" customHeight="1" x14ac:dyDescent="0.2">
      <c r="A26" s="194" t="s">
        <v>24</v>
      </c>
      <c r="B26" s="5" t="s">
        <v>289</v>
      </c>
      <c r="C26" s="1" t="s">
        <v>2</v>
      </c>
      <c r="D26" s="2" t="s">
        <v>288</v>
      </c>
      <c r="E26" s="3" t="s">
        <v>6</v>
      </c>
      <c r="F26" s="196"/>
      <c r="J26" s="5" t="s">
        <v>590</v>
      </c>
    </row>
    <row r="27" spans="1:10" x14ac:dyDescent="0.2">
      <c r="B27" s="5" t="s">
        <v>289</v>
      </c>
      <c r="C27" s="1" t="s">
        <v>25</v>
      </c>
      <c r="D27" s="2" t="s">
        <v>26</v>
      </c>
      <c r="E27" s="3" t="s">
        <v>8</v>
      </c>
      <c r="F27" s="196"/>
    </row>
    <row r="28" spans="1:10" x14ac:dyDescent="0.2">
      <c r="B28" s="5" t="s">
        <v>289</v>
      </c>
      <c r="C28" s="1" t="s">
        <v>27</v>
      </c>
      <c r="D28" s="2" t="s">
        <v>634</v>
      </c>
      <c r="E28" s="3" t="s">
        <v>6</v>
      </c>
      <c r="F28" s="196"/>
    </row>
    <row r="29" spans="1:10" x14ac:dyDescent="0.2">
      <c r="B29" s="5" t="s">
        <v>289</v>
      </c>
      <c r="C29" s="1" t="s">
        <v>0</v>
      </c>
      <c r="D29" s="2" t="s">
        <v>29</v>
      </c>
      <c r="E29" s="3" t="s">
        <v>8</v>
      </c>
      <c r="F29" s="196">
        <v>65</v>
      </c>
    </row>
    <row r="30" spans="1:10" x14ac:dyDescent="0.2">
      <c r="B30" s="5" t="s">
        <v>289</v>
      </c>
      <c r="C30" s="1" t="s">
        <v>30</v>
      </c>
      <c r="D30" s="2" t="s">
        <v>635</v>
      </c>
      <c r="E30" s="3" t="s">
        <v>6</v>
      </c>
      <c r="F30" s="196"/>
    </row>
    <row r="31" spans="1:10" x14ac:dyDescent="0.2">
      <c r="B31" s="5" t="s">
        <v>289</v>
      </c>
      <c r="C31" s="1" t="s">
        <v>31</v>
      </c>
      <c r="D31" s="2" t="s">
        <v>32</v>
      </c>
      <c r="E31" s="3" t="s">
        <v>8</v>
      </c>
      <c r="F31" s="196"/>
    </row>
    <row r="32" spans="1:10" x14ac:dyDescent="0.2">
      <c r="B32" s="5" t="s">
        <v>289</v>
      </c>
      <c r="C32" s="1" t="s">
        <v>33</v>
      </c>
      <c r="D32" s="2" t="s">
        <v>636</v>
      </c>
      <c r="E32" s="3" t="s">
        <v>6</v>
      </c>
      <c r="F32" s="196"/>
    </row>
    <row r="33" spans="1:10" x14ac:dyDescent="0.2">
      <c r="B33" s="5" t="s">
        <v>289</v>
      </c>
      <c r="C33" s="1" t="s">
        <v>34</v>
      </c>
      <c r="D33" s="2" t="s">
        <v>291</v>
      </c>
      <c r="E33" s="3" t="s">
        <v>6</v>
      </c>
      <c r="F33" s="196"/>
      <c r="J33" s="5" t="s">
        <v>590</v>
      </c>
    </row>
    <row r="34" spans="1:10" x14ac:dyDescent="0.2">
      <c r="A34" s="194" t="s">
        <v>35</v>
      </c>
      <c r="B34" s="5" t="s">
        <v>290</v>
      </c>
      <c r="C34" s="1" t="s">
        <v>36</v>
      </c>
      <c r="D34" s="2" t="s">
        <v>292</v>
      </c>
      <c r="E34" s="3" t="s">
        <v>8</v>
      </c>
      <c r="F34" s="196"/>
      <c r="J34" s="5" t="s">
        <v>592</v>
      </c>
    </row>
    <row r="35" spans="1:10" x14ac:dyDescent="0.2">
      <c r="B35" s="5" t="s">
        <v>290</v>
      </c>
      <c r="C35" s="1" t="s">
        <v>37</v>
      </c>
      <c r="D35" s="2" t="s">
        <v>293</v>
      </c>
      <c r="E35" s="3" t="s">
        <v>8</v>
      </c>
      <c r="F35" s="196"/>
      <c r="J35" s="5" t="s">
        <v>592</v>
      </c>
    </row>
    <row r="36" spans="1:10" x14ac:dyDescent="0.2">
      <c r="B36" s="5" t="s">
        <v>290</v>
      </c>
      <c r="C36" s="1" t="s">
        <v>38</v>
      </c>
      <c r="D36" s="2" t="s">
        <v>294</v>
      </c>
      <c r="E36" s="3" t="s">
        <v>8</v>
      </c>
      <c r="F36" s="196"/>
      <c r="J36" s="5" t="s">
        <v>592</v>
      </c>
    </row>
    <row r="37" spans="1:10" x14ac:dyDescent="0.2">
      <c r="A37" s="194" t="s">
        <v>39</v>
      </c>
      <c r="B37" s="5" t="s">
        <v>307</v>
      </c>
      <c r="C37" s="1" t="s">
        <v>301</v>
      </c>
      <c r="D37" s="2" t="s">
        <v>304</v>
      </c>
      <c r="E37" s="3" t="s">
        <v>5</v>
      </c>
      <c r="F37" s="196">
        <v>130</v>
      </c>
    </row>
    <row r="38" spans="1:10" x14ac:dyDescent="0.2">
      <c r="B38" s="5" t="s">
        <v>307</v>
      </c>
      <c r="C38" s="1" t="s">
        <v>302</v>
      </c>
      <c r="D38" s="2" t="s">
        <v>305</v>
      </c>
      <c r="E38" s="3" t="s">
        <v>5</v>
      </c>
      <c r="F38" s="196">
        <v>120</v>
      </c>
    </row>
    <row r="39" spans="1:10" x14ac:dyDescent="0.2">
      <c r="B39" s="5" t="s">
        <v>307</v>
      </c>
      <c r="C39" s="1" t="s">
        <v>303</v>
      </c>
      <c r="D39" s="2" t="s">
        <v>306</v>
      </c>
      <c r="E39" s="3" t="s">
        <v>5</v>
      </c>
      <c r="F39" s="196">
        <v>110</v>
      </c>
    </row>
    <row r="40" spans="1:10" x14ac:dyDescent="0.2">
      <c r="B40" s="5" t="s">
        <v>307</v>
      </c>
      <c r="C40" s="1" t="s">
        <v>295</v>
      </c>
      <c r="D40" s="2" t="s">
        <v>298</v>
      </c>
      <c r="E40" s="3" t="s">
        <v>5</v>
      </c>
      <c r="F40" s="196"/>
    </row>
    <row r="41" spans="1:10" x14ac:dyDescent="0.2">
      <c r="B41" s="5" t="s">
        <v>307</v>
      </c>
      <c r="C41" s="1" t="s">
        <v>296</v>
      </c>
      <c r="D41" s="2" t="s">
        <v>299</v>
      </c>
      <c r="E41" s="3" t="s">
        <v>5</v>
      </c>
      <c r="F41" s="196"/>
    </row>
    <row r="42" spans="1:10" x14ac:dyDescent="0.2">
      <c r="B42" s="5" t="s">
        <v>307</v>
      </c>
      <c r="C42" s="1" t="s">
        <v>297</v>
      </c>
      <c r="D42" s="2" t="s">
        <v>300</v>
      </c>
      <c r="E42" s="3" t="s">
        <v>5</v>
      </c>
      <c r="F42" s="196"/>
    </row>
    <row r="43" spans="1:10" x14ac:dyDescent="0.2">
      <c r="B43" s="5" t="s">
        <v>307</v>
      </c>
      <c r="C43" s="1" t="s">
        <v>50</v>
      </c>
      <c r="D43" s="2" t="s">
        <v>308</v>
      </c>
      <c r="E43" s="3" t="s">
        <v>5</v>
      </c>
      <c r="F43" s="196"/>
    </row>
    <row r="44" spans="1:10" x14ac:dyDescent="0.2">
      <c r="A44" s="194" t="s">
        <v>40</v>
      </c>
      <c r="B44" s="5" t="s">
        <v>55</v>
      </c>
      <c r="C44" s="1" t="s">
        <v>464</v>
      </c>
      <c r="D44" s="2" t="s">
        <v>463</v>
      </c>
      <c r="E44" s="3" t="s">
        <v>6</v>
      </c>
      <c r="F44" s="196">
        <v>79</v>
      </c>
      <c r="J44" s="5" t="s">
        <v>590</v>
      </c>
    </row>
    <row r="45" spans="1:10" x14ac:dyDescent="0.2">
      <c r="A45" s="6"/>
      <c r="B45" s="5" t="s">
        <v>55</v>
      </c>
      <c r="C45" s="1" t="s">
        <v>465</v>
      </c>
      <c r="D45" s="2" t="s">
        <v>468</v>
      </c>
      <c r="E45" s="3" t="s">
        <v>6</v>
      </c>
      <c r="F45" s="196">
        <v>82</v>
      </c>
      <c r="J45" s="5" t="s">
        <v>590</v>
      </c>
    </row>
    <row r="46" spans="1:10" x14ac:dyDescent="0.2">
      <c r="A46" s="6"/>
      <c r="B46" s="5" t="s">
        <v>55</v>
      </c>
      <c r="C46" s="1" t="s">
        <v>466</v>
      </c>
      <c r="D46" s="2" t="s">
        <v>469</v>
      </c>
      <c r="E46" s="3" t="s">
        <v>6</v>
      </c>
      <c r="F46" s="196">
        <v>85</v>
      </c>
      <c r="J46" s="5" t="s">
        <v>590</v>
      </c>
    </row>
    <row r="47" spans="1:10" x14ac:dyDescent="0.2">
      <c r="A47" s="6"/>
      <c r="B47" s="5" t="s">
        <v>55</v>
      </c>
      <c r="C47" s="1" t="s">
        <v>467</v>
      </c>
      <c r="D47" s="2" t="s">
        <v>470</v>
      </c>
      <c r="E47" s="3" t="s">
        <v>6</v>
      </c>
      <c r="F47" s="196">
        <v>91</v>
      </c>
      <c r="J47" s="5" t="s">
        <v>590</v>
      </c>
    </row>
    <row r="48" spans="1:10" x14ac:dyDescent="0.2">
      <c r="A48" s="194" t="s">
        <v>41</v>
      </c>
      <c r="B48" s="5" t="s">
        <v>280</v>
      </c>
      <c r="C48" s="1" t="s">
        <v>42</v>
      </c>
      <c r="D48" s="2" t="s">
        <v>276</v>
      </c>
      <c r="E48" s="3" t="s">
        <v>6</v>
      </c>
      <c r="F48" s="196">
        <v>4</v>
      </c>
    </row>
    <row r="49" spans="1:10" x14ac:dyDescent="0.2">
      <c r="B49" s="5" t="s">
        <v>280</v>
      </c>
      <c r="C49" s="1" t="s">
        <v>43</v>
      </c>
      <c r="D49" s="2" t="s">
        <v>277</v>
      </c>
      <c r="E49" s="3" t="s">
        <v>6</v>
      </c>
      <c r="F49" s="196">
        <v>5</v>
      </c>
    </row>
    <row r="50" spans="1:10" x14ac:dyDescent="0.2">
      <c r="B50" s="5" t="s">
        <v>280</v>
      </c>
      <c r="C50" s="1" t="s">
        <v>44</v>
      </c>
      <c r="D50" s="2" t="s">
        <v>278</v>
      </c>
      <c r="E50" s="3" t="s">
        <v>6</v>
      </c>
      <c r="F50" s="196">
        <v>7</v>
      </c>
    </row>
    <row r="51" spans="1:10" x14ac:dyDescent="0.2">
      <c r="B51" s="5" t="s">
        <v>280</v>
      </c>
      <c r="C51" s="1" t="s">
        <v>45</v>
      </c>
      <c r="D51" s="2" t="s">
        <v>279</v>
      </c>
      <c r="E51" s="3" t="s">
        <v>6</v>
      </c>
      <c r="F51" s="196"/>
    </row>
    <row r="52" spans="1:10" ht="12.6" customHeight="1" x14ac:dyDescent="0.2">
      <c r="B52" s="5" t="s">
        <v>280</v>
      </c>
      <c r="C52" s="1" t="s">
        <v>282</v>
      </c>
      <c r="D52" s="2" t="s">
        <v>281</v>
      </c>
      <c r="E52" s="3" t="s">
        <v>6</v>
      </c>
      <c r="F52" s="196"/>
    </row>
    <row r="53" spans="1:10" ht="12.6" customHeight="1" x14ac:dyDescent="0.2">
      <c r="B53" s="5" t="s">
        <v>280</v>
      </c>
      <c r="C53" s="1" t="s">
        <v>283</v>
      </c>
      <c r="D53" s="2" t="s">
        <v>284</v>
      </c>
      <c r="E53" s="3" t="s">
        <v>6</v>
      </c>
      <c r="F53" s="196"/>
    </row>
    <row r="54" spans="1:10" x14ac:dyDescent="0.2">
      <c r="A54" s="194" t="s">
        <v>46</v>
      </c>
      <c r="B54" s="5" t="s">
        <v>61</v>
      </c>
      <c r="C54" s="1" t="s">
        <v>3</v>
      </c>
      <c r="D54" s="2" t="s">
        <v>4</v>
      </c>
      <c r="E54" s="3" t="s">
        <v>274</v>
      </c>
      <c r="F54" s="196">
        <v>4.5</v>
      </c>
      <c r="J54" s="5" t="s">
        <v>591</v>
      </c>
    </row>
    <row r="55" spans="1:10" x14ac:dyDescent="0.2">
      <c r="B55" s="5" t="s">
        <v>285</v>
      </c>
      <c r="C55" s="1" t="s">
        <v>275</v>
      </c>
      <c r="D55" s="2" t="s">
        <v>286</v>
      </c>
      <c r="E55" s="3" t="s">
        <v>7</v>
      </c>
      <c r="F55" s="196">
        <v>7</v>
      </c>
      <c r="J55" s="5" t="s">
        <v>287</v>
      </c>
    </row>
    <row r="56" spans="1:10" x14ac:dyDescent="0.2">
      <c r="B56" s="5" t="s">
        <v>48</v>
      </c>
      <c r="C56" s="1" t="s">
        <v>47</v>
      </c>
      <c r="D56" s="2" t="s">
        <v>60</v>
      </c>
      <c r="E56" s="3" t="s">
        <v>12</v>
      </c>
      <c r="F56" s="196">
        <f>6/9</f>
        <v>0.66666666666666663</v>
      </c>
    </row>
    <row r="57" spans="1:10" x14ac:dyDescent="0.2">
      <c r="B57" s="5" t="s">
        <v>48</v>
      </c>
      <c r="C57" s="1" t="s">
        <v>272</v>
      </c>
      <c r="D57" s="2" t="s">
        <v>273</v>
      </c>
      <c r="E57" s="3" t="s">
        <v>12</v>
      </c>
      <c r="F57" s="196"/>
    </row>
    <row r="58" spans="1:10" x14ac:dyDescent="0.2">
      <c r="B58" s="5" t="s">
        <v>49</v>
      </c>
      <c r="C58" s="1" t="s">
        <v>58</v>
      </c>
      <c r="D58" s="2" t="s">
        <v>56</v>
      </c>
      <c r="E58" s="3" t="s">
        <v>6</v>
      </c>
      <c r="F58" s="196"/>
    </row>
    <row r="59" spans="1:10" x14ac:dyDescent="0.2">
      <c r="B59" s="5" t="s">
        <v>49</v>
      </c>
      <c r="C59" s="1" t="s">
        <v>59</v>
      </c>
      <c r="D59" s="2" t="s">
        <v>57</v>
      </c>
      <c r="E59" s="3" t="s">
        <v>6</v>
      </c>
      <c r="F59" s="196"/>
    </row>
    <row r="61" ht="30" customHeight="1">
      <c r="A61" s="192" t="inlineStr">
        <is>
          <t xml:space="preserve">Every alternative worksheet prices its quantities from the Unit Cost column above, by looking up the pay item description. Change a cost here and every alternative reprices when the workbook recalculates.</t>
        </is>
      </c>
      <c r="B61" s="192"/>
      <c r="C61" s="192"/>
      <c r="D61" s="192"/>
      <c r="E61" s="192"/>
      <c r="F61" s="192"/>
      <c r="G61" s="192"/>
      <c r="H61" s="192"/>
      <c r="I61" s="192"/>
      <c r="J61" s="192"/>
    </row>
    <row r="62" ht="30" customHeight="1">
      <c r="A62" s="192" t="inlineStr">
        <is>
          <t xml:space="preserve">The Middle, West and East columns under "Average Pay Item Unit Cost" are empty in this release, so a West division project is priced on the same statewide numbers as a Middle one. The Summary states this beside the locator map and the Method sheet carries it as an open assumption.</t>
        </is>
      </c>
      <c r="B62" s="192"/>
      <c r="C62" s="192"/>
      <c r="D62" s="192"/>
      <c r="E62" s="192"/>
      <c r="F62" s="192"/>
      <c r="G62" s="192"/>
      <c r="H62" s="192"/>
      <c r="I62" s="192"/>
      <c r="J62" s="192"/>
    </row>
    <row r="63" ht="30" customHeight="1">
      <c r="A63" s="197" t="inlineStr">
        <is>
          <t xml:space="preserve">29 of the 56 pay items carry no unit cost. An alternative that uses one of them prices it at $0, so check the Unit Cost column before entering quantities.</t>
        </is>
      </c>
      <c r="B63" s="197"/>
      <c r="C63" s="197"/>
      <c r="D63" s="197"/>
      <c r="E63" s="197"/>
      <c r="F63" s="197"/>
      <c r="G63" s="197"/>
      <c r="H63" s="197"/>
      <c r="I63" s="197"/>
      <c r="J63" s="197"/>
    </row>
    <row r="64" ht="30" customHeight="1">
      <c r="A64" s="192" t="inlineStr">
        <is>
          <t xml:space="preserve">Typical ranges and the published sources behind these costs are on the Typical Values sheet.</t>
        </is>
      </c>
      <c r="B64" s="192"/>
      <c r="C64" s="192"/>
      <c r="D64" s="192"/>
      <c r="E64" s="192"/>
      <c r="F64" s="192"/>
      <c r="G64" s="192"/>
      <c r="H64" s="192"/>
      <c r="I64" s="192"/>
      <c r="J64" s="192"/>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40" customHeight="1">
      <c r="B1" s="119" t="str">
        <f>HYPERLINK("#'General Information'!D9","◄ General Information")</f>
        <v>◄ General Information</v>
      </c>
      <c r="C1" s="120" t="str">
        <f>HYPERLINK("#Summary!G1","Summary")</f>
        <v>Summary</v>
      </c>
    </row>
    <row r="2" ht="20" customHeight="1">
      <c r="C2" s="193" t="inlineStr">
        <is>
          <t xml:space="preserve">MAINTENANCE AND REHABILITATION POLICIES</t>
        </is>
      </c>
    </row>
    <row r="3" ht="36" customHeight="1">
      <c r="C3" s="192" t="inlineStr">
        <is>
          <t xml:space="preserve">Reference: what each alternative type does to the pavement and when. The schedules themselves live in the hidden alternative templates, so editing a number here changes nothing.</t>
        </is>
      </c>
    </row>
    <row r="4" ht="28" customHeight="1">
      <c r="C4" s="192" t="inlineStr">
        <is>
          <t xml:space="preserve">Table 1 drives a New HMA alternative, Table 2 a New PCC alternative, Table 3 an HMA overlay and Table 4 a PCC rehabilitation. Alternative Setup copies the matching template.</t>
        </is>
      </c>
    </row>
    <row r="5" ht="34" customHeight="1">
      <c r="C5" s="192"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2" t="inlineStr">
        <is>
          <t xml:space="preserve">Closure days come from the production rates on Typical Values, not from this sheet.</t>
        </is>
      </c>
    </row>
    <row r="7"/>
    <row r="8" spans="2:5" ht="13.5" thickBot="1" x14ac:dyDescent="0.25">
      <c r="B8" s="193" t="s">
        <v>494</v>
      </c>
    </row>
    <row r="9" ht="20" customHeight="1" spans="2:5" thickTop="1" thickBot="1" x14ac:dyDescent="0.25">
      <c r="B9" s="195" t="s">
        <v>96</v>
      </c>
      <c r="C9" s="195" t="s">
        <v>95</v>
      </c>
      <c r="D9" s="195" t="s">
        <v>106</v>
      </c>
      <c r="E9" s="195"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3" t="s">
        <v>495</v>
      </c>
    </row>
    <row r="36" ht="20" customHeight="1" spans="2:5" thickTop="1" thickBot="1" x14ac:dyDescent="0.25">
      <c r="B36" s="195" t="s">
        <v>105</v>
      </c>
      <c r="C36" s="195" t="s">
        <v>95</v>
      </c>
      <c r="D36" s="195" t="s">
        <v>106</v>
      </c>
      <c r="E36" s="195"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3" t="s">
        <v>496</v>
      </c>
    </row>
    <row r="50" ht="20" customHeight="1" spans="2:5" thickTop="1" thickBot="1" x14ac:dyDescent="0.25">
      <c r="B50" s="195" t="s">
        <v>96</v>
      </c>
      <c r="C50" s="195" t="s">
        <v>95</v>
      </c>
      <c r="D50" s="195" t="s">
        <v>106</v>
      </c>
      <c r="E50" s="195"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3" t="s">
        <v>497</v>
      </c>
    </row>
    <row r="75" ht="20" customHeight="1" spans="2:5" thickTop="1" thickBot="1" x14ac:dyDescent="0.25">
      <c r="B75" s="195" t="s">
        <v>105</v>
      </c>
      <c r="C75" s="195" t="s">
        <v>95</v>
      </c>
      <c r="D75" s="195" t="s">
        <v>106</v>
      </c>
      <c r="E75" s="195"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2">
    <mergeCell ref="A1:B1"/>
    <mergeCell ref="A3:G3"/>
  </mergeCell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2">
    <mergeCell ref="A1:B1"/>
    <mergeCell ref="A3:G3"/>
  </mergeCells>
  <dataValidations count="1">
    <dataValidation allowBlank="1" showInputMessage="1" showErrorMessage="1" promptTitle="Qty" prompt="Enter quantity" sqref="E13" xr:uid="{60E3F3D1-DCAA-49C2-B270-FF9B34BE2F49}"/>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2">
    <mergeCell ref="A1:B1"/>
    <mergeCell ref="A3:G3"/>
  </mergeCell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2">
    <mergeCell ref="A1:B1"/>
    <mergeCell ref="A3:G3"/>
  </mergeCell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live from Maintenance Policies D32 (policy: 2 of 16 years remaining)</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live from Maintenance Policies D46 (policy: 10 of 40 years remaining)</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workbook policy follows this form; the fractions above are the policy decision flagged in the change notes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1"/>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=VLOOKUP(C13,CHOOSE({1,2},Table2[Pay Item Description],Table2[Unit Cost]),2,0)</t>
        </is>
      </c>
      <c r="D16" s="180" t="inlineStr">
        <is>
          <t>Unit costs are never typed on an alternative sheet. Picking a description in column C pulls the item number, the unit and the price from Pay_Items, so a price change for every future project is one edit on Pay_Items column F.</t>
        </is>
      </c>
      <c r="E16" s="180" t="inlineStr">
        <is>
          <t>Pay_Items (Table2), column F</t>
        </is>
      </c>
    </row>
    <row r="17">
      <c r="A17" s="180" t="inlineStr">
        <is>
          <t>Pay-item subtotal</t>
        </is>
      </c>
      <c r="B17" s="180" t="inlineStr">
        <is>
          <t>Alt sheet G24</t>
        </is>
      </c>
      <c r="C17" s="181" t="inlineStr">
        <is>
          <t>=SUM(G13:G22)</t>
        </is>
      </c>
      <c r="D17" s="180" t="inlineStr">
        <is>
          <t>The ten item lines. (In v1.1.2 this summed G14:G22 and silently dropped item 1.)</t>
        </is>
      </c>
      <c r="E17" s="180" t="inlineStr">
        <is>
          <t>v1.2.0 fix 1</t>
        </is>
      </c>
    </row>
    <row r="18">
      <c r="A18" s="180" t="inlineStr">
        <is>
          <t>Mobilization</t>
        </is>
      </c>
      <c r="B18" s="180" t="inlineStr">
        <is>
          <t>Alt sheet G25</t>
        </is>
      </c>
      <c r="C18" s="181" t="inlineStr">
        <is>
          <t>=('General Information'!$D$36/100)*G24</t>
        </is>
      </c>
      <c r="D18" s="180" t="inlineStr">
        <is>
          <t>A percentage of the pay-item subtotal. Default 10 percent, set on General Information D36.</t>
        </is>
      </c>
      <c r="E18" s="180" t="inlineStr">
        <is>
          <t>General Information D36</t>
        </is>
      </c>
    </row>
    <row r="19">
      <c r="A19" s="180" t="inlineStr">
        <is>
          <t>Engineering</t>
        </is>
      </c>
      <c r="B19" s="180" t="inlineStr">
        <is>
          <t>Alt sheet G26</t>
        </is>
      </c>
      <c r="C19" s="181" t="inlineStr">
        <is>
          <t>=('General Information'!$D$37/100)*G24</t>
        </is>
      </c>
      <c r="D19" s="180" t="inlineStr">
        <is>
          <t>A percentage of the pay-item subtotal. Default 5 percent, set on General Information D37. Applied to initial construction from v1.2.0; before that it was charged only on later work.</t>
        </is>
      </c>
      <c r="E19" s="180" t="inlineStr">
        <is>
          <t>General Information D37; v1.2.0 fix 2</t>
        </is>
      </c>
    </row>
    <row r="20">
      <c r="A20" s="180" t="inlineStr">
        <is>
          <t>Initial construction total</t>
        </is>
      </c>
      <c r="B20" s="180" t="inlineStr">
        <is>
          <t>Alt sheet G27</t>
        </is>
      </c>
      <c r="C20" s="181" t="inlineStr">
        <is>
          <t>=SUM(G24:G26)</t>
        </is>
      </c>
      <c r="D20" s="180" t="inlineStr">
        <is>
          <t>Subtotal plus mobilization plus engineering. This is the "Initial construction" column on the Summary and the year-0 row of the life-cycle table.</t>
        </is>
      </c>
      <c r="E20" s="180" t="inlineStr">
        <is>
          <t>Alternative worksheet</t>
        </is>
      </c>
    </row>
    <row r="22">
      <c r="A22" s="177" t="inlineStr">
        <is>
          <t>3. Step 2: when the later work happens</t>
        </is>
      </c>
      <c r="B22" s="178" t="n"/>
      <c r="C22" s="178" t="n"/>
      <c r="D22" s="178" t="n"/>
      <c r="E22" s="178" t="n"/>
    </row>
    <row r="23">
      <c r="A23" s="179" t="inlineStr">
        <is>
          <t>Step / quantity</t>
        </is>
      </c>
      <c r="B23" s="179" t="inlineStr">
        <is>
          <t>Where it lives</t>
        </is>
      </c>
      <c r="C23" s="179" t="inlineStr">
        <is>
          <t>Formula as it stands</t>
        </is>
      </c>
      <c r="D23" s="179" t="inlineStr">
        <is>
          <t>What it means</t>
        </is>
      </c>
      <c r="E23" s="179" t="inlineStr">
        <is>
          <t>Source of the rule</t>
        </is>
      </c>
    </row>
    <row r="24">
      <c r="A24" s="180" t="inlineStr">
        <is>
          <t>Year of each event</t>
        </is>
      </c>
      <c r="B24" s="180" t="inlineStr">
        <is>
          <t>Alt sheet C37:C51</t>
        </is>
      </c>
      <c r="C24" s="181" t="inlineStr">
        <is>
          <t>='Maintenance Policies'!E10</t>
        </is>
      </c>
      <c r="D24" s="180" t="inlineStr">
        <is>
          <t>Years come from the maintenance policy tables, not from the project. New HMA: maintenance at 4, 8, 12 and 16, mill-and-overlay rehabilitation at 20, maintenance at 24 and 28, salvage at 30. New PCC: maintenance at 19, rehabilitation at 27, salvage at 30.</t>
        </is>
      </c>
      <c r="E24" s="180" t="inlineStr">
        <is>
          <t>Maintenance Policies, Tables 1 and 2</t>
        </is>
      </c>
    </row>
    <row r="25">
      <c r="A25" s="180" t="inlineStr">
        <is>
          <t>The year is an offset</t>
        </is>
      </c>
      <c r="B25" s="180" t="inlineStr">
        <is>
          <t>Alt sheet column C</t>
        </is>
      </c>
      <c r="C25" s="181" t="inlineStr"/>
      <c r="D25" s="180" t="inlineStr">
        <is>
          <t>Column C counts years after construction, not calendar years. Calendar years appear only on the Summary charts, where the construction year is added back.</t>
        </is>
      </c>
      <c r="E25" s="180" t="inlineStr">
        <is>
          <t>Alternative worksheet</t>
        </is>
      </c>
    </row>
    <row r="26">
      <c r="A26" s="180" t="inlineStr">
        <is>
          <t>Events beyond the analysis period</t>
        </is>
      </c>
      <c r="B26" s="180" t="inlineStr">
        <is>
          <t>Alt sheet column E</t>
        </is>
      </c>
      <c r="C26" s="181" t="inlineStr">
        <is>
          <t>=IF(C37&gt;'General Information'!$D$33,0,...)</t>
        </is>
      </c>
      <c r="D26" s="180" t="inlineStr">
        <is>
          <t>An event later than the analysis period is dropped to zero. A 20-year run therefore drops HMA maintenance 5 and 6 and the PCC rehabilitation. Added in v1.2.0; before that every event was counted whatever the period.</t>
        </is>
      </c>
      <c r="E26" s="180" t="inlineStr">
        <is>
          <t>General Information D33; v1.2.0 fix 3</t>
        </is>
      </c>
    </row>
    <row r="27" ht="26" customHeight="1">
      <c r="A27" s="176" t="inlineStr">
        <is>
          <t>Changing a policy year on Maintenance Policies moves the event everywhere: the cost, the chart and the closure.</t>
        </is>
      </c>
    </row>
    <row r="29">
      <c r="A29" s="177" t="inlineStr">
        <is>
          <t>4. Step 3: what each maintenance and rehabilitation event costs</t>
        </is>
      </c>
      <c r="B29" s="178" t="n"/>
      <c r="C29" s="178" t="n"/>
      <c r="D29" s="178" t="n"/>
      <c r="E29" s="178" t="n"/>
    </row>
    <row r="30">
      <c r="A30" s="179" t="inlineStr">
        <is>
          <t>Step / quantity</t>
        </is>
      </c>
      <c r="B30" s="179" t="inlineStr">
        <is>
          <t>Where it lives</t>
        </is>
      </c>
      <c r="C30" s="179" t="inlineStr">
        <is>
          <t>Formula as it stands</t>
        </is>
      </c>
      <c r="D30" s="179" t="inlineStr">
        <is>
          <t>What it means</t>
        </is>
      </c>
      <c r="E30" s="179" t="inlineStr">
        <is>
          <t>Source of the rule</t>
        </is>
      </c>
    </row>
    <row r="31">
      <c r="A31" s="180" t="inlineStr">
        <is>
          <t>HMA maintenance 1 and 2 (years 4, 8)</t>
        </is>
      </c>
      <c r="B31" s="180" t="inlineStr">
        <is>
          <t>Alt sheet J13:P19 and R13:X19 (hidden to the right)</t>
        </is>
      </c>
      <c r="C31" s="181" t="inlineStr">
        <is>
          <t>qty = 'Maintenance Policies'!D10*$C$5 ; cost = unit cost x qty</t>
        </is>
      </c>
      <c r="D31" s="180" t="inlineStr">
        <is>
          <t>Surface treatment over 100 percent of the mainline area, the old markings removed and 100 percent of the markings repainted. The treatment product is the one chosen in C7.</t>
        </is>
      </c>
      <c r="E31" s="180" t="inlineStr">
        <is>
          <t>Maintenance Policies rows 10 to 13</t>
        </is>
      </c>
    </row>
    <row r="32">
      <c r="A32" s="180" t="inlineStr">
        <is>
          <t>HMA maintenance 3 and 4 (years 12, 16)</t>
        </is>
      </c>
      <c r="B32" s="180" t="inlineStr">
        <is>
          <t>Alt sheet Z13:AD20 and AH13:AN21</t>
        </is>
      </c>
      <c r="C32" s="181" t="inlineStr">
        <is>
          <t>qty = 'Maintenance Policies'!D14*($C$5*9)</t>
        </is>
      </c>
      <c r="D32" s="180" t="inlineStr">
        <is>
          <t>Patching 0.75 and 1.00 percent of the area (converted to square feet, hence x9), crack sealing 3.25 and 3.50 percent of the area as linear feet, then a full surface treatment and markings.</t>
        </is>
      </c>
      <c r="E32" s="180" t="inlineStr">
        <is>
          <t>Maintenance Policies rows 14 to 21</t>
        </is>
      </c>
    </row>
    <row r="33">
      <c r="A33" s="180" t="inlineStr">
        <is>
          <t>HMA rehabilitation 1 (year 20)</t>
        </is>
      </c>
      <c r="B33" s="180" t="inlineStr">
        <is>
          <t>Alt sheet AP13:AV22</t>
        </is>
      </c>
      <c r="C33" s="181" t="inlineStr">
        <is>
          <t>qty = 'Maintenance Policies'!D22*$C$5</t>
        </is>
      </c>
      <c r="D33" s="180" t="inlineStr">
        <is>
          <t>4-inch cold mill, tack coat and asphalt overlay over 100 percent of the area, with pre-overlay crack repair on 1.5 percent and patching on 0.5 percent, plus markings.</t>
        </is>
      </c>
      <c r="E33" s="180" t="inlineStr">
        <is>
          <t>Maintenance Policies rows 22 to 25</t>
        </is>
      </c>
    </row>
    <row r="34">
      <c r="A34" s="180" t="inlineStr">
        <is>
          <t>PCC maintenance 1 (year 19)</t>
        </is>
      </c>
      <c r="B34" s="180" t="inlineStr">
        <is>
          <t>Alt sheet J13:P20</t>
        </is>
      </c>
      <c r="C34" s="181" t="inlineStr">
        <is>
          <t>qty = K8*'Maintenance Policies'!D37 and 'Maintenance Policies'!D38*(C5*9)</t>
        </is>
      </c>
      <c r="D34" s="180" t="inlineStr">
        <is>
          <t>Joint resealing over the whole estimated joint length, crack sealing 0.25 percent of the area as linear feet, partial-depth patching 0.13 percent and full-depth patching 0.30 percent.</t>
        </is>
      </c>
      <c r="E34" s="180" t="inlineStr">
        <is>
          <t>Maintenance Policies rows 37 to 40</t>
        </is>
      </c>
    </row>
    <row r="35">
      <c r="A35" s="180" t="inlineStr">
        <is>
          <t>PCC rehabilitation 1 (year 27)</t>
        </is>
      </c>
      <c r="B35" s="180" t="inlineStr">
        <is>
          <t>Alt sheet R13:X21</t>
        </is>
      </c>
      <c r="C35" s="181" t="inlineStr">
        <is>
          <t>qty = 'Maintenance Policies'!D41*C5 (slabs) and 'Maintenance Policies'!D45*K8 (joints)</t>
        </is>
      </c>
      <c r="D35" s="180" t="inlineStr">
        <is>
          <t>Slab replacement on 2 percent of the area, full-depth patching 0.30 percent, partial-depth 0.13 percent, crack sealing 0.30 percent as linear feet and joint sealing over the full joint length.</t>
        </is>
      </c>
      <c r="E35" s="180" t="inlineStr">
        <is>
          <t>Maintenance Policies rows 41 to 45</t>
        </is>
      </c>
    </row>
    <row r="36">
      <c r="A36" s="180" t="inlineStr">
        <is>
          <t>Joint length (PCC only)</t>
        </is>
      </c>
      <c r="B36" s="180" t="inlineStr">
        <is>
          <t>Alt sheet K7 and K8</t>
        </is>
      </c>
      <c r="C36" s="181" t="inlineStr">
        <is>
          <t>=C5/((12.5*12.5)/9) then =K7*25+((K7/8)*12.5)</t>
        </is>
      </c>
      <c r="D36" s="180" t="inlineStr">
        <is>
          <t>Slabs are assumed 12.5 x 12.5 ft; the joint length follows from the panel count. Nothing asks the user for a joint layout.</t>
        </is>
      </c>
      <c r="E36" s="180" t="inlineStr">
        <is>
          <t>Alternative worksheet (PCC)</t>
        </is>
      </c>
    </row>
    <row r="37">
      <c r="A37" s="180" t="inlineStr">
        <is>
          <t>Mobilization and engineering on each event</t>
        </is>
      </c>
      <c r="B37" s="180" t="inlineStr">
        <is>
          <t>Alt sheet P17, P18 and the matching cells in each block</t>
        </is>
      </c>
      <c r="C37" s="181" t="inlineStr">
        <is>
          <t>=('General Information'!$D$36/100)*P16</t>
        </is>
      </c>
      <c r="D37" s="180" t="inlineStr">
        <is>
          <t>Every maintenance and rehabilitation event carries the same mobilization and engineering percentages as initial construction.</t>
        </is>
      </c>
      <c r="E37" s="180" t="inlineStr">
        <is>
          <t>General Information D36, D37</t>
        </is>
      </c>
    </row>
    <row r="38" ht="26" customHeight="1">
      <c r="A38" s="176" t="inlineStr">
        <is>
          <t>The quantities of later work are computed from the policy rates and the project area. They are not typed anywhere.</t>
        </is>
      </c>
    </row>
    <row r="40">
      <c r="A40" s="177" t="inlineStr">
        <is>
          <t>5. Step 4: how long the runway closes</t>
        </is>
      </c>
      <c r="B40" s="178" t="n"/>
      <c r="C40" s="178" t="n"/>
      <c r="D40" s="178" t="n"/>
      <c r="E40" s="178" t="n"/>
    </row>
    <row r="41">
      <c r="A41" s="179" t="inlineStr">
        <is>
          <t>Step / quantity</t>
        </is>
      </c>
      <c r="B41" s="179" t="inlineStr">
        <is>
          <t>Where it lives</t>
        </is>
      </c>
      <c r="C41" s="179" t="inlineStr">
        <is>
          <t>Formula as it stands</t>
        </is>
      </c>
      <c r="D41" s="179" t="inlineStr">
        <is>
          <t>What it means</t>
        </is>
      </c>
      <c r="E41" s="179" t="inlineStr">
        <is>
          <t>Source of the rule</t>
        </is>
      </c>
    </row>
    <row r="42">
      <c r="A42" s="180" t="inlineStr">
        <is>
          <t>HMA surface treatment (F4, F5, F9)</t>
        </is>
      </c>
      <c r="B42" s="180" t="inlineStr">
        <is>
          <t>Alt sheet F4:F10 (grey, editable)</t>
        </is>
      </c>
      <c r="C42" s="181" t="inlineStr">
        <is>
          <t>=ROUNDUP((C5/15000),0)+ROUNDUP((C8/20000),0)+ROUNDUP((C8/50000),0)</t>
        </is>
      </c>
      <c r="D42" s="180" t="inlineStr">
        <is>
          <t>Production rates: 15,000 S.Y. a day of surface treatment, plus the two marking operations at 20,000 and 50,000 S.F. a day.</t>
        </is>
      </c>
      <c r="E42" s="180" t="inlineStr">
        <is>
          <t>v1.2.0 defaults, taken from the MBT and SRB runs</t>
        </is>
      </c>
    </row>
    <row r="43">
      <c r="A43" s="180" t="inlineStr">
        <is>
          <t>HMA with patching and crack sealing (F6, F7, F10)</t>
        </is>
      </c>
      <c r="B43" s="180" t="inlineStr">
        <is>
          <t>Alt sheet F6, F7, F10</t>
        </is>
      </c>
      <c r="C43" s="181" t="inlineStr">
        <is>
          <t>... +ROUNDUP((C5*'Maintenance Policies'!D15/10000),0)+ROUNDUP((C5*'Maintenance Policies'!D14/5000),0)</t>
        </is>
      </c>
      <c r="D43" s="180" t="inlineStr">
        <is>
          <t>Adds crack sealing at 10,000 L.F. a day and patching at 5,000 S.Y. a day, on the policy quantities for that event.</t>
        </is>
      </c>
      <c r="E43" s="180" t="inlineStr">
        <is>
          <t>v1.2.0 defaults</t>
        </is>
      </c>
    </row>
    <row r="44">
      <c r="A44" s="180" t="inlineStr">
        <is>
          <t>HMA mill and overlay (F8)</t>
        </is>
      </c>
      <c r="B44" s="180" t="inlineStr">
        <is>
          <t>Alt sheet F8</t>
        </is>
      </c>
      <c r="C44" s="181" t="inlineStr">
        <is>
          <t>=ROUNDUP((C5/3800),0)+ROUNDUP((C8/50000),0)</t>
        </is>
      </c>
      <c r="D44" s="180" t="inlineStr">
        <is>
          <t>Mill and overlay at 3,800 S.Y. a day, plus markings.</t>
        </is>
      </c>
      <c r="E44" s="180" t="inlineStr">
        <is>
          <t>v1.2.0 defaults</t>
        </is>
      </c>
    </row>
    <row r="45">
      <c r="A45" s="180" t="inlineStr">
        <is>
          <t>PCC (F4, F5)</t>
        </is>
      </c>
      <c r="B45" s="180" t="inlineStr">
        <is>
          <t>Alt sheet F4, F5</t>
        </is>
      </c>
      <c r="C45" s="181" t="inlineStr">
        <is>
          <t>=ROUNDUP(C5*550/(50*100/9)/10000,0)+... +7 on F5</t>
        </is>
      </c>
      <c r="D45" s="180" t="inlineStr">
        <is>
          <t>Joint work at 10,000 L.F. a day, patching and sealing at 5,000 a day, slab replacement at 1,000 S.Y. a day, plus seven days of cure before the runway reopens.</t>
        </is>
      </c>
      <c r="E45" s="180" t="inlineStr">
        <is>
          <t>v1.2.0 defaults</t>
        </is>
      </c>
    </row>
    <row r="46">
      <c r="A46" s="180" t="inlineStr">
        <is>
          <t>These are inputs</t>
        </is>
      </c>
      <c r="B46" s="180" t="inlineStr">
        <is>
          <t>Alt sheet F4:F10</t>
        </is>
      </c>
      <c r="C46" s="181" t="inlineStr"/>
      <c r="D46" s="180" t="inlineStr">
        <is>
          <t>The cells are grey because a project can override them. Type a number and the formula is replaced for that alternative only.</t>
        </is>
      </c>
      <c r="E46" s="180" t="inlineStr">
        <is>
          <t>Alternative worksheet</t>
        </is>
      </c>
    </row>
    <row r="47" ht="26" customHeight="1">
      <c r="A47" s="176" t="inlineStr">
        <is>
          <t>Closure days matter only when lost revenue is switched on, but they are always reported on the Summary.</t>
        </is>
      </c>
    </row>
    <row r="49">
      <c r="A49" s="177" t="inlineStr">
        <is>
          <t>6. Step 5: lost airport revenue (the "indirect cost")</t>
        </is>
      </c>
      <c r="B49" s="178" t="n"/>
      <c r="C49" s="178" t="n"/>
      <c r="D49" s="178" t="n"/>
      <c r="E49" s="178" t="n"/>
    </row>
    <row r="50">
      <c r="A50" s="179" t="inlineStr">
        <is>
          <t>Step / quantity</t>
        </is>
      </c>
      <c r="B50" s="179" t="inlineStr">
        <is>
          <t>Where it lives</t>
        </is>
      </c>
      <c r="C50" s="179" t="inlineStr">
        <is>
          <t>Formula as it stands</t>
        </is>
      </c>
      <c r="D50" s="179" t="inlineStr">
        <is>
          <t>What it means</t>
        </is>
      </c>
      <c r="E50" s="179" t="inlineStr">
        <is>
          <t>Source of the rule</t>
        </is>
      </c>
    </row>
    <row r="51">
      <c r="A51" s="180" t="inlineStr">
        <is>
          <t>Switch</t>
        </is>
      </c>
      <c r="B51" s="180" t="inlineStr">
        <is>
          <t>General Information D38</t>
        </is>
      </c>
      <c r="C51" s="181" t="inlineStr"/>
      <c r="D51" s="180" t="inlineStr">
        <is>
          <t>Yes adds a lost-revenue row beside every maintenance and rehabilitation event. No leaves the analysis as agency cost only.</t>
        </is>
      </c>
      <c r="E51" s="180" t="inlineStr">
        <is>
          <t>General Information D38</t>
        </is>
      </c>
    </row>
    <row r="52">
      <c r="A52" s="180" t="inlineStr">
        <is>
          <t>Daily revenue</t>
        </is>
      </c>
      <c r="B52" s="180" t="inlineStr">
        <is>
          <t>Alt sheet F2</t>
        </is>
      </c>
      <c r="C52" s="181" t="inlineStr">
        <is>
          <t>=IF('General Information'!$D$38="Yes",SUMIF(RevenueData!$A:$A,'General Information'!$D$10,RevenueData!$B:$B)+... ,0)</t>
        </is>
      </c>
      <c r="D52" s="180" t="inlineStr">
        <is>
          <t>Adds the airport's revenue lines on the hidden RevenueData sheet (fuel, tenant, other). Only 17 of the 79 airports have revenue data; text entries such as " NA " count as zero.</t>
        </is>
      </c>
      <c r="E52" s="180" t="inlineStr">
        <is>
          <t>RevenueData (hidden); v1.2.0 fix 5</t>
        </is>
      </c>
    </row>
    <row r="53">
      <c r="A53" s="180" t="inlineStr">
        <is>
          <t>Warning when there is no data</t>
        </is>
      </c>
      <c r="B53" s="180" t="inlineStr">
        <is>
          <t>Alt sheet G2</t>
        </is>
      </c>
      <c r="C53" s="181" t="inlineStr">
        <is>
          <t>=IF(AND('General Information'!$D$38="Yes",F2=0),"No revenue data for this airport...","")</t>
        </is>
      </c>
      <c r="D53" s="180" t="inlineStr">
        <is>
          <t>An airport outside the 17 returns $0 lost revenue with a visible warning, instead of the not-available error it produced before.</t>
        </is>
      </c>
      <c r="E53" s="180" t="inlineStr">
        <is>
          <t>v1.2.0 fix 5</t>
        </is>
      </c>
    </row>
    <row r="54">
      <c r="A54" s="180" t="inlineStr">
        <is>
          <t>Cost of one closure</t>
        </is>
      </c>
      <c r="B54" s="180" t="inlineStr">
        <is>
          <t>Alt sheet D38, D40, D42 ... (the "Indirect Cost" rows)</t>
        </is>
      </c>
      <c r="C54" s="181" t="inlineStr">
        <is>
          <t>=F2*F4</t>
        </is>
      </c>
      <c r="D54" s="180" t="inlineStr">
        <is>
          <t>Daily revenue times the closure days for that event, then discounted like any other cost.</t>
        </is>
      </c>
      <c r="E54" s="180" t="inlineStr">
        <is>
          <t>Alternative worksheet</t>
        </is>
      </c>
    </row>
    <row r="55" ht="26" customHeight="1">
      <c r="A55" s="176" t="inlineStr">
        <is>
          <t>This is the airport-side counterpart of the road user delay cost in the Caltrans and FHWA RealCost method.</t>
        </is>
      </c>
    </row>
    <row r="57">
      <c r="A57" s="177" t="inlineStr">
        <is>
          <t>7. Step 6: salvage value</t>
        </is>
      </c>
      <c r="B57" s="178" t="n"/>
      <c r="C57" s="178" t="n"/>
      <c r="D57" s="178" t="n"/>
      <c r="E57" s="178" t="n"/>
    </row>
    <row r="58">
      <c r="A58" s="179" t="inlineStr">
        <is>
          <t>Step / quantity</t>
        </is>
      </c>
      <c r="B58" s="179" t="inlineStr">
        <is>
          <t>Where it lives</t>
        </is>
      </c>
      <c r="C58" s="179" t="inlineStr">
        <is>
          <t>Formula as it stands</t>
        </is>
      </c>
      <c r="D58" s="179" t="inlineStr">
        <is>
          <t>What it means</t>
        </is>
      </c>
      <c r="E58" s="179" t="inlineStr">
        <is>
          <t>Source of the rule</t>
        </is>
      </c>
    </row>
    <row r="59">
      <c r="A59" s="180" t="inlineStr">
        <is>
          <t>New HMA</t>
        </is>
      </c>
      <c r="B59" s="180" t="inlineStr">
        <is>
          <t>Alt sheet D51</t>
        </is>
      </c>
      <c r="C59" s="181" t="inlineStr">
        <is>
          <t>=-'Maintenance Policies'!D32*AV22</t>
        </is>
      </c>
      <c r="D59" s="180" t="inlineStr">
        <is>
          <t>12.5 percent of the mill-and-overlay cost, credited at the end of the analysis period. The policy sheet describes it as two years of remaining life on a 16-year overlay.</t>
        </is>
      </c>
      <c r="E59" s="180" t="inlineStr">
        <is>
          <t>Maintenance Policies row 32</t>
        </is>
      </c>
    </row>
    <row r="60">
      <c r="A60" s="180" t="inlineStr">
        <is>
          <t>New PCC</t>
        </is>
      </c>
      <c r="B60" s="180" t="inlineStr">
        <is>
          <t>Alt sheet D42</t>
        </is>
      </c>
      <c r="C60" s="181" t="inlineStr">
        <is>
          <t>=-'Maintenance Policies'!D46*G27</t>
        </is>
      </c>
      <c r="D60" s="180" t="inlineStr">
        <is>
          <t>25 percent of the whole initial construction cost, credited at the end of the analysis period. The policy sheet describes it as ten years of remaining life.</t>
        </is>
      </c>
      <c r="E60" s="180" t="inlineStr">
        <is>
          <t>Maintenance Policies row 46</t>
        </is>
      </c>
    </row>
    <row r="61">
      <c r="A61" s="180" t="inlineStr">
        <is>
          <t>When it is credited</t>
        </is>
      </c>
      <c r="B61" s="180" t="inlineStr">
        <is>
          <t>Alt sheet C51 (HMA), C42 (PCC)</t>
        </is>
      </c>
      <c r="C61" s="181" t="inlineStr">
        <is>
          <t>='General Information'!D33</t>
        </is>
      </c>
      <c r="D61" s="180" t="inlineStr">
        <is>
          <t>Always at the last year of the analysis period, so it is discounted the hardest of any line.</t>
        </is>
      </c>
      <c r="E61" s="180" t="inlineStr">
        <is>
          <t>General Information D33</t>
        </is>
      </c>
    </row>
    <row r="62" ht="26" customHeight="1">
      <c r="A62" s="176" t="inlineStr">
        <is>
          <t>The two rules are not symmetric: concrete recovers a share of everything spent up front, asphalt a share of one rehabilitation. See section 11.</t>
        </is>
      </c>
    </row>
    <row r="64">
      <c r="A64" s="177" t="inlineStr">
        <is>
          <t>8. Step 7: discounting and the total</t>
        </is>
      </c>
      <c r="B64" s="178" t="n"/>
      <c r="C64" s="178" t="n"/>
      <c r="D64" s="178" t="n"/>
      <c r="E64" s="178" t="n"/>
    </row>
    <row r="65">
      <c r="A65" s="179" t="inlineStr">
        <is>
          <t>Step / quantity</t>
        </is>
      </c>
      <c r="B65" s="179" t="inlineStr">
        <is>
          <t>Where it lives</t>
        </is>
      </c>
      <c r="C65" s="179" t="inlineStr">
        <is>
          <t>Formula as it stands</t>
        </is>
      </c>
      <c r="D65" s="179" t="inlineStr">
        <is>
          <t>What it means</t>
        </is>
      </c>
      <c r="E65" s="179" t="inlineStr">
        <is>
          <t>Source of the rule</t>
        </is>
      </c>
    </row>
    <row r="66">
      <c r="A66" s="180" t="inlineStr">
        <is>
          <t>Present worth of one event</t>
        </is>
      </c>
      <c r="B66" s="180" t="inlineStr">
        <is>
          <t>Alt sheet column E</t>
        </is>
      </c>
      <c r="C66" s="181" t="inlineStr">
        <is>
          <t>=IF(C37&gt;'General Information'!$D$33,0,D37/(1+('General Information'!$D$34/100))^C37)</t>
        </is>
      </c>
      <c r="D66" s="180" t="inlineStr">
        <is>
          <t>Cost divided by (1 + rate) raised to the number of years after construction. Constant-dollar costs with a real discount rate: no inflation is added anywhere in the workbook.</t>
        </is>
      </c>
      <c r="E66" s="180" t="inlineStr">
        <is>
          <t>General Information D33, D34</t>
        </is>
      </c>
    </row>
    <row r="67">
      <c r="A67" s="180" t="inlineStr">
        <is>
          <t>Discount rate</t>
        </is>
      </c>
      <c r="B67" s="180" t="inlineStr">
        <is>
          <t>General Information D34</t>
        </is>
      </c>
      <c r="C67" s="181" t="inlineStr"/>
      <c r="D67" s="180" t="inlineStr">
        <is>
          <t>TDOT uses 3 percent. FAA PGL 22-01 (June 2022) replaced the fixed 7 percent with the OMB Circular A-94 Appendix C real rate, 2.0 percent for 2026. Chart 2 on the Summary shows the answer from 2 to 8 percent.</t>
        </is>
      </c>
      <c r="E67" s="180" t="inlineStr">
        <is>
          <t>TDOT policy; FAA PGL 22-01; OMB A-94</t>
        </is>
      </c>
    </row>
    <row r="68">
      <c r="A68" s="180" t="inlineStr">
        <is>
          <t>Analysis period</t>
        </is>
      </c>
      <c r="B68" s="180" t="inlineStr">
        <is>
          <t>General Information D33</t>
        </is>
      </c>
      <c r="C68" s="181" t="inlineStr"/>
      <c r="D68" s="180" t="inlineStr">
        <is>
          <t>TDOT uses 30 years. FAA leaves the period to the engineer. Events beyond it are dropped, salvage moves with it.</t>
        </is>
      </c>
      <c r="E68" s="180" t="inlineStr">
        <is>
          <t>TDOT policy</t>
        </is>
      </c>
    </row>
    <row r="69">
      <c r="A69" s="180" t="inlineStr">
        <is>
          <t>Net present worth</t>
        </is>
      </c>
      <c r="B69" s="180" t="inlineStr">
        <is>
          <t>Alt sheet E52 (HMA), E43 (PCC)</t>
        </is>
      </c>
      <c r="C69" s="181" t="inlineStr">
        <is>
          <t>=SUM(E36:E51)</t>
        </is>
      </c>
      <c r="D69" s="180" t="inlineStr">
        <is>
          <t>The sum of the discounted column, initial construction included.</t>
        </is>
      </c>
      <c r="E69" s="180" t="inlineStr">
        <is>
          <t>Alternative worksheet</t>
        </is>
      </c>
    </row>
    <row r="71">
      <c r="A71" s="177" t="inlineStr">
        <is>
          <t>9. What the Summary adds on top</t>
        </is>
      </c>
      <c r="B71" s="178" t="n"/>
      <c r="C71" s="178" t="n"/>
      <c r="D71" s="178" t="n"/>
      <c r="E71" s="178" t="n"/>
    </row>
    <row r="72">
      <c r="A72" s="179" t="inlineStr">
        <is>
          <t>Step / quantity</t>
        </is>
      </c>
      <c r="B72" s="179" t="inlineStr">
        <is>
          <t>Where it lives</t>
        </is>
      </c>
      <c r="C72" s="179" t="inlineStr">
        <is>
          <t>Formula as it stands</t>
        </is>
      </c>
      <c r="D72" s="179" t="inlineStr">
        <is>
          <t>What it means</t>
        </is>
      </c>
      <c r="E72" s="179" t="inlineStr">
        <is>
          <t>Source of the rule</t>
        </is>
      </c>
    </row>
    <row r="73">
      <c r="A73" s="180" t="inlineStr">
        <is>
          <t>Results table</t>
        </is>
      </c>
      <c r="B73" s="180" t="inlineStr">
        <is>
          <t>Summary G3:R7</t>
        </is>
      </c>
      <c r="C73" s="181" t="inlineStr">
        <is>
          <t>=IFERROR(SUMIFS(INDIRECT("'"&amp;$G4&amp;"'!$E$37:$E$52"),...),0)</t>
        </is>
      </c>
      <c r="D73"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3" s="180" t="inlineStr">
        <is>
          <t>Summary, v1.2.0</t>
        </is>
      </c>
    </row>
    <row r="74">
      <c r="A74" s="180" t="inlineStr">
        <is>
          <t>Which alternatives exist</t>
        </is>
      </c>
      <c r="B74" s="180" t="inlineStr">
        <is>
          <t>Summary G4:I7</t>
        </is>
      </c>
      <c r="C74" s="181" t="inlineStr">
        <is>
          <t>=INDEX(Database!$D:$D,4)</t>
        </is>
      </c>
      <c r="D74" s="180" t="inlineStr">
        <is>
          <t>Names and worksheet names come from the hidden Database sheet that the Alternative Setup form writes. INDEX on whole columns survives the row deletion the form performs when an alternative is removed.</t>
        </is>
      </c>
      <c r="E74" s="180" t="inlineStr">
        <is>
          <t>Database (hidden)</t>
        </is>
      </c>
    </row>
    <row r="75">
      <c r="A75" s="180" t="inlineStr">
        <is>
          <t>Verdict</t>
        </is>
      </c>
      <c r="B75" s="180" t="inlineStr">
        <is>
          <t>Summary G9, G10</t>
        </is>
      </c>
      <c r="C75" s="181" t="inlineStr"/>
      <c r="D75" s="180" t="inlineStr">
        <is>
          <t>Names the lowest-NPW alternative, the margin to the next, the rate and period, and whether the same alternative still wins at 2 and at 7 percent.</t>
        </is>
      </c>
      <c r="E75" s="180" t="inlineStr">
        <is>
          <t>Summary, v1.2.0</t>
        </is>
      </c>
    </row>
    <row r="76">
      <c r="A76" s="180" t="inlineStr">
        <is>
          <t>Comparison block (RealCost layout)</t>
        </is>
      </c>
      <c r="B76" s="180" t="inlineStr">
        <is>
          <t>Summary G13:O17</t>
        </is>
      </c>
      <c r="C76" s="181" t="inlineStr">
        <is>
          <t>=H14*(('General Information'!$D$34/100)*(1+'General Information'!$D$34/100)^'General Information'!$D$33)/((1+'General Information'!$D$34/100)^'General Information'!$D$33-1)</t>
        </is>
      </c>
      <c r="D76" s="180" t="inlineStr">
        <is>
          <t>Agency cost (initial + maintenance + rehabilitation + salvage) and user cost (lost revenue) as present worth and as equivalent uniform annual cost. EUAC = PW x capital recovery factor.</t>
        </is>
      </c>
      <c r="E76" s="180" t="inlineStr">
        <is>
          <t>Caltrans / FHWA RealCost layout</t>
        </is>
      </c>
    </row>
    <row r="77">
      <c r="A77" s="180" t="inlineStr">
        <is>
          <t>Sensitivity to the discount rate</t>
        </is>
      </c>
      <c r="B77" s="180" t="inlineStr">
        <is>
          <t>Summary W10:AA36, chart 2</t>
        </is>
      </c>
      <c r="C77" s="181" t="inlineStr">
        <is>
          <t>=SUMPRODUCT((year&lt;=period)*cost/(1+r)^year)</t>
        </is>
      </c>
      <c r="D77" s="180" t="inlineStr">
        <is>
          <t>Recomputes every alternative at 25 rates from 2 to 8 percent without touching the alternative sheets.</t>
        </is>
      </c>
      <c r="E77" s="180" t="inlineStr">
        <is>
          <t>Summary, v1.2.0</t>
        </is>
      </c>
    </row>
    <row r="78">
      <c r="A78" s="180" t="inlineStr">
        <is>
          <t>By calendar year</t>
        </is>
      </c>
      <c r="B78" s="180" t="inlineStr">
        <is>
          <t>Summary W39:AJ71, charts 3, 4 and 5</t>
        </is>
      </c>
      <c r="C78" s="181" t="inlineStr">
        <is>
          <t>=SUMIF(year applied, ...)</t>
        </is>
      </c>
      <c r="D78" s="180" t="inlineStr">
        <is>
          <t>Spend by year undiscounted, cumulative discounted cost (the payback crossing) and closure days by year.</t>
        </is>
      </c>
      <c r="E78" s="180" t="inlineStr">
        <is>
          <t>Summary, v1.2.0</t>
        </is>
      </c>
    </row>
    <row r="79">
      <c r="A79" s="180" t="inlineStr">
        <is>
          <t>Pavement section read-back</t>
        </is>
      </c>
      <c r="B79" s="180" t="inlineStr">
        <is>
          <t>Summary G80:Q86, charts 6 and 7</t>
        </is>
      </c>
      <c r="C79" s="181" t="inlineStr">
        <is>
          <t>=36*C.Y./mainline S.Y. ; =2666.6667*tons/(pcf*mainline S.Y.)</t>
        </is>
      </c>
      <c r="D79" s="180" t="inlineStr">
        <is>
          <t>Derives each layer thickness from the quantities already entered, totals the section, cross-checks it against the excavation quantity and writes the section out as a string for the alternative description. Display only.</t>
        </is>
      </c>
      <c r="E79" s="180" t="inlineStr">
        <is>
          <t>Summary, v1.2.0</t>
        </is>
      </c>
    </row>
    <row r="81">
      <c r="A81" s="177" t="inlineStr">
        <is>
          <t>10. Current settings in this file (live)</t>
        </is>
      </c>
      <c r="B81" s="178" t="n"/>
      <c r="C81" s="178" t="n"/>
      <c r="D81" s="178" t="n"/>
      <c r="E81" s="178" t="n"/>
    </row>
    <row r="82">
      <c r="A82" s="179" t="inlineStr">
        <is>
          <t>Step / quantity</t>
        </is>
      </c>
      <c r="B82" s="179" t="inlineStr">
        <is>
          <t>Where it lives</t>
        </is>
      </c>
      <c r="C82" s="179" t="inlineStr">
        <is>
          <t>Formula as it stands</t>
        </is>
      </c>
      <c r="D82" s="179" t="inlineStr">
        <is>
          <t>What it means</t>
        </is>
      </c>
      <c r="E82" s="179" t="inlineStr">
        <is>
          <t>Source of the rule</t>
        </is>
      </c>
    </row>
    <row r="83">
      <c r="A83" s="180" t="inlineStr">
        <is>
          <t>Analysis period, years</t>
        </is>
      </c>
      <c r="B83" s="180" t="inlineStr">
        <is>
          <t>General Information D33</t>
        </is>
      </c>
      <c r="C83" s="182">
        <f>'General Information'!$D$33</f>
        <v/>
      </c>
      <c r="D83" s="180" t="inlineStr">
        <is>
          <t>The period every alternative is measured over.</t>
        </is>
      </c>
      <c r="E83" s="180" t="inlineStr"/>
    </row>
    <row r="84">
      <c r="A84" s="180" t="inlineStr">
        <is>
          <t>Discount rate, percent</t>
        </is>
      </c>
      <c r="B84" s="180" t="inlineStr">
        <is>
          <t>General Information D34</t>
        </is>
      </c>
      <c r="C84" s="183">
        <f>'General Information'!$D$34</f>
        <v/>
      </c>
      <c r="D84" s="180" t="inlineStr">
        <is>
          <t>The real rate used for every present worth above.</t>
        </is>
      </c>
      <c r="E84" s="180" t="inlineStr"/>
    </row>
    <row r="85">
      <c r="A85" s="180" t="inlineStr">
        <is>
          <t>Capital recovery factor</t>
        </is>
      </c>
      <c r="B85" s="180" t="inlineStr">
        <is>
          <t>computed here</t>
        </is>
      </c>
      <c r="C85" s="184">
        <f>IF('General Information'!$D$34=0,0,('General Information'!$D$34/100)*(1+'General Information'!$D$34/100)^'General Information'!$D$33/((1+'General Information'!$D$34/100)^'General Information'!$D$33-1))</f>
        <v/>
      </c>
      <c r="D85" s="180" t="inlineStr">
        <is>
          <t>Multiply any present worth by this to get the equivalent uniform annual cost.</t>
        </is>
      </c>
      <c r="E85" s="180" t="inlineStr"/>
    </row>
    <row r="86">
      <c r="A86" s="180" t="inlineStr">
        <is>
          <t>Present worth of $1 spent at year 20</t>
        </is>
      </c>
      <c r="B86" s="180" t="inlineStr">
        <is>
          <t>computed here</t>
        </is>
      </c>
      <c r="C86" s="184">
        <f>1/(1+'General Information'!$D$34/100)^20</f>
        <v/>
      </c>
      <c r="D86" s="180" t="inlineStr">
        <is>
          <t>What a dollar of rehabilitation at year 20 is worth today at the current rate.</t>
        </is>
      </c>
      <c r="E86" s="180" t="inlineStr"/>
    </row>
    <row r="87">
      <c r="A87" s="180" t="inlineStr">
        <is>
          <t>Lost revenue counted</t>
        </is>
      </c>
      <c r="B87" s="180" t="inlineStr">
        <is>
          <t>General Information D38</t>
        </is>
      </c>
      <c r="C87" s="181">
        <f>'General Information'!$D$38</f>
        <v/>
      </c>
      <c r="D87" s="180" t="inlineStr">
        <is>
          <t>Yes adds the closure cost rows.</t>
        </is>
      </c>
      <c r="E87" s="180" t="inlineStr"/>
    </row>
    <row r="88">
      <c r="A88" s="180" t="inlineStr">
        <is>
          <t>Alternatives registered</t>
        </is>
      </c>
      <c r="B88" s="180" t="inlineStr">
        <is>
          <t>Database A4:A7</t>
        </is>
      </c>
      <c r="C88" s="182">
        <f>COUNTA(Database!$A$4:$A$7)</f>
        <v/>
      </c>
      <c r="D88" s="180" t="inlineStr">
        <is>
          <t>How many alternatives the form has created.</t>
        </is>
      </c>
      <c r="E88" s="180" t="inlineStr"/>
    </row>
    <row r="89" ht="26" customHeight="1">
      <c r="A89" s="176" t="inlineStr">
        <is>
          <t>These cells read the workbook as it stands right now, so they change with the inputs.</t>
        </is>
      </c>
    </row>
    <row r="91">
      <c r="A91" s="177" t="inlineStr">
        <is>
          <t>11. Assumptions and policy choices worth knowing</t>
        </is>
      </c>
      <c r="B91" s="178" t="n"/>
      <c r="C91" s="178" t="n"/>
      <c r="D91" s="178" t="n"/>
      <c r="E91" s="178" t="n"/>
    </row>
    <row r="92">
      <c r="A92" s="179" t="inlineStr">
        <is>
          <t>Step / quantity</t>
        </is>
      </c>
      <c r="B92" s="179" t="inlineStr">
        <is>
          <t>Where it lives</t>
        </is>
      </c>
      <c r="C92" s="179" t="inlineStr">
        <is>
          <t>Formula as it stands</t>
        </is>
      </c>
      <c r="D92" s="179" t="inlineStr">
        <is>
          <t>What it means</t>
        </is>
      </c>
      <c r="E92" s="179" t="inlineStr">
        <is>
          <t>Source of the rule</t>
        </is>
      </c>
    </row>
    <row r="93">
      <c r="A93" s="185" t="inlineStr">
        <is>
          <t>Engineering on initial construction</t>
        </is>
      </c>
      <c r="B93" s="180" t="inlineStr">
        <is>
          <t>Alt sheet G26</t>
        </is>
      </c>
      <c r="C93" s="181" t="inlineStr"/>
      <c r="D93" s="180" t="inlineStr">
        <is>
          <t>v1.2.0 charges engineering on initial construction as well as on later work. It raises every initial cost by the engineering percentage against v1.1.2 results, and it affects PCC more than HMA because PCC salvage is a share of initial cost.</t>
        </is>
      </c>
      <c r="E93" s="180" t="inlineStr">
        <is>
          <t>v1.2.0 fix 2</t>
        </is>
      </c>
    </row>
    <row r="94">
      <c r="A94" s="185" t="inlineStr">
        <is>
          <t>Salvage is not symmetric</t>
        </is>
      </c>
      <c r="B94" s="180" t="inlineStr">
        <is>
          <t>Maintenance Policies D32 and D46</t>
        </is>
      </c>
      <c r="C94" s="181" t="inlineStr"/>
      <c r="D94" s="18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t>
        </is>
      </c>
      <c r="E94" s="180" t="inlineStr">
        <is>
          <t>Pre-existing policy; flagged for decision</t>
        </is>
      </c>
    </row>
    <row r="95">
      <c r="A95" s="185" t="inlineStr">
        <is>
          <t>Lost revenue is gross revenue</t>
        </is>
      </c>
      <c r="B95" s="180" t="inlineStr">
        <is>
          <t>RevenueData; Alt sheet F2</t>
        </is>
      </c>
      <c r="C95" s="181" t="inlineStr"/>
      <c r="D95" s="180" t="inlineStr">
        <is>
          <t>The whole of the airport's fuel, tenant and other revenue is treated as lost for every closure day. A percentage lost by category would be more defensible.</t>
        </is>
      </c>
      <c r="E95" s="180" t="inlineStr">
        <is>
          <t>Pre-existing; flagged for decision</t>
        </is>
      </c>
    </row>
    <row r="96">
      <c r="A96" s="185" t="inlineStr">
        <is>
          <t>PCC joint length is estimated two ways</t>
        </is>
      </c>
      <c r="B96" s="180" t="inlineStr">
        <is>
          <t>Alt sheet K8 versus F4 and F5</t>
        </is>
      </c>
      <c r="C96" s="181" t="inlineStr"/>
      <c r="D96"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6" s="180" t="inlineStr">
        <is>
          <t>Pre-existing; worth a decision</t>
        </is>
      </c>
    </row>
    <row r="97">
      <c r="A97" s="185" t="inlineStr">
        <is>
          <t>Closure production rates are defaults</t>
        </is>
      </c>
      <c r="B97" s="180" t="inlineStr">
        <is>
          <t>Alt sheet F4:F10</t>
        </is>
      </c>
      <c r="C97" s="181" t="inlineStr"/>
      <c r="D97" s="180" t="inlineStr">
        <is>
          <t>They reproduce the durations used in the completed Murfreesboro and Upper Cumberland runs. A project with unusual phasing should override them.</t>
        </is>
      </c>
      <c r="E97" s="180" t="inlineStr">
        <is>
          <t>v1.2.0 defaults</t>
        </is>
      </c>
    </row>
    <row r="98">
      <c r="A98" s="185" t="inlineStr">
        <is>
          <t>Asphalt unit weight for the section read-back</t>
        </is>
      </c>
      <c r="B98" s="180" t="inlineStr">
        <is>
          <t>Summary J81</t>
        </is>
      </c>
      <c r="C98" s="181" t="inlineStr"/>
      <c r="D98" s="180" t="inlineStr">
        <is>
          <t>145 pcf, the value that reproduces the Murfreesboro section exactly. It affects the displayed thickness only, never a cost.</t>
        </is>
      </c>
      <c r="E98" s="180" t="inlineStr">
        <is>
          <t>Summary, v1.2.0</t>
        </is>
      </c>
    </row>
    <row r="99">
      <c r="A99" s="185" t="inlineStr">
        <is>
          <t>Unit costs are statewide, not regional</t>
        </is>
      </c>
      <c r="B99" s="180" t="inlineStr">
        <is>
          <t>Pay_Items columns G, H, I</t>
        </is>
      </c>
      <c r="C99" s="181" t="inlineStr"/>
      <c r="D99" s="180" t="inlineStr">
        <is>
          <t>The sheet carries a header "Average Pay Item Unit Cost" spanning Middle, West and East columns, and all three are empty. Every alternative prices off the single Unit Cost column, so a West-division project is estimated on the same numbers as a Middle one. The locator map on the Summary colors the airports by division so the project's region sits beside the pricing basis.</t>
        </is>
      </c>
      <c r="E99" s="180" t="inlineStr">
        <is>
          <t>Pre-existing; worth a decision</t>
        </is>
      </c>
    </row>
    <row r="100">
      <c r="A100" s="185" t="inlineStr">
        <is>
          <t>Unit costs date from the 2022 framework</t>
        </is>
      </c>
      <c r="B100" s="180" t="inlineStr">
        <is>
          <t>Pay_Items column F</t>
        </is>
      </c>
      <c r="C100" s="181" t="inlineStr"/>
      <c r="D100" s="180" t="inlineStr">
        <is>
          <t>The Typical Values sheet compares them with recent bid prices. The asphalt defaults look low against 2025 southeastern bids.</t>
        </is>
      </c>
      <c r="E100" s="180" t="inlineStr">
        <is>
          <t>Typical Values, section 3</t>
        </is>
      </c>
    </row>
    <row r="101">
      <c r="A101" s="185" t="inlineStr">
        <is>
          <t>No inflation, no risk analysis</t>
        </is>
      </c>
      <c r="B101" s="180" t="inlineStr">
        <is>
          <t>throughout</t>
        </is>
      </c>
      <c r="C101" s="181" t="inlineStr"/>
      <c r="D101" s="180" t="inlineStr">
        <is>
          <t>Costs are constant dollars discounted at a real rate, and every input is a single value. There is no probabilistic treatment of cost or timing.</t>
        </is>
      </c>
      <c r="E101" s="180" t="inlineStr">
        <is>
          <t>FHWA LCCA Primer, deterministic method</t>
        </is>
      </c>
    </row>
  </sheetData>
  <mergeCells count="8">
    <mergeCell ref="A55:E55"/>
    <mergeCell ref="A4:E4"/>
    <mergeCell ref="A62:E62"/>
    <mergeCell ref="A38:E38"/>
    <mergeCell ref="A11:E11"/>
    <mergeCell ref="A47:E47"/>
    <mergeCell ref="A89:E89"/>
    <mergeCell ref="A27:E27"/>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2026-09-13T19:11:26Z</dcterms:modified>
</cp:coreProperties>
</file>
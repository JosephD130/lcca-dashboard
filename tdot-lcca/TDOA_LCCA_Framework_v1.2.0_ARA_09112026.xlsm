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1.xml" ContentType="application/vnd.ms-office.activeX+xml"/>
  <Override PartName="/xl/activeX/activeX1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tables/table5.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https://appliedresearchassociates-my.sharepoint.us/personal/mdenis_ara_com/Documents/Documents/Projects/005935 TDOT PCC and LCCA/LCCA_Task2/"/>
    </mc:Choice>
  </mc:AlternateContent>
  <xr:revisionPtr revIDLastSave="0" documentId="8_{C190DA6C-61FD-413D-8C55-C68853B984EC}" xr6:coauthVersionLast="47" xr6:coauthVersionMax="47" xr10:uidLastSave="{00000000-0000-0000-0000-000000000000}"/>
  <bookViews>
    <workbookView xWindow="-120" yWindow="-120" windowWidth="29040" windowHeight="15720" tabRatio="727" firstSheet="1" activeTab="3" xr2:uid="{B4139E3C-D48F-49E4-89EC-5EAFC5C9F73A}"/>
  </bookViews>
  <sheets>
    <sheet name="TMP(NewPCC)_IndirectCost" sheetId="35" state="hidden" r:id="rId1"/>
    <sheet name="Overview" sheetId="30" r:id="rId2"/>
    <sheet name="Instructions" sheetId="31" r:id="rId3"/>
    <sheet name="General Information" sheetId="8" r:id="rId4"/>
    <sheet name="Pay_Items" sheetId="5" r:id="rId5"/>
    <sheet name="Database" sheetId="22" state="hidden" r:id="rId6"/>
    <sheet name="Maintenance Policies" sheetId="6" r:id="rId7"/>
    <sheet name="TMP(NewHMA)_IndirectCost" sheetId="33" state="hidden" r:id="rId8"/>
    <sheet name="RevenueData" sheetId="36" state="hidden" r:id="rId9"/>
    <sheet name="TMP(NewHMA)" sheetId="23" state="hidden" r:id="rId10"/>
    <sheet name="TMP(NewPCC)" sheetId="25" state="hidden" r:id="rId11"/>
    <sheet name="TMP(HMARehab)" sheetId="28" state="veryHidden" r:id="rId12"/>
    <sheet name="TMP(PCCRehab)" sheetId="29" state="veryHidden" r:id="rId13"/>
    <sheet name="Summary" sheetId="11" r:id="rId14"/>
  </sheets>
  <functionGroups builtInGroupCount="19"/>
  <definedNames>
    <definedName name="_xleta.INDIRECT" hidden="1" xlm="1">#NAME?</definedName>
    <definedName name="_xleta.XLOOKUP" hidden="1" xlm="1">#NAME?</definedName>
    <definedName name="Airport_Name">'General Information'!$D$9</definedName>
    <definedName name="Pay_Item_List">Pay_Items!$B$2:$C$4</definedName>
    <definedName name="Pay_Item_List_Desc">Pay_Items!$D$3:$D$4</definedName>
    <definedName name="Pay_Item_List_No">Pay_Items!$C$3:$C$4</definedName>
    <definedName name="Pay_Item_List2">Pay_Items!$A$2:$C$4</definedName>
    <definedName name="Pay_Items">Pay_Items!$C$3:$D$59</definedName>
    <definedName name="_xlnm.Print_Area" localSheetId="13">Summary!$A$1:$U$70</definedName>
  </definedNames>
  <calcPr calcId="191029" fullCalcOn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ARA</author>
  </authors>
  <commentList>
    <comment ref="D26" authorId="0" shapeId="0" xr:uid="{1A2750B2-B251-41E0-B761-DE401ED812CC}">
      <text>
        <r>
          <rPr>
            <b/>
            <sz val="9"/>
            <color indexed="81"/>
            <rFont val="Tahoma"/>
            <charset val="1"/>
          </rPr>
          <t>ARA:</t>
        </r>
        <r>
          <rPr>
            <sz val="9"/>
            <color indexed="81"/>
            <rFont val="Tahoma"/>
            <charset val="1"/>
          </rPr>
          <t xml:space="preserve">
Enter the Mainline work area.</t>
        </r>
      </text>
    </comment>
    <comment ref="D39" authorId="0" shapeId="0" xr:uid="{FD492D36-9C43-4D14-8626-E6846805FAF5}">
      <text>
        <r>
          <rPr>
            <b/>
            <sz val="9"/>
            <color indexed="81"/>
            <rFont val="Tahoma"/>
            <charset val="1"/>
          </rPr>
          <t xml:space="preserve">ARA
</t>
        </r>
        <r>
          <rPr>
            <sz val="9"/>
            <color indexed="81"/>
            <rFont val="Tahoma"/>
            <family val="2"/>
          </rPr>
          <t>Daily revenue for selected airport</t>
        </r>
      </text>
    </comment>
  </commentList>
</comments>
</file>

<file path=xl/sharedStrings.xml><?xml version="1.0" encoding="utf-8"?>
<sst xmlns="http://schemas.openxmlformats.org/spreadsheetml/2006/main" count="1480" uniqueCount="637">
  <si>
    <t>P-209-5.1</t>
  </si>
  <si>
    <t>P-101-5.6</t>
  </si>
  <si>
    <t>P-207-5.1</t>
  </si>
  <si>
    <t>P-603-5.1</t>
  </si>
  <si>
    <t>Emulsified Asphalt Tack Coat</t>
  </si>
  <si>
    <t>TON</t>
  </si>
  <si>
    <t>S.Y.</t>
  </si>
  <si>
    <t>L.F.</t>
  </si>
  <si>
    <t>C.Y.</t>
  </si>
  <si>
    <t>Mobilization</t>
  </si>
  <si>
    <t>Part 3 – Sitework</t>
  </si>
  <si>
    <t>P-101-5.3</t>
  </si>
  <si>
    <t>S.F.</t>
  </si>
  <si>
    <t>Cold Milling</t>
  </si>
  <si>
    <t>P-152-4.1</t>
  </si>
  <si>
    <t>P-152-4.2</t>
  </si>
  <si>
    <t>P-154-5.1</t>
  </si>
  <si>
    <t>Subbase Course</t>
  </si>
  <si>
    <t>P-154-5.2</t>
  </si>
  <si>
    <t>Separation geotextile</t>
  </si>
  <si>
    <t>P-155-8.1</t>
  </si>
  <si>
    <t>Lime Treated subgrade</t>
  </si>
  <si>
    <t>P-156-8.1</t>
  </si>
  <si>
    <t>P-158-8.1</t>
  </si>
  <si>
    <t>Part 4 – Base Courses</t>
  </si>
  <si>
    <t>P-208-5.1</t>
  </si>
  <si>
    <t>Aggregate Base Course</t>
  </si>
  <si>
    <t>P-208-5.2</t>
  </si>
  <si>
    <t>Separation Geotextile</t>
  </si>
  <si>
    <t>Crushed Aggregate Base Course</t>
  </si>
  <si>
    <t>P-209-5.2</t>
  </si>
  <si>
    <t>P-219-5.1</t>
  </si>
  <si>
    <t>Recycled Concrete Aggregate Base Course</t>
  </si>
  <si>
    <t>P-219-5.2</t>
  </si>
  <si>
    <t>P-220-6.1</t>
  </si>
  <si>
    <t>Part 5 – Stabilized Base Courses</t>
  </si>
  <si>
    <t>P-304-8.1</t>
  </si>
  <si>
    <t>P-306-8.1</t>
  </si>
  <si>
    <t>P-307-7.1</t>
  </si>
  <si>
    <t>Part 6 – Flexible Pavements</t>
  </si>
  <si>
    <t>Part 7 – Rigid Pavement</t>
  </si>
  <si>
    <t>Part 8 – Surface Treatments</t>
  </si>
  <si>
    <t>P-608-8.1</t>
  </si>
  <si>
    <t>P-623-8.1</t>
  </si>
  <si>
    <t>P-626-6.1</t>
  </si>
  <si>
    <t>P-629-8.1</t>
  </si>
  <si>
    <t>Part 9 – Miscellaneous</t>
  </si>
  <si>
    <t>P-620-5.1a</t>
  </si>
  <si>
    <t>Marking</t>
  </si>
  <si>
    <t>Grooving</t>
  </si>
  <si>
    <t>P-407-X.1</t>
  </si>
  <si>
    <t>Division</t>
  </si>
  <si>
    <t>Pay Item No.</t>
  </si>
  <si>
    <t>Pay Item Description</t>
  </si>
  <si>
    <t>Sitework</t>
  </si>
  <si>
    <t>Cement Concrete</t>
  </si>
  <si>
    <t>Grooving, Asphalt</t>
  </si>
  <si>
    <t>Grooving, Concrete</t>
  </si>
  <si>
    <t>P-621-5.1A</t>
  </si>
  <si>
    <t>P-621-5.1B</t>
  </si>
  <si>
    <t>Markings (prep, markings, reflective media)</t>
  </si>
  <si>
    <t>Tack Coat</t>
  </si>
  <si>
    <t>Pavement Removal, Concrete</t>
  </si>
  <si>
    <t>Pavement Removal, Asphalt</t>
  </si>
  <si>
    <t>Middle</t>
  </si>
  <si>
    <t>West</t>
  </si>
  <si>
    <t>East</t>
  </si>
  <si>
    <t>Maintenance 1</t>
  </si>
  <si>
    <t>Surface treatment: 100% of area</t>
  </si>
  <si>
    <t>Paint markings: 100% of markings</t>
  </si>
  <si>
    <t>Maintenance 2</t>
  </si>
  <si>
    <t>Maintenance 3</t>
  </si>
  <si>
    <t>Patching: 0.75% of area</t>
  </si>
  <si>
    <t>Crack sealing: 3.25% of area as linear feet</t>
  </si>
  <si>
    <t>Maintenance 4</t>
  </si>
  <si>
    <t>Patching: 1.00% of area</t>
  </si>
  <si>
    <t>Crack sealing: 3.50% of area as linear feet</t>
  </si>
  <si>
    <t>Rehabilitation 1</t>
  </si>
  <si>
    <t>Mill and overlay: 4-inch cold mill, tack coat, and asphalt overlay</t>
  </si>
  <si>
    <t>Pre-overlay crack repair: 1.5% of area as linear feet</t>
  </si>
  <si>
    <t>Pre-overlay patching: 0.5% of area</t>
  </si>
  <si>
    <t>Maintenance 5</t>
  </si>
  <si>
    <t>Maintenance 6</t>
  </si>
  <si>
    <t>Patching: 1.25% of area</t>
  </si>
  <si>
    <t>Crack sealing: 4.0% of area as linear feet</t>
  </si>
  <si>
    <t>Salvage</t>
  </si>
  <si>
    <t>Salvage value: 2 years (0.125) of mill and overlay</t>
  </si>
  <si>
    <t>Airport Name:</t>
  </si>
  <si>
    <t>Airport Owner:</t>
  </si>
  <si>
    <t>Date of LCCA:</t>
  </si>
  <si>
    <t>Design Consultant:</t>
  </si>
  <si>
    <t>Project Number:</t>
  </si>
  <si>
    <t>Project Name:</t>
  </si>
  <si>
    <t>Airport Information:</t>
  </si>
  <si>
    <t>Project Information:</t>
  </si>
  <si>
    <t>Maintenance Item</t>
  </si>
  <si>
    <t>Asphalt Maintenance</t>
  </si>
  <si>
    <t>Joint resealing: 100% of joints</t>
  </si>
  <si>
    <t xml:space="preserve">Crack sealing: 0.25% of area as linear feet </t>
  </si>
  <si>
    <t>Partial-depth patching: 0.13% of area</t>
  </si>
  <si>
    <t>Full-depth patching: 0.30% of area</t>
  </si>
  <si>
    <t>Slab replacements: 2% of area</t>
  </si>
  <si>
    <t>Crack sealing: 0.30% of area as linear feet</t>
  </si>
  <si>
    <t>Joint sealing: 100% of joints</t>
  </si>
  <si>
    <t>Salvage value: 10 years (0.25) of initial construction</t>
  </si>
  <si>
    <t>Concrete Maintenance</t>
  </si>
  <si>
    <t>Rate</t>
  </si>
  <si>
    <t>Surface treatment, SYD</t>
  </si>
  <si>
    <t>Paint markings, SFT</t>
  </si>
  <si>
    <t>Overview:</t>
  </si>
  <si>
    <t>0A3</t>
  </si>
  <si>
    <t>Smithville Municipal Airport</t>
  </si>
  <si>
    <t>0A9</t>
  </si>
  <si>
    <t>Elizabethton Municipal Airport</t>
  </si>
  <si>
    <t>0M3</t>
  </si>
  <si>
    <t>John A. Baker Field</t>
  </si>
  <si>
    <t>0M4</t>
  </si>
  <si>
    <t>Benton County Airport</t>
  </si>
  <si>
    <t>0M5</t>
  </si>
  <si>
    <t>Humphreys County Airport</t>
  </si>
  <si>
    <t>1A3</t>
  </si>
  <si>
    <t>Martin Campbell Field</t>
  </si>
  <si>
    <t>1A7</t>
  </si>
  <si>
    <t>Jackson County Airport</t>
  </si>
  <si>
    <t>1M5</t>
  </si>
  <si>
    <t>Portland Municipal Airport</t>
  </si>
  <si>
    <t>2A0</t>
  </si>
  <si>
    <t>Mark Anton Airport</t>
  </si>
  <si>
    <t>2A1</t>
  </si>
  <si>
    <t>Jamestown Municipal Airport</t>
  </si>
  <si>
    <t>2M2</t>
  </si>
  <si>
    <t>Lawrenceburg-Lawrence County Airport</t>
  </si>
  <si>
    <t>2M8</t>
  </si>
  <si>
    <t>Charles W. Baker Field</t>
  </si>
  <si>
    <t>3A2</t>
  </si>
  <si>
    <t>New Tazewell Municipal Airport</t>
  </si>
  <si>
    <t>3M7</t>
  </si>
  <si>
    <t>Lafayette Municipal Airport</t>
  </si>
  <si>
    <t>6A4</t>
  </si>
  <si>
    <t>Johnson County Airport</t>
  </si>
  <si>
    <t>8A3</t>
  </si>
  <si>
    <t>Livingston Municipal Airport</t>
  </si>
  <si>
    <t>APT</t>
  </si>
  <si>
    <t>Marion County Airport-Brown Field</t>
  </si>
  <si>
    <t>BGF</t>
  </si>
  <si>
    <t>Winchester Municipal Airport</t>
  </si>
  <si>
    <t>CKV</t>
  </si>
  <si>
    <t>Outlaw Field</t>
  </si>
  <si>
    <t>CSV</t>
  </si>
  <si>
    <t>Crossville Memorial Airport/Whitson Field</t>
  </si>
  <si>
    <t>DKX</t>
  </si>
  <si>
    <t>DYR</t>
  </si>
  <si>
    <t>Dyersburg Municipal Airport</t>
  </si>
  <si>
    <t>FGU</t>
  </si>
  <si>
    <t>Collegedale Municipal Airport</t>
  </si>
  <si>
    <t>FYE</t>
  </si>
  <si>
    <t>Fayette County Airport</t>
  </si>
  <si>
    <t>FYM</t>
  </si>
  <si>
    <t>Fayetteville Municipal Airport</t>
  </si>
  <si>
    <t>GCY</t>
  </si>
  <si>
    <t>Greeneville-Green County Municipal Airport</t>
  </si>
  <si>
    <t>GHM</t>
  </si>
  <si>
    <t>Centerville Municipal Airport</t>
  </si>
  <si>
    <t>GKT</t>
  </si>
  <si>
    <t>Gatlinburg-Pigeon Forge Airport</t>
  </si>
  <si>
    <t>GZS</t>
  </si>
  <si>
    <t>Abernathy Field</t>
  </si>
  <si>
    <t>HZD</t>
  </si>
  <si>
    <t>Carroll County Airport</t>
  </si>
  <si>
    <t>JAU</t>
  </si>
  <si>
    <t>LUG</t>
  </si>
  <si>
    <t>Ellington Airport</t>
  </si>
  <si>
    <t>M01</t>
  </si>
  <si>
    <t>General Dewitt Spain Airport</t>
  </si>
  <si>
    <t>M02</t>
  </si>
  <si>
    <t>Dickson Municipal Airport</t>
  </si>
  <si>
    <t>M04</t>
  </si>
  <si>
    <t>Covington Municipal Airport</t>
  </si>
  <si>
    <t>M08</t>
  </si>
  <si>
    <t>William L. Whitehurst Field</t>
  </si>
  <si>
    <t>M15</t>
  </si>
  <si>
    <t>M29</t>
  </si>
  <si>
    <t>Hassell-Carroll Field</t>
  </si>
  <si>
    <t>M31</t>
  </si>
  <si>
    <t>Arnold Field</t>
  </si>
  <si>
    <t>M53</t>
  </si>
  <si>
    <t>Humboldt Municipal Airport</t>
  </si>
  <si>
    <t>M54</t>
  </si>
  <si>
    <t>Lebanon Municipal Airport</t>
  </si>
  <si>
    <t>M91</t>
  </si>
  <si>
    <t>Springfield-Robertson County Airport</t>
  </si>
  <si>
    <t>M93</t>
  </si>
  <si>
    <t>Houston County Airport</t>
  </si>
  <si>
    <t>MBT</t>
  </si>
  <si>
    <t>Murfreesboro Municipal Airport</t>
  </si>
  <si>
    <t>MKL</t>
  </si>
  <si>
    <t>McKellar-Sipes Regional Airport</t>
  </si>
  <si>
    <t>MMI</t>
  </si>
  <si>
    <t>McMinn County Airport</t>
  </si>
  <si>
    <t>MNV</t>
  </si>
  <si>
    <t>Monroe County Airport</t>
  </si>
  <si>
    <t>MOR</t>
  </si>
  <si>
    <t>Moore-Murrell Field</t>
  </si>
  <si>
    <t>MQY</t>
  </si>
  <si>
    <t>Smyrna Airport</t>
  </si>
  <si>
    <t>MRC</t>
  </si>
  <si>
    <t>Maury County Airport</t>
  </si>
  <si>
    <t>NQA</t>
  </si>
  <si>
    <t>Millington Regional Jetport</t>
  </si>
  <si>
    <t>PHT</t>
  </si>
  <si>
    <t>Henry County Airport</t>
  </si>
  <si>
    <t>PVE</t>
  </si>
  <si>
    <t>Beech River Regional Airport</t>
  </si>
  <si>
    <t>RKW</t>
  </si>
  <si>
    <t>Rockwood Municipal Airport</t>
  </si>
  <si>
    <t>RNC</t>
  </si>
  <si>
    <t>Warren County Memorial Airport</t>
  </si>
  <si>
    <t>RVN</t>
  </si>
  <si>
    <t>Hawkins County Airport</t>
  </si>
  <si>
    <t>RZR</t>
  </si>
  <si>
    <t>Cleveland Regional Jetport</t>
  </si>
  <si>
    <t>SCX</t>
  </si>
  <si>
    <t>Scott Municipal Airport</t>
  </si>
  <si>
    <t>SNH</t>
  </si>
  <si>
    <t>Savannah-Hardin County Airport</t>
  </si>
  <si>
    <t>SRB</t>
  </si>
  <si>
    <t>Upper Cumberland Regional Airport</t>
  </si>
  <si>
    <t>SYI</t>
  </si>
  <si>
    <t>Bomar Field-Shelbyville Municipal Airport</t>
  </si>
  <si>
    <t>SZY</t>
  </si>
  <si>
    <t>Robert Sibley Airport</t>
  </si>
  <si>
    <t>TGC</t>
  </si>
  <si>
    <t>Gibson County Airport</t>
  </si>
  <si>
    <t>THA</t>
  </si>
  <si>
    <t>Tullahoma Regional Airport/Northern Field</t>
  </si>
  <si>
    <t>UCY</t>
  </si>
  <si>
    <t>Everett-Stewart Airport</t>
  </si>
  <si>
    <t>UOS</t>
  </si>
  <si>
    <t>Franklin County Airport</t>
  </si>
  <si>
    <t>XNX</t>
  </si>
  <si>
    <t>Music City Executive Airport</t>
  </si>
  <si>
    <t>0M2</t>
  </si>
  <si>
    <t>Reelfoot Lake Airport</t>
  </si>
  <si>
    <t>1A0</t>
  </si>
  <si>
    <t>Dallas Bay Skypark Airport</t>
  </si>
  <si>
    <t>ID</t>
  </si>
  <si>
    <t>Name</t>
  </si>
  <si>
    <t>Region</t>
  </si>
  <si>
    <t>Hidden</t>
  </si>
  <si>
    <t>Airport ID:</t>
  </si>
  <si>
    <t>Owner</t>
  </si>
  <si>
    <t>Branch Type:</t>
  </si>
  <si>
    <t>LCCA Parameters:</t>
  </si>
  <si>
    <t>Analysis Period, years:</t>
  </si>
  <si>
    <t>Salvage Value, $:</t>
  </si>
  <si>
    <t>Intial Construction Year:</t>
  </si>
  <si>
    <t>Project Description:</t>
  </si>
  <si>
    <t>Mobilization, percent:</t>
  </si>
  <si>
    <t>Engineering, percent:</t>
  </si>
  <si>
    <t>Year Applied</t>
  </si>
  <si>
    <t>Branch Name:</t>
  </si>
  <si>
    <t>Project Type:</t>
  </si>
  <si>
    <t>Initial Construction Year:</t>
  </si>
  <si>
    <t>Pavement Type:</t>
  </si>
  <si>
    <t>Pay Item</t>
  </si>
  <si>
    <t>Description</t>
  </si>
  <si>
    <t>Units</t>
  </si>
  <si>
    <t>Average Pay Item Unit Cost</t>
  </si>
  <si>
    <t>Mainline Area, S.Y.:</t>
  </si>
  <si>
    <t>Shoulder Area, S.Y.:</t>
  </si>
  <si>
    <t>Markings, S.F.:</t>
  </si>
  <si>
    <t>Discount Rate, percent:</t>
  </si>
  <si>
    <t>P-620-5.1b</t>
  </si>
  <si>
    <t>Markings (prep, markings, non-reflective media)</t>
  </si>
  <si>
    <t>GAL</t>
  </si>
  <si>
    <t>P-605-5.1a</t>
  </si>
  <si>
    <t>Emulsified Asphalt Surface Treatment</t>
  </si>
  <si>
    <t>Emulsified Asphalt Spray Seal Coat</t>
  </si>
  <si>
    <t>Emulsified Asphalt Slurry Seal Surface Treatment</t>
  </si>
  <si>
    <t>Thermoplastic Coal Tar Emulsion Surface Treatment</t>
  </si>
  <si>
    <t>Surface Treatment</t>
  </si>
  <si>
    <t>Refined Coal Tar Emulsion Without Additives, Slurry Seal Surface Treatment</t>
  </si>
  <si>
    <t>P-630-7.1a</t>
  </si>
  <si>
    <t>P-631-7.1b</t>
  </si>
  <si>
    <t>Refined Coal Tar Emulsion With Additives, Slurry Seal Surface Treatment</t>
  </si>
  <si>
    <t>Joint Sealant</t>
  </si>
  <si>
    <t>Joint Clean and Reseal, Concrete</t>
  </si>
  <si>
    <t>Assume 12.5x12.5 slabs for these GA pavements</t>
  </si>
  <si>
    <t>In-Place Full Depth Reclamation (FDR) Recycled Asphalt Aggregate Base Course</t>
  </si>
  <si>
    <t>Base Course</t>
  </si>
  <si>
    <t>Stabilized Base Course</t>
  </si>
  <si>
    <t>Cement-Treated Soil Base Course</t>
  </si>
  <si>
    <t>Cement-Treated Base Course</t>
  </si>
  <si>
    <t>Lean Concrete Base Course</t>
  </si>
  <si>
    <t>Cement-Treated Permeable Base Course (CTPB)</t>
  </si>
  <si>
    <t>P-403-8.1a</t>
  </si>
  <si>
    <t>P-403-8.1b</t>
  </si>
  <si>
    <t>P-403-8.1c</t>
  </si>
  <si>
    <t>Asphalt Mixture Surface Course</t>
  </si>
  <si>
    <t>Asphalt Mixture Base Course</t>
  </si>
  <si>
    <t>Asphalt Mixture Leveling Course</t>
  </si>
  <si>
    <t>P-401-8.1a</t>
  </si>
  <si>
    <t>P-401-8.1b</t>
  </si>
  <si>
    <t>P-401-8.1c</t>
  </si>
  <si>
    <t>Asphalt Surface Course</t>
  </si>
  <si>
    <t>Asphalt Base Course</t>
  </si>
  <si>
    <t>Asphalt Leveling Course</t>
  </si>
  <si>
    <t>Flexible Pavement</t>
  </si>
  <si>
    <t>Asphalt-Treated Permeable Base Course (ATPB)</t>
  </si>
  <si>
    <t>Cement-Treated Subgrade</t>
  </si>
  <si>
    <t>P-157-8.1a</t>
  </si>
  <si>
    <t>P-157-8.1b</t>
  </si>
  <si>
    <t>Cement Kiln Dust-Treated Subgrade</t>
  </si>
  <si>
    <t>Lime Kiln Dust-Treated Subgrade</t>
  </si>
  <si>
    <t>Fly Ash-Treated Subgrade</t>
  </si>
  <si>
    <t>Embankment In-Place</t>
  </si>
  <si>
    <t>Unclassified Excavation</t>
  </si>
  <si>
    <t>P-101-5.1a</t>
  </si>
  <si>
    <t>P-101-5.1b</t>
  </si>
  <si>
    <t>Unit</t>
  </si>
  <si>
    <t>Unit Cost</t>
  </si>
  <si>
    <t>Item Cost</t>
  </si>
  <si>
    <t>Qty</t>
  </si>
  <si>
    <t>Engineering</t>
  </si>
  <si>
    <t>Asphalt Surface Treatment Type:</t>
  </si>
  <si>
    <t>Initial Construction</t>
  </si>
  <si>
    <t>Item</t>
  </si>
  <si>
    <t>Actual Cost</t>
  </si>
  <si>
    <t>Net Present Worth</t>
  </si>
  <si>
    <t>P-101-5.2a</t>
  </si>
  <si>
    <t>P-101-5.2b</t>
  </si>
  <si>
    <t>Crack Repair (Type I), Asphalt</t>
  </si>
  <si>
    <t>Crack Repair (Type II), Asphalt</t>
  </si>
  <si>
    <t>P-101-5.2c</t>
  </si>
  <si>
    <t>P-101-5.2d</t>
  </si>
  <si>
    <t>Crack Seal, Concrete</t>
  </si>
  <si>
    <t>Crack Repair, Concrete</t>
  </si>
  <si>
    <t>Spall Repair, Asphalt</t>
  </si>
  <si>
    <t>Spall Repair, Concrete</t>
  </si>
  <si>
    <t>Full-Depth Repair, Concrete</t>
  </si>
  <si>
    <t>Slab Replacement, Concrete</t>
  </si>
  <si>
    <t>P-101-5.5a</t>
  </si>
  <si>
    <t>P-101-5.5b</t>
  </si>
  <si>
    <t>P-101-5.5c</t>
  </si>
  <si>
    <t>Item No.</t>
  </si>
  <si>
    <t>Markings Area:</t>
  </si>
  <si>
    <t>Mainline Pavement Area:</t>
  </si>
  <si>
    <t>Instructions:</t>
  </si>
  <si>
    <t>Subtotal</t>
  </si>
  <si>
    <t>Total</t>
  </si>
  <si>
    <t>Discounted Cost</t>
  </si>
  <si>
    <t>No. of Slabs:</t>
  </si>
  <si>
    <t>Joint length:</t>
  </si>
  <si>
    <t>Tack Coat Application</t>
  </si>
  <si>
    <t>gal/S.Y.</t>
  </si>
  <si>
    <t>Mill and overlay:</t>
  </si>
  <si>
    <t>inches</t>
  </si>
  <si>
    <t>Asphalt:</t>
  </si>
  <si>
    <t>lbs/SY-in</t>
  </si>
  <si>
    <t>Markings Removal</t>
  </si>
  <si>
    <t>Tennessee Department of Transportation</t>
  </si>
  <si>
    <t>Aeronautics Division</t>
  </si>
  <si>
    <t>7335 Centennial Boulevard</t>
  </si>
  <si>
    <t>Nashville, Tennessee 37209</t>
  </si>
  <si>
    <t>615-741-3208</t>
  </si>
  <si>
    <t>https://www.tn.gov/tdot/aeronautics.html</t>
  </si>
  <si>
    <t>Athens</t>
  </si>
  <si>
    <t>Bolivar</t>
  </si>
  <si>
    <t>Bristol/Johnson/Kingsport</t>
  </si>
  <si>
    <t>TRI</t>
  </si>
  <si>
    <t>Camden</t>
  </si>
  <si>
    <t>Centerville</t>
  </si>
  <si>
    <t>Chattanooga</t>
  </si>
  <si>
    <t>CHA</t>
  </si>
  <si>
    <t>Clarksville</t>
  </si>
  <si>
    <t>Cleveland</t>
  </si>
  <si>
    <t>Clifton</t>
  </si>
  <si>
    <t>Collegedale</t>
  </si>
  <si>
    <t>Columbia</t>
  </si>
  <si>
    <t>Copperhill</t>
  </si>
  <si>
    <t>Covington</t>
  </si>
  <si>
    <t>Crossville</t>
  </si>
  <si>
    <t>Dayton</t>
  </si>
  <si>
    <t>Dickson</t>
  </si>
  <si>
    <t>Dyersburg</t>
  </si>
  <si>
    <t>Elizabethton</t>
  </si>
  <si>
    <t>Fayetteville</t>
  </si>
  <si>
    <t>Gainesboro</t>
  </si>
  <si>
    <t>Gallatin</t>
  </si>
  <si>
    <t>Greeneville</t>
  </si>
  <si>
    <t>Halls</t>
  </si>
  <si>
    <t>Hohenwald</t>
  </si>
  <si>
    <t>Humboldt</t>
  </si>
  <si>
    <t>Huntingdon</t>
  </si>
  <si>
    <t>Jacksboro</t>
  </si>
  <si>
    <t>Jackson</t>
  </si>
  <si>
    <t>Jamestown</t>
  </si>
  <si>
    <t>Jasper</t>
  </si>
  <si>
    <t>Knoxville</t>
  </si>
  <si>
    <t>Knoxville Downtown Island Airport</t>
  </si>
  <si>
    <t>TYS</t>
  </si>
  <si>
    <t>Lafayette</t>
  </si>
  <si>
    <t>Lawrenceburg</t>
  </si>
  <si>
    <t>Lebanon</t>
  </si>
  <si>
    <t>Lewisburg</t>
  </si>
  <si>
    <t>Lexington/Parsons</t>
  </si>
  <si>
    <t>Linden</t>
  </si>
  <si>
    <t>Livingston</t>
  </si>
  <si>
    <t>Madisonville</t>
  </si>
  <si>
    <t>McKinnon</t>
  </si>
  <si>
    <t>McMinnville</t>
  </si>
  <si>
    <t>Memphis</t>
  </si>
  <si>
    <t>MEM</t>
  </si>
  <si>
    <t>Millington</t>
  </si>
  <si>
    <t>Morristown</t>
  </si>
  <si>
    <t>Mountain City</t>
  </si>
  <si>
    <t>Murfreesboro</t>
  </si>
  <si>
    <t>Nashville</t>
  </si>
  <si>
    <t>JWN</t>
  </si>
  <si>
    <t>BNA</t>
  </si>
  <si>
    <t>Oneida</t>
  </si>
  <si>
    <t>Paris</t>
  </si>
  <si>
    <t>Portland</t>
  </si>
  <si>
    <t>Pulaski</t>
  </si>
  <si>
    <t>Rockwood</t>
  </si>
  <si>
    <t>Rogersville</t>
  </si>
  <si>
    <t>Savannah</t>
  </si>
  <si>
    <t>Selmer</t>
  </si>
  <si>
    <t>Sevierville</t>
  </si>
  <si>
    <t>Sewanee</t>
  </si>
  <si>
    <t>Shelbyville</t>
  </si>
  <si>
    <t>Smithville</t>
  </si>
  <si>
    <t>Smyrna</t>
  </si>
  <si>
    <t>Somerville</t>
  </si>
  <si>
    <t>Sparta</t>
  </si>
  <si>
    <t>Springfield</t>
  </si>
  <si>
    <t>Tazewell</t>
  </si>
  <si>
    <t>Tiptonville</t>
  </si>
  <si>
    <t>Trenton</t>
  </si>
  <si>
    <t>Tullahoma</t>
  </si>
  <si>
    <t>Union City</t>
  </si>
  <si>
    <t>Waverly</t>
  </si>
  <si>
    <t>Winchester</t>
  </si>
  <si>
    <t>Tri-Cities Airport</t>
  </si>
  <si>
    <t>Nashville International Airport</t>
  </si>
  <si>
    <t>Memphis International Airport</t>
  </si>
  <si>
    <t>McGhee Tyson Airport</t>
  </si>
  <si>
    <t>Lovell Field</t>
  </si>
  <si>
    <t>John C. Tune Airport</t>
  </si>
  <si>
    <t>James Tucker-Perry County Airport</t>
  </si>
  <si>
    <t>Colonel Tommy C. Stiner-Campbell County Airport</t>
  </si>
  <si>
    <t>State Region:</t>
  </si>
  <si>
    <t>Remaining service life at end of analysis period (as percent of cost)</t>
  </si>
  <si>
    <t>N/A</t>
  </si>
  <si>
    <t>Default</t>
  </si>
  <si>
    <t>Branch Use</t>
  </si>
  <si>
    <t>Runway</t>
  </si>
  <si>
    <t>Taxiway</t>
  </si>
  <si>
    <t>Apron</t>
  </si>
  <si>
    <t>Markings, Type:</t>
  </si>
  <si>
    <t>Markings Type</t>
  </si>
  <si>
    <t>Reflective</t>
  </si>
  <si>
    <t>Non-Reflective</t>
  </si>
  <si>
    <t>Concrete Pavement, 5-inch</t>
  </si>
  <si>
    <t>P-501-8.1a</t>
  </si>
  <si>
    <t>P-501-8.1b</t>
  </si>
  <si>
    <t>P-501-8.1c</t>
  </si>
  <si>
    <t>P-501-8.1d</t>
  </si>
  <si>
    <t>Concrete Pavement, 6-inch</t>
  </si>
  <si>
    <t>Concrete Pavement, 9-inch</t>
  </si>
  <si>
    <t>Concrete Pavement, 11-inch</t>
  </si>
  <si>
    <t>Alternative</t>
  </si>
  <si>
    <t>Present Worth</t>
  </si>
  <si>
    <t>Year</t>
  </si>
  <si>
    <t>Actual</t>
  </si>
  <si>
    <t>Discounted</t>
  </si>
  <si>
    <t>Select alternative treatment, if planned.</t>
  </si>
  <si>
    <t>Alternative List</t>
  </si>
  <si>
    <t>Type</t>
  </si>
  <si>
    <t>Alternative Setup:</t>
  </si>
  <si>
    <t>Alternative Description</t>
  </si>
  <si>
    <t/>
  </si>
  <si>
    <t>&gt; 100,000 lbs</t>
  </si>
  <si>
    <t>&gt; 60,000 to &lt; 100,000 lbs</t>
  </si>
  <si>
    <t>&lt; 60,000 lbs</t>
  </si>
  <si>
    <t>Weight Category</t>
  </si>
  <si>
    <t>New HMA</t>
  </si>
  <si>
    <t>New PCC</t>
  </si>
  <si>
    <t>P-101-5.4a</t>
  </si>
  <si>
    <t>P-101-5.4b</t>
  </si>
  <si>
    <t>Full-Depth Repair, Asphalt</t>
  </si>
  <si>
    <t>Rehabilitation 2</t>
  </si>
  <si>
    <t>Pre-overlay crack repair: 2% of area as linear feet</t>
  </si>
  <si>
    <t>Pre-overlay patching: 1% of area</t>
  </si>
  <si>
    <t>Table 1. New HMA maintenance policies.</t>
  </si>
  <si>
    <t>Table 2. New PCC maintenance policies.</t>
  </si>
  <si>
    <t>Table 3. First HMA Overlay maintenance policies.</t>
  </si>
  <si>
    <t>Table 4. PCC rehabilitation maintenance policies.</t>
  </si>
  <si>
    <t>Salvage value: Need for reconstruction (zero salvage)</t>
  </si>
  <si>
    <t>HMA mill and overlay</t>
  </si>
  <si>
    <t>Slab replacements: 5% of area</t>
  </si>
  <si>
    <t xml:space="preserve">Crack sealing: 0.35% of area as linear feet </t>
  </si>
  <si>
    <t>Partial-depth patching: 0.2% of area</t>
  </si>
  <si>
    <t>Partial-depth patching: 0.15% of area</t>
  </si>
  <si>
    <t>Initial Construction Costs:</t>
  </si>
  <si>
    <t>Division Type</t>
  </si>
  <si>
    <t>PCC Reconstruction - Alternative 2</t>
  </si>
  <si>
    <t>HMA Mill and Overlay - Alternative 3</t>
  </si>
  <si>
    <t>HMA Reconstruction - Alternative 1</t>
  </si>
  <si>
    <t>City</t>
  </si>
  <si>
    <t>County</t>
  </si>
  <si>
    <t>Giles</t>
  </si>
  <si>
    <t>Lauderdale</t>
  </si>
  <si>
    <t>Henderson</t>
  </si>
  <si>
    <t>Benton</t>
  </si>
  <si>
    <t>Bedford</t>
  </si>
  <si>
    <t>Carroll</t>
  </si>
  <si>
    <t>Hickman</t>
  </si>
  <si>
    <t>Shelby</t>
  </si>
  <si>
    <t>Chilhowee Gliderport</t>
  </si>
  <si>
    <t>92A</t>
  </si>
  <si>
    <t>Polk</t>
  </si>
  <si>
    <t>Bradley</t>
  </si>
  <si>
    <t>Hamilton</t>
  </si>
  <si>
    <t>Campbell</t>
  </si>
  <si>
    <t>Tipton</t>
  </si>
  <si>
    <t>Cumberland</t>
  </si>
  <si>
    <t>Dyer</t>
  </si>
  <si>
    <t>Carter</t>
  </si>
  <si>
    <t>Marshall</t>
  </si>
  <si>
    <t>Obion</t>
  </si>
  <si>
    <t>Fayette</t>
  </si>
  <si>
    <t>Lincoln</t>
  </si>
  <si>
    <t>Franklin</t>
  </si>
  <si>
    <t>Sevier</t>
  </si>
  <si>
    <t>Gibson</t>
  </si>
  <si>
    <t>Greene</t>
  </si>
  <si>
    <t>Wayne</t>
  </si>
  <si>
    <t>Hawkins</t>
  </si>
  <si>
    <t>Henry</t>
  </si>
  <si>
    <t>Houston</t>
  </si>
  <si>
    <t>Humphreys</t>
  </si>
  <si>
    <t>Perry</t>
  </si>
  <si>
    <t>Fentress</t>
  </si>
  <si>
    <t>Lewis</t>
  </si>
  <si>
    <t>Davidson</t>
  </si>
  <si>
    <t>Johnson City Airport</t>
  </si>
  <si>
    <t>0A4</t>
  </si>
  <si>
    <t>Johnson City</t>
  </si>
  <si>
    <t>Washington</t>
  </si>
  <si>
    <t>Johnson</t>
  </si>
  <si>
    <t>Knox</t>
  </si>
  <si>
    <t>Macon</t>
  </si>
  <si>
    <t>Lawrence</t>
  </si>
  <si>
    <t>Wilson</t>
  </si>
  <si>
    <t>Overton</t>
  </si>
  <si>
    <t>Marion</t>
  </si>
  <si>
    <t>Rhea</t>
  </si>
  <si>
    <t>Maury</t>
  </si>
  <si>
    <t>Blount</t>
  </si>
  <si>
    <t>Madison</t>
  </si>
  <si>
    <t>Mcminn</t>
  </si>
  <si>
    <t>Monroe</t>
  </si>
  <si>
    <t>Hamblen</t>
  </si>
  <si>
    <t>Rutherford</t>
  </si>
  <si>
    <t>Sumner</t>
  </si>
  <si>
    <t>Claiborne</t>
  </si>
  <si>
    <t>Montgomery</t>
  </si>
  <si>
    <t>Puckett Airport</t>
  </si>
  <si>
    <t>50M</t>
  </si>
  <si>
    <t>Eagleville</t>
  </si>
  <si>
    <t>Lake</t>
  </si>
  <si>
    <t>Mcnairy</t>
  </si>
  <si>
    <t>Morgan</t>
  </si>
  <si>
    <t>Hardin</t>
  </si>
  <si>
    <t>Scott</t>
  </si>
  <si>
    <t>Dekalb</t>
  </si>
  <si>
    <t>Robertson</t>
  </si>
  <si>
    <t>Sullivan</t>
  </si>
  <si>
    <t>Coffee</t>
  </si>
  <si>
    <t>White</t>
  </si>
  <si>
    <t>Warren</t>
  </si>
  <si>
    <t>Hardeman</t>
  </si>
  <si>
    <t>Wolf River</t>
  </si>
  <si>
    <t>54M</t>
  </si>
  <si>
    <t>Rossville</t>
  </si>
  <si>
    <t>City:</t>
  </si>
  <si>
    <t>Coming soon.</t>
  </si>
  <si>
    <t>Alt Worksheet Name</t>
  </si>
  <si>
    <t xml:space="preserve">I </t>
  </si>
  <si>
    <t>Thickness adjustment or multiple</t>
  </si>
  <si>
    <t>Assume 0.1 gal/SY for mill and overlay</t>
  </si>
  <si>
    <t>If S.Y., then thickness adjustment</t>
  </si>
  <si>
    <t>Assumed Section: 4-inch HMA; 4-inch P-209</t>
  </si>
  <si>
    <t>100LL Fuel Sales</t>
  </si>
  <si>
    <t>Transient Tie-downs</t>
  </si>
  <si>
    <t>Itinerant Hangar Storage</t>
  </si>
  <si>
    <t>Tenant Fuel Flowage Fee</t>
  </si>
  <si>
    <t>Business Tenant Revenue</t>
  </si>
  <si>
    <t>Other Revenue Sources</t>
  </si>
  <si>
    <t>Maintenance 1 Duration (Days)</t>
  </si>
  <si>
    <t>Maintenance 2 Duration (Days)</t>
  </si>
  <si>
    <t>Maintenance 3 Duration (Days)</t>
  </si>
  <si>
    <t>Maintenance 4 Duration (Days)</t>
  </si>
  <si>
    <t>Rehabilitation 1 Duration (Days)</t>
  </si>
  <si>
    <t>Maintenance 5 Duration (Days)</t>
  </si>
  <si>
    <t>Maintenance 6 Duration (Days)</t>
  </si>
  <si>
    <t>Maintenance 1 Indirect Cost</t>
  </si>
  <si>
    <t>Maintenance 3 Indirect Cost</t>
  </si>
  <si>
    <t>Maintenance 4 Indirect Cost</t>
  </si>
  <si>
    <t>Rehabilitation 1 Indirect Cost</t>
  </si>
  <si>
    <t>Maintenance 5 Indirect Cost</t>
  </si>
  <si>
    <t>Maintenance 6 Indirect Cost</t>
  </si>
  <si>
    <t>Account Indirect Cost (Yes/No)</t>
  </si>
  <si>
    <t>Maintenance 2 Indirect Cost</t>
  </si>
  <si>
    <t xml:space="preserve">Average Daily Revenue:  </t>
  </si>
  <si>
    <t>Direct Cost</t>
  </si>
  <si>
    <t>Indirect Cost</t>
  </si>
  <si>
    <t>Average Daily Revenue:</t>
  </si>
  <si>
    <t>Total Discounted Cost</t>
  </si>
  <si>
    <t>FAA ID</t>
  </si>
  <si>
    <t xml:space="preserve"> Jet-A Fuel Sales </t>
  </si>
  <si>
    <t xml:space="preserve"> Office Rent, Enterprise Concessionaire, Interest </t>
  </si>
  <si>
    <t xml:space="preserve"> $-   </t>
  </si>
  <si>
    <t xml:space="preserve"> NA </t>
  </si>
  <si>
    <t xml:space="preserve"> 600 airport and 16,389 FBO </t>
  </si>
  <si>
    <t xml:space="preserve"> $175k for airport and FBO $260,000 </t>
  </si>
  <si>
    <t xml:space="preserve"> $0.08 flowage per gallon </t>
  </si>
  <si>
    <t xml:space="preserve"> $6 million FBO revenues. $50,000 revenue share with FBO </t>
  </si>
  <si>
    <t xml:space="preserve"> $5,000 utlities reimbursements </t>
  </si>
  <si>
    <t xml:space="preserve"> 3rd party has fuel contract…revenue captured in tenant flowage fee. </t>
  </si>
  <si>
    <t>Airport Daily Revenue</t>
  </si>
  <si>
    <t>No</t>
  </si>
  <si>
    <t>Separation Geotextile (P-154)</t>
  </si>
  <si>
    <t>Separation Geotextile (P-208)</t>
  </si>
  <si>
    <t>Separation Geotextile (P-209)</t>
  </si>
  <si>
    <t>Separation Geotextile (P-219)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</si>
</sst>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0.0000"/>
    <numFmt numFmtId="165" formatCode="&quot;$&quot;#,##0"/>
    <numFmt numFmtId="166" formatCode="&quot;$&quot;#,##0.00"/>
    <numFmt numFmtId="167" formatCode="_(&quot;$&quot;* #,##0_);_(&quot;$&quot;* \(#,##0\);_(&quot;$&quot;* &quot;-&quot;??_);_(@_)"/>
    <numFmt numFmtId="168" formatCode="$#,##0;($#,##0);-"/>
  </numFmts>
  <fonts count="22" x14ac:knownFonts="1">
    <font>
      <sz val="11"/>
      <color theme="1"/>
      <name val="Calibri"/>
      <family val="2"/>
      <scheme val="minor"/>
    </font>
    <font>
      <sz val="10"/>
      <color theme="1"/>
      <name val="Arial"/>
      <family val="2"/>
    </font>
    <font>
      <b/>
      <sz val="11"/>
      <color theme="1"/>
      <name val="Calibri"/>
      <family val="2"/>
      <scheme val="minor"/>
    </font>
    <font>
      <b/>
      <sz val="10"/>
      <color theme="1"/>
      <name val="Arial"/>
      <family val="2"/>
    </font>
    <font>
      <b/>
      <sz val="10"/>
      <color rgb="FF000000"/>
      <name val="Arial"/>
      <family val="2"/>
    </font>
    <font>
      <sz val="10"/>
      <color rgb="FF000000"/>
      <name val="Arial"/>
      <family val="2"/>
    </font>
    <font>
      <sz val="8"/>
      <name val="Calibri"/>
      <family val="2"/>
      <scheme val="minor"/>
    </font>
    <font>
      <sz val="10"/>
      <name val="Arial"/>
      <family val="2"/>
    </font>
    <font>
      <sz val="10"/>
      <color theme="0" tint="-0.499984740745262"/>
      <name val="Arial"/>
      <family val="2"/>
    </font>
    <font>
      <u/>
      <sz val="11"/>
      <color theme="10"/>
      <name val="Calibri"/>
      <family val="2"/>
      <scheme val="minor"/>
    </font>
    <font>
      <sz val="11"/>
      <color theme="1"/>
      <name val="Calibri"/>
      <family val="2"/>
      <scheme val="minor"/>
    </font>
    <font>
      <b/>
      <sz val="11"/>
      <color theme="0"/>
      <name val="Calibri"/>
      <family val="2"/>
      <scheme val="minor"/>
    </font>
    <font>
      <sz val="9"/>
      <color indexed="81"/>
      <name val="Tahoma"/>
      <charset val="1"/>
    </font>
    <font>
      <b/>
      <sz val="9"/>
      <color indexed="81"/>
      <name val="Tahoma"/>
      <charset val="1"/>
    </font>
    <font>
      <sz val="9"/>
      <color indexed="81"/>
      <name val="Tahoma"/>
      <family val="2"/>
    </font>
    <font>
      <name val="Calibri"/>
      <family val="2"/>
      <color theme="1"/>
      <sz val="11"/>
      <scheme val="minor"/>
    </font>
    <font>
      <name val="Arial"/>
      <b val="1"/>
      <color rgb="00FFFFFF"/>
      <sz val="10"/>
    </font>
    <font>
      <name val="Arial"/>
      <b val="1"/>
      <sz val="10"/>
    </font>
    <font>
      <name val="Arial"/>
      <b val="1"/>
      <sz val="12"/>
    </font>
    <font>
      <name val="Arial"/>
      <i val="1"/>
      <color rgb="00595959"/>
      <sz val="9"/>
    </font>
    <font>
      <name val="Arial"/>
      <sz val="10"/>
    </font>
    <font>
      <name val="Arial"/>
      <color rgb="007F7F7F"/>
      <sz val="9"/>
    </font>
  </fonts>
  <fills count="15">
    <fill>
      <patternFill patternType="none"/>
    </fill>
    <fill>
      <patternFill patternType="gray125"/>
    </fill>
    <fill>
      <patternFill patternType="solid">
        <fgColor theme="4"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C00000"/>
        <bgColor indexed="64"/>
      </patternFill>
    </fill>
    <fill>
      <patternFill patternType="solid">
        <fgColor rgb="FFD9E1F2"/>
        <bgColor indexed="64"/>
      </patternFill>
    </fill>
    <fill>
      <patternFill patternType="solid">
        <fgColor theme="4" tint="0.39997558519241921"/>
        <bgColor indexed="64"/>
      </patternFill>
    </fill>
    <fill>
      <patternFill patternType="solid">
        <fgColor rgb="FFFFFF00"/>
        <bgColor indexed="64"/>
      </patternFill>
    </fill>
    <fill>
      <patternFill/>
    </fill>
    <fill>
      <patternFill patternType="gray125"/>
    </fill>
    <fill>
      <patternFill patternType="solid">
        <fgColor rgb="001D2733"/>
      </patternFill>
    </fill>
    <fill>
      <patternFill patternType="solid">
        <fgColor rgb="002A78D6"/>
      </patternFill>
    </fill>
    <fill>
      <patternFill patternType="solid">
        <fgColor rgb="00D9D9D9"/>
      </patternFill>
    </fill>
    <fill>
      <patternFill patternType="solid">
        <fgColor rgb="00EAF2FB"/>
      </patternFill>
    </fill>
  </fills>
  <borders count="38">
    <border>
      <left/>
      <right/>
      <top/>
      <bottom/>
      <diagonal/>
    </border>
    <border>
      <left style="double">
        <color indexed="64"/>
      </left>
      <right style="medium">
        <color indexed="64"/>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style="medium">
        <color indexed="64"/>
      </right>
      <top/>
      <bottom style="medium">
        <color indexed="64"/>
      </bottom>
      <diagonal/>
    </border>
    <border>
      <left style="double">
        <color indexed="64"/>
      </left>
      <right style="medium">
        <color indexed="64"/>
      </right>
      <top/>
      <bottom/>
      <diagonal/>
    </border>
    <border>
      <left/>
      <right style="double">
        <color indexed="64"/>
      </right>
      <top/>
      <bottom style="medium">
        <color indexed="64"/>
      </bottom>
      <diagonal/>
    </border>
    <border>
      <left/>
      <right style="double">
        <color indexed="64"/>
      </right>
      <top/>
      <bottom/>
      <diagonal/>
    </border>
    <border>
      <left style="double">
        <color indexed="64"/>
      </left>
      <right style="medium">
        <color indexed="64"/>
      </right>
      <top/>
      <bottom style="double">
        <color indexed="64"/>
      </bottom>
      <diagonal/>
    </border>
    <border>
      <left/>
      <right style="double">
        <color indexed="64"/>
      </right>
      <top/>
      <bottom style="double">
        <color indexed="64"/>
      </bottom>
      <diagonal/>
    </border>
    <border>
      <left style="double">
        <color indexed="64"/>
      </left>
      <right style="medium">
        <color indexed="64"/>
      </right>
      <top style="double">
        <color indexed="64"/>
      </top>
      <bottom/>
      <diagonal/>
    </border>
    <border>
      <left style="double">
        <color indexed="64"/>
      </left>
      <right style="double">
        <color indexed="64"/>
      </right>
      <top style="double">
        <color indexed="64"/>
      </top>
      <bottom/>
      <diagonal/>
    </border>
    <border>
      <left style="double">
        <color indexed="64"/>
      </left>
      <right style="double">
        <color indexed="64"/>
      </right>
      <top/>
      <bottom style="medium">
        <color indexed="64"/>
      </bottom>
      <diagonal/>
    </border>
    <border>
      <left style="double">
        <color indexed="64"/>
      </left>
      <right style="medium">
        <color indexed="64"/>
      </right>
      <top style="medium">
        <color indexed="64"/>
      </top>
      <bottom/>
      <diagonal/>
    </border>
    <border>
      <left style="double">
        <color indexed="64"/>
      </left>
      <right style="double">
        <color indexed="64"/>
      </right>
      <top style="medium">
        <color indexed="64"/>
      </top>
      <bottom/>
      <diagonal/>
    </border>
    <border>
      <left style="double">
        <color indexed="64"/>
      </left>
      <right style="double">
        <color indexed="64"/>
      </right>
      <top/>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double">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indexed="64"/>
      </right>
      <top/>
      <bottom style="thin">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top/>
      <bottom/>
      <diagonal/>
    </border>
    <border>
      <left style="thin">
        <color rgb="00BFBFBF"/>
      </left>
      <right style="thin">
        <color rgb="00BFBFBF"/>
      </right>
      <top style="thin">
        <color rgb="00BFBFBF"/>
      </top>
      <bottom style="thin">
        <color rgb="00BFBFBF"/>
      </bottom>
    </border>
  </borders>
  <cellStyleXfs count="3">
    <xf numFmtId="0" fontId="0" fillId="0" borderId="0"/>
    <xf numFmtId="0" fontId="9" fillId="0" borderId="0" applyNumberFormat="0" applyFill="0" applyBorder="0" applyAlignment="0" applyProtection="0"/>
    <xf numFmtId="44" fontId="10" fillId="0" borderId="0" applyFont="0" applyFill="0" applyBorder="0" applyAlignment="0" applyProtection="0"/>
  </cellStyleXfs>
  <cellXfs count="134">
    <xf numFmtId="0" fontId="0" fillId="0" borderId="0" xfId="0"/>
    <xf numFmtId="0" fontId="1" fillId="0" borderId="0" xfId="0" applyFont="1" applyAlignment="1">
      <alignment vertical="center"/>
    </xf>
    <xf numFmtId="0" fontId="1" fillId="0" borderId="0" xfId="0" applyFont="1" applyAlignment="1">
      <alignment vertical="center" wrapText="1"/>
    </xf>
    <xf numFmtId="0" fontId="1" fillId="0" borderId="0" xfId="0" applyFont="1" applyAlignment="1">
      <alignment horizontal="center"/>
    </xf>
    <xf numFmtId="0" fontId="2" fillId="0" borderId="0" xfId="0" applyFont="1"/>
    <xf numFmtId="0" fontId="1" fillId="0" borderId="0" xfId="0" applyFont="1"/>
    <xf numFmtId="0" fontId="3" fillId="0" borderId="0" xfId="0" applyFont="1"/>
    <xf numFmtId="0" fontId="3" fillId="0" borderId="0" xfId="0" applyFont="1" applyAlignment="1">
      <alignment horizontal="center"/>
    </xf>
    <xf numFmtId="0" fontId="3" fillId="0" borderId="7" xfId="0" applyFont="1" applyBorder="1" applyAlignment="1">
      <alignment vertical="center" wrapText="1"/>
    </xf>
    <xf numFmtId="0" fontId="1" fillId="0" borderId="8" xfId="0" applyFont="1" applyBorder="1" applyAlignment="1">
      <alignment vertical="center" wrapText="1"/>
    </xf>
    <xf numFmtId="0" fontId="1" fillId="0" borderId="8" xfId="0" applyFont="1" applyBorder="1" applyAlignment="1">
      <alignment horizontal="center" vertical="center" wrapText="1"/>
    </xf>
    <xf numFmtId="0" fontId="3" fillId="0" borderId="1" xfId="0" applyFont="1" applyBorder="1" applyAlignment="1">
      <alignment vertical="center" wrapText="1"/>
    </xf>
    <xf numFmtId="0" fontId="3" fillId="0" borderId="2" xfId="0" applyFont="1" applyBorder="1" applyAlignment="1">
      <alignment vertical="center" wrapText="1"/>
    </xf>
    <xf numFmtId="0" fontId="4" fillId="0" borderId="9" xfId="0" applyFont="1" applyBorder="1" applyAlignment="1">
      <alignment vertical="center" wrapText="1"/>
    </xf>
    <xf numFmtId="0" fontId="5" fillId="0" borderId="6" xfId="0" applyFont="1" applyBorder="1" applyAlignment="1">
      <alignment vertical="center" wrapText="1"/>
    </xf>
    <xf numFmtId="0" fontId="4" fillId="0" borderId="3" xfId="0" applyFont="1" applyBorder="1" applyAlignment="1">
      <alignment vertical="center" wrapText="1"/>
    </xf>
    <xf numFmtId="0" fontId="5" fillId="0" borderId="5" xfId="0" applyFont="1" applyBorder="1" applyAlignment="1">
      <alignment vertical="center" wrapText="1"/>
    </xf>
    <xf numFmtId="0" fontId="4" fillId="0" borderId="12" xfId="0" applyFont="1" applyBorder="1" applyAlignment="1">
      <alignment vertical="center" wrapText="1"/>
    </xf>
    <xf numFmtId="0" fontId="4" fillId="0" borderId="4" xfId="0" applyFont="1" applyBorder="1" applyAlignment="1">
      <alignment vertical="center" wrapText="1"/>
    </xf>
    <xf numFmtId="0" fontId="4" fillId="0" borderId="7" xfId="0" applyFont="1" applyBorder="1" applyAlignment="1">
      <alignment vertical="center" wrapText="1"/>
    </xf>
    <xf numFmtId="0" fontId="5" fillId="0" borderId="8" xfId="0" applyFont="1" applyBorder="1" applyAlignment="1">
      <alignment vertical="center" wrapText="1"/>
    </xf>
    <xf numFmtId="0" fontId="5" fillId="0" borderId="8" xfId="0" applyFont="1" applyBorder="1" applyAlignment="1">
      <alignment horizontal="center" vertical="center" wrapText="1"/>
    </xf>
    <xf numFmtId="0" fontId="3" fillId="0" borderId="9" xfId="0" applyFont="1" applyBorder="1" applyAlignment="1">
      <alignment vertical="center" wrapText="1"/>
    </xf>
    <xf numFmtId="0" fontId="1" fillId="0" borderId="6" xfId="0" applyFont="1" applyBorder="1" applyAlignment="1">
      <alignment vertical="center" wrapText="1"/>
    </xf>
    <xf numFmtId="0" fontId="3" fillId="0" borderId="4" xfId="0" applyFont="1" applyBorder="1" applyAlignment="1">
      <alignment vertical="center" wrapText="1"/>
    </xf>
    <xf numFmtId="0" fontId="3" fillId="0" borderId="3" xfId="0" applyFont="1" applyBorder="1" applyAlignment="1">
      <alignment vertical="center" wrapText="1"/>
    </xf>
    <xf numFmtId="0" fontId="1" fillId="0" borderId="5" xfId="0" applyFont="1" applyBorder="1" applyAlignment="1">
      <alignment vertical="center" wrapText="1"/>
    </xf>
    <xf numFmtId="0" fontId="3" fillId="0" borderId="12" xfId="0" applyFont="1" applyBorder="1" applyAlignment="1">
      <alignment vertical="center" wrapText="1"/>
    </xf>
    <xf numFmtId="0" fontId="3" fillId="0" borderId="1" xfId="0" applyFont="1" applyBorder="1" applyAlignment="1">
      <alignment horizontal="left" vertical="center" wrapText="1"/>
    </xf>
    <xf numFmtId="0" fontId="3" fillId="0" borderId="2" xfId="0" applyFont="1" applyBorder="1" applyAlignment="1">
      <alignment horizontal="left" vertical="center" wrapText="1"/>
    </xf>
    <xf numFmtId="0" fontId="1" fillId="0" borderId="10" xfId="0" applyFont="1" applyBorder="1" applyAlignment="1">
      <alignment horizontal="center" vertical="center" wrapText="1"/>
    </xf>
    <xf numFmtId="0" fontId="1" fillId="0" borderId="14" xfId="0" applyFont="1" applyBorder="1" applyAlignment="1">
      <alignment horizontal="center" vertical="center" wrapText="1"/>
    </xf>
    <xf numFmtId="0" fontId="1" fillId="0" borderId="11" xfId="0" applyFont="1" applyBorder="1" applyAlignment="1">
      <alignment horizontal="center" vertical="center" wrapText="1"/>
    </xf>
    <xf numFmtId="0" fontId="1" fillId="0" borderId="13"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1" xfId="0" applyFont="1" applyBorder="1" applyAlignment="1">
      <alignment horizontal="center" vertical="center" wrapText="1"/>
    </xf>
    <xf numFmtId="0" fontId="5" fillId="0" borderId="13" xfId="0" applyFont="1" applyBorder="1" applyAlignment="1">
      <alignment horizontal="center" vertical="center" wrapText="1"/>
    </xf>
    <xf numFmtId="0" fontId="5" fillId="0" borderId="14" xfId="0" applyFont="1" applyBorder="1" applyAlignment="1">
      <alignment horizontal="center" vertical="center" wrapText="1"/>
    </xf>
    <xf numFmtId="164" fontId="5" fillId="0" borderId="6" xfId="0" applyNumberFormat="1" applyFont="1" applyBorder="1" applyAlignment="1">
      <alignment horizontal="center" vertical="center" wrapText="1"/>
    </xf>
    <xf numFmtId="164" fontId="5" fillId="0" borderId="5" xfId="0" applyNumberFormat="1" applyFont="1" applyBorder="1" applyAlignment="1">
      <alignment horizontal="center" vertical="center" wrapText="1"/>
    </xf>
    <xf numFmtId="164" fontId="5" fillId="0" borderId="8" xfId="0" applyNumberFormat="1" applyFont="1" applyBorder="1" applyAlignment="1">
      <alignment horizontal="center" vertical="center" wrapText="1"/>
    </xf>
    <xf numFmtId="164" fontId="1" fillId="0" borderId="6" xfId="0" applyNumberFormat="1" applyFont="1" applyBorder="1" applyAlignment="1">
      <alignment horizontal="center" vertical="center" wrapText="1"/>
    </xf>
    <xf numFmtId="164" fontId="1" fillId="0" borderId="5" xfId="0" applyNumberFormat="1" applyFont="1" applyBorder="1" applyAlignment="1">
      <alignment horizontal="center" vertical="center" wrapText="1"/>
    </xf>
    <xf numFmtId="164" fontId="1" fillId="0" borderId="8" xfId="0" applyNumberFormat="1" applyFont="1" applyBorder="1" applyAlignment="1">
      <alignment horizontal="center" vertical="center" wrapText="1"/>
    </xf>
    <xf numFmtId="0" fontId="0" fillId="0" borderId="0" xfId="0" applyAlignment="1">
      <alignment horizontal="right"/>
    </xf>
    <xf numFmtId="0" fontId="0" fillId="0" borderId="0" xfId="0" applyAlignment="1">
      <alignment horizontal="left"/>
    </xf>
    <xf numFmtId="165" fontId="0" fillId="0" borderId="0" xfId="0" applyNumberFormat="1"/>
    <xf numFmtId="165" fontId="7" fillId="0" borderId="15" xfId="0" applyNumberFormat="1" applyFont="1" applyBorder="1" applyAlignment="1">
      <alignment vertical="center"/>
    </xf>
    <xf numFmtId="0" fontId="4" fillId="0" borderId="16" xfId="0" applyFont="1" applyBorder="1" applyAlignment="1">
      <alignment vertical="center" wrapText="1"/>
    </xf>
    <xf numFmtId="0" fontId="4" fillId="0" borderId="18" xfId="0" applyFont="1" applyBorder="1" applyAlignment="1">
      <alignment vertical="center" wrapText="1"/>
    </xf>
    <xf numFmtId="0" fontId="0" fillId="0" borderId="19" xfId="0" applyBorder="1"/>
    <xf numFmtId="0" fontId="3" fillId="0" borderId="21" xfId="0" applyFont="1" applyBorder="1" applyAlignment="1">
      <alignment vertical="center" wrapText="1"/>
    </xf>
    <xf numFmtId="165" fontId="7" fillId="0" borderId="23" xfId="0" applyNumberFormat="1" applyFont="1" applyBorder="1" applyAlignment="1">
      <alignment vertical="center"/>
    </xf>
    <xf numFmtId="0" fontId="3" fillId="0" borderId="24" xfId="0" applyFont="1" applyBorder="1" applyAlignment="1">
      <alignment horizontal="center" vertical="center" wrapText="1"/>
    </xf>
    <xf numFmtId="0" fontId="3" fillId="0" borderId="25" xfId="0" applyFont="1" applyBorder="1" applyAlignment="1">
      <alignment horizontal="center" vertical="center" wrapText="1"/>
    </xf>
    <xf numFmtId="0" fontId="3" fillId="0" borderId="26" xfId="0" applyFont="1" applyBorder="1" applyAlignment="1">
      <alignment horizontal="center" vertical="center" wrapText="1"/>
    </xf>
    <xf numFmtId="0" fontId="1" fillId="0" borderId="22" xfId="0" applyFont="1" applyBorder="1" applyAlignment="1">
      <alignment horizontal="center" vertical="center" wrapText="1"/>
    </xf>
    <xf numFmtId="0" fontId="5" fillId="0" borderId="17" xfId="0" applyFont="1" applyBorder="1" applyAlignment="1">
      <alignment horizontal="center" vertical="center" wrapText="1"/>
    </xf>
    <xf numFmtId="165" fontId="5" fillId="0" borderId="17" xfId="0" applyNumberFormat="1" applyFont="1" applyBorder="1" applyAlignment="1">
      <alignment horizontal="right" vertical="center" wrapText="1"/>
    </xf>
    <xf numFmtId="165" fontId="1" fillId="0" borderId="22" xfId="0" applyNumberFormat="1" applyFont="1" applyBorder="1" applyAlignment="1">
      <alignment horizontal="right" vertical="center" wrapText="1"/>
    </xf>
    <xf numFmtId="165" fontId="2" fillId="0" borderId="20" xfId="0" applyNumberFormat="1" applyFont="1" applyBorder="1"/>
    <xf numFmtId="0" fontId="0" fillId="2" borderId="0" xfId="0" applyFill="1"/>
    <xf numFmtId="0" fontId="2" fillId="2" borderId="0" xfId="0" applyFont="1" applyFill="1"/>
    <xf numFmtId="165" fontId="0" fillId="2" borderId="0" xfId="0" applyNumberFormat="1" applyFill="1"/>
    <xf numFmtId="1" fontId="0" fillId="2" borderId="0" xfId="0" applyNumberFormat="1" applyFill="1"/>
    <xf numFmtId="3" fontId="0" fillId="2" borderId="0" xfId="0" applyNumberFormat="1" applyFill="1"/>
    <xf numFmtId="3" fontId="0" fillId="0" borderId="0" xfId="0" applyNumberFormat="1"/>
    <xf numFmtId="166" fontId="1" fillId="0" borderId="0" xfId="0" applyNumberFormat="1" applyFont="1" applyAlignment="1">
      <alignment horizontal="center"/>
    </xf>
    <xf numFmtId="166" fontId="0" fillId="2" borderId="0" xfId="0" applyNumberFormat="1" applyFill="1"/>
    <xf numFmtId="166" fontId="0" fillId="0" borderId="0" xfId="0" applyNumberFormat="1"/>
    <xf numFmtId="0" fontId="0" fillId="3" borderId="0" xfId="0" applyFill="1"/>
    <xf numFmtId="0" fontId="1" fillId="0" borderId="0" xfId="0" applyFont="1" applyAlignment="1">
      <alignment horizontal="left"/>
    </xf>
    <xf numFmtId="165" fontId="0" fillId="0" borderId="0" xfId="0" applyNumberFormat="1" applyAlignment="1">
      <alignment horizontal="right"/>
    </xf>
    <xf numFmtId="0" fontId="1" fillId="3" borderId="0" xfId="0" applyFont="1" applyFill="1" applyProtection="1">
      <protection locked="0"/>
    </xf>
    <xf numFmtId="14" fontId="1" fillId="3" borderId="0" xfId="0" applyNumberFormat="1" applyFont="1" applyFill="1" applyProtection="1">
      <protection locked="0"/>
    </xf>
    <xf numFmtId="166" fontId="1" fillId="0" borderId="0" xfId="0" applyNumberFormat="1" applyFont="1" applyAlignment="1">
      <alignment horizontal="right"/>
    </xf>
    <xf numFmtId="3" fontId="0" fillId="3" borderId="0" xfId="0" applyNumberFormat="1" applyFill="1"/>
    <xf numFmtId="3" fontId="0" fillId="3" borderId="0" xfId="0" applyNumberFormat="1" applyFill="1" applyAlignment="1">
      <alignment horizontal="right"/>
    </xf>
    <xf numFmtId="0" fontId="1" fillId="2" borderId="0" xfId="0" applyFont="1" applyFill="1" applyAlignment="1">
      <alignment horizontal="left"/>
    </xf>
    <xf numFmtId="0" fontId="1" fillId="2" borderId="0" xfId="0" applyFont="1" applyFill="1" applyAlignment="1">
      <alignment horizontal="center"/>
    </xf>
    <xf numFmtId="0" fontId="0" fillId="2" borderId="0" xfId="0" applyFill="1" applyAlignment="1">
      <alignment horizontal="center"/>
    </xf>
    <xf numFmtId="3" fontId="0" fillId="2" borderId="0" xfId="0" applyNumberFormat="1" applyFill="1" applyAlignment="1">
      <alignment horizontal="center"/>
    </xf>
    <xf numFmtId="166" fontId="0" fillId="2" borderId="0" xfId="0" applyNumberFormat="1" applyFill="1" applyAlignment="1">
      <alignment horizontal="center"/>
    </xf>
    <xf numFmtId="166" fontId="1" fillId="2" borderId="0" xfId="0" applyNumberFormat="1" applyFont="1" applyFill="1" applyAlignment="1">
      <alignment horizontal="center"/>
    </xf>
    <xf numFmtId="3" fontId="0" fillId="0" borderId="0" xfId="0" applyNumberFormat="1" applyAlignment="1">
      <alignment horizontal="center"/>
    </xf>
    <xf numFmtId="0" fontId="0" fillId="0" borderId="0" xfId="0" applyAlignment="1">
      <alignment horizontal="center"/>
    </xf>
    <xf numFmtId="166" fontId="0" fillId="0" borderId="0" xfId="0" applyNumberFormat="1" applyAlignment="1">
      <alignment horizontal="center"/>
    </xf>
    <xf numFmtId="0" fontId="2" fillId="0" borderId="0" xfId="0" applyFont="1" applyAlignment="1">
      <alignment horizontal="center" wrapText="1"/>
    </xf>
    <xf numFmtId="0" fontId="8" fillId="0" borderId="0" xfId="0" applyFont="1"/>
    <xf numFmtId="165" fontId="2" fillId="0" borderId="0" xfId="0" applyNumberFormat="1" applyFont="1"/>
    <xf numFmtId="0" fontId="5" fillId="0" borderId="6" xfId="0" applyFont="1" applyBorder="1" applyAlignment="1">
      <alignment horizontal="center" vertical="center" wrapText="1"/>
    </xf>
    <xf numFmtId="0" fontId="0" fillId="4" borderId="0" xfId="0" applyFill="1" applyAlignment="1">
      <alignment horizontal="left"/>
    </xf>
    <xf numFmtId="0" fontId="8" fillId="0" borderId="0" xfId="0" applyFont="1" applyAlignment="1">
      <alignment horizontal="left"/>
    </xf>
    <xf numFmtId="165" fontId="2" fillId="0" borderId="0" xfId="0" applyNumberFormat="1" applyFont="1" applyAlignment="1">
      <alignment horizontal="right"/>
    </xf>
    <xf numFmtId="0" fontId="9" fillId="0" borderId="0" xfId="1"/>
    <xf numFmtId="0" fontId="0" fillId="0" borderId="29" xfId="0" applyBorder="1"/>
    <xf numFmtId="44" fontId="0" fillId="0" borderId="30" xfId="0" applyNumberFormat="1" applyBorder="1"/>
    <xf numFmtId="0" fontId="0" fillId="0" borderId="31" xfId="0" applyBorder="1"/>
    <xf numFmtId="0" fontId="0" fillId="0" borderId="32" xfId="0" applyBorder="1"/>
    <xf numFmtId="0" fontId="0" fillId="0" borderId="33" xfId="0" applyBorder="1"/>
    <xf numFmtId="0" fontId="1" fillId="0" borderId="0" xfId="0" applyFont="1" applyAlignment="1">
      <alignment horizontal="right"/>
    </xf>
    <xf numFmtId="0" fontId="0" fillId="6" borderId="0" xfId="0" applyFill="1"/>
    <xf numFmtId="165" fontId="0" fillId="6" borderId="0" xfId="0" applyNumberFormat="1" applyFill="1"/>
    <xf numFmtId="0" fontId="11" fillId="7" borderId="35" xfId="0" applyFont="1" applyFill="1" applyBorder="1" applyAlignment="1">
      <alignment horizontal="center"/>
    </xf>
    <xf numFmtId="3" fontId="11" fillId="5" borderId="35" xfId="0" applyNumberFormat="1" applyFont="1" applyFill="1" applyBorder="1" applyAlignment="1">
      <alignment horizontal="center"/>
    </xf>
    <xf numFmtId="44" fontId="11" fillId="5" borderId="35" xfId="2" applyFont="1" applyFill="1" applyBorder="1" applyAlignment="1">
      <alignment horizontal="center"/>
    </xf>
    <xf numFmtId="0" fontId="0" fillId="8" borderId="17" xfId="0" applyFill="1" applyBorder="1"/>
    <xf numFmtId="44" fontId="0" fillId="0" borderId="17" xfId="2" applyFont="1" applyBorder="1"/>
    <xf numFmtId="167" fontId="0" fillId="0" borderId="17" xfId="2" applyNumberFormat="1" applyFont="1" applyBorder="1"/>
    <xf numFmtId="0" fontId="0" fillId="2" borderId="0" xfId="0" applyFill="1" applyProtection="1">
      <protection locked="0"/>
    </xf>
    <xf numFmtId="0" fontId="2" fillId="2" borderId="0" xfId="0" applyFont="1" applyFill="1" applyProtection="1">
      <protection locked="0"/>
    </xf>
    <xf numFmtId="165" fontId="0" fillId="2" borderId="0" xfId="0" applyNumberFormat="1" applyFill="1" applyProtection="1">
      <protection locked="0"/>
    </xf>
    <xf numFmtId="1" fontId="0" fillId="3" borderId="32" xfId="0" applyNumberFormat="1" applyFill="1" applyBorder="1" applyAlignment="1">
      <alignment horizontal="right"/>
    </xf>
    <xf numFmtId="1" fontId="0" fillId="3" borderId="34" xfId="0" applyNumberFormat="1" applyFill="1" applyBorder="1" applyAlignment="1">
      <alignment horizontal="right"/>
    </xf>
    <xf numFmtId="44" fontId="8" fillId="0" borderId="0" xfId="2" applyFont="1"/>
    <xf numFmtId="0" fontId="3" fillId="0" borderId="0" xfId="0" applyFont="1" applyAlignment="1">
      <alignment horizontal="center"/>
    </xf>
    <xf numFmtId="167" fontId="0" fillId="0" borderId="27" xfId="2" applyNumberFormat="1" applyFont="1" applyBorder="1" applyAlignment="1">
      <alignment horizontal="left"/>
    </xf>
    <xf numFmtId="167" fontId="0" fillId="0" borderId="28" xfId="2" applyNumberFormat="1" applyFont="1" applyBorder="1" applyAlignment="1">
      <alignment horizontal="left"/>
    </xf>
    <xf numFmtId="0" fontId="15" fillId="9" borderId="36" pivotButton="0" quotePrefix="0" xfId="0"/>
    <xf numFmtId="0" fontId="16" fillId="11" borderId="37" applyAlignment="1" pivotButton="0" quotePrefix="0" xfId="0">
      <alignment horizontal="center" vertical="center"/>
    </xf>
    <xf numFmtId="0" fontId="16" fillId="12" borderId="37" applyAlignment="1" pivotButton="0" quotePrefix="0" xfId="0">
      <alignment horizontal="center" vertical="center"/>
    </xf>
    <xf numFmtId="0" fontId="18" fillId="9" borderId="36" pivotButton="0" quotePrefix="0" xfId="0"/>
    <xf numFmtId="0" fontId="17" fillId="9" borderId="36" pivotButton="0" quotePrefix="0" xfId="0"/>
    <xf numFmtId="0" fontId="19" fillId="9" borderId="36" pivotButton="0" quotePrefix="0" xfId="0"/>
    <xf numFmtId="0" fontId="17" fillId="13" borderId="37" applyAlignment="1" pivotButton="0" quotePrefix="0" xfId="0">
      <alignment vertical="center" wrapText="1"/>
    </xf>
    <xf numFmtId="0" fontId="20" fillId="9" borderId="37" pivotButton="0" quotePrefix="0" xfId="0"/>
    <xf numFmtId="168" fontId="20" fillId="9" borderId="37" pivotButton="0" quotePrefix="0" xfId="0"/>
    <xf numFmtId="10" fontId="20" fillId="9" borderId="37" pivotButton="0" quotePrefix="0" xfId="0"/>
    <xf numFmtId="0" fontId="21" fillId="9" borderId="36" pivotButton="0" quotePrefix="0" xfId="0"/>
    <xf numFmtId="168" fontId="21" fillId="9" borderId="36" pivotButton="0" quotePrefix="0" xfId="0"/>
    <xf numFmtId="0" fontId="17" fillId="14" borderId="36" pivotButton="0" quotePrefix="0" xfId="0"/>
    <xf numFmtId="0" fontId="15" fillId="14" borderId="36" pivotButton="0" quotePrefix="0" xfId="0"/>
    <xf numFmtId="2" fontId="21" fillId="9" borderId="36" pivotButton="0" quotePrefix="0" xfId="0"/>
    <xf numFmtId="1" fontId="21" fillId="9" borderId="36" pivotButton="0" quotePrefix="0" xfId="0"/>
  </cellXfs>
  <cellStyles count="3">
    <cellStyle name="Currency" xfId="2" builtinId="4"/>
    <cellStyle name="Hyperlink" xfId="1" builtinId="8"/>
    <cellStyle name="Normal" xfId="0" builtinId="0"/>
  </cellStyles>
  <dxfs count="27">
    <dxf>
      <font>
        <color rgb="FF9C0006"/>
      </font>
      <fill>
        <patternFill>
          <bgColor rgb="FFFFC7CE"/>
        </patternFill>
      </fill>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numFmt numFmtId="166" formatCode="&quot;$&quot;#,##0.00"/>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3"/>
            </a:solidFill>
            <a:ln>
              <a:noFill/>
            </a:ln>
            <a:effectLst/>
          </c:spPr>
          <c:invertIfNegative val="0"/>
          <c:cat>
            <c:numRef>
              <c:f>'TMP(NewPCC)_IndirectCost'!$K$38:$K$68</c:f>
            </c:numRef>
          </c:cat>
          <c:val>
            <c:numRef>
              <c:f>'TMP(NewPCC)_IndirectCost'!$L$38:$L$68</c:f>
            </c:numRef>
          </c:val>
        </c:ser>
        <c:ser>
          <c:idx val="1"/>
          <c:order val="1"/>
          <c:tx>
            <c:v>Indirect Cost</c:v>
          </c:tx>
          <c:spPr>
            <a:solidFill>
              <a:schemeClr val="accent1"/>
            </a:solidFill>
            <a:ln>
              <a:noFill/>
            </a:ln>
            <a:effectLst/>
          </c:spPr>
          <c:invertIfNegative val="0"/>
          <c:cat>
            <c:numRef>
              <c:f>'TMP(NewPCC)_IndirectCost'!$K$38:$K$68</c:f>
            </c:numRef>
          </c:cat>
          <c:val>
            <c:numRef>
              <c:f>'TMP(NewPCC)_IndirectCost'!$M$38:$M$68</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2"/>
            </a:solidFill>
            <a:ln>
              <a:noFill/>
            </a:ln>
            <a:effectLst/>
          </c:spPr>
          <c:invertIfNegative val="0"/>
          <c:cat>
            <c:numRef>
              <c:f>'TMP(NewHMA)_IndirectCost'!$K$37:$K$67</c:f>
            </c:numRef>
          </c:cat>
          <c:val>
            <c:numRef>
              <c:f>'TMP(NewHMA)_IndirectCost'!$L$37:$L$67</c:f>
            </c:numRef>
          </c:val>
        </c:ser>
        <c:ser>
          <c:idx val="1"/>
          <c:order val="1"/>
          <c:tx>
            <c:v>Indirect Cost</c:v>
          </c:tx>
          <c:spPr>
            <a:solidFill>
              <a:schemeClr val="accent1"/>
            </a:solidFill>
            <a:ln>
              <a:noFill/>
            </a:ln>
            <a:effectLst/>
          </c:spPr>
          <c:invertIfNegative val="0"/>
          <c:cat>
            <c:numRef>
              <c:f>'TMP(NewHMA)_IndirectCost'!$K$37:$K$67</c:f>
            </c:numRef>
          </c:cat>
          <c:val>
            <c:numRef>
              <c:f>'TMP(NewHMA)_IndirectCost'!$M$37:$M$67</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'TMP(NewHMA)'!$K$37:$K$67</c:f>
            </c:numRef>
          </c:cat>
          <c:val>
            <c:numRef>
              <c:f>'TMP(NewHMA)'!$L$37:$L$67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'TMP(NewPCC)'!$K$38:$K$68</c:f>
            </c:numRef>
          </c:cat>
          <c:val>
            <c:numRef>
              <c:f>'TMP(NewPCC)'!$L$38:$L$68</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3</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'TMP(HMARehab)'!$K$37:$K$67</c:f>
            </c:numRef>
          </c:cat>
          <c:val>
            <c:numRef>
              <c:f>'TMP(HMARehab)'!$L$37:$L$67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Alternatives Comparison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Summary!$C$3</c:f>
              <c:strCache>
                <c:ptCount val="1"/>
                <c:pt idx="0">
                  <c:v>Initial Construction</c:v>
                </c:pt>
              </c:strCache>
            </c:strRef>
          </c:tx>
          <c:spPr>
            <a:solidFill>
              <a:schemeClr val="accent2"/>
            </a:solidFill>
            <a:ln>
              <a:noFill/>
            </a:ln>
            <a:effectLst/>
          </c:spPr>
          <c:invertIfNegative val="0"/>
          <c:cat>
            <c:numRef>
              <c:f>Summary!$A$4:$A$7</c:f>
              <c:numCache>
                <c:formatCode>General</c:formatCode>
                <c:ptCount val="4"/>
              </c:numCache>
            </c:numRef>
          </c:cat>
          <c:val>
            <c:numRef>
              <c:f>Summary!$C$4:$C$7</c:f>
              <c:numCache>
                <c:formatCode>General</c:formatCode>
                <c:ptCount val="4"/>
              </c:numCache>
            </c:numRef>
          </c:val>
          <c:extLst>
            <c:ext xmlns:c16="http://schemas.microsoft.com/office/drawing/2014/chart" uri="{C3380CC4-5D6E-409C-BE32-E72D297353CC}">
              <c16:uniqueId val="{00000001-5F32-4499-8CF7-8A811910486F}"/>
            </c:ext>
          </c:extLst>
        </c:ser>
        <c:ser>
          <c:idx val="2"/>
          <c:order val="1"/>
          <c:tx>
            <c:strRef>
              <c:f>Summary!$D$3</c:f>
              <c:strCache>
                <c:ptCount val="1"/>
                <c:pt idx="0">
                  <c:v>Present Worth</c:v>
                </c:pt>
              </c:strCache>
            </c:strRef>
          </c:tx>
          <c:spPr>
            <a:solidFill>
              <a:schemeClr val="accent3"/>
            </a:solidFill>
            <a:ln>
              <a:noFill/>
            </a:ln>
            <a:effectLst/>
          </c:spPr>
          <c:invertIfNegative val="0"/>
          <c:cat>
            <c:numRef>
              <c:f>Summary!$A$4:$A$7</c:f>
              <c:numCache>
                <c:formatCode>General</c:formatCode>
                <c:ptCount val="4"/>
              </c:numCache>
            </c:numRef>
          </c:cat>
          <c:val>
            <c:numRef>
              <c:f>Summary!$D$4:$D$7</c:f>
              <c:numCache>
                <c:formatCode>General</c:formatCode>
                <c:ptCount val="4"/>
              </c:numCache>
            </c:numRef>
          </c:val>
          <c:extLst>
            <c:ext xmlns:c16="http://schemas.microsoft.com/office/drawing/2014/chart" uri="{C3380CC4-5D6E-409C-BE32-E72D297353CC}">
              <c16:uniqueId val="{00000002-5F32-4499-8CF7-8A811910486F}"/>
            </c:ext>
          </c:extLst>
        </c:ser>
        <c:dLbls>
          <c:showLegendKey val="0"/>
          <c:showVal val="0"/>
          <c:showCatName val="0"/>
          <c:showSerName val="0"/>
          <c:showPercent val="0"/>
          <c:showBubbleSize val="0"/>
        </c:dLbls>
        <c:gapWidth val="219"/>
        <c:overlap val="-27"/>
        <c:axId val="445294840"/>
        <c:axId val="445295168"/>
      </c:barChart>
      <c:catAx>
        <c:axId val="445294840"/>
        <c:scaling>
          <c:orientation val="minMax"/>
        </c:scaling>
        <c:delete val="0"/>
        <c:axPos val="b"/>
        <c:numFmt formatCode="General" sourceLinked="1"/>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5168"/>
        <c:crosses val="autoZero"/>
        <c:auto val="1"/>
        <c:lblAlgn val="ctr"/>
        <c:lblOffset val="100"/>
        <c:noMultiLvlLbl val="0"/>
      </c:catAx>
      <c:valAx>
        <c:axId val="4452951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4840"/>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hartSpace xmlns="http://schemas.openxmlformats.org/drawingml/2006/chart">
  <chart>
    <title>
      <tx>
        <rich>
          <a:bodyPr xmlns:a="http://schemas.openxmlformats.org/drawingml/2006/main"/>
          <a:p xmlns:a="http://schemas.openxmlformats.org/drawingml/2006/main">
            <a:pPr>
              <a:defRPr/>
            </a:pPr>
            <a:r>
              <a:t>1. Present worth by category (salvage below zero)</a:t>
            </a:r>
          </a:p>
        </rich>
      </tx>
    </title>
    <plotArea>
      <barChart>
        <barDir val="col"/>
        <grouping val="stacked"/>
        <ser>
          <idx val="0"/>
          <order val="0"/>
          <tx>
            <strRef>
              <f>'Summary'!W5</f>
            </strRef>
          </tx>
          <spPr>
            <a:solidFill xmlns:a="http://schemas.openxmlformats.org/drawingml/2006/main">
              <a:srgbClr val="4A4A4A"/>
            </a:solidFill>
            <a:ln xmlns:a="http://schemas.openxmlformats.org/drawingml/2006/main">
              <a:solidFill>
                <a:srgbClr val="4A4A4A"/>
              </a:solidFill>
              <a:prstDash val="solid"/>
            </a:ln>
          </spPr>
          <cat>
            <numRef>
              <f>'Summary'!$X$4:$AA$4</f>
            </numRef>
          </cat>
          <val>
            <numRef>
              <f>'Summary'!$X$5:$AA$5</f>
            </numRef>
          </val>
        </ser>
        <ser>
          <idx val="1"/>
          <order val="1"/>
          <tx>
            <strRef>
              <f>'Summary'!W6</f>
            </strRef>
          </tx>
          <spPr>
            <a:solidFill xmlns:a="http://schemas.openxmlformats.org/drawingml/2006/main">
              <a:srgbClr val="8C8C8C"/>
            </a:solidFill>
            <a:ln xmlns:a="http://schemas.openxmlformats.org/drawingml/2006/main">
              <a:solidFill>
                <a:srgbClr val="8C8C8C"/>
              </a:solidFill>
              <a:prstDash val="solid"/>
            </a:ln>
          </spPr>
          <cat>
            <numRef>
              <f>'Summary'!$X$4:$AA$4</f>
            </numRef>
          </cat>
          <val>
            <numRef>
              <f>'Summary'!$X$6:$AA$6</f>
            </numRef>
          </val>
        </ser>
        <ser>
          <idx val="2"/>
          <order val="2"/>
          <tx>
            <strRef>
              <f>'Summary'!W7</f>
            </strRef>
          </tx>
          <spPr>
            <a:solidFill xmlns:a="http://schemas.openxmlformats.org/drawingml/2006/main">
              <a:srgbClr val="646464"/>
            </a:solidFill>
            <a:ln xmlns:a="http://schemas.openxmlformats.org/drawingml/2006/main">
              <a:solidFill>
                <a:srgbClr val="646464"/>
              </a:solidFill>
              <a:prstDash val="solid"/>
            </a:ln>
          </spPr>
          <cat>
            <numRef>
              <f>'Summary'!$X$4:$AA$4</f>
            </numRef>
          </cat>
          <val>
            <numRef>
              <f>'Summary'!$X$7:$AA$7</f>
            </numRef>
          </val>
        </ser>
        <ser>
          <idx val="3"/>
          <order val="3"/>
          <tx>
            <strRef>
              <f>'Summary'!W8</f>
            </strRef>
          </tx>
          <spPr>
            <a:solidFill xmlns:a="http://schemas.openxmlformats.org/drawingml/2006/main">
              <a:srgbClr val="B8B6AE"/>
            </a:solidFill>
            <a:ln xmlns:a="http://schemas.openxmlformats.org/drawingml/2006/main">
              <a:solidFill>
                <a:srgbClr val="B8B6AE"/>
              </a:solidFill>
              <a:prstDash val="solid"/>
            </a:ln>
          </spPr>
          <cat>
            <numRef>
              <f>'Summary'!$X$4:$AA$4</f>
            </numRef>
          </cat>
          <val>
            <numRef>
              <f>'Summary'!$X$8:$AA$8</f>
            </numRef>
          </val>
        </ser>
        <ser>
          <idx val="4"/>
          <order val="4"/>
          <tx>
            <strRef>
              <f>'Summary'!W9</f>
            </strRef>
          </tx>
          <spPr>
            <a:solidFill xmlns:a="http://schemas.openxmlformats.org/drawingml/2006/main">
              <a:srgbClr val="DCDCDC"/>
            </a:solidFill>
            <a:ln xmlns:a="http://schemas.openxmlformats.org/drawingml/2006/main">
              <a:solidFill>
                <a:srgbClr val="DCDCDC"/>
              </a:solidFill>
              <a:prstDash val="solid"/>
            </a:ln>
          </spPr>
          <cat>
            <numRef>
              <f>'Summary'!$X$4:$AA$4</f>
            </numRef>
          </cat>
          <val>
            <numRef>
              <f>'Summary'!$X$9:$AA$9</f>
            </numRef>
          </val>
        </ser>
        <gapWidth val="60"/>
        <overlap val="100"/>
        <axId val="10"/>
        <axId val="100"/>
      </barChart>
      <catAx>
        <axId val="10"/>
        <scaling>
          <orientation val="minMax"/>
        </scaling>
        <delete val="0"/>
        <axPos val="l"/>
        <majorTickMark val="none"/>
        <minorTickMark val="none"/>
        <crossAx val="100"/>
        <lblOffset val="100"/>
      </catAx>
      <valAx>
        <axId val="100"/>
        <scaling>
          <orientation val="minMax"/>
        </scaling>
        <delete val="0"/>
        <axPos val="l"/>
        <numFmt formatCode="$#,##0,,&quot;M&quot;" sourceLinked="0"/>
        <majorTickMark val="none"/>
        <minorTickMark val="none"/>
        <crossAx val="10"/>
      </valAx>
    </plotArea>
    <legend>
      <legendPos val="b"/>
    </legend>
    <plotVisOnly val="1"/>
    <dispBlanksAs val="gap"/>
  </chart>
</chartSpace>
</file>

<file path=xl/charts/chart8.xml><?xml version="1.0" encoding="utf-8"?>
<chartSpace xmlns="http://schemas.openxmlformats.org/drawingml/2006/chart">
  <chart>
    <title>
      <tx>
        <rich>
          <a:bodyPr xmlns:a="http://schemas.openxmlformats.org/drawingml/2006/main"/>
          <a:p xmlns:a="http://schemas.openxmlformats.org/drawingml/2006/main">
            <a:pPr>
              <a:defRPr/>
            </a:pPr>
            <a:r>
              <a:t>2. Net present worth vs. discount rate (TDOT 3%, FAA AIP 7%)</a:t>
            </a:r>
          </a:p>
        </rich>
      </tx>
    </title>
    <plotArea>
      <lineChart>
        <grouping val="standard"/>
        <ser>
          <idx val="0"/>
          <order val="0"/>
          <tx>
            <strRef>
              <f>'Summary'!X11</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'Summary'!$W$12:$W$36</f>
            </numRef>
          </cat>
          <val>
            <numRef>
              <f>'Summary'!$X$12:$X$36</f>
            </numRef>
          </val>
          <smooth val="0"/>
        </ser>
        <ser>
          <idx val="1"/>
          <order val="1"/>
          <tx>
            <strRef>
              <f>'Summary'!Y11</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'Summary'!$W$12:$W$36</f>
            </numRef>
          </cat>
          <val>
            <numRef>
              <f>'Summary'!$Y$12:$Y$36</f>
            </numRef>
          </val>
          <smooth val="0"/>
        </ser>
        <ser>
          <idx val="2"/>
          <order val="2"/>
          <tx>
            <strRef>
              <f>'Summary'!Z11</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'Summary'!$W$12:$W$36</f>
            </numRef>
          </cat>
          <val>
            <numRef>
              <f>'Summary'!$Z$12:$Z$36</f>
            </numRef>
          </val>
          <smooth val="0"/>
        </ser>
        <ser>
          <idx val="3"/>
          <order val="3"/>
          <tx>
            <strRef>
              <f>'Summary'!AA11</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'Summary'!$W$12:$W$36</f>
            </numRef>
          </cat>
          <val>
            <numRef>
              <f>'Summary'!$AA$12:$AA$36</f>
            </numRef>
          </val>
          <smooth val="0"/>
        </ser>
        <axId val="10"/>
        <axId val="100"/>
      </lineChart>
      <catAx>
        <axId val="10"/>
        <scaling>
          <orientation val="minMax"/>
        </scaling>
        <delete val="0"/>
        <axPos val="l"/>
        <numFmt formatCode="0.00" sourceLinked="0"/>
        <majorTickMark val="none"/>
        <minorTickMark val="none"/>
        <crossAx val="100"/>
        <lblOffset val="100"/>
        <tickLblSkip val="4"/>
      </catAx>
      <valAx>
        <axId val="100"/>
        <scaling>
          <orientation val="minMax"/>
        </scaling>
        <delete val="0"/>
        <axPos val="l"/>
        <numFmt formatCode="$#,##0,,&quot;M&quot;" sourceLinked="0"/>
        <majorTickMark val="none"/>
        <minorTickMark val="none"/>
        <crossAx val="10"/>
      </valAx>
    </plotArea>
    <legend>
      <legendPos val="b"/>
    </legend>
    <plotVisOnly val="1"/>
    <dispBlanksAs val="gap"/>
  </chart>
</chartSpace>
</file>

<file path=xl/charts/chart9.xml><?xml version="1.0" encoding="utf-8"?>
<chartSpace xmlns="http://schemas.openxmlformats.org/drawingml/2006/chart">
  <chart>
    <title>
      <tx>
        <rich>
          <a:bodyPr xmlns:a="http://schemas.openxmlformats.org/drawingml/2006/main"/>
          <a:p xmlns:a="http://schemas.openxmlformats.org/drawingml/2006/main">
            <a:pPr>
              <a:defRPr/>
            </a:pPr>
            <a:r>
              <a:t>3. Expenditure stream by calendar year (undiscounted)</a:t>
            </a:r>
          </a:p>
        </rich>
      </tx>
    </title>
    <plotArea>
      <barChart>
        <barDir val="col"/>
        <grouping val="clustered"/>
        <ser>
          <idx val="0"/>
          <order val="0"/>
          <tx>
            <strRef>
              <f>'Summary'!Y40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'Summary'!$Y$41:$Y$71</f>
            </numRef>
          </val>
        </ser>
        <ser>
          <idx val="1"/>
          <order val="1"/>
          <tx>
            <strRef>
              <f>'Summary'!Z40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'Summary'!$Z$41:$Z$71</f>
            </numRef>
          </val>
        </ser>
        <ser>
          <idx val="2"/>
          <order val="2"/>
          <tx>
            <strRef>
              <f>'Summary'!AA40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'Summary'!$AA$41:$AA$71</f>
            </numRef>
          </val>
        </ser>
        <ser>
          <idx val="3"/>
          <order val="3"/>
          <tx>
            <strRef>
              <f>'Summary'!AB40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'Summary'!$AB$41:$AB$71</f>
            </numRef>
          </val>
        </ser>
        <gapWidth val="40"/>
        <axId val="10"/>
        <axId val="100"/>
      </barChart>
      <catAx>
        <axId val="10"/>
        <scaling>
          <orientation val="minMax"/>
        </scaling>
        <delete val="0"/>
        <axPos val="l"/>
        <majorTickMark val="none"/>
        <minorTickMark val="none"/>
        <crossAx val="100"/>
        <lblOffset val="100"/>
        <tickLblSkip val="5"/>
      </catAx>
      <valAx>
        <axId val="100"/>
        <scaling>
          <orientation val="minMax"/>
        </scaling>
        <delete val="0"/>
        <axPos val="l"/>
        <numFmt formatCode="$#,##0,,&quot;M&quot;" sourceLinked="0"/>
        <majorTickMark val="none"/>
        <minorTickMark val="none"/>
        <crossAx val="10"/>
      </valAx>
    </plotArea>
    <legend>
      <legendPos val="b"/>
    </legend>
    <plotVisOnly val="1"/>
    <dispBlanksAs val="gap"/>
  </chart>
</chartSpace>
</file>

<file path=xl/charts/chart10.xml><?xml version="1.0" encoding="utf-8"?>
<chartSpace xmlns="http://schemas.openxmlformats.org/drawingml/2006/chart">
  <chart>
    <title>
      <tx>
        <rich>
          <a:bodyPr xmlns:a="http://schemas.openxmlformats.org/drawingml/2006/main"/>
          <a:p xmlns:a="http://schemas.openxmlformats.org/drawingml/2006/main">
            <a:pPr>
              <a:defRPr/>
            </a:pPr>
            <a:r>
              <a:t>4. Cumulative discounted cost</a:t>
            </a:r>
          </a:p>
        </rich>
      </tx>
    </title>
    <plotArea>
      <lineChart>
        <grouping val="standard"/>
        <ser>
          <idx val="0"/>
          <order val="0"/>
          <tx>
            <strRef>
              <f>'Summary'!AC40</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'Summary'!$X$41:$X$71</f>
            </numRef>
          </cat>
          <val>
            <numRef>
              <f>'Summary'!$AC$41:$AC$71</f>
            </numRef>
          </val>
          <smooth val="0"/>
        </ser>
        <ser>
          <idx val="1"/>
          <order val="1"/>
          <tx>
            <strRef>
              <f>'Summary'!AD40</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'Summary'!$X$41:$X$71</f>
            </numRef>
          </cat>
          <val>
            <numRef>
              <f>'Summary'!$AD$41:$AD$71</f>
            </numRef>
          </val>
          <smooth val="0"/>
        </ser>
        <ser>
          <idx val="2"/>
          <order val="2"/>
          <tx>
            <strRef>
              <f>'Summary'!AE40</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'Summary'!$X$41:$X$71</f>
            </numRef>
          </cat>
          <val>
            <numRef>
              <f>'Summary'!$AE$41:$AE$71</f>
            </numRef>
          </val>
          <smooth val="0"/>
        </ser>
        <ser>
          <idx val="3"/>
          <order val="3"/>
          <tx>
            <strRef>
              <f>'Summary'!AF40</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'Summary'!$X$41:$X$71</f>
            </numRef>
          </cat>
          <val>
            <numRef>
              <f>'Summary'!$AF$41:$AF$71</f>
            </numRef>
          </val>
          <smooth val="0"/>
        </ser>
        <axId val="10"/>
        <axId val="100"/>
      </lineChart>
      <catAx>
        <axId val="10"/>
        <scaling>
          <orientation val="minMax"/>
        </scaling>
        <delete val="0"/>
        <axPos val="l"/>
        <majorTickMark val="none"/>
        <minorTickMark val="none"/>
        <crossAx val="100"/>
        <lblOffset val="100"/>
        <tickLblSkip val="5"/>
      </catAx>
      <valAx>
        <axId val="100"/>
        <scaling>
          <orientation val="minMax"/>
        </scaling>
        <delete val="0"/>
        <axPos val="l"/>
        <numFmt formatCode="$#,##0,,&quot;M&quot;" sourceLinked="0"/>
        <majorTickMark val="none"/>
        <minorTickMark val="none"/>
        <crossAx val="10"/>
      </valAx>
    </plotArea>
    <legend>
      <legendPos val="b"/>
    </legend>
    <plotVisOnly val="1"/>
    <dispBlanksAs val="gap"/>
  </chart>
</chartSpace>
</file>

<file path=xl/charts/chart11.xml><?xml version="1.0" encoding="utf-8"?>
<chartSpace xmlns="http://schemas.openxmlformats.org/drawingml/2006/chart">
  <chart>
    <title>
      <tx>
        <rich>
          <a:bodyPr xmlns:a="http://schemas.openxmlformats.org/drawingml/2006/main"/>
          <a:p xmlns:a="http://schemas.openxmlformats.org/drawingml/2006/main">
            <a:pPr>
              <a:defRPr/>
            </a:pPr>
            <a:r>
              <a:t>5. Runway closure days by calendar year</a:t>
            </a:r>
          </a:p>
        </rich>
      </tx>
    </title>
    <plotArea>
      <barChart>
        <barDir val="col"/>
        <grouping val="clustered"/>
        <ser>
          <idx val="0"/>
          <order val="0"/>
          <tx>
            <strRef>
              <f>'Summary'!AG40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'Summary'!$AG$41:$AG$71</f>
            </numRef>
          </val>
        </ser>
        <ser>
          <idx val="1"/>
          <order val="1"/>
          <tx>
            <strRef>
              <f>'Summary'!AH40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'Summary'!$AH$41:$AH$71</f>
            </numRef>
          </val>
        </ser>
        <ser>
          <idx val="2"/>
          <order val="2"/>
          <tx>
            <strRef>
              <f>'Summary'!AI40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'Summary'!$AI$41:$AI$71</f>
            </numRef>
          </val>
        </ser>
        <ser>
          <idx val="3"/>
          <order val="3"/>
          <tx>
            <strRef>
              <f>'Summary'!AJ40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'Summary'!$AJ$41:$AJ$71</f>
            </numRef>
          </val>
        </ser>
        <gapWidth val="40"/>
        <axId val="10"/>
        <axId val="100"/>
      </barChart>
      <catAx>
        <axId val="10"/>
        <scaling>
          <orientation val="minMax"/>
        </scaling>
        <delete val="0"/>
        <axPos val="l"/>
        <majorTickMark val="none"/>
        <minorTickMark val="none"/>
        <crossAx val="100"/>
        <lblOffset val="100"/>
        <tickLblSkip val="5"/>
      </catAx>
      <valAx>
        <axId val="100"/>
        <scaling>
          <orientation val="minMax"/>
        </scaling>
        <delete val="0"/>
        <axPos val="l"/>
        <numFmt formatCode="0" sourceLinked="0"/>
        <majorTickMark val="none"/>
        <minorTickMark val="none"/>
        <crossAx val="10"/>
      </valAx>
    </plotArea>
    <legend>
      <legendPos val="b"/>
    </legend>
    <plotVisOnly val="1"/>
    <dispBlanksAs val="gap"/>
  </chart>
</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 Id="rId2" Type="http://schemas.openxmlformats.org/officeDocument/2006/relationships/chart" Target="../charts/chart7.xml"/><Relationship Id="rId3" Type="http://schemas.openxmlformats.org/officeDocument/2006/relationships/chart" Target="../charts/chart8.xml"/><Relationship Id="rId4" Type="http://schemas.openxmlformats.org/officeDocument/2006/relationships/chart" Target="../charts/chart9.xml"/><Relationship Id="rId5" Type="http://schemas.openxmlformats.org/officeDocument/2006/relationships/chart" Target="../charts/chart10.xml"/><Relationship Id="rId6" Type="http://schemas.openxmlformats.org/officeDocument/2006/relationships/chart" Target="../charts/chart1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1.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7.emf"/><Relationship Id="rId13" Type="http://schemas.openxmlformats.org/officeDocument/2006/relationships/image" Target="../media/image9.emf"/><Relationship Id="rId3" Type="http://schemas.openxmlformats.org/officeDocument/2006/relationships/image" Target="../media/image6.emf"/><Relationship Id="rId7" Type="http://schemas.openxmlformats.org/officeDocument/2006/relationships/image" Target="../media/image18.emf"/><Relationship Id="rId12" Type="http://schemas.openxmlformats.org/officeDocument/2006/relationships/image" Target="../media/image14.emf"/><Relationship Id="rId2" Type="http://schemas.openxmlformats.org/officeDocument/2006/relationships/image" Target="../media/image1.emf"/><Relationship Id="rId1" Type="http://schemas.openxmlformats.org/officeDocument/2006/relationships/image" Target="../media/image7.emf"/><Relationship Id="rId6" Type="http://schemas.openxmlformats.org/officeDocument/2006/relationships/image" Target="../media/image13.emf"/><Relationship Id="rId11" Type="http://schemas.openxmlformats.org/officeDocument/2006/relationships/image" Target="../media/image15.emf"/><Relationship Id="rId5" Type="http://schemas.openxmlformats.org/officeDocument/2006/relationships/image" Target="../media/image11.emf"/><Relationship Id="rId10" Type="http://schemas.openxmlformats.org/officeDocument/2006/relationships/image" Target="../media/image10.emf"/><Relationship Id="rId4" Type="http://schemas.openxmlformats.org/officeDocument/2006/relationships/image" Target="../media/image12.emf"/><Relationship Id="rId9" Type="http://schemas.openxmlformats.org/officeDocument/2006/relationships/image" Target="../media/image16.emf"/><Relationship Id="rId14" Type="http://schemas.openxmlformats.org/officeDocument/2006/relationships/image" Target="../media/image8.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3.emf"/><Relationship Id="rId7" Type="http://schemas.openxmlformats.org/officeDocument/2006/relationships/image" Target="../media/image22.emf"/><Relationship Id="rId12" Type="http://schemas.openxmlformats.org/officeDocument/2006/relationships/image" Target="../media/image2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30.emf"/><Relationship Id="rId13" Type="http://schemas.openxmlformats.org/officeDocument/2006/relationships/image" Target="../media/image32.emf"/><Relationship Id="rId3" Type="http://schemas.openxmlformats.org/officeDocument/2006/relationships/image" Target="../media/image9.emf"/><Relationship Id="rId7" Type="http://schemas.openxmlformats.org/officeDocument/2006/relationships/image" Target="../media/image29.emf"/><Relationship Id="rId12" Type="http://schemas.openxmlformats.org/officeDocument/2006/relationships/image" Target="../media/image33.emf"/><Relationship Id="rId2" Type="http://schemas.openxmlformats.org/officeDocument/2006/relationships/image" Target="../media/image6.emf"/><Relationship Id="rId1" Type="http://schemas.openxmlformats.org/officeDocument/2006/relationships/image" Target="../media/image37.emf"/><Relationship Id="rId6" Type="http://schemas.openxmlformats.org/officeDocument/2006/relationships/image" Target="../media/image28.emf"/><Relationship Id="rId11" Type="http://schemas.openxmlformats.org/officeDocument/2006/relationships/image" Target="../media/image34.emf"/><Relationship Id="rId5" Type="http://schemas.openxmlformats.org/officeDocument/2006/relationships/image" Target="../media/image31.emf"/><Relationship Id="rId10" Type="http://schemas.openxmlformats.org/officeDocument/2006/relationships/image" Target="../media/image35.emf"/><Relationship Id="rId4" Type="http://schemas.openxmlformats.org/officeDocument/2006/relationships/image" Target="../media/image8.emf"/><Relationship Id="rId9" Type="http://schemas.openxmlformats.org/officeDocument/2006/relationships/image" Target="../media/image3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17</xdr:row>
          <xdr:rowOff>0</xdr:rowOff>
        </xdr:to>
        <xdr:sp macro="" textlink="">
          <xdr:nvSpPr>
            <xdr:cNvPr id="43009" name="ComboBox9"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0</xdr:colOff>
          <xdr:row>13</xdr:row>
          <xdr:rowOff>0</xdr:rowOff>
        </xdr:to>
        <xdr:sp macro="" textlink="">
          <xdr:nvSpPr>
            <xdr:cNvPr id="43010" name="ComboBox10"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14</xdr:row>
          <xdr:rowOff>0</xdr:rowOff>
        </xdr:to>
        <xdr:sp macro="" textlink="">
          <xdr:nvSpPr>
            <xdr:cNvPr id="43011" name="ComboBox11"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15</xdr:row>
          <xdr:rowOff>0</xdr:rowOff>
        </xdr:to>
        <xdr:sp macro="" textlink="">
          <xdr:nvSpPr>
            <xdr:cNvPr id="43012" name="ComboBox12"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16</xdr:row>
          <xdr:rowOff>0</xdr:rowOff>
        </xdr:to>
        <xdr:sp macro="" textlink="">
          <xdr:nvSpPr>
            <xdr:cNvPr id="43013" name="ComboBox13"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43014" name="ComboBox14"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43015" name="ComboBox15"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43016" name="ComboBox16"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44</xdr:row>
      <xdr:rowOff>0</xdr:rowOff>
    </xdr:from>
    <xdr:to>
      <xdr:col>4</xdr:col>
      <xdr:colOff>1920875</xdr:colOff>
      <xdr:row>63</xdr:row>
      <xdr:rowOff>104775</xdr:rowOff>
    </xdr:to>
    <xdr:graphicFrame macro="">
      <xdr:nvGraphicFramePr>
        <xdr:cNvPr id="2" name="Chart 1">
          <a:extLst>
            <a:ext uri="{FF2B5EF4-FFF2-40B4-BE49-F238E27FC236}">
              <a16:creationId xmlns:a16="http://schemas.microsoft.com/office/drawing/2014/main" id="{C432978B-62FD-4EE9-8B20-7E6EE7E6D1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43017" name="ComboBox18"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43018" name="ComboBox2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6350</xdr:colOff>
      <xdr:row>1</xdr:row>
      <xdr:rowOff>6350</xdr:rowOff>
    </xdr:from>
    <xdr:to>
      <xdr:col>4</xdr:col>
      <xdr:colOff>2540</xdr:colOff>
      <xdr:row>6</xdr:row>
      <xdr:rowOff>8255</xdr:rowOff>
    </xdr:to>
    <xdr:pic>
      <xdr:nvPicPr>
        <xdr:cNvPr id="2" name="Picture 1">
          <a:extLst>
            <a:ext uri="{FF2B5EF4-FFF2-40B4-BE49-F238E27FC236}">
              <a16:creationId xmlns:a16="http://schemas.microsoft.com/office/drawing/2014/main" id="{00000000-0008-0000-00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0710" y="173990"/>
          <a:ext cx="1779270" cy="838200"/>
        </a:xfrm>
        <a:prstGeom prst="rect">
          <a:avLst/>
        </a:prstGeom>
        <a:solidFill>
          <a:schemeClr val="bg1"/>
        </a:solidFill>
        <a:ln>
          <a:noFill/>
        </a:ln>
      </xdr:spPr>
    </xdr:pic>
    <xdr:clientData/>
  </xdr:twoCellAnchor>
  <xdr:twoCellAnchor>
    <xdr:from>
      <xdr:col>1</xdr:col>
      <xdr:colOff>6350</xdr:colOff>
      <xdr:row>9</xdr:row>
      <xdr:rowOff>12699</xdr:rowOff>
    </xdr:from>
    <xdr:to>
      <xdr:col>13</xdr:col>
      <xdr:colOff>6350</xdr:colOff>
      <xdr:row>49</xdr:row>
      <xdr:rowOff>95250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587375" y="1498599"/>
          <a:ext cx="6972300" cy="65595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The Tennessee Department of Transportation Aeronautics Division (Aeronautics) has sponsored the development of an analytical framework that can be used by Aeronautics and its consultants to complete a reasonable life-cycle cost analysis (LCCA) of pavement rehabilitation alternatives. LCCA can be a valuable tool for comparing alternatives of varying costs and service lives. The use of a LCCA methodology helps to shift the focus in project selection away from alternatives with the lowest initial costs and toward those which have the lowest costs over the life of the pavement. This workbook assists in the development of life-cycle cost estimates for TN airport pavement reconstruction projects to assist with pavement type selection. It is not to be considered a complete Engineer's Estimate of Probable Costs.</a:t>
          </a:r>
          <a:endParaRPr lang="en-US">
            <a:effectLst/>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Applied Pavement Technology, Inc. (APTech) has worked with Aeronautics to develop this LCCA framework to compare feasible reconstruction alternatives to assist with evaluating the most cost-effective options. The developed LCCA framework considers the guidelines provided in the Airfield Asphalt Pavement Technology Program’s </a:t>
          </a:r>
          <a:r>
            <a:rPr lang="en-US" sz="1100" i="1">
              <a:solidFill>
                <a:schemeClr val="dk1"/>
              </a:solidFill>
              <a:effectLst/>
              <a:latin typeface="+mn-lt"/>
              <a:ea typeface="+mn-ea"/>
              <a:cs typeface="+mn-cs"/>
            </a:rPr>
            <a:t>Life Cycle Cost Analysis for Airport Pavements</a:t>
          </a:r>
          <a:r>
            <a:rPr lang="en-US" sz="1100">
              <a:solidFill>
                <a:schemeClr val="dk1"/>
              </a:solidFill>
              <a:effectLst/>
              <a:latin typeface="+mn-lt"/>
              <a:ea typeface="+mn-ea"/>
              <a:cs typeface="+mn-cs"/>
            </a:rPr>
            <a:t> study (AAPTP Project 06-06) and Federal Aviation Adminimstration (FAA) guidance in Advisory Circular 150/5320-6G</a:t>
          </a:r>
          <a:r>
            <a:rPr lang="en-US" sz="1100" baseline="0">
              <a:solidFill>
                <a:schemeClr val="dk1"/>
              </a:solidFill>
              <a:effectLst/>
              <a:latin typeface="+mn-lt"/>
              <a:ea typeface="+mn-ea"/>
              <a:cs typeface="+mn-cs"/>
            </a:rPr>
            <a:t> (at the time of this release)</a:t>
          </a:r>
          <a:r>
            <a:rPr lang="en-US" sz="1100">
              <a:solidFill>
                <a:schemeClr val="dk1"/>
              </a:solidFill>
              <a:effectLst/>
              <a:latin typeface="+mn-lt"/>
              <a:ea typeface="+mn-ea"/>
              <a:cs typeface="+mn-cs"/>
            </a:rPr>
            <a:t>, </a:t>
          </a:r>
          <a:r>
            <a:rPr lang="en-US" sz="1100" i="1">
              <a:solidFill>
                <a:schemeClr val="dk1"/>
              </a:solidFill>
              <a:effectLst/>
              <a:latin typeface="+mn-lt"/>
              <a:ea typeface="+mn-ea"/>
              <a:cs typeface="+mn-cs"/>
            </a:rPr>
            <a:t>Airport Pavement Design and Evaluation</a:t>
          </a:r>
          <a:r>
            <a:rPr lang="en-US" sz="1100">
              <a:solidFill>
                <a:schemeClr val="dk1"/>
              </a:solidFill>
              <a:effectLst/>
              <a:latin typeface="+mn-lt"/>
              <a:ea typeface="+mn-ea"/>
              <a:cs typeface="+mn-cs"/>
            </a:rPr>
            <a:t>. The developed framework considers construction (or initial) costs, future maintenance activities and their costs, intermediate rehabilitation activities and associated costs, salvage value and loss of daily operation revenue associated with pavement clossures to generate a Present Value for the alternatives.</a:t>
          </a:r>
        </a:p>
        <a:p>
          <a:endParaRPr lang="en-US">
            <a:effectLst/>
          </a:endParaRPr>
        </a:p>
        <a:p>
          <a:r>
            <a:rPr lang="en-US" sz="1100" baseline="0">
              <a:solidFill>
                <a:schemeClr val="dk1"/>
              </a:solidFill>
              <a:effectLst/>
              <a:latin typeface="+mn-lt"/>
              <a:ea typeface="+mn-ea"/>
              <a:cs typeface="+mn-cs"/>
            </a:rPr>
            <a:t>Maintenance policies and timing have been based on analysis of data collected as part of the Tennessee Statewide Pavement Management Program (PMP) and annual maintenance program. As pavement performance data continues to be collected through the PMP, policies will be revisited. Pavement closure associated loss of revenue is accounted for as indirect cost of alternatives. The analysis period has been set to 30 years based on reviewed TN PMP and nationwide data.</a:t>
          </a:r>
        </a:p>
        <a:p>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Depending on the durations maintenance activities, the framework has been</a:t>
          </a:r>
          <a:r>
            <a:rPr lang="en-US" sz="1100" baseline="0">
              <a:solidFill>
                <a:schemeClr val="dk1"/>
              </a:solidFill>
              <a:effectLst/>
              <a:latin typeface="+mn-lt"/>
              <a:ea typeface="+mn-ea"/>
              <a:cs typeface="+mn-cs"/>
            </a:rPr>
            <a:t> updated to account for l</a:t>
          </a:r>
          <a:r>
            <a:rPr lang="en-US" sz="1100">
              <a:solidFill>
                <a:schemeClr val="dk1"/>
              </a:solidFill>
              <a:effectLst/>
              <a:latin typeface="+mn-lt"/>
              <a:ea typeface="+mn-ea"/>
              <a:cs typeface="+mn-cs"/>
            </a:rPr>
            <a:t>ost revenue</a:t>
          </a:r>
          <a:r>
            <a:rPr lang="en-US" sz="1100" baseline="0">
              <a:solidFill>
                <a:schemeClr val="dk1"/>
              </a:solidFill>
              <a:effectLst/>
              <a:latin typeface="+mn-lt"/>
              <a:ea typeface="+mn-ea"/>
              <a:cs typeface="+mn-cs"/>
            </a:rPr>
            <a:t> associeted with limited facility uses or closures to implement repairs and rehabilitation.</a:t>
          </a:r>
          <a:endParaRPr lang="en-US">
            <a:effectLst/>
          </a:endParaRPr>
        </a:p>
        <a:p>
          <a:endParaRPr lang="en-US">
            <a:effectLst/>
          </a:endParaRPr>
        </a:p>
        <a:p>
          <a:r>
            <a:rPr lang="en-US" sz="1100" baseline="0">
              <a:solidFill>
                <a:schemeClr val="dk1"/>
              </a:solidFill>
              <a:effectLst/>
              <a:latin typeface="+mn-lt"/>
              <a:ea typeface="+mn-ea"/>
              <a:cs typeface="+mn-cs"/>
            </a:rPr>
            <a:t>Salvage value for the pavement alternatives is based on the assumed remaining life as a percentage of construction cost. Residual value, the monetary calculation of the worth of the existing pavement at the end of the service life, while certainly adding value to recycling pavement materials at the end of their life, there are enough uncertainties associated with the suitability of the material for reuse, the future demand for the recycled material, and the costs associated with recycling the materials that residual value is not used in these calculations.</a:t>
          </a:r>
          <a:r>
            <a:rPr lang="en-US" sz="1100" b="1" baseline="0">
              <a:solidFill>
                <a:srgbClr val="FF0000"/>
              </a:solidFill>
              <a:effectLst/>
              <a:latin typeface="+mn-lt"/>
              <a:ea typeface="+mn-ea"/>
              <a:cs typeface="+mn-cs"/>
            </a:rPr>
            <a:t> </a:t>
          </a:r>
        </a:p>
        <a:p>
          <a:r>
            <a:rPr lang="en-US" baseline="0">
              <a:effectLst/>
            </a:rPr>
            <a:t> </a:t>
          </a:r>
          <a:endParaRPr lang="en-US">
            <a:effectLst/>
          </a:endParaRPr>
        </a:p>
        <a:p>
          <a:r>
            <a:rPr lang="en-US" sz="1100" baseline="0">
              <a:solidFill>
                <a:schemeClr val="dk1"/>
              </a:solidFill>
              <a:effectLst/>
              <a:latin typeface="+mn-lt"/>
              <a:ea typeface="+mn-ea"/>
              <a:cs typeface="+mn-cs"/>
            </a:rPr>
            <a:t>Additional analysis inputs include discount rate and contingency fees (mobilization and engineering). These have been established by Aeronautics and should only be revised after discussion with Aeronautics.</a:t>
          </a:r>
        </a:p>
        <a:p>
          <a:endParaRPr lang="en-US">
            <a:effectLst/>
          </a:endParaRPr>
        </a:p>
        <a:p>
          <a:r>
            <a:rPr lang="en-US" sz="1100" baseline="0">
              <a:solidFill>
                <a:schemeClr val="dk1"/>
              </a:solidFill>
              <a:effectLst/>
              <a:latin typeface="+mn-lt"/>
              <a:ea typeface="+mn-ea"/>
              <a:cs typeface="+mn-cs"/>
            </a:rPr>
            <a:t>If interested in the full report produced as part of developing this LCCA framework, contact Aeronautics.</a:t>
          </a:r>
          <a:endParaRPr lang="en-US">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6350</xdr:colOff>
      <xdr:row>1</xdr:row>
      <xdr:rowOff>6350</xdr:rowOff>
    </xdr:from>
    <xdr:to>
      <xdr:col>4</xdr:col>
      <xdr:colOff>2540</xdr:colOff>
      <xdr:row>6</xdr:row>
      <xdr:rowOff>6350</xdr:rowOff>
    </xdr:to>
    <xdr:pic>
      <xdr:nvPicPr>
        <xdr:cNvPr id="2" name="Picture 1">
          <a:extLst>
            <a:ext uri="{FF2B5EF4-FFF2-40B4-BE49-F238E27FC236}">
              <a16:creationId xmlns:a16="http://schemas.microsoft.com/office/drawing/2014/main" id="{00000000-0008-0000-01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0710" y="173990"/>
          <a:ext cx="1779270" cy="838200"/>
        </a:xfrm>
        <a:prstGeom prst="rect">
          <a:avLst/>
        </a:prstGeom>
        <a:solidFill>
          <a:schemeClr val="bg1"/>
        </a:solidFill>
        <a:ln>
          <a:noFill/>
        </a:ln>
      </xdr:spPr>
    </xdr:pic>
    <xdr:clientData/>
  </xdr:twoCellAnchor>
  <xdr:twoCellAnchor>
    <xdr:from>
      <xdr:col>1</xdr:col>
      <xdr:colOff>0</xdr:colOff>
      <xdr:row>9</xdr:row>
      <xdr:rowOff>0</xdr:rowOff>
    </xdr:from>
    <xdr:to>
      <xdr:col>13</xdr:col>
      <xdr:colOff>361950</xdr:colOff>
      <xdr:row>59</xdr:row>
      <xdr:rowOff>114300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581025" y="1457325"/>
          <a:ext cx="7334250" cy="8210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dk1"/>
              </a:solidFill>
              <a:effectLst/>
              <a:latin typeface="+mn-lt"/>
              <a:ea typeface="+mn-ea"/>
              <a:cs typeface="+mn-cs"/>
            </a:rPr>
            <a:t>This workbook has been set up to automate maintenance cost calculations so as to expedite the overall preparation of life-cycle cost analyses for Aeronautics’ review. This workbook contains privileged information and is intended for use only by consultants authorized by Aeronautics.</a:t>
          </a:r>
        </a:p>
        <a:p>
          <a:endParaRPr lang="en-US">
            <a:effectLst/>
          </a:endParaRPr>
        </a:p>
        <a:p>
          <a:r>
            <a:rPr lang="en-US" sz="1100" baseline="0">
              <a:solidFill>
                <a:schemeClr val="dk1"/>
              </a:solidFill>
              <a:effectLst/>
              <a:latin typeface="+mn-lt"/>
              <a:ea typeface="+mn-ea"/>
              <a:cs typeface="+mn-cs"/>
            </a:rPr>
            <a:t>The use of the workbook is fairly straightforward, and the user should be able to easily work their way through the development of a life-cycle cost estimate. Excluding this "Instructions" worksheet and "Overview" worksheet, the workbook initially contains four worksheets: "General Information," "Pay Items," "Maintenance Policies," and "Summary." The Pay Items and Maintenance Policies worksheets are for reference only and should only be altered after discussion with Aeronautics. From the General Information worksheet, additional worksheets for anticipated reconstruction alternatives are created.</a:t>
          </a:r>
        </a:p>
        <a:p>
          <a:endParaRPr lang="en-US">
            <a:effectLst/>
          </a:endParaRPr>
        </a:p>
        <a:p>
          <a:r>
            <a:rPr lang="en-US" sz="1100" baseline="0">
              <a:solidFill>
                <a:schemeClr val="dk1"/>
              </a:solidFill>
              <a:effectLst/>
              <a:latin typeface="+mn-lt"/>
              <a:ea typeface="+mn-ea"/>
              <a:cs typeface="+mn-cs"/>
            </a:rPr>
            <a:t>The following step-by-step procedures are provided to assist in using the workbook and in understanding how the series of worksheets fit together. Be sure to follow these directions in the logical, step-by-step fashion to avoid problems. Also, don't use the cut and paste feature as this can write over any functions, commands, or equations. Make sure to “Enable Content” in Excel when the file is opened so that functions work properly. There have also been issues with functions running properly when multiple monitors are in use. Opening the file in the main monitor should correct function issue, if they occur. If Excel shows a yellow bar reading "BLOCKED CONTENT: The ActiveX content in this file is blocked", go to File &gt; Options &gt; Trust Center &gt; Trust Center Settings &gt; ActiveX Settings, select "Prompt me before enabling all controls with minimal restrictions", click OK, then close and reopen Excel. If that setting is greyed out, ask your IT department to allow ActiveX for this file.</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Note: Throughout the workbook, cells that require user-supplied inputs are indicated in grey shading. Most other cells are calculated or auto-filled (and should not be modified by users).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1. Go to the "General Information" worksheet and enter in the relevant items in cells D9 through D39.  This is general information (such as project airport, branch information, pavement area, and so on) that is needed to identify the project and complete the cost computations. Ensure the appropriate selection is made in cell D38.</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2. Still in the "General Information" worksheet, click on the “Alternative Setup” button at the bottom of the information list. A separate form will pop up for adding alternatives. The pop-up window includes the list of available alternatives for this LCCA. Select which alternatives will be used, update details and description, if desired, and click on “Add.” The form can also be used to "Copy" or "Delete" alternatives. Alternatives can also be reorganized using the buttons at the bottom of the form. Once completed, click “Close” and a worksheet for each alternative will be created. A "Summary" worksheet is also populated as alternatives are completed.</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3. Modify existing Pay Items, or insert new items in Table2 in the Pay_Items worksheet as needed. Note that this LCCA is intended for paving items only and does not include other items, such as electrical, drainage, and so on. </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4. To include lost airport revenue during runway closures, set cell D38 on the "General Information" worksheet to Yes before creating alternatives. The average daily revenue for the selected airport is pulled automatically from the hidden RevenueData worksheet, which covers the 17 airports meeting Aeronautics' activity criteria (cell D39 shows the value). If the airport is not in that list, D39 reads "Missing Airport Revenue", lost revenue is carried as $0, and a warning appears on each alternative worksheet; contact Aeronautics to add revenue data. To view the hidden worksheet: Home &gt; Format &gt; Hide &amp; Unhide &gt; Unhide Sheet.</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5. Go to the worksheet for each alternative included in the LCCA and fill in cells C4 through C8, and F4 through F10 (for analyses accounting for indirect costs). Select the appropriate pay items in cells C13 through C22 for the alternative (only select the cells you need; leave extra cells blank). Enter the quantities for each selected pay item in cells E13 through E22. Closure durations in cells F4 through F10 are pre-filled from production-rate defaults (surface treatment 15,000 SY/day, mill and overlay 3,800 SY/day, PCC joint and slab work) and may be overridden with project-specific values.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6. Once the pay items and quantities have been filled in, the Net Present Worth (NPW) table and summary graph below the pay items should be automatically filled in for the alternative. The “Summary” worksheet will also automatically fill with alternative costs as the individual alternative worksheets are completed. The Summary worksheet provides a summary table and chart for the initial construction cost and NPW for each included alternative.</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If there are any issues or questions with the use of the LCCA workbook, please contact Aeronautics.</a:t>
          </a:r>
          <a:endParaRPr lang="en-US">
            <a:effectLst/>
          </a:endParaRPr>
        </a:p>
        <a:p>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133350</xdr:colOff>
          <xdr:row>39</xdr:row>
          <xdr:rowOff>104775</xdr:rowOff>
        </xdr:from>
        <xdr:to>
          <xdr:col>3</xdr:col>
          <xdr:colOff>1238250</xdr:colOff>
          <xdr:row>41</xdr:row>
          <xdr:rowOff>142875</xdr:rowOff>
        </xdr:to>
        <xdr:sp macro="" textlink="">
          <xdr:nvSpPr>
            <xdr:cNvPr id="2049" name="cmdWsSetup"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0</xdr:colOff>
      <xdr:row>1</xdr:row>
      <xdr:rowOff>0</xdr:rowOff>
    </xdr:from>
    <xdr:to>
      <xdr:col>2</xdr:col>
      <xdr:colOff>1171575</xdr:colOff>
      <xdr:row>6</xdr:row>
      <xdr:rowOff>0</xdr:rowOff>
    </xdr:to>
    <xdr:pic>
      <xdr:nvPicPr>
        <xdr:cNvPr id="2" name="Picture 1">
          <a:extLst>
            <a:ext uri="{FF2B5EF4-FFF2-40B4-BE49-F238E27FC236}">
              <a16:creationId xmlns:a16="http://schemas.microsoft.com/office/drawing/2014/main" id="{00000000-0008-0000-02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90550" y="171450"/>
          <a:ext cx="1765935" cy="857250"/>
        </a:xfrm>
        <a:prstGeom prst="rect">
          <a:avLst/>
        </a:prstGeom>
        <a:solidFill>
          <a:schemeClr val="bg1"/>
        </a:solidFill>
        <a:ln>
          <a:noFill/>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1765935</xdr:colOff>
      <xdr:row>6</xdr:row>
      <xdr:rowOff>0</xdr:rowOff>
    </xdr:to>
    <xdr:pic>
      <xdr:nvPicPr>
        <xdr:cNvPr id="2" name="Picture 1">
          <a:extLst>
            <a:ext uri="{FF2B5EF4-FFF2-40B4-BE49-F238E27FC236}">
              <a16:creationId xmlns:a16="http://schemas.microsoft.com/office/drawing/2014/main" id="{00000000-0008-0000-05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90550" y="171450"/>
          <a:ext cx="1765935" cy="857250"/>
        </a:xfrm>
        <a:prstGeom prst="rect">
          <a:avLst/>
        </a:prstGeom>
        <a:solidFill>
          <a:schemeClr val="bg1"/>
        </a:solidFill>
        <a:ln>
          <a:noFill/>
        </a:ln>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16</xdr:row>
          <xdr:rowOff>238125</xdr:rowOff>
        </xdr:to>
        <xdr:sp macro="" textlink="">
          <xdr:nvSpPr>
            <xdr:cNvPr id="33793" name="ComboBox2" hidden="1">
              <a:extLst>
                <a:ext uri="{63B3BB69-23CF-44E3-9099-C40C66FF867C}">
                  <a14:compatExt spid="_x0000_s33793"/>
                </a:ext>
                <a:ext uri="{FF2B5EF4-FFF2-40B4-BE49-F238E27FC236}">
                  <a16:creationId xmlns:a16="http://schemas.microsoft.com/office/drawing/2014/main" id="{00000000-0008-0000-0700-000001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3</xdr:col>
          <xdr:colOff>0</xdr:colOff>
          <xdr:row>13</xdr:row>
          <xdr:rowOff>9525</xdr:rowOff>
        </xdr:to>
        <xdr:sp macro="" textlink="">
          <xdr:nvSpPr>
            <xdr:cNvPr id="33794" name="Pay_Item1" hidden="1">
              <a:extLst>
                <a:ext uri="{63B3BB69-23CF-44E3-9099-C40C66FF867C}">
                  <a14:compatExt spid="_x0000_s33794"/>
                </a:ext>
                <a:ext uri="{FF2B5EF4-FFF2-40B4-BE49-F238E27FC236}">
                  <a16:creationId xmlns:a16="http://schemas.microsoft.com/office/drawing/2014/main" id="{00000000-0008-0000-0700-000002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13</xdr:row>
          <xdr:rowOff>238125</xdr:rowOff>
        </xdr:to>
        <xdr:sp macro="" textlink="">
          <xdr:nvSpPr>
            <xdr:cNvPr id="33795" name="ComboBox1" hidden="1">
              <a:extLst>
                <a:ext uri="{63B3BB69-23CF-44E3-9099-C40C66FF867C}">
                  <a14:compatExt spid="_x0000_s33795"/>
                </a:ext>
                <a:ext uri="{FF2B5EF4-FFF2-40B4-BE49-F238E27FC236}">
                  <a16:creationId xmlns:a16="http://schemas.microsoft.com/office/drawing/2014/main" id="{00000000-0008-0000-0700-000003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14</xdr:row>
          <xdr:rowOff>238125</xdr:rowOff>
        </xdr:to>
        <xdr:sp macro="" textlink="">
          <xdr:nvSpPr>
            <xdr:cNvPr id="33796" name="ComboBox3" hidden="1">
              <a:extLst>
                <a:ext uri="{63B3BB69-23CF-44E3-9099-C40C66FF867C}">
                  <a14:compatExt spid="_x0000_s33796"/>
                </a:ext>
                <a:ext uri="{FF2B5EF4-FFF2-40B4-BE49-F238E27FC236}">
                  <a16:creationId xmlns:a16="http://schemas.microsoft.com/office/drawing/2014/main" id="{00000000-0008-0000-0700-000004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15</xdr:row>
          <xdr:rowOff>238125</xdr:rowOff>
        </xdr:to>
        <xdr:sp macro="" textlink="">
          <xdr:nvSpPr>
            <xdr:cNvPr id="33797" name="ComboBox4" hidden="1">
              <a:extLst>
                <a:ext uri="{63B3BB69-23CF-44E3-9099-C40C66FF867C}">
                  <a14:compatExt spid="_x0000_s33797"/>
                </a:ext>
                <a:ext uri="{FF2B5EF4-FFF2-40B4-BE49-F238E27FC236}">
                  <a16:creationId xmlns:a16="http://schemas.microsoft.com/office/drawing/2014/main" id="{00000000-0008-0000-0700-000005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33798" name="ComboBox5" hidden="1">
              <a:extLst>
                <a:ext uri="{63B3BB69-23CF-44E3-9099-C40C66FF867C}">
                  <a14:compatExt spid="_x0000_s33798"/>
                </a:ext>
                <a:ext uri="{FF2B5EF4-FFF2-40B4-BE49-F238E27FC236}">
                  <a16:creationId xmlns:a16="http://schemas.microsoft.com/office/drawing/2014/main" id="{00000000-0008-0000-0700-000006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33799" name="ComboBox6" hidden="1">
              <a:extLst>
                <a:ext uri="{63B3BB69-23CF-44E3-9099-C40C66FF867C}">
                  <a14:compatExt spid="_x0000_s33799"/>
                </a:ext>
                <a:ext uri="{FF2B5EF4-FFF2-40B4-BE49-F238E27FC236}">
                  <a16:creationId xmlns:a16="http://schemas.microsoft.com/office/drawing/2014/main" id="{00000000-0008-0000-0700-000007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33800" name="ComboBox7" hidden="1">
              <a:extLst>
                <a:ext uri="{63B3BB69-23CF-44E3-9099-C40C66FF867C}">
                  <a14:compatExt spid="_x0000_s33800"/>
                </a:ext>
                <a:ext uri="{FF2B5EF4-FFF2-40B4-BE49-F238E27FC236}">
                  <a16:creationId xmlns:a16="http://schemas.microsoft.com/office/drawing/2014/main" id="{00000000-0008-0000-0700-000008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53</xdr:row>
      <xdr:rowOff>9524</xdr:rowOff>
    </xdr:from>
    <xdr:to>
      <xdr:col>4</xdr:col>
      <xdr:colOff>1927225</xdr:colOff>
      <xdr:row>72</xdr:row>
      <xdr:rowOff>114299</xdr:rowOff>
    </xdr:to>
    <xdr:graphicFrame macro="">
      <xdr:nvGraphicFramePr>
        <xdr:cNvPr id="2" name="Chart 1">
          <a:extLst>
            <a:ext uri="{FF2B5EF4-FFF2-40B4-BE49-F238E27FC236}">
              <a16:creationId xmlns:a16="http://schemas.microsoft.com/office/drawing/2014/main" id="{F01944BC-3A1C-4F4C-9442-589953BBDB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33801" name="ComboBox8" hidden="1">
              <a:extLst>
                <a:ext uri="{63B3BB69-23CF-44E3-9099-C40C66FF867C}">
                  <a14:compatExt spid="_x0000_s33801"/>
                </a:ext>
                <a:ext uri="{FF2B5EF4-FFF2-40B4-BE49-F238E27FC236}">
                  <a16:creationId xmlns:a16="http://schemas.microsoft.com/office/drawing/2014/main" id="{00000000-0008-0000-0700-000009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33802" name="ComboBox9" hidden="1">
              <a:extLst>
                <a:ext uri="{63B3BB69-23CF-44E3-9099-C40C66FF867C}">
                  <a14:compatExt spid="_x0000_s33802"/>
                </a:ext>
                <a:ext uri="{FF2B5EF4-FFF2-40B4-BE49-F238E27FC236}">
                  <a16:creationId xmlns:a16="http://schemas.microsoft.com/office/drawing/2014/main" id="{00000000-0008-0000-0700-00000A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238125</xdr:rowOff>
        </xdr:to>
        <xdr:sp macro="" textlink="">
          <xdr:nvSpPr>
            <xdr:cNvPr id="20481" name="ComboBox2" hidden="1">
              <a:extLst>
                <a:ext uri="{63B3BB69-23CF-44E3-9099-C40C66FF867C}">
                  <a14:compatExt spid="_x0000_s20481"/>
                </a:ext>
                <a:ext uri="{FF2B5EF4-FFF2-40B4-BE49-F238E27FC236}">
                  <a16:creationId xmlns:a16="http://schemas.microsoft.com/office/drawing/2014/main" id="{00000000-0008-0000-09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2</xdr:col>
          <xdr:colOff>2781300</xdr:colOff>
          <xdr:row>13</xdr:row>
          <xdr:rowOff>9525</xdr:rowOff>
        </xdr:to>
        <xdr:sp macro="" textlink="">
          <xdr:nvSpPr>
            <xdr:cNvPr id="20482" name="Pay_Item1" hidden="1">
              <a:extLst>
                <a:ext uri="{63B3BB69-23CF-44E3-9099-C40C66FF867C}">
                  <a14:compatExt spid="_x0000_s20482"/>
                </a:ext>
                <a:ext uri="{FF2B5EF4-FFF2-40B4-BE49-F238E27FC236}">
                  <a16:creationId xmlns:a16="http://schemas.microsoft.com/office/drawing/2014/main" id="{00000000-0008-0000-09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238125</xdr:rowOff>
        </xdr:to>
        <xdr:sp macro="" textlink="">
          <xdr:nvSpPr>
            <xdr:cNvPr id="20483" name="ComboBox1" hidden="1">
              <a:extLst>
                <a:ext uri="{63B3BB69-23CF-44E3-9099-C40C66FF867C}">
                  <a14:compatExt spid="_x0000_s20483"/>
                </a:ext>
                <a:ext uri="{FF2B5EF4-FFF2-40B4-BE49-F238E27FC236}">
                  <a16:creationId xmlns:a16="http://schemas.microsoft.com/office/drawing/2014/main" id="{00000000-0008-0000-09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238125</xdr:rowOff>
        </xdr:to>
        <xdr:sp macro="" textlink="">
          <xdr:nvSpPr>
            <xdr:cNvPr id="20484" name="ComboBox3" hidden="1">
              <a:extLst>
                <a:ext uri="{63B3BB69-23CF-44E3-9099-C40C66FF867C}">
                  <a14:compatExt spid="_x0000_s20484"/>
                </a:ext>
                <a:ext uri="{FF2B5EF4-FFF2-40B4-BE49-F238E27FC236}">
                  <a16:creationId xmlns:a16="http://schemas.microsoft.com/office/drawing/2014/main" id="{00000000-0008-0000-0900-00000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238125</xdr:rowOff>
        </xdr:to>
        <xdr:sp macro="" textlink="">
          <xdr:nvSpPr>
            <xdr:cNvPr id="20485" name="ComboBox4" hidden="1">
              <a:extLst>
                <a:ext uri="{63B3BB69-23CF-44E3-9099-C40C66FF867C}">
                  <a14:compatExt spid="_x0000_s20485"/>
                </a:ext>
                <a:ext uri="{FF2B5EF4-FFF2-40B4-BE49-F238E27FC236}">
                  <a16:creationId xmlns:a16="http://schemas.microsoft.com/office/drawing/2014/main" id="{00000000-0008-0000-0900-00000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18</xdr:row>
          <xdr:rowOff>0</xdr:rowOff>
        </xdr:to>
        <xdr:sp macro="" textlink="">
          <xdr:nvSpPr>
            <xdr:cNvPr id="20486" name="ComboBox5" hidden="1">
              <a:extLst>
                <a:ext uri="{63B3BB69-23CF-44E3-9099-C40C66FF867C}">
                  <a14:compatExt spid="_x0000_s20486"/>
                </a:ext>
                <a:ext uri="{FF2B5EF4-FFF2-40B4-BE49-F238E27FC236}">
                  <a16:creationId xmlns:a16="http://schemas.microsoft.com/office/drawing/2014/main" id="{00000000-0008-0000-0900-00000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19</xdr:row>
          <xdr:rowOff>0</xdr:rowOff>
        </xdr:to>
        <xdr:sp macro="" textlink="">
          <xdr:nvSpPr>
            <xdr:cNvPr id="20487" name="ComboBox6" hidden="1">
              <a:extLst>
                <a:ext uri="{63B3BB69-23CF-44E3-9099-C40C66FF867C}">
                  <a14:compatExt spid="_x0000_s20487"/>
                </a:ext>
                <a:ext uri="{FF2B5EF4-FFF2-40B4-BE49-F238E27FC236}">
                  <a16:creationId xmlns:a16="http://schemas.microsoft.com/office/drawing/2014/main" id="{00000000-0008-0000-0900-00000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22</xdr:row>
          <xdr:rowOff>0</xdr:rowOff>
        </xdr:to>
        <xdr:sp macro="" textlink="">
          <xdr:nvSpPr>
            <xdr:cNvPr id="20488" name="ComboBox7" hidden="1">
              <a:extLst>
                <a:ext uri="{63B3BB69-23CF-44E3-9099-C40C66FF867C}">
                  <a14:compatExt spid="_x0000_s20488"/>
                </a:ext>
                <a:ext uri="{FF2B5EF4-FFF2-40B4-BE49-F238E27FC236}">
                  <a16:creationId xmlns:a16="http://schemas.microsoft.com/office/drawing/2014/main" id="{00000000-0008-0000-0900-00000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11" name="Chart 1">
          <a:extLst>
            <a:ext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20496" name="ComboBox8" hidden="1">
              <a:extLst>
                <a:ext uri="{63B3BB69-23CF-44E3-9099-C40C66FF867C}">
                  <a14:compatExt spid="_x0000_s20496"/>
                </a:ext>
                <a:ext uri="{FF2B5EF4-FFF2-40B4-BE49-F238E27FC236}">
                  <a16:creationId xmlns:a16="http://schemas.microsoft.com/office/drawing/2014/main" id="{00000000-0008-0000-0900-00001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20497" name="ComboBox9" hidden="1">
              <a:extLst>
                <a:ext uri="{63B3BB69-23CF-44E3-9099-C40C66FF867C}">
                  <a14:compatExt spid="_x0000_s20497"/>
                </a:ext>
                <a:ext uri="{FF2B5EF4-FFF2-40B4-BE49-F238E27FC236}">
                  <a16:creationId xmlns:a16="http://schemas.microsoft.com/office/drawing/2014/main" id="{00000000-0008-0000-0900-00001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12</xdr:col>
          <xdr:colOff>19050</xdr:colOff>
          <xdr:row>13</xdr:row>
          <xdr:rowOff>238125</xdr:rowOff>
        </xdr:to>
        <xdr:sp macro="" textlink="">
          <xdr:nvSpPr>
            <xdr:cNvPr id="20499" name="ComboBox10" hidden="1">
              <a:extLst>
                <a:ext uri="{63B3BB69-23CF-44E3-9099-C40C66FF867C}">
                  <a14:compatExt spid="_x0000_s20499"/>
                </a:ext>
                <a:ext uri="{FF2B5EF4-FFF2-40B4-BE49-F238E27FC236}">
                  <a16:creationId xmlns:a16="http://schemas.microsoft.com/office/drawing/2014/main" id="{00000000-0008-0000-0900-00001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12</xdr:col>
          <xdr:colOff>19050</xdr:colOff>
          <xdr:row>14</xdr:row>
          <xdr:rowOff>238125</xdr:rowOff>
        </xdr:to>
        <xdr:sp macro="" textlink="">
          <xdr:nvSpPr>
            <xdr:cNvPr id="20500" name="ComboBox11" hidden="1">
              <a:extLst>
                <a:ext uri="{63B3BB69-23CF-44E3-9099-C40C66FF867C}">
                  <a14:compatExt spid="_x0000_s20500"/>
                </a:ext>
                <a:ext uri="{FF2B5EF4-FFF2-40B4-BE49-F238E27FC236}">
                  <a16:creationId xmlns:a16="http://schemas.microsoft.com/office/drawing/2014/main" id="{00000000-0008-0000-0900-00001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13</xdr:row>
          <xdr:rowOff>238125</xdr:rowOff>
        </xdr:to>
        <xdr:sp macro="" textlink="">
          <xdr:nvSpPr>
            <xdr:cNvPr id="20502" name="ComboBox12" hidden="1">
              <a:extLst>
                <a:ext uri="{63B3BB69-23CF-44E3-9099-C40C66FF867C}">
                  <a14:compatExt spid="_x0000_s20502"/>
                </a:ext>
                <a:ext uri="{FF2B5EF4-FFF2-40B4-BE49-F238E27FC236}">
                  <a16:creationId xmlns:a16="http://schemas.microsoft.com/office/drawing/2014/main" id="{00000000-0008-0000-0900-00001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14</xdr:row>
          <xdr:rowOff>238125</xdr:rowOff>
        </xdr:to>
        <xdr:sp macro="" textlink="">
          <xdr:nvSpPr>
            <xdr:cNvPr id="20503" name="ComboBox13" hidden="1">
              <a:extLst>
                <a:ext uri="{63B3BB69-23CF-44E3-9099-C40C66FF867C}">
                  <a14:compatExt spid="_x0000_s20503"/>
                </a:ext>
                <a:ext uri="{FF2B5EF4-FFF2-40B4-BE49-F238E27FC236}">
                  <a16:creationId xmlns:a16="http://schemas.microsoft.com/office/drawing/2014/main" id="{00000000-0008-0000-0900-00001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13</xdr:row>
          <xdr:rowOff>0</xdr:rowOff>
        </xdr:from>
        <xdr:to>
          <xdr:col>28</xdr:col>
          <xdr:colOff>19050</xdr:colOff>
          <xdr:row>13</xdr:row>
          <xdr:rowOff>238125</xdr:rowOff>
        </xdr:to>
        <xdr:sp macro="" textlink="">
          <xdr:nvSpPr>
            <xdr:cNvPr id="20504" name="ComboBox14" hidden="1">
              <a:extLst>
                <a:ext uri="{63B3BB69-23CF-44E3-9099-C40C66FF867C}">
                  <a14:compatExt spid="_x0000_s20504"/>
                </a:ext>
                <a:ext uri="{FF2B5EF4-FFF2-40B4-BE49-F238E27FC236}">
                  <a16:creationId xmlns:a16="http://schemas.microsoft.com/office/drawing/2014/main" id="{00000000-0008-0000-0900-00001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15</xdr:row>
          <xdr:rowOff>0</xdr:rowOff>
        </xdr:from>
        <xdr:to>
          <xdr:col>28</xdr:col>
          <xdr:colOff>19050</xdr:colOff>
          <xdr:row>15</xdr:row>
          <xdr:rowOff>238125</xdr:rowOff>
        </xdr:to>
        <xdr:sp macro="" textlink="">
          <xdr:nvSpPr>
            <xdr:cNvPr id="20508" name="ComboBox15" hidden="1">
              <a:extLst>
                <a:ext uri="{63B3BB69-23CF-44E3-9099-C40C66FF867C}">
                  <a14:compatExt spid="_x0000_s20508"/>
                </a:ext>
                <a:ext uri="{FF2B5EF4-FFF2-40B4-BE49-F238E27FC236}">
                  <a16:creationId xmlns:a16="http://schemas.microsoft.com/office/drawing/2014/main" id="{00000000-0008-0000-0900-00001C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16</xdr:row>
          <xdr:rowOff>0</xdr:rowOff>
        </xdr:from>
        <xdr:to>
          <xdr:col>28</xdr:col>
          <xdr:colOff>19050</xdr:colOff>
          <xdr:row>16</xdr:row>
          <xdr:rowOff>238125</xdr:rowOff>
        </xdr:to>
        <xdr:sp macro="" textlink="">
          <xdr:nvSpPr>
            <xdr:cNvPr id="20509" name="ComboBox16" hidden="1">
              <a:extLst>
                <a:ext uri="{63B3BB69-23CF-44E3-9099-C40C66FF867C}">
                  <a14:compatExt spid="_x0000_s20509"/>
                </a:ext>
                <a:ext uri="{FF2B5EF4-FFF2-40B4-BE49-F238E27FC236}">
                  <a16:creationId xmlns:a16="http://schemas.microsoft.com/office/drawing/2014/main" id="{00000000-0008-0000-0900-00001D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12</xdr:row>
          <xdr:rowOff>0</xdr:rowOff>
        </xdr:from>
        <xdr:to>
          <xdr:col>28</xdr:col>
          <xdr:colOff>19050</xdr:colOff>
          <xdr:row>12</xdr:row>
          <xdr:rowOff>238125</xdr:rowOff>
        </xdr:to>
        <xdr:sp macro="" textlink="">
          <xdr:nvSpPr>
            <xdr:cNvPr id="20510" name="ComboBox17" hidden="1">
              <a:extLst>
                <a:ext uri="{63B3BB69-23CF-44E3-9099-C40C66FF867C}">
                  <a14:compatExt spid="_x0000_s20510"/>
                </a:ext>
                <a:ext uri="{FF2B5EF4-FFF2-40B4-BE49-F238E27FC236}">
                  <a16:creationId xmlns:a16="http://schemas.microsoft.com/office/drawing/2014/main" id="{00000000-0008-0000-0900-00001E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13</xdr:row>
          <xdr:rowOff>0</xdr:rowOff>
        </xdr:from>
        <xdr:to>
          <xdr:col>36</xdr:col>
          <xdr:colOff>19050</xdr:colOff>
          <xdr:row>13</xdr:row>
          <xdr:rowOff>238125</xdr:rowOff>
        </xdr:to>
        <xdr:sp macro="" textlink="">
          <xdr:nvSpPr>
            <xdr:cNvPr id="20511" name="ComboBox18" hidden="1">
              <a:extLst>
                <a:ext uri="{63B3BB69-23CF-44E3-9099-C40C66FF867C}">
                  <a14:compatExt spid="_x0000_s20511"/>
                </a:ext>
                <a:ext uri="{FF2B5EF4-FFF2-40B4-BE49-F238E27FC236}">
                  <a16:creationId xmlns:a16="http://schemas.microsoft.com/office/drawing/2014/main" id="{00000000-0008-0000-0900-00001F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15</xdr:row>
          <xdr:rowOff>0</xdr:rowOff>
        </xdr:from>
        <xdr:to>
          <xdr:col>36</xdr:col>
          <xdr:colOff>19050</xdr:colOff>
          <xdr:row>15</xdr:row>
          <xdr:rowOff>238125</xdr:rowOff>
        </xdr:to>
        <xdr:sp macro="" textlink="">
          <xdr:nvSpPr>
            <xdr:cNvPr id="20512" name="ComboBox19" hidden="1">
              <a:extLst>
                <a:ext uri="{63B3BB69-23CF-44E3-9099-C40C66FF867C}">
                  <a14:compatExt spid="_x0000_s20512"/>
                </a:ext>
                <a:ext uri="{FF2B5EF4-FFF2-40B4-BE49-F238E27FC236}">
                  <a16:creationId xmlns:a16="http://schemas.microsoft.com/office/drawing/2014/main" id="{00000000-0008-0000-0900-00002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16</xdr:row>
          <xdr:rowOff>0</xdr:rowOff>
        </xdr:from>
        <xdr:to>
          <xdr:col>36</xdr:col>
          <xdr:colOff>19050</xdr:colOff>
          <xdr:row>16</xdr:row>
          <xdr:rowOff>238125</xdr:rowOff>
        </xdr:to>
        <xdr:sp macro="" textlink="">
          <xdr:nvSpPr>
            <xdr:cNvPr id="20513" name="ComboBox20" hidden="1">
              <a:extLst>
                <a:ext uri="{63B3BB69-23CF-44E3-9099-C40C66FF867C}">
                  <a14:compatExt spid="_x0000_s20513"/>
                </a:ext>
                <a:ext uri="{FF2B5EF4-FFF2-40B4-BE49-F238E27FC236}">
                  <a16:creationId xmlns:a16="http://schemas.microsoft.com/office/drawing/2014/main" id="{00000000-0008-0000-0900-00002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12</xdr:row>
          <xdr:rowOff>0</xdr:rowOff>
        </xdr:from>
        <xdr:to>
          <xdr:col>36</xdr:col>
          <xdr:colOff>19050</xdr:colOff>
          <xdr:row>12</xdr:row>
          <xdr:rowOff>238125</xdr:rowOff>
        </xdr:to>
        <xdr:sp macro="" textlink="">
          <xdr:nvSpPr>
            <xdr:cNvPr id="20514" name="ComboBox21" hidden="1">
              <a:extLst>
                <a:ext uri="{63B3BB69-23CF-44E3-9099-C40C66FF867C}">
                  <a14:compatExt spid="_x0000_s20514"/>
                </a:ext>
                <a:ext uri="{FF2B5EF4-FFF2-40B4-BE49-F238E27FC236}">
                  <a16:creationId xmlns:a16="http://schemas.microsoft.com/office/drawing/2014/main" id="{00000000-0008-0000-0900-00002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13</xdr:row>
          <xdr:rowOff>0</xdr:rowOff>
        </xdr:from>
        <xdr:to>
          <xdr:col>44</xdr:col>
          <xdr:colOff>9525</xdr:colOff>
          <xdr:row>13</xdr:row>
          <xdr:rowOff>238125</xdr:rowOff>
        </xdr:to>
        <xdr:sp macro="" textlink="">
          <xdr:nvSpPr>
            <xdr:cNvPr id="20515" name="ComboBox22" hidden="1">
              <a:extLst>
                <a:ext uri="{63B3BB69-23CF-44E3-9099-C40C66FF867C}">
                  <a14:compatExt spid="_x0000_s20515"/>
                </a:ext>
                <a:ext uri="{FF2B5EF4-FFF2-40B4-BE49-F238E27FC236}">
                  <a16:creationId xmlns:a16="http://schemas.microsoft.com/office/drawing/2014/main" id="{00000000-0008-0000-0900-00002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15</xdr:row>
          <xdr:rowOff>0</xdr:rowOff>
        </xdr:from>
        <xdr:to>
          <xdr:col>44</xdr:col>
          <xdr:colOff>9525</xdr:colOff>
          <xdr:row>15</xdr:row>
          <xdr:rowOff>238125</xdr:rowOff>
        </xdr:to>
        <xdr:sp macro="" textlink="">
          <xdr:nvSpPr>
            <xdr:cNvPr id="20516" name="ComboBox23" hidden="1">
              <a:extLst>
                <a:ext uri="{63B3BB69-23CF-44E3-9099-C40C66FF867C}">
                  <a14:compatExt spid="_x0000_s20516"/>
                </a:ext>
                <a:ext uri="{FF2B5EF4-FFF2-40B4-BE49-F238E27FC236}">
                  <a16:creationId xmlns:a16="http://schemas.microsoft.com/office/drawing/2014/main" id="{00000000-0008-0000-0900-00002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16</xdr:row>
          <xdr:rowOff>0</xdr:rowOff>
        </xdr:from>
        <xdr:to>
          <xdr:col>44</xdr:col>
          <xdr:colOff>9525</xdr:colOff>
          <xdr:row>16</xdr:row>
          <xdr:rowOff>238125</xdr:rowOff>
        </xdr:to>
        <xdr:sp macro="" textlink="">
          <xdr:nvSpPr>
            <xdr:cNvPr id="20517" name="ComboBox24" hidden="1">
              <a:extLst>
                <a:ext uri="{63B3BB69-23CF-44E3-9099-C40C66FF867C}">
                  <a14:compatExt spid="_x0000_s20517"/>
                </a:ext>
                <a:ext uri="{FF2B5EF4-FFF2-40B4-BE49-F238E27FC236}">
                  <a16:creationId xmlns:a16="http://schemas.microsoft.com/office/drawing/2014/main" id="{00000000-0008-0000-0900-00002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12</xdr:row>
          <xdr:rowOff>0</xdr:rowOff>
        </xdr:from>
        <xdr:to>
          <xdr:col>44</xdr:col>
          <xdr:colOff>9525</xdr:colOff>
          <xdr:row>12</xdr:row>
          <xdr:rowOff>238125</xdr:rowOff>
        </xdr:to>
        <xdr:sp macro="" textlink="">
          <xdr:nvSpPr>
            <xdr:cNvPr id="20518" name="ComboBox25" hidden="1">
              <a:extLst>
                <a:ext uri="{63B3BB69-23CF-44E3-9099-C40C66FF867C}">
                  <a14:compatExt spid="_x0000_s20518"/>
                </a:ext>
                <a:ext uri="{FF2B5EF4-FFF2-40B4-BE49-F238E27FC236}">
                  <a16:creationId xmlns:a16="http://schemas.microsoft.com/office/drawing/2014/main" id="{00000000-0008-0000-0900-00002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17</xdr:row>
          <xdr:rowOff>0</xdr:rowOff>
        </xdr:from>
        <xdr:to>
          <xdr:col>44</xdr:col>
          <xdr:colOff>9525</xdr:colOff>
          <xdr:row>17</xdr:row>
          <xdr:rowOff>238125</xdr:rowOff>
        </xdr:to>
        <xdr:sp macro="" textlink="">
          <xdr:nvSpPr>
            <xdr:cNvPr id="20519" name="ComboBox26" hidden="1">
              <a:extLst>
                <a:ext uri="{63B3BB69-23CF-44E3-9099-C40C66FF867C}">
                  <a14:compatExt spid="_x0000_s20519"/>
                </a:ext>
                <a:ext uri="{FF2B5EF4-FFF2-40B4-BE49-F238E27FC236}">
                  <a16:creationId xmlns:a16="http://schemas.microsoft.com/office/drawing/2014/main" id="{00000000-0008-0000-0900-00002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14</xdr:row>
          <xdr:rowOff>0</xdr:rowOff>
        </xdr:from>
        <xdr:to>
          <xdr:col>44</xdr:col>
          <xdr:colOff>9525</xdr:colOff>
          <xdr:row>14</xdr:row>
          <xdr:rowOff>238125</xdr:rowOff>
        </xdr:to>
        <xdr:sp macro="" textlink="">
          <xdr:nvSpPr>
            <xdr:cNvPr id="20520" name="ComboBox27" hidden="1">
              <a:extLst>
                <a:ext uri="{63B3BB69-23CF-44E3-9099-C40C66FF867C}">
                  <a14:compatExt spid="_x0000_s20520"/>
                </a:ext>
                <a:ext uri="{FF2B5EF4-FFF2-40B4-BE49-F238E27FC236}">
                  <a16:creationId xmlns:a16="http://schemas.microsoft.com/office/drawing/2014/main" id="{00000000-0008-0000-0900-00002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13</xdr:row>
          <xdr:rowOff>0</xdr:rowOff>
        </xdr:from>
        <xdr:to>
          <xdr:col>60</xdr:col>
          <xdr:colOff>19050</xdr:colOff>
          <xdr:row>13</xdr:row>
          <xdr:rowOff>238125</xdr:rowOff>
        </xdr:to>
        <xdr:sp macro="" textlink="">
          <xdr:nvSpPr>
            <xdr:cNvPr id="20529" name="ComboBox28" hidden="1">
              <a:extLst>
                <a:ext uri="{63B3BB69-23CF-44E3-9099-C40C66FF867C}">
                  <a14:compatExt spid="_x0000_s20529"/>
                </a:ext>
                <a:ext uri="{FF2B5EF4-FFF2-40B4-BE49-F238E27FC236}">
                  <a16:creationId xmlns:a16="http://schemas.microsoft.com/office/drawing/2014/main" id="{00000000-0008-0000-0900-00003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15</xdr:row>
          <xdr:rowOff>0</xdr:rowOff>
        </xdr:from>
        <xdr:to>
          <xdr:col>60</xdr:col>
          <xdr:colOff>19050</xdr:colOff>
          <xdr:row>15</xdr:row>
          <xdr:rowOff>238125</xdr:rowOff>
        </xdr:to>
        <xdr:sp macro="" textlink="">
          <xdr:nvSpPr>
            <xdr:cNvPr id="20530" name="ComboBox29" hidden="1">
              <a:extLst>
                <a:ext uri="{63B3BB69-23CF-44E3-9099-C40C66FF867C}">
                  <a14:compatExt spid="_x0000_s20530"/>
                </a:ext>
                <a:ext uri="{FF2B5EF4-FFF2-40B4-BE49-F238E27FC236}">
                  <a16:creationId xmlns:a16="http://schemas.microsoft.com/office/drawing/2014/main" id="{00000000-0008-0000-0900-00003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16</xdr:row>
          <xdr:rowOff>0</xdr:rowOff>
        </xdr:from>
        <xdr:to>
          <xdr:col>60</xdr:col>
          <xdr:colOff>19050</xdr:colOff>
          <xdr:row>16</xdr:row>
          <xdr:rowOff>238125</xdr:rowOff>
        </xdr:to>
        <xdr:sp macro="" textlink="">
          <xdr:nvSpPr>
            <xdr:cNvPr id="20531" name="ComboBox30" hidden="1">
              <a:extLst>
                <a:ext uri="{63B3BB69-23CF-44E3-9099-C40C66FF867C}">
                  <a14:compatExt spid="_x0000_s20531"/>
                </a:ext>
                <a:ext uri="{FF2B5EF4-FFF2-40B4-BE49-F238E27FC236}">
                  <a16:creationId xmlns:a16="http://schemas.microsoft.com/office/drawing/2014/main" id="{00000000-0008-0000-0900-00003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12</xdr:row>
          <xdr:rowOff>0</xdr:rowOff>
        </xdr:from>
        <xdr:to>
          <xdr:col>60</xdr:col>
          <xdr:colOff>19050</xdr:colOff>
          <xdr:row>12</xdr:row>
          <xdr:rowOff>238125</xdr:rowOff>
        </xdr:to>
        <xdr:sp macro="" textlink="">
          <xdr:nvSpPr>
            <xdr:cNvPr id="20532" name="ComboBox31" hidden="1">
              <a:extLst>
                <a:ext uri="{63B3BB69-23CF-44E3-9099-C40C66FF867C}">
                  <a14:compatExt spid="_x0000_s20532"/>
                </a:ext>
                <a:ext uri="{FF2B5EF4-FFF2-40B4-BE49-F238E27FC236}">
                  <a16:creationId xmlns:a16="http://schemas.microsoft.com/office/drawing/2014/main" id="{00000000-0008-0000-0900-00003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13</xdr:row>
          <xdr:rowOff>0</xdr:rowOff>
        </xdr:from>
        <xdr:to>
          <xdr:col>52</xdr:col>
          <xdr:colOff>28575</xdr:colOff>
          <xdr:row>13</xdr:row>
          <xdr:rowOff>238125</xdr:rowOff>
        </xdr:to>
        <xdr:sp macro="" textlink="">
          <xdr:nvSpPr>
            <xdr:cNvPr id="20533" name="ComboBox32" hidden="1">
              <a:extLst>
                <a:ext uri="{63B3BB69-23CF-44E3-9099-C40C66FF867C}">
                  <a14:compatExt spid="_x0000_s20533"/>
                </a:ext>
                <a:ext uri="{FF2B5EF4-FFF2-40B4-BE49-F238E27FC236}">
                  <a16:creationId xmlns:a16="http://schemas.microsoft.com/office/drawing/2014/main" id="{00000000-0008-0000-0900-00003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14</xdr:row>
          <xdr:rowOff>0</xdr:rowOff>
        </xdr:from>
        <xdr:to>
          <xdr:col>52</xdr:col>
          <xdr:colOff>28575</xdr:colOff>
          <xdr:row>14</xdr:row>
          <xdr:rowOff>238125</xdr:rowOff>
        </xdr:to>
        <xdr:sp macro="" textlink="">
          <xdr:nvSpPr>
            <xdr:cNvPr id="20534" name="ComboBox33" hidden="1">
              <a:extLst>
                <a:ext uri="{63B3BB69-23CF-44E3-9099-C40C66FF867C}">
                  <a14:compatExt spid="_x0000_s20534"/>
                </a:ext>
                <a:ext uri="{FF2B5EF4-FFF2-40B4-BE49-F238E27FC236}">
                  <a16:creationId xmlns:a16="http://schemas.microsoft.com/office/drawing/2014/main" id="{00000000-0008-0000-0900-00003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247650</xdr:rowOff>
        </xdr:to>
        <xdr:sp macro="" textlink="">
          <xdr:nvSpPr>
            <xdr:cNvPr id="22537" name="ComboBox9" hidden="1">
              <a:extLst>
                <a:ext uri="{63B3BB69-23CF-44E3-9099-C40C66FF867C}">
                  <a14:compatExt spid="_x0000_s22537"/>
                </a:ext>
                <a:ext uri="{FF2B5EF4-FFF2-40B4-BE49-F238E27FC236}">
                  <a16:creationId xmlns:a16="http://schemas.microsoft.com/office/drawing/2014/main" id="{00000000-0008-0000-0A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xdr:row>
          <xdr:rowOff>190500</xdr:rowOff>
        </xdr:from>
        <xdr:to>
          <xdr:col>2</xdr:col>
          <xdr:colOff>2781300</xdr:colOff>
          <xdr:row>12</xdr:row>
          <xdr:rowOff>247650</xdr:rowOff>
        </xdr:to>
        <xdr:sp macro="" textlink="">
          <xdr:nvSpPr>
            <xdr:cNvPr id="22538" name="ComboBox10" hidden="1">
              <a:extLst>
                <a:ext uri="{63B3BB69-23CF-44E3-9099-C40C66FF867C}">
                  <a14:compatExt spid="_x0000_s22538"/>
                </a:ext>
                <a:ext uri="{FF2B5EF4-FFF2-40B4-BE49-F238E27FC236}">
                  <a16:creationId xmlns:a16="http://schemas.microsoft.com/office/drawing/2014/main" id="{00000000-0008-0000-0A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247650</xdr:rowOff>
        </xdr:to>
        <xdr:sp macro="" textlink="">
          <xdr:nvSpPr>
            <xdr:cNvPr id="22539" name="ComboBox11" hidden="1">
              <a:extLst>
                <a:ext uri="{63B3BB69-23CF-44E3-9099-C40C66FF867C}">
                  <a14:compatExt spid="_x0000_s22539"/>
                </a:ext>
                <a:ext uri="{FF2B5EF4-FFF2-40B4-BE49-F238E27FC236}">
                  <a16:creationId xmlns:a16="http://schemas.microsoft.com/office/drawing/2014/main" id="{00000000-0008-0000-0A00-00000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247650</xdr:rowOff>
        </xdr:to>
        <xdr:sp macro="" textlink="">
          <xdr:nvSpPr>
            <xdr:cNvPr id="22540" name="ComboBox12" hidden="1">
              <a:extLst>
                <a:ext uri="{63B3BB69-23CF-44E3-9099-C40C66FF867C}">
                  <a14:compatExt spid="_x0000_s22540"/>
                </a:ext>
                <a:ext uri="{FF2B5EF4-FFF2-40B4-BE49-F238E27FC236}">
                  <a16:creationId xmlns:a16="http://schemas.microsoft.com/office/drawing/2014/main" id="{00000000-0008-0000-0A00-00000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247650</xdr:rowOff>
        </xdr:to>
        <xdr:sp macro="" textlink="">
          <xdr:nvSpPr>
            <xdr:cNvPr id="22541" name="ComboBox13" hidden="1">
              <a:extLst>
                <a:ext uri="{63B3BB69-23CF-44E3-9099-C40C66FF867C}">
                  <a14:compatExt spid="_x0000_s22541"/>
                </a:ext>
                <a:ext uri="{FF2B5EF4-FFF2-40B4-BE49-F238E27FC236}">
                  <a16:creationId xmlns:a16="http://schemas.microsoft.com/office/drawing/2014/main" id="{00000000-0008-0000-0A00-00000D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17</xdr:row>
          <xdr:rowOff>247650</xdr:rowOff>
        </xdr:to>
        <xdr:sp macro="" textlink="">
          <xdr:nvSpPr>
            <xdr:cNvPr id="22542" name="ComboBox14" hidden="1">
              <a:extLst>
                <a:ext uri="{63B3BB69-23CF-44E3-9099-C40C66FF867C}">
                  <a14:compatExt spid="_x0000_s22542"/>
                </a:ext>
                <a:ext uri="{FF2B5EF4-FFF2-40B4-BE49-F238E27FC236}">
                  <a16:creationId xmlns:a16="http://schemas.microsoft.com/office/drawing/2014/main" id="{00000000-0008-0000-0A00-00000E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18</xdr:row>
          <xdr:rowOff>247650</xdr:rowOff>
        </xdr:to>
        <xdr:sp macro="" textlink="">
          <xdr:nvSpPr>
            <xdr:cNvPr id="22543" name="ComboBox15" hidden="1">
              <a:extLst>
                <a:ext uri="{63B3BB69-23CF-44E3-9099-C40C66FF867C}">
                  <a14:compatExt spid="_x0000_s22543"/>
                </a:ext>
                <a:ext uri="{FF2B5EF4-FFF2-40B4-BE49-F238E27FC236}">
                  <a16:creationId xmlns:a16="http://schemas.microsoft.com/office/drawing/2014/main" id="{00000000-0008-0000-0A00-00000F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21</xdr:row>
          <xdr:rowOff>247650</xdr:rowOff>
        </xdr:to>
        <xdr:sp macro="" textlink="">
          <xdr:nvSpPr>
            <xdr:cNvPr id="22544" name="ComboBox16" hidden="1">
              <a:extLst>
                <a:ext uri="{63B3BB69-23CF-44E3-9099-C40C66FF867C}">
                  <a14:compatExt spid="_x0000_s22544"/>
                </a:ext>
                <a:ext uri="{FF2B5EF4-FFF2-40B4-BE49-F238E27FC236}">
                  <a16:creationId xmlns:a16="http://schemas.microsoft.com/office/drawing/2014/main" id="{00000000-0008-0000-0A00-000010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42</xdr:row>
      <xdr:rowOff>0</xdr:rowOff>
    </xdr:from>
    <xdr:to>
      <xdr:col>4</xdr:col>
      <xdr:colOff>1920875</xdr:colOff>
      <xdr:row>61</xdr:row>
      <xdr:rowOff>104775</xdr:rowOff>
    </xdr:to>
    <xdr:graphicFrame macro="">
      <xdr:nvGraphicFramePr>
        <xdr:cNvPr id="19" name="Chart 1">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22546" name="ComboBox18" hidden="1">
              <a:extLst>
                <a:ext uri="{63B3BB69-23CF-44E3-9099-C40C66FF867C}">
                  <a14:compatExt spid="_x0000_s22546"/>
                </a:ext>
                <a:ext uri="{FF2B5EF4-FFF2-40B4-BE49-F238E27FC236}">
                  <a16:creationId xmlns:a16="http://schemas.microsoft.com/office/drawing/2014/main" id="{00000000-0008-0000-0A00-00001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22548" name="ComboBox20" hidden="1">
              <a:extLst>
                <a:ext uri="{63B3BB69-23CF-44E3-9099-C40C66FF867C}">
                  <a14:compatExt spid="_x0000_s22548"/>
                </a:ext>
                <a:ext uri="{FF2B5EF4-FFF2-40B4-BE49-F238E27FC236}">
                  <a16:creationId xmlns:a16="http://schemas.microsoft.com/office/drawing/2014/main" id="{00000000-0008-0000-0A00-00001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12</xdr:row>
          <xdr:rowOff>0</xdr:rowOff>
        </xdr:from>
        <xdr:to>
          <xdr:col>11</xdr:col>
          <xdr:colOff>2781300</xdr:colOff>
          <xdr:row>12</xdr:row>
          <xdr:rowOff>238125</xdr:rowOff>
        </xdr:to>
        <xdr:sp macro="" textlink="">
          <xdr:nvSpPr>
            <xdr:cNvPr id="22553" name="ComboBox21" hidden="1">
              <a:extLst>
                <a:ext uri="{63B3BB69-23CF-44E3-9099-C40C66FF867C}">
                  <a14:compatExt spid="_x0000_s22553"/>
                </a:ext>
                <a:ext uri="{FF2B5EF4-FFF2-40B4-BE49-F238E27FC236}">
                  <a16:creationId xmlns:a16="http://schemas.microsoft.com/office/drawing/2014/main" id="{00000000-0008-0000-0A00-00001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11</xdr:col>
          <xdr:colOff>2781300</xdr:colOff>
          <xdr:row>14</xdr:row>
          <xdr:rowOff>0</xdr:rowOff>
        </xdr:to>
        <xdr:sp macro="" textlink="">
          <xdr:nvSpPr>
            <xdr:cNvPr id="22554" name="ComboBox22" hidden="1">
              <a:extLst>
                <a:ext uri="{63B3BB69-23CF-44E3-9099-C40C66FF867C}">
                  <a14:compatExt spid="_x0000_s22554"/>
                </a:ext>
                <a:ext uri="{FF2B5EF4-FFF2-40B4-BE49-F238E27FC236}">
                  <a16:creationId xmlns:a16="http://schemas.microsoft.com/office/drawing/2014/main" id="{00000000-0008-0000-0A00-00001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11</xdr:col>
          <xdr:colOff>2781300</xdr:colOff>
          <xdr:row>15</xdr:row>
          <xdr:rowOff>0</xdr:rowOff>
        </xdr:to>
        <xdr:sp macro="" textlink="">
          <xdr:nvSpPr>
            <xdr:cNvPr id="22555" name="ComboBox23" hidden="1">
              <a:extLst>
                <a:ext uri="{63B3BB69-23CF-44E3-9099-C40C66FF867C}">
                  <a14:compatExt spid="_x0000_s22555"/>
                </a:ext>
                <a:ext uri="{FF2B5EF4-FFF2-40B4-BE49-F238E27FC236}">
                  <a16:creationId xmlns:a16="http://schemas.microsoft.com/office/drawing/2014/main" id="{00000000-0008-0000-0A00-00001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15</xdr:row>
          <xdr:rowOff>0</xdr:rowOff>
        </xdr:from>
        <xdr:to>
          <xdr:col>11</xdr:col>
          <xdr:colOff>2781300</xdr:colOff>
          <xdr:row>16</xdr:row>
          <xdr:rowOff>0</xdr:rowOff>
        </xdr:to>
        <xdr:sp macro="" textlink="">
          <xdr:nvSpPr>
            <xdr:cNvPr id="22556" name="ComboBox24" hidden="1">
              <a:extLst>
                <a:ext uri="{63B3BB69-23CF-44E3-9099-C40C66FF867C}">
                  <a14:compatExt spid="_x0000_s22556"/>
                </a:ext>
                <a:ext uri="{FF2B5EF4-FFF2-40B4-BE49-F238E27FC236}">
                  <a16:creationId xmlns:a16="http://schemas.microsoft.com/office/drawing/2014/main" id="{00000000-0008-0000-0A00-00001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16</xdr:row>
          <xdr:rowOff>0</xdr:rowOff>
        </xdr:from>
        <xdr:to>
          <xdr:col>20</xdr:col>
          <xdr:colOff>19050</xdr:colOff>
          <xdr:row>17</xdr:row>
          <xdr:rowOff>0</xdr:rowOff>
        </xdr:to>
        <xdr:sp macro="" textlink="">
          <xdr:nvSpPr>
            <xdr:cNvPr id="22562" name="ComboBox25" hidden="1">
              <a:extLst>
                <a:ext uri="{63B3BB69-23CF-44E3-9099-C40C66FF867C}">
                  <a14:compatExt spid="_x0000_s22562"/>
                </a:ext>
                <a:ext uri="{FF2B5EF4-FFF2-40B4-BE49-F238E27FC236}">
                  <a16:creationId xmlns:a16="http://schemas.microsoft.com/office/drawing/2014/main" id="{00000000-0008-0000-0A00-00002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12</xdr:row>
          <xdr:rowOff>0</xdr:rowOff>
        </xdr:from>
        <xdr:to>
          <xdr:col>20</xdr:col>
          <xdr:colOff>19050</xdr:colOff>
          <xdr:row>12</xdr:row>
          <xdr:rowOff>238125</xdr:rowOff>
        </xdr:to>
        <xdr:sp macro="" textlink="">
          <xdr:nvSpPr>
            <xdr:cNvPr id="22563" name="ComboBox26" hidden="1">
              <a:extLst>
                <a:ext uri="{63B3BB69-23CF-44E3-9099-C40C66FF867C}">
                  <a14:compatExt spid="_x0000_s22563"/>
                </a:ext>
                <a:ext uri="{FF2B5EF4-FFF2-40B4-BE49-F238E27FC236}">
                  <a16:creationId xmlns:a16="http://schemas.microsoft.com/office/drawing/2014/main" id="{00000000-0008-0000-0A00-00002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14</xdr:row>
          <xdr:rowOff>0</xdr:rowOff>
        </xdr:to>
        <xdr:sp macro="" textlink="">
          <xdr:nvSpPr>
            <xdr:cNvPr id="22564" name="ComboBox27" hidden="1">
              <a:extLst>
                <a:ext uri="{63B3BB69-23CF-44E3-9099-C40C66FF867C}">
                  <a14:compatExt spid="_x0000_s22564"/>
                </a:ext>
                <a:ext uri="{FF2B5EF4-FFF2-40B4-BE49-F238E27FC236}">
                  <a16:creationId xmlns:a16="http://schemas.microsoft.com/office/drawing/2014/main" id="{00000000-0008-0000-0A00-00002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15</xdr:row>
          <xdr:rowOff>0</xdr:rowOff>
        </xdr:to>
        <xdr:sp macro="" textlink="">
          <xdr:nvSpPr>
            <xdr:cNvPr id="22565" name="ComboBox28" hidden="1">
              <a:extLst>
                <a:ext uri="{63B3BB69-23CF-44E3-9099-C40C66FF867C}">
                  <a14:compatExt spid="_x0000_s22565"/>
                </a:ext>
                <a:ext uri="{FF2B5EF4-FFF2-40B4-BE49-F238E27FC236}">
                  <a16:creationId xmlns:a16="http://schemas.microsoft.com/office/drawing/2014/main" id="{00000000-0008-0000-0A00-000025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15</xdr:row>
          <xdr:rowOff>0</xdr:rowOff>
        </xdr:from>
        <xdr:to>
          <xdr:col>20</xdr:col>
          <xdr:colOff>19050</xdr:colOff>
          <xdr:row>16</xdr:row>
          <xdr:rowOff>0</xdr:rowOff>
        </xdr:to>
        <xdr:sp macro="" textlink="">
          <xdr:nvSpPr>
            <xdr:cNvPr id="22566" name="ComboBox29" hidden="1">
              <a:extLst>
                <a:ext uri="{63B3BB69-23CF-44E3-9099-C40C66FF867C}">
                  <a14:compatExt spid="_x0000_s22566"/>
                </a:ext>
                <a:ext uri="{FF2B5EF4-FFF2-40B4-BE49-F238E27FC236}">
                  <a16:creationId xmlns:a16="http://schemas.microsoft.com/office/drawing/2014/main" id="{00000000-0008-0000-0A00-000026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16</xdr:row>
          <xdr:rowOff>0</xdr:rowOff>
        </xdr:from>
        <xdr:to>
          <xdr:col>3</xdr:col>
          <xdr:colOff>9525</xdr:colOff>
          <xdr:row>16</xdr:row>
          <xdr:rowOff>238125</xdr:rowOff>
        </xdr:to>
        <xdr:sp macro="" textlink="">
          <xdr:nvSpPr>
            <xdr:cNvPr id="31787" name="ComboBox2" hidden="1">
              <a:extLst>
                <a:ext uri="{63B3BB69-23CF-44E3-9099-C40C66FF867C}">
                  <a14:compatExt spid="_x0000_s31787"/>
                </a:ext>
                <a:ext uri="{FF2B5EF4-FFF2-40B4-BE49-F238E27FC236}">
                  <a16:creationId xmlns:a16="http://schemas.microsoft.com/office/drawing/2014/main" id="{00000000-0008-0000-0B00-00002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12</xdr:row>
          <xdr:rowOff>0</xdr:rowOff>
        </xdr:from>
        <xdr:to>
          <xdr:col>3</xdr:col>
          <xdr:colOff>9525</xdr:colOff>
          <xdr:row>12</xdr:row>
          <xdr:rowOff>238125</xdr:rowOff>
        </xdr:to>
        <xdr:sp macro="" textlink="">
          <xdr:nvSpPr>
            <xdr:cNvPr id="31788" name="ComboBox32" hidden="1">
              <a:extLst>
                <a:ext uri="{63B3BB69-23CF-44E3-9099-C40C66FF867C}">
                  <a14:compatExt spid="_x0000_s31788"/>
                </a:ext>
                <a:ext uri="{FF2B5EF4-FFF2-40B4-BE49-F238E27FC236}">
                  <a16:creationId xmlns:a16="http://schemas.microsoft.com/office/drawing/2014/main" id="{00000000-0008-0000-0B00-00002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13</xdr:row>
          <xdr:rowOff>0</xdr:rowOff>
        </xdr:from>
        <xdr:to>
          <xdr:col>3</xdr:col>
          <xdr:colOff>9525</xdr:colOff>
          <xdr:row>13</xdr:row>
          <xdr:rowOff>238125</xdr:rowOff>
        </xdr:to>
        <xdr:sp macro="" textlink="">
          <xdr:nvSpPr>
            <xdr:cNvPr id="31789" name="ComboBox1" hidden="1">
              <a:extLst>
                <a:ext uri="{63B3BB69-23CF-44E3-9099-C40C66FF867C}">
                  <a14:compatExt spid="_x0000_s31789"/>
                </a:ext>
                <a:ext uri="{FF2B5EF4-FFF2-40B4-BE49-F238E27FC236}">
                  <a16:creationId xmlns:a16="http://schemas.microsoft.com/office/drawing/2014/main" id="{00000000-0008-0000-0B00-00002D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14</xdr:row>
          <xdr:rowOff>0</xdr:rowOff>
        </xdr:from>
        <xdr:to>
          <xdr:col>3</xdr:col>
          <xdr:colOff>9525</xdr:colOff>
          <xdr:row>14</xdr:row>
          <xdr:rowOff>238125</xdr:rowOff>
        </xdr:to>
        <xdr:sp macro="" textlink="">
          <xdr:nvSpPr>
            <xdr:cNvPr id="31790" name="ComboBox3" hidden="1">
              <a:extLst>
                <a:ext uri="{63B3BB69-23CF-44E3-9099-C40C66FF867C}">
                  <a14:compatExt spid="_x0000_s31790"/>
                </a:ext>
                <a:ext uri="{FF2B5EF4-FFF2-40B4-BE49-F238E27FC236}">
                  <a16:creationId xmlns:a16="http://schemas.microsoft.com/office/drawing/2014/main" id="{00000000-0008-0000-0B00-00002E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15</xdr:row>
          <xdr:rowOff>0</xdr:rowOff>
        </xdr:from>
        <xdr:to>
          <xdr:col>3</xdr:col>
          <xdr:colOff>9525</xdr:colOff>
          <xdr:row>15</xdr:row>
          <xdr:rowOff>238125</xdr:rowOff>
        </xdr:to>
        <xdr:sp macro="" textlink="">
          <xdr:nvSpPr>
            <xdr:cNvPr id="31791" name="ComboBox4" hidden="1">
              <a:extLst>
                <a:ext uri="{63B3BB69-23CF-44E3-9099-C40C66FF867C}">
                  <a14:compatExt spid="_x0000_s31791"/>
                </a:ext>
                <a:ext uri="{FF2B5EF4-FFF2-40B4-BE49-F238E27FC236}">
                  <a16:creationId xmlns:a16="http://schemas.microsoft.com/office/drawing/2014/main" id="{00000000-0008-0000-0B00-00002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17</xdr:row>
          <xdr:rowOff>0</xdr:rowOff>
        </xdr:from>
        <xdr:to>
          <xdr:col>3</xdr:col>
          <xdr:colOff>9525</xdr:colOff>
          <xdr:row>18</xdr:row>
          <xdr:rowOff>0</xdr:rowOff>
        </xdr:to>
        <xdr:sp macro="" textlink="">
          <xdr:nvSpPr>
            <xdr:cNvPr id="31792" name="ComboBox5" hidden="1">
              <a:extLst>
                <a:ext uri="{63B3BB69-23CF-44E3-9099-C40C66FF867C}">
                  <a14:compatExt spid="_x0000_s31792"/>
                </a:ext>
                <a:ext uri="{FF2B5EF4-FFF2-40B4-BE49-F238E27FC236}">
                  <a16:creationId xmlns:a16="http://schemas.microsoft.com/office/drawing/2014/main" id="{00000000-0008-0000-0B00-00003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18</xdr:row>
          <xdr:rowOff>0</xdr:rowOff>
        </xdr:from>
        <xdr:to>
          <xdr:col>3</xdr:col>
          <xdr:colOff>9525</xdr:colOff>
          <xdr:row>19</xdr:row>
          <xdr:rowOff>0</xdr:rowOff>
        </xdr:to>
        <xdr:sp macro="" textlink="">
          <xdr:nvSpPr>
            <xdr:cNvPr id="31793" name="ComboBox6" hidden="1">
              <a:extLst>
                <a:ext uri="{63B3BB69-23CF-44E3-9099-C40C66FF867C}">
                  <a14:compatExt spid="_x0000_s31793"/>
                </a:ext>
                <a:ext uri="{FF2B5EF4-FFF2-40B4-BE49-F238E27FC236}">
                  <a16:creationId xmlns:a16="http://schemas.microsoft.com/office/drawing/2014/main" id="{00000000-0008-0000-0B00-00003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21</xdr:row>
          <xdr:rowOff>0</xdr:rowOff>
        </xdr:from>
        <xdr:to>
          <xdr:col>3</xdr:col>
          <xdr:colOff>9525</xdr:colOff>
          <xdr:row>22</xdr:row>
          <xdr:rowOff>0</xdr:rowOff>
        </xdr:to>
        <xdr:sp macro="" textlink="">
          <xdr:nvSpPr>
            <xdr:cNvPr id="31794" name="ComboBox7" hidden="1">
              <a:extLst>
                <a:ext uri="{63B3BB69-23CF-44E3-9099-C40C66FF867C}">
                  <a14:compatExt spid="_x0000_s31794"/>
                </a:ext>
                <a:ext uri="{FF2B5EF4-FFF2-40B4-BE49-F238E27FC236}">
                  <a16:creationId xmlns:a16="http://schemas.microsoft.com/office/drawing/2014/main" id="{00000000-0008-0000-0B00-00003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19</xdr:row>
          <xdr:rowOff>0</xdr:rowOff>
        </xdr:from>
        <xdr:to>
          <xdr:col>3</xdr:col>
          <xdr:colOff>9525</xdr:colOff>
          <xdr:row>20</xdr:row>
          <xdr:rowOff>0</xdr:rowOff>
        </xdr:to>
        <xdr:sp macro="" textlink="">
          <xdr:nvSpPr>
            <xdr:cNvPr id="31795" name="ComboBox8" hidden="1">
              <a:extLst>
                <a:ext uri="{63B3BB69-23CF-44E3-9099-C40C66FF867C}">
                  <a14:compatExt spid="_x0000_s31795"/>
                </a:ext>
                <a:ext uri="{FF2B5EF4-FFF2-40B4-BE49-F238E27FC236}">
                  <a16:creationId xmlns:a16="http://schemas.microsoft.com/office/drawing/2014/main" id="{00000000-0008-0000-0B00-00003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20</xdr:row>
          <xdr:rowOff>0</xdr:rowOff>
        </xdr:from>
        <xdr:to>
          <xdr:col>3</xdr:col>
          <xdr:colOff>9525</xdr:colOff>
          <xdr:row>21</xdr:row>
          <xdr:rowOff>0</xdr:rowOff>
        </xdr:to>
        <xdr:sp macro="" textlink="">
          <xdr:nvSpPr>
            <xdr:cNvPr id="31796" name="ComboBox9" hidden="1">
              <a:extLst>
                <a:ext uri="{63B3BB69-23CF-44E3-9099-C40C66FF867C}">
                  <a14:compatExt spid="_x0000_s31796"/>
                </a:ext>
                <a:ext uri="{FF2B5EF4-FFF2-40B4-BE49-F238E27FC236}">
                  <a16:creationId xmlns:a16="http://schemas.microsoft.com/office/drawing/2014/main" id="{00000000-0008-0000-0B00-000034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13</xdr:row>
          <xdr:rowOff>0</xdr:rowOff>
        </xdr:from>
        <xdr:to>
          <xdr:col>12</xdr:col>
          <xdr:colOff>114300</xdr:colOff>
          <xdr:row>13</xdr:row>
          <xdr:rowOff>238125</xdr:rowOff>
        </xdr:to>
        <xdr:sp macro="" textlink="">
          <xdr:nvSpPr>
            <xdr:cNvPr id="31797" name="ComboBox14" hidden="1">
              <a:extLst>
                <a:ext uri="{63B3BB69-23CF-44E3-9099-C40C66FF867C}">
                  <a14:compatExt spid="_x0000_s31797"/>
                </a:ext>
                <a:ext uri="{FF2B5EF4-FFF2-40B4-BE49-F238E27FC236}">
                  <a16:creationId xmlns:a16="http://schemas.microsoft.com/office/drawing/2014/main" id="{00000000-0008-0000-0B00-000035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14</xdr:row>
          <xdr:rowOff>0</xdr:rowOff>
        </xdr:from>
        <xdr:to>
          <xdr:col>12</xdr:col>
          <xdr:colOff>114300</xdr:colOff>
          <xdr:row>14</xdr:row>
          <xdr:rowOff>238125</xdr:rowOff>
        </xdr:to>
        <xdr:sp macro="" textlink="">
          <xdr:nvSpPr>
            <xdr:cNvPr id="31798" name="ComboBox15" hidden="1">
              <a:extLst>
                <a:ext uri="{63B3BB69-23CF-44E3-9099-C40C66FF867C}">
                  <a14:compatExt spid="_x0000_s31798"/>
                </a:ext>
                <a:ext uri="{FF2B5EF4-FFF2-40B4-BE49-F238E27FC236}">
                  <a16:creationId xmlns:a16="http://schemas.microsoft.com/office/drawing/2014/main" id="{00000000-0008-0000-0B00-00003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13</xdr:row>
          <xdr:rowOff>0</xdr:rowOff>
        </xdr:from>
        <xdr:to>
          <xdr:col>20</xdr:col>
          <xdr:colOff>114300</xdr:colOff>
          <xdr:row>14</xdr:row>
          <xdr:rowOff>0</xdr:rowOff>
        </xdr:to>
        <xdr:sp macro="" textlink="">
          <xdr:nvSpPr>
            <xdr:cNvPr id="31824" name="ComboBox35" hidden="1">
              <a:extLst>
                <a:ext uri="{63B3BB69-23CF-44E3-9099-C40C66FF867C}">
                  <a14:compatExt spid="_x0000_s31824"/>
                </a:ext>
                <a:ext uri="{FF2B5EF4-FFF2-40B4-BE49-F238E27FC236}">
                  <a16:creationId xmlns:a16="http://schemas.microsoft.com/office/drawing/2014/main" id="{00000000-0008-0000-0B00-00005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15</xdr:row>
          <xdr:rowOff>0</xdr:rowOff>
        </xdr:from>
        <xdr:to>
          <xdr:col>20</xdr:col>
          <xdr:colOff>114300</xdr:colOff>
          <xdr:row>16</xdr:row>
          <xdr:rowOff>0</xdr:rowOff>
        </xdr:to>
        <xdr:sp macro="" textlink="">
          <xdr:nvSpPr>
            <xdr:cNvPr id="31825" name="ComboBox36" hidden="1">
              <a:extLst>
                <a:ext uri="{63B3BB69-23CF-44E3-9099-C40C66FF867C}">
                  <a14:compatExt spid="_x0000_s31825"/>
                </a:ext>
                <a:ext uri="{FF2B5EF4-FFF2-40B4-BE49-F238E27FC236}">
                  <a16:creationId xmlns:a16="http://schemas.microsoft.com/office/drawing/2014/main" id="{00000000-0008-0000-0B00-00005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16</xdr:row>
          <xdr:rowOff>0</xdr:rowOff>
        </xdr:from>
        <xdr:to>
          <xdr:col>20</xdr:col>
          <xdr:colOff>114300</xdr:colOff>
          <xdr:row>17</xdr:row>
          <xdr:rowOff>0</xdr:rowOff>
        </xdr:to>
        <xdr:sp macro="" textlink="">
          <xdr:nvSpPr>
            <xdr:cNvPr id="31826" name="ComboBox37" hidden="1">
              <a:extLst>
                <a:ext uri="{63B3BB69-23CF-44E3-9099-C40C66FF867C}">
                  <a14:compatExt spid="_x0000_s31826"/>
                </a:ext>
                <a:ext uri="{FF2B5EF4-FFF2-40B4-BE49-F238E27FC236}">
                  <a16:creationId xmlns:a16="http://schemas.microsoft.com/office/drawing/2014/main" id="{00000000-0008-0000-0B00-00005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12</xdr:row>
          <xdr:rowOff>0</xdr:rowOff>
        </xdr:from>
        <xdr:to>
          <xdr:col>20</xdr:col>
          <xdr:colOff>114300</xdr:colOff>
          <xdr:row>13</xdr:row>
          <xdr:rowOff>0</xdr:rowOff>
        </xdr:to>
        <xdr:sp macro="" textlink="">
          <xdr:nvSpPr>
            <xdr:cNvPr id="31827" name="ComboBox38" hidden="1">
              <a:extLst>
                <a:ext uri="{63B3BB69-23CF-44E3-9099-C40C66FF867C}">
                  <a14:compatExt spid="_x0000_s31827"/>
                </a:ext>
                <a:ext uri="{FF2B5EF4-FFF2-40B4-BE49-F238E27FC236}">
                  <a16:creationId xmlns:a16="http://schemas.microsoft.com/office/drawing/2014/main" id="{00000000-0008-0000-0B00-00005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84" name="Chart 1">
          <a:extLst>
            <a:ext uri="{FF2B5EF4-FFF2-40B4-BE49-F238E27FC236}">
              <a16:creationId xmlns:a16="http://schemas.microsoft.com/office/drawing/2014/main" id="{00000000-0008-0000-0800-00005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27</xdr:col>
          <xdr:colOff>0</xdr:colOff>
          <xdr:row>13</xdr:row>
          <xdr:rowOff>0</xdr:rowOff>
        </xdr:from>
        <xdr:to>
          <xdr:col>28</xdr:col>
          <xdr:colOff>152400</xdr:colOff>
          <xdr:row>14</xdr:row>
          <xdr:rowOff>0</xdr:rowOff>
        </xdr:to>
        <xdr:sp macro="" textlink="">
          <xdr:nvSpPr>
            <xdr:cNvPr id="31830" name="ComboBox10" hidden="1">
              <a:extLst>
                <a:ext uri="{63B3BB69-23CF-44E3-9099-C40C66FF867C}">
                  <a14:compatExt spid="_x0000_s31830"/>
                </a:ext>
                <a:ext uri="{FF2B5EF4-FFF2-40B4-BE49-F238E27FC236}">
                  <a16:creationId xmlns:a16="http://schemas.microsoft.com/office/drawing/2014/main" id="{00000000-0008-0000-0B00-00005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14</xdr:row>
          <xdr:rowOff>0</xdr:rowOff>
        </xdr:from>
        <xdr:to>
          <xdr:col>28</xdr:col>
          <xdr:colOff>152400</xdr:colOff>
          <xdr:row>15</xdr:row>
          <xdr:rowOff>0</xdr:rowOff>
        </xdr:to>
        <xdr:sp macro="" textlink="">
          <xdr:nvSpPr>
            <xdr:cNvPr id="31831" name="ComboBox11" hidden="1">
              <a:extLst>
                <a:ext uri="{63B3BB69-23CF-44E3-9099-C40C66FF867C}">
                  <a14:compatExt spid="_x0000_s31831"/>
                </a:ext>
                <a:ext uri="{FF2B5EF4-FFF2-40B4-BE49-F238E27FC236}">
                  <a16:creationId xmlns:a16="http://schemas.microsoft.com/office/drawing/2014/main" id="{00000000-0008-0000-0B00-00005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13</xdr:row>
          <xdr:rowOff>0</xdr:rowOff>
        </xdr:from>
        <xdr:to>
          <xdr:col>36</xdr:col>
          <xdr:colOff>142875</xdr:colOff>
          <xdr:row>14</xdr:row>
          <xdr:rowOff>0</xdr:rowOff>
        </xdr:to>
        <xdr:sp macro="" textlink="">
          <xdr:nvSpPr>
            <xdr:cNvPr id="31833" name="ComboBox12" hidden="1">
              <a:extLst>
                <a:ext uri="{63B3BB69-23CF-44E3-9099-C40C66FF867C}">
                  <a14:compatExt spid="_x0000_s31833"/>
                </a:ext>
                <a:ext uri="{FF2B5EF4-FFF2-40B4-BE49-F238E27FC236}">
                  <a16:creationId xmlns:a16="http://schemas.microsoft.com/office/drawing/2014/main" id="{00000000-0008-0000-0B00-00005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12</xdr:row>
          <xdr:rowOff>0</xdr:rowOff>
        </xdr:from>
        <xdr:to>
          <xdr:col>36</xdr:col>
          <xdr:colOff>142875</xdr:colOff>
          <xdr:row>13</xdr:row>
          <xdr:rowOff>0</xdr:rowOff>
        </xdr:to>
        <xdr:sp macro="" textlink="">
          <xdr:nvSpPr>
            <xdr:cNvPr id="31834" name="ComboBox13" hidden="1">
              <a:extLst>
                <a:ext uri="{63B3BB69-23CF-44E3-9099-C40C66FF867C}">
                  <a14:compatExt spid="_x0000_s31834"/>
                </a:ext>
                <a:ext uri="{FF2B5EF4-FFF2-40B4-BE49-F238E27FC236}">
                  <a16:creationId xmlns:a16="http://schemas.microsoft.com/office/drawing/2014/main" id="{00000000-0008-0000-0B00-00005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15</xdr:row>
          <xdr:rowOff>0</xdr:rowOff>
        </xdr:from>
        <xdr:to>
          <xdr:col>36</xdr:col>
          <xdr:colOff>142875</xdr:colOff>
          <xdr:row>16</xdr:row>
          <xdr:rowOff>0</xdr:rowOff>
        </xdr:to>
        <xdr:sp macro="" textlink="">
          <xdr:nvSpPr>
            <xdr:cNvPr id="31835" name="ComboBox16" hidden="1">
              <a:extLst>
                <a:ext uri="{63B3BB69-23CF-44E3-9099-C40C66FF867C}">
                  <a14:compatExt spid="_x0000_s31835"/>
                </a:ext>
                <a:ext uri="{FF2B5EF4-FFF2-40B4-BE49-F238E27FC236}">
                  <a16:creationId xmlns:a16="http://schemas.microsoft.com/office/drawing/2014/main" id="{00000000-0008-0000-0B00-00005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14</xdr:row>
          <xdr:rowOff>0</xdr:rowOff>
        </xdr:from>
        <xdr:to>
          <xdr:col>36</xdr:col>
          <xdr:colOff>142875</xdr:colOff>
          <xdr:row>15</xdr:row>
          <xdr:rowOff>0</xdr:rowOff>
        </xdr:to>
        <xdr:sp macro="" textlink="">
          <xdr:nvSpPr>
            <xdr:cNvPr id="31836" name="ComboBox17" hidden="1">
              <a:extLst>
                <a:ext uri="{63B3BB69-23CF-44E3-9099-C40C66FF867C}">
                  <a14:compatExt spid="_x0000_s31836"/>
                </a:ext>
                <a:ext uri="{FF2B5EF4-FFF2-40B4-BE49-F238E27FC236}">
                  <a16:creationId xmlns:a16="http://schemas.microsoft.com/office/drawing/2014/main" id="{00000000-0008-0000-0B00-00005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17</xdr:row>
          <xdr:rowOff>0</xdr:rowOff>
        </xdr:from>
        <xdr:to>
          <xdr:col>36</xdr:col>
          <xdr:colOff>142875</xdr:colOff>
          <xdr:row>18</xdr:row>
          <xdr:rowOff>0</xdr:rowOff>
        </xdr:to>
        <xdr:sp macro="" textlink="">
          <xdr:nvSpPr>
            <xdr:cNvPr id="31839" name="ComboBox18" hidden="1">
              <a:extLst>
                <a:ext uri="{63B3BB69-23CF-44E3-9099-C40C66FF867C}">
                  <a14:compatExt spid="_x0000_s31839"/>
                </a:ext>
                <a:ext uri="{FF2B5EF4-FFF2-40B4-BE49-F238E27FC236}">
                  <a16:creationId xmlns:a16="http://schemas.microsoft.com/office/drawing/2014/main" id="{00000000-0008-0000-0B00-00005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16</xdr:row>
          <xdr:rowOff>0</xdr:rowOff>
        </xdr:from>
        <xdr:to>
          <xdr:col>36</xdr:col>
          <xdr:colOff>142875</xdr:colOff>
          <xdr:row>17</xdr:row>
          <xdr:rowOff>0</xdr:rowOff>
        </xdr:to>
        <xdr:sp macro="" textlink="">
          <xdr:nvSpPr>
            <xdr:cNvPr id="31840" name="ComboBox19" hidden="1">
              <a:extLst>
                <a:ext uri="{63B3BB69-23CF-44E3-9099-C40C66FF867C}">
                  <a14:compatExt spid="_x0000_s31840"/>
                </a:ext>
                <a:ext uri="{FF2B5EF4-FFF2-40B4-BE49-F238E27FC236}">
                  <a16:creationId xmlns:a16="http://schemas.microsoft.com/office/drawing/2014/main" id="{00000000-0008-0000-0B00-00006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14</xdr:row>
          <xdr:rowOff>0</xdr:rowOff>
        </xdr:from>
        <xdr:to>
          <xdr:col>44</xdr:col>
          <xdr:colOff>152400</xdr:colOff>
          <xdr:row>15</xdr:row>
          <xdr:rowOff>0</xdr:rowOff>
        </xdr:to>
        <xdr:sp macro="" textlink="">
          <xdr:nvSpPr>
            <xdr:cNvPr id="31841" name="ComboBox20" hidden="1">
              <a:extLst>
                <a:ext uri="{63B3BB69-23CF-44E3-9099-C40C66FF867C}">
                  <a14:compatExt spid="_x0000_s31841"/>
                </a:ext>
                <a:ext uri="{FF2B5EF4-FFF2-40B4-BE49-F238E27FC236}">
                  <a16:creationId xmlns:a16="http://schemas.microsoft.com/office/drawing/2014/main" id="{00000000-0008-0000-0B00-00006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13</xdr:row>
          <xdr:rowOff>0</xdr:rowOff>
        </xdr:from>
        <xdr:to>
          <xdr:col>44</xdr:col>
          <xdr:colOff>152400</xdr:colOff>
          <xdr:row>14</xdr:row>
          <xdr:rowOff>0</xdr:rowOff>
        </xdr:to>
        <xdr:sp macro="" textlink="">
          <xdr:nvSpPr>
            <xdr:cNvPr id="31842" name="ComboBox21" hidden="1">
              <a:extLst>
                <a:ext uri="{63B3BB69-23CF-44E3-9099-C40C66FF867C}">
                  <a14:compatExt spid="_x0000_s31842"/>
                </a:ext>
                <a:ext uri="{FF2B5EF4-FFF2-40B4-BE49-F238E27FC236}">
                  <a16:creationId xmlns:a16="http://schemas.microsoft.com/office/drawing/2014/main" id="{00000000-0008-0000-0B00-00006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13</xdr:row>
          <xdr:rowOff>0</xdr:rowOff>
        </xdr:from>
        <xdr:to>
          <xdr:col>52</xdr:col>
          <xdr:colOff>152400</xdr:colOff>
          <xdr:row>14</xdr:row>
          <xdr:rowOff>0</xdr:rowOff>
        </xdr:to>
        <xdr:sp macro="" textlink="">
          <xdr:nvSpPr>
            <xdr:cNvPr id="31847" name="ComboBox22" hidden="1">
              <a:extLst>
                <a:ext uri="{63B3BB69-23CF-44E3-9099-C40C66FF867C}">
                  <a14:compatExt spid="_x0000_s31847"/>
                </a:ext>
                <a:ext uri="{FF2B5EF4-FFF2-40B4-BE49-F238E27FC236}">
                  <a16:creationId xmlns:a16="http://schemas.microsoft.com/office/drawing/2014/main" id="{00000000-0008-0000-0B00-00006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12</xdr:row>
          <xdr:rowOff>0</xdr:rowOff>
        </xdr:from>
        <xdr:to>
          <xdr:col>52</xdr:col>
          <xdr:colOff>152400</xdr:colOff>
          <xdr:row>13</xdr:row>
          <xdr:rowOff>0</xdr:rowOff>
        </xdr:to>
        <xdr:sp macro="" textlink="">
          <xdr:nvSpPr>
            <xdr:cNvPr id="31848" name="ComboBox23" hidden="1">
              <a:extLst>
                <a:ext uri="{63B3BB69-23CF-44E3-9099-C40C66FF867C}">
                  <a14:compatExt spid="_x0000_s31848"/>
                </a:ext>
                <a:ext uri="{FF2B5EF4-FFF2-40B4-BE49-F238E27FC236}">
                  <a16:creationId xmlns:a16="http://schemas.microsoft.com/office/drawing/2014/main" id="{00000000-0008-0000-0B00-000068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16</xdr:row>
          <xdr:rowOff>0</xdr:rowOff>
        </xdr:from>
        <xdr:to>
          <xdr:col>52</xdr:col>
          <xdr:colOff>152400</xdr:colOff>
          <xdr:row>17</xdr:row>
          <xdr:rowOff>0</xdr:rowOff>
        </xdr:to>
        <xdr:sp macro="" textlink="">
          <xdr:nvSpPr>
            <xdr:cNvPr id="31849" name="ComboBox24" hidden="1">
              <a:extLst>
                <a:ext uri="{63B3BB69-23CF-44E3-9099-C40C66FF867C}">
                  <a14:compatExt spid="_x0000_s31849"/>
                </a:ext>
                <a:ext uri="{FF2B5EF4-FFF2-40B4-BE49-F238E27FC236}">
                  <a16:creationId xmlns:a16="http://schemas.microsoft.com/office/drawing/2014/main" id="{00000000-0008-0000-0B00-00006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15</xdr:row>
          <xdr:rowOff>0</xdr:rowOff>
        </xdr:from>
        <xdr:to>
          <xdr:col>52</xdr:col>
          <xdr:colOff>152400</xdr:colOff>
          <xdr:row>16</xdr:row>
          <xdr:rowOff>0</xdr:rowOff>
        </xdr:to>
        <xdr:sp macro="" textlink="">
          <xdr:nvSpPr>
            <xdr:cNvPr id="31850" name="ComboBox25" hidden="1">
              <a:extLst>
                <a:ext uri="{63B3BB69-23CF-44E3-9099-C40C66FF867C}">
                  <a14:compatExt spid="_x0000_s31850"/>
                </a:ext>
                <a:ext uri="{FF2B5EF4-FFF2-40B4-BE49-F238E27FC236}">
                  <a16:creationId xmlns:a16="http://schemas.microsoft.com/office/drawing/2014/main" id="{00000000-0008-0000-0B00-00006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14</xdr:row>
          <xdr:rowOff>0</xdr:rowOff>
        </xdr:from>
        <xdr:to>
          <xdr:col>60</xdr:col>
          <xdr:colOff>152400</xdr:colOff>
          <xdr:row>15</xdr:row>
          <xdr:rowOff>0</xdr:rowOff>
        </xdr:to>
        <xdr:sp macro="" textlink="">
          <xdr:nvSpPr>
            <xdr:cNvPr id="31851" name="ComboBox26" hidden="1">
              <a:extLst>
                <a:ext uri="{63B3BB69-23CF-44E3-9099-C40C66FF867C}">
                  <a14:compatExt spid="_x0000_s31851"/>
                </a:ext>
                <a:ext uri="{FF2B5EF4-FFF2-40B4-BE49-F238E27FC236}">
                  <a16:creationId xmlns:a16="http://schemas.microsoft.com/office/drawing/2014/main" id="{00000000-0008-0000-0B00-00006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13</xdr:row>
          <xdr:rowOff>0</xdr:rowOff>
        </xdr:from>
        <xdr:to>
          <xdr:col>60</xdr:col>
          <xdr:colOff>152400</xdr:colOff>
          <xdr:row>14</xdr:row>
          <xdr:rowOff>0</xdr:rowOff>
        </xdr:to>
        <xdr:sp macro="" textlink="">
          <xdr:nvSpPr>
            <xdr:cNvPr id="31852" name="ComboBox27" hidden="1">
              <a:extLst>
                <a:ext uri="{63B3BB69-23CF-44E3-9099-C40C66FF867C}">
                  <a14:compatExt spid="_x0000_s31852"/>
                </a:ext>
                <a:ext uri="{FF2B5EF4-FFF2-40B4-BE49-F238E27FC236}">
                  <a16:creationId xmlns:a16="http://schemas.microsoft.com/office/drawing/2014/main" id="{00000000-0008-0000-0B00-00006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13</xdr:col>
      <xdr:colOff>0</xdr:colOff>
      <xdr:row>49</xdr:row>
      <xdr:rowOff>0</xdr:rowOff>
    </xdr:from>
    <xdr:to>
      <xdr:col>20</xdr:col>
      <xdr:colOff>0</xdr:colOff>
      <xdr:row>66</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6</xdr:col>
      <xdr:colOff>0</xdr:colOff>
      <xdr:row>13</xdr:row>
      <xdr:rowOff>0</xdr:rowOff>
    </xdr:from>
    <xdr:ext cx="5580000" cy="2880000"/>
    <xdr:graphicFrame>
      <xdr:nvGraphicFramePr>
        <xdr:cNvPr id="101" name="Summary Chart 1"/>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xdr:graphicFrame>
    <xdr:clientData/>
  </xdr:oneCellAnchor>
  <xdr:oneCellAnchor>
    <xdr:from>
      <xdr:col>13</xdr:col>
      <xdr:colOff>0</xdr:colOff>
      <xdr:row>13</xdr:row>
      <xdr:rowOff>0</xdr:rowOff>
    </xdr:from>
    <xdr:ext cx="5580000" cy="2880000"/>
    <xdr:graphicFrame>
      <xdr:nvGraphicFramePr>
        <xdr:cNvPr id="102" name="Summary Chart 2"/>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xdr:graphicFrame>
    <xdr:clientData/>
  </xdr:oneCellAnchor>
  <xdr:oneCellAnchor>
    <xdr:from>
      <xdr:col>6</xdr:col>
      <xdr:colOff>0</xdr:colOff>
      <xdr:row>31</xdr:row>
      <xdr:rowOff>0</xdr:rowOff>
    </xdr:from>
    <xdr:ext cx="5580000" cy="2880000"/>
    <xdr:graphicFrame>
      <xdr:nvGraphicFramePr>
        <xdr:cNvPr id="103" name="Summary Chart 3"/>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xdr:graphicFrame>
    <xdr:clientData/>
  </xdr:oneCellAnchor>
  <xdr:oneCellAnchor>
    <xdr:from>
      <xdr:col>13</xdr:col>
      <xdr:colOff>0</xdr:colOff>
      <xdr:row>31</xdr:row>
      <xdr:rowOff>0</xdr:rowOff>
    </xdr:from>
    <xdr:ext cx="5580000" cy="2880000"/>
    <xdr:graphicFrame>
      <xdr:nvGraphicFramePr>
        <xdr:cNvPr id="104" name="Summary Chart 4"/>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xdr:graphicFrame>
    <xdr:clientData/>
  </xdr:oneCellAnchor>
  <xdr:oneCellAnchor>
    <xdr:from>
      <xdr:col>6</xdr:col>
      <xdr:colOff>0</xdr:colOff>
      <xdr:row>49</xdr:row>
      <xdr:rowOff>0</xdr:rowOff>
    </xdr:from>
    <xdr:ext cx="5580000" cy="2880000"/>
    <xdr:graphicFrame>
      <xdr:nvGraphicFramePr>
        <xdr:cNvPr id="105" name="Summary Chart 5"/>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xdr:graphicFrame>
    <xdr:clientData/>
  </xdr:one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07FDF7-8D97-4DC0-A1C9-FC114C49E3B1}" name="Table3" displayName="Table3" ref="S8:S12" totalsRowShown="0" headerRowDxfId="26" dataDxfId="25">
  <autoFilter ref="S8:S12" xr:uid="{2907FDF7-8D97-4DC0-A1C9-FC114C49E3B1}"/>
  <tableColumns count="1">
    <tableColumn id="1" xr3:uid="{C0A517FA-4DA8-405A-8A27-75886F831DAA}" name="Branch Use" dataDxfId="24"/>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98082DD-C4FC-44B2-94EC-E5560AE6B3BC}" name="Table4" displayName="Table4" ref="S15:S18" totalsRowShown="0" headerRowDxfId="23" dataDxfId="22">
  <autoFilter ref="S15:S18" xr:uid="{698082DD-C4FC-44B2-94EC-E5560AE6B3BC}"/>
  <tableColumns count="1">
    <tableColumn id="1" xr3:uid="{BD931FCD-80EF-4DD2-861B-9594D53ADD3C}" name="Markings Type" dataDxfId="21"/>
  </tableColumns>
  <tableStyleInfo name="TableStyleLight1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02B6087-60A8-43AF-B9B5-A0DD6D6256B7}" name="Table7" displayName="Table7" ref="S21:S25" totalsRowShown="0" headerRowDxfId="20" dataDxfId="19">
  <autoFilter ref="S21:S25" xr:uid="{802B6087-60A8-43AF-B9B5-A0DD6D6256B7}"/>
  <tableColumns count="1">
    <tableColumn id="1" xr3:uid="{BF544742-3914-4AF0-A55C-B4C9CB6068D9}" name="Weight Category" dataDxfId="18"/>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6A8C29A-7063-4D41-A8BB-685569F6572F}" name="Table17" displayName="Table17" ref="L8:Q88" totalsRowShown="0" headerRowDxfId="17" dataDxfId="16">
  <autoFilter ref="L8:Q88" xr:uid="{66A8C29A-7063-4D41-A8BB-685569F6572F}"/>
  <tableColumns count="6">
    <tableColumn id="1" xr3:uid="{9C9FE037-420F-4C2A-AB1E-E5826C593DA8}" name="Name" dataDxfId="15"/>
    <tableColumn id="2" xr3:uid="{81B8F203-4360-45A6-B38D-BB55BC2E5B01}" name="ID" dataDxfId="14"/>
    <tableColumn id="3" xr3:uid="{6B17B50C-1FCA-49C8-AD1A-F69348BE1129}" name="City" dataDxfId="13"/>
    <tableColumn id="4" xr3:uid="{D94B42A5-7C3C-4B44-A3A1-60E7F54D4A61}" name="County" dataDxfId="12"/>
    <tableColumn id="5" xr3:uid="{30E5477A-A4F3-46F8-87C4-3BFD4C7FA49A}" name="Region" dataDxfId="11"/>
    <tableColumn id="6" xr3:uid="{B1BA599C-557A-44E3-BAD9-5683763E84E8}" name="Owner" dataDxfId="10"/>
  </tableColumns>
  <tableStyleInfo name="TableStyleLight1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443AE1F-DC5E-4988-BC5F-E9039D4E77F3}" name="Table2" displayName="Table2" ref="C2:I59" totalsRowShown="0" headerRowDxfId="9" dataDxfId="8">
  <autoFilter ref="C2:I59" xr:uid="{0443AE1F-DC5E-4988-BC5F-E9039D4E77F3}"/>
  <tableColumns count="7">
    <tableColumn id="1" xr3:uid="{0320C3D2-D545-4AAA-AB86-B4D7C5A72978}" name="Pay Item No." dataDxfId="7"/>
    <tableColumn id="2" xr3:uid="{D4D3C4FA-58C3-4253-B4CB-A9CBD39A8CF9}" name="Pay Item Description" dataDxfId="6"/>
    <tableColumn id="3" xr3:uid="{FF975955-46B4-43EE-A8F8-8175319A6A70}" name="Units" dataDxfId="5"/>
    <tableColumn id="4" xr3:uid="{919FB7D1-3DCA-4136-B75A-75038E720B92}" name="Unit Cost" dataDxfId="4"/>
    <tableColumn id="5" xr3:uid="{133B3454-FAFC-4720-989B-03C8F9272A1B}" name="Middle" dataDxfId="3"/>
    <tableColumn id="6" xr3:uid="{8C7A75C6-F0F7-4B04-98A5-DB76FB96DB9D}" name="West" dataDxfId="2"/>
    <tableColumn id="7" xr3:uid="{FB57CD44-A608-4F18-8775-65133555D0F7}" name="East" dataDxfId="1"/>
  </tableColumns>
  <tableStyleInfo name="TableStyleLight1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control" Target="../activeX/activeX9.xml"/><Relationship Id="rId3" Type="http://schemas.openxmlformats.org/officeDocument/2006/relationships/vmlDrawing" Target="../drawings/vmlDrawing1.vml"/><Relationship Id="rId7" Type="http://schemas.openxmlformats.org/officeDocument/2006/relationships/control" Target="../activeX/activeX3.xml"/><Relationship Id="rId12" Type="http://schemas.openxmlformats.org/officeDocument/2006/relationships/control" Target="../activeX/activeX8.xml"/><Relationship Id="rId2" Type="http://schemas.openxmlformats.org/officeDocument/2006/relationships/drawing" Target="../drawings/drawing1.xml"/><Relationship Id="rId16" Type="http://schemas.openxmlformats.org/officeDocument/2006/relationships/image" Target="../media/image3.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ontrol" Target="../activeX/activeX7.xml"/><Relationship Id="rId5" Type="http://schemas.openxmlformats.org/officeDocument/2006/relationships/image" Target="../media/image1.emf"/><Relationship Id="rId15" Type="http://schemas.openxmlformats.org/officeDocument/2006/relationships/control" Target="../activeX/activeX10.xml"/><Relationship Id="rId10" Type="http://schemas.openxmlformats.org/officeDocument/2006/relationships/control" Target="../activeX/activeX6.xml"/><Relationship Id="rId4" Type="http://schemas.openxmlformats.org/officeDocument/2006/relationships/control" Target="../activeX/activeX1.xml"/><Relationship Id="rId9" Type="http://schemas.openxmlformats.org/officeDocument/2006/relationships/control" Target="../activeX/activeX5.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www.tn.gov/tdot/aeronautics.html"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control" Target="../activeX/activeX11.xml"/><Relationship Id="rId7"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image" Target="../media/image5.emf"/><Relationship Id="rId9"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18.xml"/><Relationship Id="rId3" Type="http://schemas.openxmlformats.org/officeDocument/2006/relationships/vmlDrawing" Target="../drawings/vmlDrawing3.vml"/><Relationship Id="rId7" Type="http://schemas.openxmlformats.org/officeDocument/2006/relationships/control" Target="../activeX/activeX14.xml"/><Relationship Id="rId12" Type="http://schemas.openxmlformats.org/officeDocument/2006/relationships/image" Target="../media/image7.emf"/><Relationship Id="rId2" Type="http://schemas.openxmlformats.org/officeDocument/2006/relationships/drawing" Target="../drawings/drawing6.xml"/><Relationship Id="rId16" Type="http://schemas.openxmlformats.org/officeDocument/2006/relationships/control" Target="../activeX/activeX21.xml"/><Relationship Id="rId1" Type="http://schemas.openxmlformats.org/officeDocument/2006/relationships/printerSettings" Target="../printerSettings/printerSettings3.bin"/><Relationship Id="rId6" Type="http://schemas.openxmlformats.org/officeDocument/2006/relationships/control" Target="../activeX/activeX13.xml"/><Relationship Id="rId11" Type="http://schemas.openxmlformats.org/officeDocument/2006/relationships/control" Target="../activeX/activeX17.xml"/><Relationship Id="rId5" Type="http://schemas.openxmlformats.org/officeDocument/2006/relationships/image" Target="../media/image6.emf"/><Relationship Id="rId15" Type="http://schemas.openxmlformats.org/officeDocument/2006/relationships/control" Target="../activeX/activeX20.xml"/><Relationship Id="rId10" Type="http://schemas.openxmlformats.org/officeDocument/2006/relationships/control" Target="../activeX/activeX16.xml"/><Relationship Id="rId4" Type="http://schemas.openxmlformats.org/officeDocument/2006/relationships/control" Target="../activeX/activeX12.xml"/><Relationship Id="rId9" Type="http://schemas.openxmlformats.org/officeDocument/2006/relationships/control" Target="../activeX/activeX15.xml"/><Relationship Id="rId14" Type="http://schemas.openxmlformats.org/officeDocument/2006/relationships/control" Target="../activeX/activeX19.xml"/></Relationships>
</file>

<file path=xl/worksheets/_rels/sheet10.xml.rels><?xml version="1.0" encoding="UTF-8" standalone="yes"?>
<Relationships xmlns="http://schemas.openxmlformats.org/package/2006/relationships"><Relationship Id="rId13" Type="http://schemas.openxmlformats.org/officeDocument/2006/relationships/image" Target="../media/image12.emf"/><Relationship Id="rId18" Type="http://schemas.openxmlformats.org/officeDocument/2006/relationships/control" Target="../activeX/activeX29.xml"/><Relationship Id="rId26" Type="http://schemas.openxmlformats.org/officeDocument/2006/relationships/image" Target="../media/image17.emf"/><Relationship Id="rId39" Type="http://schemas.openxmlformats.org/officeDocument/2006/relationships/control" Target="../activeX/activeX46.xml"/><Relationship Id="rId21" Type="http://schemas.openxmlformats.org/officeDocument/2006/relationships/control" Target="../activeX/activeX31.xml"/><Relationship Id="rId34" Type="http://schemas.openxmlformats.org/officeDocument/2006/relationships/control" Target="../activeX/activeX41.xml"/><Relationship Id="rId42" Type="http://schemas.openxmlformats.org/officeDocument/2006/relationships/control" Target="../activeX/activeX48.xml"/><Relationship Id="rId47" Type="http://schemas.openxmlformats.org/officeDocument/2006/relationships/control" Target="../activeX/activeX52.xml"/><Relationship Id="rId50" Type="http://schemas.openxmlformats.org/officeDocument/2006/relationships/control" Target="../activeX/activeX54.xml"/><Relationship Id="rId7" Type="http://schemas.openxmlformats.org/officeDocument/2006/relationships/image" Target="../media/image9.emf"/><Relationship Id="rId2" Type="http://schemas.openxmlformats.org/officeDocument/2006/relationships/drawing" Target="../drawings/drawing7.xml"/><Relationship Id="rId16" Type="http://schemas.openxmlformats.org/officeDocument/2006/relationships/control" Target="../activeX/activeX28.xml"/><Relationship Id="rId29" Type="http://schemas.openxmlformats.org/officeDocument/2006/relationships/control" Target="../activeX/activeX37.xml"/><Relationship Id="rId11" Type="http://schemas.openxmlformats.org/officeDocument/2006/relationships/image" Target="../media/image11.emf"/><Relationship Id="rId24" Type="http://schemas.openxmlformats.org/officeDocument/2006/relationships/image" Target="../media/image16.emf"/><Relationship Id="rId32" Type="http://schemas.openxmlformats.org/officeDocument/2006/relationships/control" Target="../activeX/activeX39.xml"/><Relationship Id="rId37" Type="http://schemas.openxmlformats.org/officeDocument/2006/relationships/control" Target="../activeX/activeX44.xml"/><Relationship Id="rId40" Type="http://schemas.openxmlformats.org/officeDocument/2006/relationships/image" Target="../media/image6.emf"/><Relationship Id="rId45" Type="http://schemas.openxmlformats.org/officeDocument/2006/relationships/control" Target="../activeX/activeX50.xml"/><Relationship Id="rId5" Type="http://schemas.openxmlformats.org/officeDocument/2006/relationships/image" Target="../media/image8.emf"/><Relationship Id="rId15" Type="http://schemas.openxmlformats.org/officeDocument/2006/relationships/image" Target="../media/image13.emf"/><Relationship Id="rId23" Type="http://schemas.openxmlformats.org/officeDocument/2006/relationships/control" Target="../activeX/activeX33.xml"/><Relationship Id="rId28" Type="http://schemas.openxmlformats.org/officeDocument/2006/relationships/control" Target="../activeX/activeX36.xml"/><Relationship Id="rId36" Type="http://schemas.openxmlformats.org/officeDocument/2006/relationships/control" Target="../activeX/activeX43.xml"/><Relationship Id="rId49" Type="http://schemas.openxmlformats.org/officeDocument/2006/relationships/image" Target="../media/image1.emf"/><Relationship Id="rId10" Type="http://schemas.openxmlformats.org/officeDocument/2006/relationships/control" Target="../activeX/activeX25.xml"/><Relationship Id="rId19" Type="http://schemas.openxmlformats.org/officeDocument/2006/relationships/control" Target="../activeX/activeX30.xml"/><Relationship Id="rId31" Type="http://schemas.openxmlformats.org/officeDocument/2006/relationships/image" Target="../media/image18.emf"/><Relationship Id="rId44" Type="http://schemas.openxmlformats.org/officeDocument/2006/relationships/control" Target="../activeX/activeX49.xml"/><Relationship Id="rId4" Type="http://schemas.openxmlformats.org/officeDocument/2006/relationships/control" Target="../activeX/activeX22.xml"/><Relationship Id="rId9" Type="http://schemas.openxmlformats.org/officeDocument/2006/relationships/image" Target="../media/image10.emf"/><Relationship Id="rId14" Type="http://schemas.openxmlformats.org/officeDocument/2006/relationships/control" Target="../activeX/activeX27.xml"/><Relationship Id="rId22" Type="http://schemas.openxmlformats.org/officeDocument/2006/relationships/control" Target="../activeX/activeX32.xml"/><Relationship Id="rId27" Type="http://schemas.openxmlformats.org/officeDocument/2006/relationships/control" Target="../activeX/activeX35.xml"/><Relationship Id="rId30" Type="http://schemas.openxmlformats.org/officeDocument/2006/relationships/control" Target="../activeX/activeX38.xml"/><Relationship Id="rId35" Type="http://schemas.openxmlformats.org/officeDocument/2006/relationships/control" Target="../activeX/activeX42.xml"/><Relationship Id="rId43" Type="http://schemas.openxmlformats.org/officeDocument/2006/relationships/image" Target="../media/image7.emf"/><Relationship Id="rId48" Type="http://schemas.openxmlformats.org/officeDocument/2006/relationships/control" Target="../activeX/activeX53.xml"/><Relationship Id="rId8" Type="http://schemas.openxmlformats.org/officeDocument/2006/relationships/control" Target="../activeX/activeX24.xml"/><Relationship Id="rId51" Type="http://schemas.openxmlformats.org/officeDocument/2006/relationships/control" Target="../activeX/activeX55.xml"/><Relationship Id="rId3" Type="http://schemas.openxmlformats.org/officeDocument/2006/relationships/vmlDrawing" Target="../drawings/vmlDrawing4.vml"/><Relationship Id="rId12" Type="http://schemas.openxmlformats.org/officeDocument/2006/relationships/control" Target="../activeX/activeX26.xml"/><Relationship Id="rId17" Type="http://schemas.openxmlformats.org/officeDocument/2006/relationships/image" Target="../media/image14.emf"/><Relationship Id="rId25" Type="http://schemas.openxmlformats.org/officeDocument/2006/relationships/control" Target="../activeX/activeX34.xml"/><Relationship Id="rId33" Type="http://schemas.openxmlformats.org/officeDocument/2006/relationships/control" Target="../activeX/activeX40.xml"/><Relationship Id="rId38" Type="http://schemas.openxmlformats.org/officeDocument/2006/relationships/control" Target="../activeX/activeX45.xml"/><Relationship Id="rId46" Type="http://schemas.openxmlformats.org/officeDocument/2006/relationships/control" Target="../activeX/activeX51.xml"/><Relationship Id="rId20" Type="http://schemas.openxmlformats.org/officeDocument/2006/relationships/image" Target="../media/image15.emf"/><Relationship Id="rId41" Type="http://schemas.openxmlformats.org/officeDocument/2006/relationships/control" Target="../activeX/activeX47.xml"/><Relationship Id="rId1" Type="http://schemas.openxmlformats.org/officeDocument/2006/relationships/printerSettings" Target="../printerSettings/printerSettings4.bin"/><Relationship Id="rId6" Type="http://schemas.openxmlformats.org/officeDocument/2006/relationships/control" Target="../activeX/activeX23.xml"/></Relationships>
</file>

<file path=xl/worksheets/_rels/sheet11.xml.rels><?xml version="1.0" encoding="UTF-8" standalone="yes"?>
<Relationships xmlns="http://schemas.openxmlformats.org/package/2006/relationships"><Relationship Id="rId13" Type="http://schemas.openxmlformats.org/officeDocument/2006/relationships/control" Target="../activeX/activeX62.xml"/><Relationship Id="rId18" Type="http://schemas.openxmlformats.org/officeDocument/2006/relationships/image" Target="../media/image19.emf"/><Relationship Id="rId26" Type="http://schemas.openxmlformats.org/officeDocument/2006/relationships/image" Target="../media/image23.emf"/><Relationship Id="rId3" Type="http://schemas.openxmlformats.org/officeDocument/2006/relationships/vmlDrawing" Target="../drawings/vmlDrawing5.vml"/><Relationship Id="rId21" Type="http://schemas.openxmlformats.org/officeDocument/2006/relationships/control" Target="../activeX/activeX68.xml"/><Relationship Id="rId34" Type="http://schemas.openxmlformats.org/officeDocument/2006/relationships/image" Target="../media/image27.emf"/><Relationship Id="rId7" Type="http://schemas.openxmlformats.org/officeDocument/2006/relationships/image" Target="../media/image2.emf"/><Relationship Id="rId12" Type="http://schemas.openxmlformats.org/officeDocument/2006/relationships/control" Target="../activeX/activeX61.xml"/><Relationship Id="rId17" Type="http://schemas.openxmlformats.org/officeDocument/2006/relationships/control" Target="../activeX/activeX66.xml"/><Relationship Id="rId25" Type="http://schemas.openxmlformats.org/officeDocument/2006/relationships/control" Target="../activeX/activeX70.xml"/><Relationship Id="rId33" Type="http://schemas.openxmlformats.org/officeDocument/2006/relationships/control" Target="../activeX/activeX74.xml"/><Relationship Id="rId2" Type="http://schemas.openxmlformats.org/officeDocument/2006/relationships/drawing" Target="../drawings/drawing8.xml"/><Relationship Id="rId16" Type="http://schemas.openxmlformats.org/officeDocument/2006/relationships/control" Target="../activeX/activeX65.xml"/><Relationship Id="rId20" Type="http://schemas.openxmlformats.org/officeDocument/2006/relationships/image" Target="../media/image20.emf"/><Relationship Id="rId29" Type="http://schemas.openxmlformats.org/officeDocument/2006/relationships/control" Target="../activeX/activeX72.xml"/><Relationship Id="rId1" Type="http://schemas.openxmlformats.org/officeDocument/2006/relationships/printerSettings" Target="../printerSettings/printerSettings5.bin"/><Relationship Id="rId6" Type="http://schemas.openxmlformats.org/officeDocument/2006/relationships/control" Target="../activeX/activeX57.xml"/><Relationship Id="rId11" Type="http://schemas.openxmlformats.org/officeDocument/2006/relationships/control" Target="../activeX/activeX60.xml"/><Relationship Id="rId24" Type="http://schemas.openxmlformats.org/officeDocument/2006/relationships/image" Target="../media/image22.emf"/><Relationship Id="rId32" Type="http://schemas.openxmlformats.org/officeDocument/2006/relationships/image" Target="../media/image26.emf"/><Relationship Id="rId5" Type="http://schemas.openxmlformats.org/officeDocument/2006/relationships/image" Target="../media/image3.emf"/><Relationship Id="rId15" Type="http://schemas.openxmlformats.org/officeDocument/2006/relationships/control" Target="../activeX/activeX64.xml"/><Relationship Id="rId23" Type="http://schemas.openxmlformats.org/officeDocument/2006/relationships/control" Target="../activeX/activeX69.xml"/><Relationship Id="rId28" Type="http://schemas.openxmlformats.org/officeDocument/2006/relationships/image" Target="../media/image24.emf"/><Relationship Id="rId10" Type="http://schemas.openxmlformats.org/officeDocument/2006/relationships/control" Target="../activeX/activeX59.xml"/><Relationship Id="rId19" Type="http://schemas.openxmlformats.org/officeDocument/2006/relationships/control" Target="../activeX/activeX67.xml"/><Relationship Id="rId31" Type="http://schemas.openxmlformats.org/officeDocument/2006/relationships/control" Target="../activeX/activeX73.xml"/><Relationship Id="rId4" Type="http://schemas.openxmlformats.org/officeDocument/2006/relationships/control" Target="../activeX/activeX56.xml"/><Relationship Id="rId9" Type="http://schemas.openxmlformats.org/officeDocument/2006/relationships/image" Target="../media/image1.emf"/><Relationship Id="rId14" Type="http://schemas.openxmlformats.org/officeDocument/2006/relationships/control" Target="../activeX/activeX63.xml"/><Relationship Id="rId22" Type="http://schemas.openxmlformats.org/officeDocument/2006/relationships/image" Target="../media/image21.emf"/><Relationship Id="rId27" Type="http://schemas.openxmlformats.org/officeDocument/2006/relationships/control" Target="../activeX/activeX71.xml"/><Relationship Id="rId30" Type="http://schemas.openxmlformats.org/officeDocument/2006/relationships/image" Target="../media/image25.emf"/><Relationship Id="rId8" Type="http://schemas.openxmlformats.org/officeDocument/2006/relationships/control" Target="../activeX/activeX58.xml"/></Relationships>
</file>

<file path=xl/worksheets/_rels/sheet12.xml.rels><?xml version="1.0" encoding="UTF-8" standalone="yes"?>
<Relationships xmlns="http://schemas.openxmlformats.org/package/2006/relationships"><Relationship Id="rId13" Type="http://schemas.openxmlformats.org/officeDocument/2006/relationships/image" Target="../media/image31.emf"/><Relationship Id="rId18" Type="http://schemas.openxmlformats.org/officeDocument/2006/relationships/image" Target="../media/image33.emf"/><Relationship Id="rId26" Type="http://schemas.openxmlformats.org/officeDocument/2006/relationships/image" Target="../media/image36.emf"/><Relationship Id="rId39" Type="http://schemas.openxmlformats.org/officeDocument/2006/relationships/control" Target="../activeX/activeX99.xml"/><Relationship Id="rId21" Type="http://schemas.openxmlformats.org/officeDocument/2006/relationships/image" Target="../media/image34.emf"/><Relationship Id="rId34" Type="http://schemas.openxmlformats.org/officeDocument/2006/relationships/control" Target="../activeX/activeX95.xml"/><Relationship Id="rId42" Type="http://schemas.openxmlformats.org/officeDocument/2006/relationships/image" Target="../media/image9.emf"/><Relationship Id="rId47" Type="http://schemas.openxmlformats.org/officeDocument/2006/relationships/control" Target="../activeX/activeX105.xml"/><Relationship Id="rId7" Type="http://schemas.openxmlformats.org/officeDocument/2006/relationships/image" Target="../media/image29.emf"/><Relationship Id="rId2" Type="http://schemas.openxmlformats.org/officeDocument/2006/relationships/drawing" Target="../drawings/drawing9.xml"/><Relationship Id="rId16" Type="http://schemas.openxmlformats.org/officeDocument/2006/relationships/control" Target="../activeX/activeX82.xml"/><Relationship Id="rId29" Type="http://schemas.openxmlformats.org/officeDocument/2006/relationships/control" Target="../activeX/activeX91.xml"/><Relationship Id="rId1" Type="http://schemas.openxmlformats.org/officeDocument/2006/relationships/printerSettings" Target="../printerSettings/printerSettings6.bin"/><Relationship Id="rId6" Type="http://schemas.openxmlformats.org/officeDocument/2006/relationships/control" Target="../activeX/activeX76.xml"/><Relationship Id="rId11" Type="http://schemas.openxmlformats.org/officeDocument/2006/relationships/image" Target="../media/image30.emf"/><Relationship Id="rId24" Type="http://schemas.openxmlformats.org/officeDocument/2006/relationships/image" Target="../media/image35.emf"/><Relationship Id="rId32" Type="http://schemas.openxmlformats.org/officeDocument/2006/relationships/control" Target="../activeX/activeX93.xml"/><Relationship Id="rId37" Type="http://schemas.openxmlformats.org/officeDocument/2006/relationships/control" Target="../activeX/activeX97.xml"/><Relationship Id="rId40" Type="http://schemas.openxmlformats.org/officeDocument/2006/relationships/control" Target="../activeX/activeX100.xml"/><Relationship Id="rId45" Type="http://schemas.openxmlformats.org/officeDocument/2006/relationships/control" Target="../activeX/activeX103.xml"/><Relationship Id="rId5" Type="http://schemas.openxmlformats.org/officeDocument/2006/relationships/image" Target="../media/image28.emf"/><Relationship Id="rId15" Type="http://schemas.openxmlformats.org/officeDocument/2006/relationships/image" Target="../media/image32.emf"/><Relationship Id="rId23" Type="http://schemas.openxmlformats.org/officeDocument/2006/relationships/control" Target="../activeX/activeX87.xml"/><Relationship Id="rId28" Type="http://schemas.openxmlformats.org/officeDocument/2006/relationships/control" Target="../activeX/activeX90.xml"/><Relationship Id="rId36" Type="http://schemas.openxmlformats.org/officeDocument/2006/relationships/image" Target="../media/image6.emf"/><Relationship Id="rId10" Type="http://schemas.openxmlformats.org/officeDocument/2006/relationships/control" Target="../activeX/activeX79.xml"/><Relationship Id="rId19" Type="http://schemas.openxmlformats.org/officeDocument/2006/relationships/control" Target="../activeX/activeX84.xml"/><Relationship Id="rId31" Type="http://schemas.openxmlformats.org/officeDocument/2006/relationships/control" Target="../activeX/activeX92.xml"/><Relationship Id="rId44" Type="http://schemas.openxmlformats.org/officeDocument/2006/relationships/image" Target="../media/image8.emf"/><Relationship Id="rId4" Type="http://schemas.openxmlformats.org/officeDocument/2006/relationships/control" Target="../activeX/activeX75.xml"/><Relationship Id="rId9" Type="http://schemas.openxmlformats.org/officeDocument/2006/relationships/control" Target="../activeX/activeX78.xml"/><Relationship Id="rId14" Type="http://schemas.openxmlformats.org/officeDocument/2006/relationships/control" Target="../activeX/activeX81.xml"/><Relationship Id="rId22" Type="http://schemas.openxmlformats.org/officeDocument/2006/relationships/control" Target="../activeX/activeX86.xml"/><Relationship Id="rId27" Type="http://schemas.openxmlformats.org/officeDocument/2006/relationships/control" Target="../activeX/activeX89.xml"/><Relationship Id="rId30" Type="http://schemas.openxmlformats.org/officeDocument/2006/relationships/image" Target="../media/image37.emf"/><Relationship Id="rId35" Type="http://schemas.openxmlformats.org/officeDocument/2006/relationships/control" Target="../activeX/activeX96.xml"/><Relationship Id="rId43" Type="http://schemas.openxmlformats.org/officeDocument/2006/relationships/control" Target="../activeX/activeX102.xml"/><Relationship Id="rId48" Type="http://schemas.openxmlformats.org/officeDocument/2006/relationships/control" Target="../activeX/activeX106.xml"/><Relationship Id="rId8" Type="http://schemas.openxmlformats.org/officeDocument/2006/relationships/control" Target="../activeX/activeX77.xml"/><Relationship Id="rId3" Type="http://schemas.openxmlformats.org/officeDocument/2006/relationships/vmlDrawing" Target="../drawings/vmlDrawing6.vml"/><Relationship Id="rId12" Type="http://schemas.openxmlformats.org/officeDocument/2006/relationships/control" Target="../activeX/activeX80.xml"/><Relationship Id="rId17" Type="http://schemas.openxmlformats.org/officeDocument/2006/relationships/control" Target="../activeX/activeX83.xml"/><Relationship Id="rId25" Type="http://schemas.openxmlformats.org/officeDocument/2006/relationships/control" Target="../activeX/activeX88.xml"/><Relationship Id="rId33" Type="http://schemas.openxmlformats.org/officeDocument/2006/relationships/control" Target="../activeX/activeX94.xml"/><Relationship Id="rId38" Type="http://schemas.openxmlformats.org/officeDocument/2006/relationships/control" Target="../activeX/activeX98.xml"/><Relationship Id="rId46" Type="http://schemas.openxmlformats.org/officeDocument/2006/relationships/control" Target="../activeX/activeX104.xml"/><Relationship Id="rId20" Type="http://schemas.openxmlformats.org/officeDocument/2006/relationships/control" Target="../activeX/activeX85.xml"/><Relationship Id="rId41" Type="http://schemas.openxmlformats.org/officeDocument/2006/relationships/control" Target="../activeX/activeX10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D9F52-CE8D-4EE2-B93B-8221A152125C}">
  <sheetPr codeName="Sheet18">
    <tabColor theme="0" tint="-0.34998626667073579"/>
  </sheetPr>
  <dimension ref="A1:X68"/>
  <sheetViews>
    <sheetView zoomScale="80" zoomScaleNormal="80" workbookViewId="0">
      <selection activeCell="B42" sqref="B42"/>
    </sheetView>
  </sheetViews>
  <sheetFormatPr defaultRowHeight="15" x14ac:dyDescent="0.25"/>
  <cols>
    <col min="2" max="2" width="19.7109375" customWidth="1"/>
    <col min="3" max="3" width="41.7109375" customWidth="1"/>
    <col min="5" max="5" width="33.7109375" bestFit="1" customWidth="1"/>
    <col min="6" max="6" width="20.7109375" customWidth="1"/>
    <col min="7" max="7" width="21.5703125" customWidth="1"/>
    <col min="9" max="9" width="9.140625" hidden="1" customWidth="1"/>
    <col min="10" max="11" width="13.28515625" style="61" hidden="1" customWidth="1"/>
    <col min="12" max="12" width="33.85546875" style="109" hidden="1" customWidth="1"/>
    <col min="13" max="13" width="16" style="61" hidden="1" customWidth="1"/>
    <col min="14" max="16" width="13.28515625" style="61" hidden="1" customWidth="1"/>
    <col min="17" max="17" width="3.5703125" hidden="1" customWidth="1"/>
    <col min="18" max="19" width="13.28515625" hidden="1" customWidth="1"/>
    <col min="20" max="20" width="41.28515625" hidden="1" customWidth="1"/>
    <col min="21" max="22" width="13.28515625" hidden="1" customWidth="1"/>
    <col min="23" max="23" width="10" hidden="1" customWidth="1"/>
    <col min="24" max="24" width="10.28515625" hidden="1" customWidth="1"/>
    <col min="25" max="26" width="0" hidden="1" customWidth="1"/>
  </cols>
  <sheetData>
    <row r="1" spans="1:24" x14ac:dyDescent="0.25">
      <c r="C1" t="str">
        <f>Pay_Items!D55</f>
        <v>Joint Clean and Reseal, Concrete</v>
      </c>
      <c r="I1" t="s">
        <v>248</v>
      </c>
    </row>
    <row r="2" spans="1:24" x14ac:dyDescent="0.25">
      <c r="A2" s="4" t="s">
        <v>504</v>
      </c>
      <c r="E2" s="95" t="s">
        <v>615</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77</v>
      </c>
    </row>
    <row r="3" spans="1:24" x14ac:dyDescent="0.25">
      <c r="E3" s="97"/>
      <c r="F3" s="98"/>
    </row>
    <row r="4" spans="1:24" x14ac:dyDescent="0.25">
      <c r="A4" t="s">
        <v>263</v>
      </c>
      <c r="C4" s="45" t="s">
        <v>487</v>
      </c>
      <c r="E4" s="97" t="s">
        <v>600</v>
      </c>
      <c r="F4" s="112">
        <f>ROUNDUP(C5*550/(50*100/9)/10000,0)+ROUNDUP(C5*'Maintenance Policies'!D38/10000,0)+ROUNDUP(C5*'Maintenance Policies'!D39/5000,0)+ROUNDUP(C5*'Maintenance Policies'!D40/5000,0)</f>
        <v>0</v>
      </c>
    </row>
    <row r="5" spans="1:24" x14ac:dyDescent="0.25">
      <c r="A5" t="s">
        <v>346</v>
      </c>
      <c r="C5">
        <f>'General Information'!D26</f>
        <v>0</v>
      </c>
      <c r="D5" t="s">
        <v>6</v>
      </c>
      <c r="E5" s="99" t="s">
        <v>604</v>
      </c>
      <c r="F5" s="113">
        <f>ROUNDUP(C5*550/(50*100/9)/10000,0)+ROUNDUP(C5*'Maintenance Policies'!D44/10000,0)+ROUNDUP(C5*'Maintenance Policies'!D43/5000,0)+ROUNDUP(C5*'Maintenance Policies'!D42/5000,0)+ROUNDUP(C5*'Maintenance Policies'!D41/1000,0)+7</f>
        <v>0</v>
      </c>
    </row>
    <row r="6" spans="1:24" x14ac:dyDescent="0.25">
      <c r="A6" t="s">
        <v>262</v>
      </c>
      <c r="C6">
        <f>'General Information'!D25</f>
        <v>0</v>
      </c>
    </row>
    <row r="7" spans="1:24" x14ac:dyDescent="0.25">
      <c r="A7" t="s">
        <v>345</v>
      </c>
      <c r="C7">
        <f>'General Information'!D28</f>
        <v>0</v>
      </c>
      <c r="D7" t="s">
        <v>12</v>
      </c>
      <c r="J7" s="61" t="s">
        <v>351</v>
      </c>
      <c r="K7" s="64">
        <f>C5/((12.5*12.5)/9)</f>
        <v>0</v>
      </c>
    </row>
    <row r="8" spans="1:24" x14ac:dyDescent="0.25">
      <c r="C8" s="44"/>
      <c r="J8" s="61" t="s">
        <v>352</v>
      </c>
      <c r="K8" s="61">
        <f>K7*25+((K7/8)*12.5)</f>
        <v>0</v>
      </c>
    </row>
    <row r="9" spans="1:24" x14ac:dyDescent="0.25">
      <c r="C9" s="44"/>
    </row>
    <row r="10" spans="1:24" x14ac:dyDescent="0.25">
      <c r="C10" s="44"/>
    </row>
    <row r="12" spans="1:24" x14ac:dyDescent="0.25">
      <c r="A12" t="s">
        <v>344</v>
      </c>
      <c r="B12" t="s">
        <v>264</v>
      </c>
      <c r="C12" t="s">
        <v>265</v>
      </c>
      <c r="D12" t="s">
        <v>319</v>
      </c>
      <c r="E12" t="s">
        <v>322</v>
      </c>
      <c r="F12" t="s">
        <v>320</v>
      </c>
      <c r="G12" t="s">
        <v>321</v>
      </c>
      <c r="J12" s="61" t="s">
        <v>344</v>
      </c>
      <c r="K12" s="61" t="s">
        <v>264</v>
      </c>
      <c r="L12" s="109"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IF(C13="",0,VLOOKUP(C13,CHOOSE({1,2},Table2[Pay Item Description],Table2[Pay Item No.]),2,0))</f>
        <v>0</v>
      </c>
      <c r="C13" s="70" t="s">
        <v>481</v>
      </c>
      <c r="D13" s="3" t="str">
        <f>IF(C13="","N/A",VLOOKUP(C13,CHOOSE({1,2},Table2[Pay Item Description],Table2[Units]),2,0))</f>
        <v>N/A</v>
      </c>
      <c r="E13" s="77"/>
      <c r="F13" s="75" t="str">
        <f>IF(C13="","N/A",VLOOKUP(C13,CHOOSE({1,2},Table2[Pay Item Description],Table2[Unit Cost]),2,0))</f>
        <v>N/A</v>
      </c>
      <c r="G13" s="72">
        <f t="shared" ref="G13:G17" si="0">IF(B13&lt;&gt;0,F13*E13,0)</f>
        <v>0</v>
      </c>
      <c r="I13" t="str">
        <f>Pay_Items!D55</f>
        <v>Joint Clean and Reseal, Concrete</v>
      </c>
      <c r="J13" s="61">
        <v>1</v>
      </c>
      <c r="K13" s="61" t="str">
        <f>IF(L13="",0,VLOOKUP(L13,CHOOSE({1,2},Table2[Pay Item Description],Table2[Pay Item No.]),2,0))</f>
        <v>P-605-5.1a</v>
      </c>
      <c r="L13" s="109" t="str">
        <f>Pay_Items!D55</f>
        <v>Joint Clean and Reseal, Concrete</v>
      </c>
      <c r="M13" s="61" t="str">
        <f>IF(L13="","N/A",VLOOKUP(L13,CHOOSE({1,2},Table2[Pay Item Description],Table2[Units]),2,0))</f>
        <v>L.F.</v>
      </c>
      <c r="N13" s="65">
        <f>K8*'Maintenance Policies'!D37</f>
        <v>0</v>
      </c>
      <c r="O13" s="68">
        <f>IF(L13="","N/A",VLOOKUP(L13,CHOOSE({1,2},Table2[Pay Item Description],Table2[Unit Cost]),2,0))</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IF(T13="","N/A",VLOOKUP(T13,CHOOSE({1,2},Table2[Pay Item Description],Table2[Unit Cost]),2,0))</f>
        <v>100</v>
      </c>
      <c r="X13" s="46">
        <f>W13*V13</f>
        <v>0</v>
      </c>
    </row>
    <row r="14" spans="1:24" ht="19.5" customHeight="1" x14ac:dyDescent="0.25">
      <c r="A14">
        <v>2</v>
      </c>
      <c r="B14" s="71">
        <f>IF(C14="",0,VLOOKUP(C14,CHOOSE({1,2},Table2[Pay Item Description],Table2[Pay Item No.]),2,0))</f>
        <v>0</v>
      </c>
      <c r="C14" s="70"/>
      <c r="D14" s="3" t="str">
        <f>IF(C14="","N/A",VLOOKUP(C14,CHOOSE({1,2},Table2[Pay Item Description],Table2[Units]),2,0))</f>
        <v>N/A</v>
      </c>
      <c r="E14" s="77"/>
      <c r="F14" s="75" t="str">
        <f>IF(C14="","N/A",VLOOKUP(C14,CHOOSE({1,2},Table2[Pay Item Description],Table2[Unit Cost]),2,0))</f>
        <v>N/A</v>
      </c>
      <c r="G14" s="72">
        <f t="shared" si="0"/>
        <v>0</v>
      </c>
      <c r="J14" s="61">
        <v>2</v>
      </c>
      <c r="K14" s="61" t="str">
        <f>VLOOKUP(L14,CHOOSE({1,2},Table2[Pay Item Description],Table2[Pay Item No.]),2,0)</f>
        <v>P-101-5.2c</v>
      </c>
      <c r="L14" s="109" t="str">
        <f>Pay_Items!D8</f>
        <v>Crack Seal, Concrete</v>
      </c>
      <c r="M14" s="61" t="str">
        <f>IF(L14="","N/A",VLOOKUP(L14,CHOOSE({1,2},Table2[Pay Item Description],Table2[Units]),2,0))</f>
        <v>L.F.</v>
      </c>
      <c r="N14" s="65">
        <f>'Maintenance Policies'!D38*(C5*9)</f>
        <v>0</v>
      </c>
      <c r="O14" s="68">
        <f>IF(L14="","N/A",VLOOKUP(L14,CHOOSE({1,2},Table2[Pay Item Description],Table2[Unit Cost]),2,0))</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IF(T14="","N/A",VLOOKUP(T14,CHOOSE({1,2},Table2[Pay Item Description],Table2[Unit Cost]),2,0))</f>
        <v>120</v>
      </c>
      <c r="X14" s="46">
        <f>W14*V14</f>
        <v>0</v>
      </c>
    </row>
    <row r="15" spans="1:24" ht="19.5" customHeight="1" x14ac:dyDescent="0.25">
      <c r="A15">
        <v>3</v>
      </c>
      <c r="B15" s="71">
        <f>IF(C15="",0,VLOOKUP(C15,CHOOSE({1,2},Table2[Pay Item Description],Table2[Pay Item No.]),2,0))</f>
        <v>0</v>
      </c>
      <c r="C15" s="70"/>
      <c r="D15" s="3" t="str">
        <f>IF(C15="","N/A",VLOOKUP(C15,CHOOSE({1,2},Table2[Pay Item Description],Table2[Units]),2,0))</f>
        <v>N/A</v>
      </c>
      <c r="E15" s="77"/>
      <c r="F15" s="75" t="str">
        <f>IF(C15="","N/A",VLOOKUP(C15,CHOOSE({1,2},Table2[Pay Item Description],Table2[Unit Cost]),2,0))</f>
        <v>N/A</v>
      </c>
      <c r="G15" s="72">
        <f t="shared" si="0"/>
        <v>0</v>
      </c>
      <c r="J15" s="61">
        <v>3</v>
      </c>
      <c r="K15" s="61" t="str">
        <f>VLOOKUP(L15,CHOOSE({1,2},Table2[Pay Item Description],Table2[Pay Item No.]),2,0)</f>
        <v>P-101-5.5a</v>
      </c>
      <c r="L15" s="109" t="str">
        <f>Pay_Items!D13</f>
        <v>Spall Repair, Concrete</v>
      </c>
      <c r="M15" s="61" t="str">
        <f>IF(L15="","N/A",VLOOKUP(L15,CHOOSE({1,2},Table2[Pay Item Description],Table2[Units]),2,0))</f>
        <v>S.F.</v>
      </c>
      <c r="N15" s="65">
        <f>'Maintenance Policies'!D39*(C5*9)</f>
        <v>0</v>
      </c>
      <c r="O15" s="68">
        <f>IF(L15="","N/A",VLOOKUP(L15,CHOOSE({1,2},Table2[Pay Item Description],Table2[Unit Cost]),2,0))</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IF(T15="","N/A",VLOOKUP(T15,CHOOSE({1,2},Table2[Pay Item Description],Table2[Unit Cost]),2,0))</f>
        <v>60</v>
      </c>
      <c r="X15" s="46">
        <f>W15*V15</f>
        <v>0</v>
      </c>
    </row>
    <row r="16" spans="1:24" ht="19.5" customHeight="1" x14ac:dyDescent="0.25">
      <c r="A16">
        <v>4</v>
      </c>
      <c r="B16" s="71">
        <f>IF(C16="",0,VLOOKUP(C16,CHOOSE({1,2},Table2[Pay Item Description],Table2[Pay Item No.]),2,0))</f>
        <v>0</v>
      </c>
      <c r="C16" s="70"/>
      <c r="D16" s="3" t="str">
        <f>IF(C16="","N/A",VLOOKUP(C16,CHOOSE({1,2},Table2[Pay Item Description],Table2[Units]),2,0))</f>
        <v>N/A</v>
      </c>
      <c r="E16" s="77"/>
      <c r="F16" s="75" t="str">
        <f>IF(C16="","N/A",VLOOKUP(C16,CHOOSE({1,2},Table2[Pay Item Description],Table2[Unit Cost]),2,0))</f>
        <v>N/A</v>
      </c>
      <c r="G16" s="72">
        <f t="shared" si="0"/>
        <v>0</v>
      </c>
      <c r="J16" s="61">
        <v>4</v>
      </c>
      <c r="K16" s="61" t="str">
        <f>VLOOKUP(L16,CHOOSE({1,2},Table2[Pay Item Description],Table2[Pay Item No.]),2,0)</f>
        <v>P-101-5.5b</v>
      </c>
      <c r="L16" s="109" t="str">
        <f>Pay_Items!D14</f>
        <v>Full-Depth Repair, Concrete</v>
      </c>
      <c r="M16" s="61" t="str">
        <f>IF(L16="","N/A",VLOOKUP(L16,CHOOSE({1,2},Table2[Pay Item Description],Table2[Units]),2,0))</f>
        <v>S.Y.</v>
      </c>
      <c r="N16" s="65">
        <f>'Maintenance Policies'!D40*C5</f>
        <v>0</v>
      </c>
      <c r="O16" s="68">
        <f>IF(L16="","N/A",VLOOKUP(L16,CHOOSE({1,2},Table2[Pay Item Description],Table2[Unit Cost]),2,0))</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IF(T16="","N/A",VLOOKUP(T16,CHOOSE({1,2},Table2[Pay Item Description],Table2[Unit Cost]),2,0))</f>
        <v>8</v>
      </c>
      <c r="X16" s="46">
        <f>W16*V16</f>
        <v>0</v>
      </c>
    </row>
    <row r="17" spans="1:24" ht="19.5" customHeight="1" x14ac:dyDescent="0.25">
      <c r="A17">
        <v>5</v>
      </c>
      <c r="B17" s="71">
        <f>IF(C17="",0,VLOOKUP(C17,CHOOSE({1,2},Table2[Pay Item Description],Table2[Pay Item No.]),2,0))</f>
        <v>0</v>
      </c>
      <c r="C17" s="70"/>
      <c r="D17" s="3" t="str">
        <f>IF(C17="","N/A",VLOOKUP(C17,CHOOSE({1,2},Table2[Pay Item Description],Table2[Units]),2,0))</f>
        <v>N/A</v>
      </c>
      <c r="E17" s="77"/>
      <c r="F17" s="75" t="str">
        <f>IF(C17="","N/A",VLOOKUP(C17,CHOOSE({1,2},Table2[Pay Item Description],Table2[Unit Cost]),2,0))</f>
        <v>N/A</v>
      </c>
      <c r="G17" s="72">
        <f t="shared" si="0"/>
        <v>0</v>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IF(T17="","N/A",VLOOKUP(T17,CHOOSE({1,2},Table2[Pay Item Description],Table2[Unit Cost]),2,0))</f>
        <v>7</v>
      </c>
      <c r="X17" s="46">
        <f>W17*V17</f>
        <v>0</v>
      </c>
    </row>
    <row r="18" spans="1:24" ht="19.5" customHeight="1" x14ac:dyDescent="0.25">
      <c r="A18">
        <v>6</v>
      </c>
      <c r="B18" s="71">
        <f>IF(C18="",0,VLOOKUP(C18,CHOOSE({1,2},Table2[Pay Item Description],Table2[Pay Item No.]),2,0))</f>
        <v>0</v>
      </c>
      <c r="C18" s="70"/>
      <c r="D18" s="3" t="str">
        <f>IF(C18="","N/A",VLOOKUP(C18,CHOOSE({1,2},Table2[Pay Item Description],Table2[Units]),2,0))</f>
        <v>N/A</v>
      </c>
      <c r="E18" s="77"/>
      <c r="F18" s="75" t="str">
        <f>IF(C18="","N/A",VLOOKUP(C18,CHOOSE({1,2},Table2[Pay Item Description],Table2[Unit Cost]),2,0))</f>
        <v>N/A</v>
      </c>
      <c r="G18" s="72">
        <f>IF(B18&lt;&gt;0,F18*E18,0)</f>
        <v>0</v>
      </c>
      <c r="L18" s="109" t="s">
        <v>9</v>
      </c>
      <c r="P18" s="63">
        <f>('General Information'!$D$36/100)*P17</f>
        <v>0</v>
      </c>
      <c r="W18" t="s">
        <v>348</v>
      </c>
      <c r="X18" s="46">
        <f>SUM(X13:X17)</f>
        <v>0</v>
      </c>
    </row>
    <row r="19" spans="1:24" ht="19.5" customHeight="1" x14ac:dyDescent="0.25">
      <c r="A19">
        <v>7</v>
      </c>
      <c r="B19" s="71">
        <f>IF(C19="",0,VLOOKUP(C19,CHOOSE({1,2},Table2[Pay Item Description],Table2[Pay Item No.]),2,0))</f>
        <v>0</v>
      </c>
      <c r="C19" s="70"/>
      <c r="D19" s="3" t="str">
        <f>IF(C19="","N/A",VLOOKUP(C19,CHOOSE({1,2},Table2[Pay Item Description],Table2[Units]),2,0))</f>
        <v>N/A</v>
      </c>
      <c r="E19" s="77"/>
      <c r="F19" s="75" t="str">
        <f>IF(C19="","N/A",VLOOKUP(C19,CHOOSE({1,2},Table2[Pay Item Description],Table2[Unit Cost]),2,0))</f>
        <v>N/A</v>
      </c>
      <c r="G19" s="72">
        <f t="shared" ref="G19:G22" si="1">IF(B19&lt;&gt;0,F19*E19,0)</f>
        <v>0</v>
      </c>
      <c r="L19" s="109" t="s">
        <v>323</v>
      </c>
      <c r="P19" s="63">
        <f>('General Information'!$D$37/100)*P17</f>
        <v>0</v>
      </c>
      <c r="T19" t="s">
        <v>9</v>
      </c>
      <c r="X19" s="46">
        <f>('General Information'!$D$36/100)*X18</f>
        <v>0</v>
      </c>
    </row>
    <row r="20" spans="1:24" ht="19.5" customHeight="1" x14ac:dyDescent="0.25">
      <c r="A20">
        <v>8</v>
      </c>
      <c r="B20" s="71">
        <f>IF(C20="",0,VLOOKUP(C20,CHOOSE({1,2},Table2[Pay Item Description],Table2[Pay Item No.]),2,0))</f>
        <v>0</v>
      </c>
      <c r="C20" s="70"/>
      <c r="D20" s="3" t="str">
        <f>IF(C20="","N/A",VLOOKUP(C20,CHOOSE({1,2},Table2[Pay Item Description],Table2[Units]),2,0))</f>
        <v>N/A</v>
      </c>
      <c r="E20" s="77"/>
      <c r="F20" s="75" t="str">
        <f>IF(C20="","N/A",VLOOKUP(C20,CHOOSE({1,2},Table2[Pay Item Description],Table2[Unit Cost]),2,0))</f>
        <v>N/A</v>
      </c>
      <c r="G20" s="72">
        <f t="shared" si="1"/>
        <v>0</v>
      </c>
      <c r="O20" s="61" t="s">
        <v>349</v>
      </c>
      <c r="P20" s="63">
        <f>SUM(P17:P19)</f>
        <v>0</v>
      </c>
      <c r="T20" t="s">
        <v>323</v>
      </c>
      <c r="X20" s="46">
        <f>('General Information'!$D$37/100)*X18</f>
        <v>0</v>
      </c>
    </row>
    <row r="21" spans="1:24" ht="19.5" customHeight="1" x14ac:dyDescent="0.25">
      <c r="A21">
        <v>9</v>
      </c>
      <c r="B21" s="71">
        <f>IF(C21="",0,VLOOKUP(C21,CHOOSE({1,2},Table2[Pay Item Description],Table2[Pay Item No.]),2,0))</f>
        <v>0</v>
      </c>
      <c r="C21" s="70"/>
      <c r="D21" s="3" t="str">
        <f>IF(C21="","N/A",VLOOKUP(C21,CHOOSE({1,2},Table2[Pay Item Description],Table2[Units]),2,0))</f>
        <v>N/A</v>
      </c>
      <c r="E21" s="77"/>
      <c r="F21" s="75" t="str">
        <f>IF(C21="","N/A",VLOOKUP(C21,CHOOSE({1,2},Table2[Pay Item Description],Table2[Unit Cost]),2,0))</f>
        <v>N/A</v>
      </c>
      <c r="G21" s="72">
        <f t="shared" si="1"/>
        <v>0</v>
      </c>
      <c r="W21" t="s">
        <v>349</v>
      </c>
      <c r="X21" s="46">
        <f>SUM(X18:X20)</f>
        <v>0</v>
      </c>
    </row>
    <row r="22" spans="1:24" ht="19.5" customHeight="1" x14ac:dyDescent="0.25">
      <c r="A22">
        <v>10</v>
      </c>
      <c r="B22" s="71">
        <f>IF(C22="",0,VLOOKUP(C22,CHOOSE({1,2},Table2[Pay Item Description],Table2[Pay Item No.]),2,0))</f>
        <v>0</v>
      </c>
      <c r="C22" s="70"/>
      <c r="D22" s="3" t="str">
        <f>IF(C22="","N/A",VLOOKUP(C22,CHOOSE({1,2},Table2[Pay Item Description],Table2[Units]),2,0))</f>
        <v>N/A</v>
      </c>
      <c r="E22" s="77"/>
      <c r="F22" s="75" t="str">
        <f>IF(C22="","N/A",VLOOKUP(C22,CHOOSE({1,2},Table2[Pay Item Description],Table2[Unit Cost]),2,0))</f>
        <v>N/A</v>
      </c>
      <c r="G22" s="72">
        <f t="shared" si="1"/>
        <v>0</v>
      </c>
    </row>
    <row r="23" spans="1:24" x14ac:dyDescent="0.25">
      <c r="G23" s="46"/>
    </row>
    <row r="24" spans="1:24" x14ac:dyDescent="0.25">
      <c r="A24" t="s">
        <v>348</v>
      </c>
      <c r="G24" s="72">
        <f>SUM(G13:G22)</f>
        <v>0</v>
      </c>
    </row>
    <row r="25" spans="1:24" x14ac:dyDescent="0.25">
      <c r="B25" t="s">
        <v>9</v>
      </c>
      <c r="G25" s="72">
        <f>('General Information'!$D$36/100)*G24</f>
        <v>0</v>
      </c>
    </row>
    <row r="26" spans="1:24" x14ac:dyDescent="0.25">
      <c r="B26" t="s">
        <v>323</v>
      </c>
      <c r="G26" s="72">
        <f>('General Information'!$D$37/100)*G24</f>
        <v>0</v>
      </c>
    </row>
    <row r="27" spans="1:24" s="4" customFormat="1" x14ac:dyDescent="0.25">
      <c r="A27" s="4" t="s">
        <v>349</v>
      </c>
      <c r="G27" s="93">
        <f>SUM(G24:G26)</f>
        <v>0</v>
      </c>
      <c r="J27" s="62"/>
      <c r="K27" s="62"/>
      <c r="L27" s="110"/>
      <c r="M27" s="62"/>
      <c r="N27" s="62"/>
      <c r="O27" s="62"/>
      <c r="P27" s="62"/>
    </row>
    <row r="33" spans="1:14" x14ac:dyDescent="0.25">
      <c r="A33" s="4" t="s">
        <v>328</v>
      </c>
    </row>
    <row r="34" spans="1:14" x14ac:dyDescent="0.25">
      <c r="A34" s="4" t="s">
        <v>506</v>
      </c>
      <c r="I34" t="s">
        <v>248</v>
      </c>
    </row>
    <row r="35" spans="1:14" ht="15.75" thickBot="1" x14ac:dyDescent="0.3"/>
    <row r="36" spans="1:14" ht="27" thickTop="1" thickBot="1" x14ac:dyDescent="0.3">
      <c r="B36" s="53" t="s">
        <v>326</v>
      </c>
      <c r="C36" s="54" t="s">
        <v>259</v>
      </c>
      <c r="D36" s="54" t="s">
        <v>327</v>
      </c>
      <c r="E36" s="55" t="s">
        <v>350</v>
      </c>
    </row>
    <row r="37" spans="1:14" ht="15.75" thickTop="1" x14ac:dyDescent="0.25">
      <c r="B37" s="51" t="s">
        <v>325</v>
      </c>
      <c r="C37" s="56">
        <f>C6</f>
        <v>0</v>
      </c>
      <c r="D37" s="59">
        <f>G27</f>
        <v>0</v>
      </c>
      <c r="E37" s="52">
        <f>D37</f>
        <v>0</v>
      </c>
      <c r="K37" s="61" t="s">
        <v>473</v>
      </c>
      <c r="L37" s="109" t="s">
        <v>616</v>
      </c>
      <c r="M37" s="61" t="s">
        <v>617</v>
      </c>
      <c r="N37" s="61" t="s">
        <v>619</v>
      </c>
    </row>
    <row r="38" spans="1:14" x14ac:dyDescent="0.25">
      <c r="B38" s="48" t="s">
        <v>67</v>
      </c>
      <c r="C38" s="57">
        <f>'Maintenance Policies'!E37</f>
        <v>19</v>
      </c>
      <c r="D38" s="58">
        <f>P20</f>
        <v>0</v>
      </c>
      <c r="E38" s="47">
        <f>IF(C38&gt;'General Information'!$D$33,0,D38/(1+('General Information'!$D$34/100))^C38)</f>
        <v>0</v>
      </c>
      <c r="K38" s="61">
        <f>C6</f>
        <v>0</v>
      </c>
      <c r="L38" s="109">
        <f>IF(K38-$C$6&gt;'General Information'!$D$33,0,IF(K38=$C$6,$D$37,0)+SUMIFS($D$38:$D$42,$C$38:$C$42,K38-$C$6,$B$38:$B$42,"&lt;&gt;*Indirect*"))</f>
        <v>0</v>
      </c>
      <c r="M38" s="109">
        <f>IF(K38-$C$6&gt;'General Information'!$D$33,0,SUMIFS($D$38:$D$42,$C$38:$C$42,K38-$C$6,$B$38:$B$42,"*Indirect*"))</f>
        <v>0</v>
      </c>
      <c r="N38" s="109">
        <f>IF(K38-$C$6&gt;'General Information'!$D$33,0,IF(K38=$C$6,$E$37,0)+SUMIF($C$38:$C$42,K38-$C$6,$E$38:$E$42))</f>
        <v>0</v>
      </c>
    </row>
    <row r="39" spans="1:14" ht="25.5" x14ac:dyDescent="0.25">
      <c r="B39" s="48" t="s">
        <v>607</v>
      </c>
      <c r="C39" s="57">
        <f>'Maintenance Policies'!E37</f>
        <v>19</v>
      </c>
      <c r="D39" s="58" t="e">
        <f>F2*F4</f>
        <v>#N/A</v>
      </c>
      <c r="E39" s="47" t="e">
        <f>IF(C39&gt;'General Information'!$D$33,0,D39/(1+('General Information'!$D$34/100))^C39)</f>
        <v>#N/A</v>
      </c>
      <c r="K39" s="61">
        <f>K38+1</f>
        <v>1</v>
      </c>
      <c r="L39" s="109">
        <f>IF(K39-$C$6&gt;'General Information'!$D$33,0,IF(K39=$C$6,$D$37,0)+SUMIFS($D$38:$D$42,$C$38:$C$42,K39-$C$6,$B$38:$B$42,"&lt;&gt;*Indirect*"))</f>
        <v>0</v>
      </c>
      <c r="M39" s="109">
        <f>IF(K39-$C$6&gt;'General Information'!$D$33,0,SUMIFS($D$38:$D$42,$C$38:$C$42,K39-$C$6,$B$38:$B$42,"*Indirect*"))</f>
        <v>0</v>
      </c>
      <c r="N39" s="109">
        <f>IF(K39-$C$6&gt;'General Information'!$D$33,0,IF(K39=$C$6,$E$37,0)+SUMIF($C$38:$C$42,K39-$C$6,$E$38:$E$42))</f>
        <v>0</v>
      </c>
    </row>
    <row r="40" spans="1:14" x14ac:dyDescent="0.25">
      <c r="B40" s="48" t="s">
        <v>77</v>
      </c>
      <c r="C40" s="57">
        <f>'Maintenance Policies'!E41</f>
        <v>27</v>
      </c>
      <c r="D40" s="58">
        <f>X21</f>
        <v>0</v>
      </c>
      <c r="E40" s="47">
        <f>IF(C40&gt;'General Information'!$D$33,0,D40/(1+('General Information'!$D$34/100))^C40)</f>
        <v>0</v>
      </c>
      <c r="K40" s="61">
        <f t="shared" ref="K40:K68" si="2">K39+1</f>
        <v>2</v>
      </c>
      <c r="L40" s="109">
        <f>IF(K40-$C$6&gt;'General Information'!$D$33,0,IF(K40=$C$6,$D$37,0)+SUMIFS($D$38:$D$42,$C$38:$C$42,K40-$C$6,$B$38:$B$42,"&lt;&gt;*Indirect*"))</f>
        <v>0</v>
      </c>
      <c r="M40" s="109">
        <f>IF(K40-$C$6&gt;'General Information'!$D$33,0,SUMIFS($D$38:$D$42,$C$38:$C$42,K40-$C$6,$B$38:$B$42,"*Indirect*"))</f>
        <v>0</v>
      </c>
      <c r="N40" s="109">
        <f>IF(K40-$C$6&gt;'General Information'!$D$33,0,IF(K40=$C$6,$E$37,0)+SUMIF($C$38:$C$42,K40-$C$6,$E$38:$E$42))</f>
        <v>0</v>
      </c>
    </row>
    <row r="41" spans="1:14" ht="25.5" x14ac:dyDescent="0.25">
      <c r="B41" s="48" t="s">
        <v>610</v>
      </c>
      <c r="C41" s="57">
        <f>'Maintenance Policies'!E41</f>
        <v>27</v>
      </c>
      <c r="D41" s="58" t="e">
        <f>F2*F5</f>
        <v>#N/A</v>
      </c>
      <c r="E41" s="47" t="e">
        <f>IF(C41&gt;'General Information'!$D$33,0,D41/(1+('General Information'!$D$34/100))^C41)</f>
        <v>#N/A</v>
      </c>
      <c r="K41" s="61">
        <f t="shared" si="2"/>
        <v>3</v>
      </c>
      <c r="L41" s="109">
        <f>IF(K41-$C$6&gt;'General Information'!$D$33,0,IF(K41=$C$6,$D$37,0)+SUMIFS($D$38:$D$42,$C$38:$C$42,K41-$C$6,$B$38:$B$42,"&lt;&gt;*Indirect*"))</f>
        <v>0</v>
      </c>
      <c r="M41" s="109">
        <f>IF(K41-$C$6&gt;'General Information'!$D$33,0,SUMIFS($D$38:$D$42,$C$38:$C$42,K41-$C$6,$B$38:$B$42,"*Indirect*"))</f>
        <v>0</v>
      </c>
      <c r="N41" s="109">
        <f>IF(K41-$C$6&gt;'General Information'!$D$33,0,IF(K41=$C$6,$E$37,0)+SUMIF($C$38:$C$42,K41-$C$6,$E$38:$E$42))</f>
        <v>0</v>
      </c>
    </row>
    <row r="42" spans="1:14" x14ac:dyDescent="0.25">
      <c r="B42" s="48" t="s">
        <v>85</v>
      </c>
      <c r="C42" s="57">
        <f>'General Information'!D33</f>
        <v>10</v>
      </c>
      <c r="D42" s="58">
        <f>-'Maintenance Policies'!D46*G27</f>
        <v>0</v>
      </c>
      <c r="E42" s="47">
        <f>IF(C42&gt;'General Information'!$D$33,0,D42/(1+('General Information'!$D$34/100))^C42)</f>
        <v>0</v>
      </c>
      <c r="K42" s="61">
        <f t="shared" si="2"/>
        <v>4</v>
      </c>
      <c r="L42" s="109">
        <f>IF(K42-$C$6&gt;'General Information'!$D$33,0,IF(K42=$C$6,$D$37,0)+SUMIFS($D$38:$D$42,$C$38:$C$42,K42-$C$6,$B$38:$B$42,"&lt;&gt;*Indirect*"))</f>
        <v>0</v>
      </c>
      <c r="M42" s="109">
        <f>IF(K42-$C$6&gt;'General Information'!$D$33,0,SUMIFS($D$38:$D$42,$C$38:$C$42,K42-$C$6,$B$38:$B$42,"*Indirect*"))</f>
        <v>0</v>
      </c>
      <c r="N42" s="109">
        <f>IF(K42-$C$6&gt;'General Information'!$D$33,0,IF(K42=$C$6,$E$37,0)+SUMIF($C$38:$C$42,K42-$C$6,$E$38:$E$42))</f>
        <v>0</v>
      </c>
    </row>
    <row r="43" spans="1:14" ht="15.75" thickBot="1" x14ac:dyDescent="0.3">
      <c r="B43" s="49" t="s">
        <v>328</v>
      </c>
      <c r="C43" s="50"/>
      <c r="D43" s="50"/>
      <c r="E43" s="60" t="e">
        <f>SUM(E37:E42)</f>
        <v>#N/A</v>
      </c>
      <c r="K43" s="61">
        <f t="shared" si="2"/>
        <v>5</v>
      </c>
      <c r="L43" s="109">
        <f>IF(K43-$C$6&gt;'General Information'!$D$33,0,IF(K43=$C$6,$D$37,0)+SUMIFS($D$38:$D$42,$C$38:$C$42,K43-$C$6,$B$38:$B$42,"&lt;&gt;*Indirect*"))</f>
        <v>0</v>
      </c>
      <c r="M43" s="109">
        <f>IF(K43-$C$6&gt;'General Information'!$D$33,0,SUMIFS($D$38:$D$42,$C$38:$C$42,K43-$C$6,$B$38:$B$42,"*Indirect*"))</f>
        <v>0</v>
      </c>
      <c r="N43" s="109">
        <f>IF(K43-$C$6&gt;'General Information'!$D$33,0,IF(K43=$C$6,$E$37,0)+SUMIF($C$38:$C$42,K43-$C$6,$E$38:$E$42))</f>
        <v>0</v>
      </c>
    </row>
    <row r="44" spans="1:14" ht="15.75" thickTop="1" x14ac:dyDescent="0.25">
      <c r="K44" s="61">
        <f t="shared" si="2"/>
        <v>6</v>
      </c>
      <c r="L44" s="109">
        <f>IF(K44-$C$6&gt;'General Information'!$D$33,0,IF(K44=$C$6,$D$37,0)+SUMIFS($D$38:$D$42,$C$38:$C$42,K44-$C$6,$B$38:$B$42,"&lt;&gt;*Indirect*"))</f>
        <v>0</v>
      </c>
      <c r="M44" s="109">
        <f>IF(K44-$C$6&gt;'General Information'!$D$33,0,SUMIFS($D$38:$D$42,$C$38:$C$42,K44-$C$6,$B$38:$B$42,"*Indirect*"))</f>
        <v>0</v>
      </c>
      <c r="N44" s="109">
        <f>IF(K44-$C$6&gt;'General Information'!$D$33,0,IF(K44=$C$6,$E$37,0)+SUMIF($C$38:$C$42,K44-$C$6,$E$38:$E$42))</f>
        <v>0</v>
      </c>
    </row>
    <row r="45" spans="1:14" x14ac:dyDescent="0.25">
      <c r="K45" s="61">
        <f t="shared" si="2"/>
        <v>7</v>
      </c>
      <c r="L45" s="109">
        <f>IF(K45-$C$6&gt;'General Information'!$D$33,0,IF(K45=$C$6,$D$37,0)+SUMIFS($D$38:$D$42,$C$38:$C$42,K45-$C$6,$B$38:$B$42,"&lt;&gt;*Indirect*"))</f>
        <v>0</v>
      </c>
      <c r="M45" s="109">
        <f>IF(K45-$C$6&gt;'General Information'!$D$33,0,SUMIFS($D$38:$D$42,$C$38:$C$42,K45-$C$6,$B$38:$B$42,"*Indirect*"))</f>
        <v>0</v>
      </c>
      <c r="N45" s="109">
        <f>IF(K45-$C$6&gt;'General Information'!$D$33,0,IF(K45=$C$6,$E$37,0)+SUMIF($C$38:$C$42,K45-$C$6,$E$38:$E$42))</f>
        <v>0</v>
      </c>
    </row>
    <row r="46" spans="1:14" x14ac:dyDescent="0.25">
      <c r="K46" s="61">
        <f t="shared" si="2"/>
        <v>8</v>
      </c>
      <c r="L46" s="109">
        <f>IF(K46-$C$6&gt;'General Information'!$D$33,0,IF(K46=$C$6,$D$37,0)+SUMIFS($D$38:$D$42,$C$38:$C$42,K46-$C$6,$B$38:$B$42,"&lt;&gt;*Indirect*"))</f>
        <v>0</v>
      </c>
      <c r="M46" s="109">
        <f>IF(K46-$C$6&gt;'General Information'!$D$33,0,SUMIFS($D$38:$D$42,$C$38:$C$42,K46-$C$6,$B$38:$B$42,"*Indirect*"))</f>
        <v>0</v>
      </c>
      <c r="N46" s="109">
        <f>IF(K46-$C$6&gt;'General Information'!$D$33,0,IF(K46=$C$6,$E$37,0)+SUMIF($C$38:$C$42,K46-$C$6,$E$38:$E$42))</f>
        <v>0</v>
      </c>
    </row>
    <row r="47" spans="1:14" x14ac:dyDescent="0.25">
      <c r="K47" s="61">
        <f t="shared" si="2"/>
        <v>9</v>
      </c>
      <c r="L47" s="109">
        <f>IF(K47-$C$6&gt;'General Information'!$D$33,0,IF(K47=$C$6,$D$37,0)+SUMIFS($D$38:$D$42,$C$38:$C$42,K47-$C$6,$B$38:$B$42,"&lt;&gt;*Indirect*"))</f>
        <v>0</v>
      </c>
      <c r="M47" s="109">
        <f>IF(K47-$C$6&gt;'General Information'!$D$33,0,SUMIFS($D$38:$D$42,$C$38:$C$42,K47-$C$6,$B$38:$B$42,"*Indirect*"))</f>
        <v>0</v>
      </c>
      <c r="N47" s="109">
        <f>IF(K47-$C$6&gt;'General Information'!$D$33,0,IF(K47=$C$6,$E$37,0)+SUMIF($C$38:$C$42,K47-$C$6,$E$38:$E$42))</f>
        <v>0</v>
      </c>
    </row>
    <row r="48" spans="1:14" x14ac:dyDescent="0.25">
      <c r="K48" s="61">
        <f t="shared" si="2"/>
        <v>10</v>
      </c>
      <c r="L48" s="109">
        <f>IF(K48-$C$6&gt;'General Information'!$D$33,0,IF(K48=$C$6,$D$37,0)+SUMIFS($D$38:$D$42,$C$38:$C$42,K48-$C$6,$B$38:$B$42,"&lt;&gt;*Indirect*"))</f>
        <v>0</v>
      </c>
      <c r="M48" s="109">
        <f>IF(K48-$C$6&gt;'General Information'!$D$33,0,SUMIFS($D$38:$D$42,$C$38:$C$42,K48-$C$6,$B$38:$B$42,"*Indirect*"))</f>
        <v>0</v>
      </c>
      <c r="N48" s="109">
        <f>IF(K48-$C$6&gt;'General Information'!$D$33,0,IF(K48=$C$6,$E$37,0)+SUMIF($C$38:$C$42,K48-$C$6,$E$38:$E$42))</f>
        <v>0</v>
      </c>
    </row>
    <row r="49" spans="11:14" x14ac:dyDescent="0.25">
      <c r="K49" s="61">
        <f t="shared" si="2"/>
        <v>11</v>
      </c>
      <c r="L49" s="109">
        <f>IF(K49-$C$6&gt;'General Information'!$D$33,0,IF(K49=$C$6,$D$37,0)+SUMIFS($D$38:$D$42,$C$38:$C$42,K49-$C$6,$B$38:$B$42,"&lt;&gt;*Indirect*"))</f>
        <v>0</v>
      </c>
      <c r="M49" s="109">
        <f>IF(K49-$C$6&gt;'General Information'!$D$33,0,SUMIFS($D$38:$D$42,$C$38:$C$42,K49-$C$6,$B$38:$B$42,"*Indirect*"))</f>
        <v>0</v>
      </c>
      <c r="N49" s="109">
        <f>IF(K49-$C$6&gt;'General Information'!$D$33,0,IF(K49=$C$6,$E$37,0)+SUMIF($C$38:$C$42,K49-$C$6,$E$38:$E$42))</f>
        <v>0</v>
      </c>
    </row>
    <row r="50" spans="11:14" x14ac:dyDescent="0.25">
      <c r="K50" s="61">
        <f t="shared" si="2"/>
        <v>12</v>
      </c>
      <c r="L50" s="109">
        <f>IF(K50-$C$6&gt;'General Information'!$D$33,0,IF(K50=$C$6,$D$37,0)+SUMIFS($D$38:$D$42,$C$38:$C$42,K50-$C$6,$B$38:$B$42,"&lt;&gt;*Indirect*"))</f>
        <v>0</v>
      </c>
      <c r="M50" s="109">
        <f>IF(K50-$C$6&gt;'General Information'!$D$33,0,SUMIFS($D$38:$D$42,$C$38:$C$42,K50-$C$6,$B$38:$B$42,"*Indirect*"))</f>
        <v>0</v>
      </c>
      <c r="N50" s="109">
        <f>IF(K50-$C$6&gt;'General Information'!$D$33,0,IF(K50=$C$6,$E$37,0)+SUMIF($C$38:$C$42,K50-$C$6,$E$38:$E$42))</f>
        <v>0</v>
      </c>
    </row>
    <row r="51" spans="11:14" x14ac:dyDescent="0.25">
      <c r="K51" s="61">
        <f t="shared" si="2"/>
        <v>13</v>
      </c>
      <c r="L51" s="109">
        <f>IF(K51-$C$6&gt;'General Information'!$D$33,0,IF(K51=$C$6,$D$37,0)+SUMIFS($D$38:$D$42,$C$38:$C$42,K51-$C$6,$B$38:$B$42,"&lt;&gt;*Indirect*"))</f>
        <v>0</v>
      </c>
      <c r="M51" s="109">
        <f>IF(K51-$C$6&gt;'General Information'!$D$33,0,SUMIFS($D$38:$D$42,$C$38:$C$42,K51-$C$6,$B$38:$B$42,"*Indirect*"))</f>
        <v>0</v>
      </c>
      <c r="N51" s="109">
        <f>IF(K51-$C$6&gt;'General Information'!$D$33,0,IF(K51=$C$6,$E$37,0)+SUMIF($C$38:$C$42,K51-$C$6,$E$38:$E$42))</f>
        <v>0</v>
      </c>
    </row>
    <row r="52" spans="11:14" x14ac:dyDescent="0.25">
      <c r="K52" s="61">
        <f t="shared" si="2"/>
        <v>14</v>
      </c>
      <c r="L52" s="109">
        <f>IF(K52-$C$6&gt;'General Information'!$D$33,0,IF(K52=$C$6,$D$37,0)+SUMIFS($D$38:$D$42,$C$38:$C$42,K52-$C$6,$B$38:$B$42,"&lt;&gt;*Indirect*"))</f>
        <v>0</v>
      </c>
      <c r="M52" s="109">
        <f>IF(K52-$C$6&gt;'General Information'!$D$33,0,SUMIFS($D$38:$D$42,$C$38:$C$42,K52-$C$6,$B$38:$B$42,"*Indirect*"))</f>
        <v>0</v>
      </c>
      <c r="N52" s="109">
        <f>IF(K52-$C$6&gt;'General Information'!$D$33,0,IF(K52=$C$6,$E$37,0)+SUMIF($C$38:$C$42,K52-$C$6,$E$38:$E$42))</f>
        <v>0</v>
      </c>
    </row>
    <row r="53" spans="11:14" x14ac:dyDescent="0.25">
      <c r="K53" s="61">
        <f t="shared" si="2"/>
        <v>15</v>
      </c>
      <c r="L53" s="109">
        <f>IF(K53-$C$6&gt;'General Information'!$D$33,0,IF(K53=$C$6,$D$37,0)+SUMIFS($D$38:$D$42,$C$38:$C$42,K53-$C$6,$B$38:$B$42,"&lt;&gt;*Indirect*"))</f>
        <v>0</v>
      </c>
      <c r="M53" s="109">
        <f>IF(K53-$C$6&gt;'General Information'!$D$33,0,SUMIFS($D$38:$D$42,$C$38:$C$42,K53-$C$6,$B$38:$B$42,"*Indirect*"))</f>
        <v>0</v>
      </c>
      <c r="N53" s="109">
        <f>IF(K53-$C$6&gt;'General Information'!$D$33,0,IF(K53=$C$6,$E$37,0)+SUMIF($C$38:$C$42,K53-$C$6,$E$38:$E$42))</f>
        <v>0</v>
      </c>
    </row>
    <row r="54" spans="11:14" x14ac:dyDescent="0.25">
      <c r="K54" s="61">
        <f t="shared" si="2"/>
        <v>16</v>
      </c>
      <c r="L54" s="109">
        <f>IF(K54-$C$6&gt;'General Information'!$D$33,0,IF(K54=$C$6,$D$37,0)+SUMIFS($D$38:$D$42,$C$38:$C$42,K54-$C$6,$B$38:$B$42,"&lt;&gt;*Indirect*"))</f>
        <v>0</v>
      </c>
      <c r="M54" s="109">
        <f>IF(K54-$C$6&gt;'General Information'!$D$33,0,SUMIFS($D$38:$D$42,$C$38:$C$42,K54-$C$6,$B$38:$B$42,"*Indirect*"))</f>
        <v>0</v>
      </c>
      <c r="N54" s="109">
        <f>IF(K54-$C$6&gt;'General Information'!$D$33,0,IF(K54=$C$6,$E$37,0)+SUMIF($C$38:$C$42,K54-$C$6,$E$38:$E$42))</f>
        <v>0</v>
      </c>
    </row>
    <row r="55" spans="11:14" x14ac:dyDescent="0.25">
      <c r="K55" s="61">
        <f t="shared" si="2"/>
        <v>17</v>
      </c>
      <c r="L55" s="109">
        <f>IF(K55-$C$6&gt;'General Information'!$D$33,0,IF(K55=$C$6,$D$37,0)+SUMIFS($D$38:$D$42,$C$38:$C$42,K55-$C$6,$B$38:$B$42,"&lt;&gt;*Indirect*"))</f>
        <v>0</v>
      </c>
      <c r="M55" s="109">
        <f>IF(K55-$C$6&gt;'General Information'!$D$33,0,SUMIFS($D$38:$D$42,$C$38:$C$42,K55-$C$6,$B$38:$B$42,"*Indirect*"))</f>
        <v>0</v>
      </c>
      <c r="N55" s="109">
        <f>IF(K55-$C$6&gt;'General Information'!$D$33,0,IF(K55=$C$6,$E$37,0)+SUMIF($C$38:$C$42,K55-$C$6,$E$38:$E$42))</f>
        <v>0</v>
      </c>
    </row>
    <row r="56" spans="11:14" x14ac:dyDescent="0.25">
      <c r="K56" s="61">
        <f t="shared" si="2"/>
        <v>18</v>
      </c>
      <c r="L56" s="109">
        <f>IF(K56-$C$6&gt;'General Information'!$D$33,0,IF(K56=$C$6,$D$37,0)+SUMIFS($D$38:$D$42,$C$38:$C$42,K56-$C$6,$B$38:$B$42,"&lt;&gt;*Indirect*"))</f>
        <v>0</v>
      </c>
      <c r="M56" s="109">
        <f>IF(K56-$C$6&gt;'General Information'!$D$33,0,SUMIFS($D$38:$D$42,$C$38:$C$42,K56-$C$6,$B$38:$B$42,"*Indirect*"))</f>
        <v>0</v>
      </c>
      <c r="N56" s="109">
        <f>IF(K56-$C$6&gt;'General Information'!$D$33,0,IF(K56=$C$6,$E$37,0)+SUMIF($C$38:$C$42,K56-$C$6,$E$38:$E$42))</f>
        <v>0</v>
      </c>
    </row>
    <row r="57" spans="11:14" x14ac:dyDescent="0.25">
      <c r="K57" s="61">
        <f t="shared" si="2"/>
        <v>19</v>
      </c>
      <c r="L57" s="109">
        <f>IF(K57-$C$6&gt;'General Information'!$D$33,0,IF(K57=$C$6,$D$37,0)+SUMIFS($D$38:$D$42,$C$38:$C$42,K57-$C$6,$B$38:$B$42,"&lt;&gt;*Indirect*"))</f>
        <v>0</v>
      </c>
      <c r="M57" s="109">
        <f>IF(K57-$C$6&gt;'General Information'!$D$33,0,SUMIFS($D$38:$D$42,$C$38:$C$42,K57-$C$6,$B$38:$B$42,"*Indirect*"))</f>
        <v>0</v>
      </c>
      <c r="N57" s="109">
        <f>IF(K57-$C$6&gt;'General Information'!$D$33,0,IF(K57=$C$6,$E$37,0)+SUMIF($C$38:$C$42,K57-$C$6,$E$38:$E$42))</f>
        <v>0</v>
      </c>
    </row>
    <row r="58" spans="11:14" x14ac:dyDescent="0.25">
      <c r="K58" s="61">
        <f t="shared" si="2"/>
        <v>20</v>
      </c>
      <c r="L58" s="109">
        <f>IF(K58-$C$6&gt;'General Information'!$D$33,0,IF(K58=$C$6,$D$37,0)+SUMIFS($D$38:$D$42,$C$38:$C$42,K58-$C$6,$B$38:$B$42,"&lt;&gt;*Indirect*"))</f>
        <v>0</v>
      </c>
      <c r="M58" s="109">
        <f>IF(K58-$C$6&gt;'General Information'!$D$33,0,SUMIFS($D$38:$D$42,$C$38:$C$42,K58-$C$6,$B$38:$B$42,"*Indirect*"))</f>
        <v>0</v>
      </c>
      <c r="N58" s="109">
        <f>IF(K58-$C$6&gt;'General Information'!$D$33,0,IF(K58=$C$6,$E$37,0)+SUMIF($C$38:$C$42,K58-$C$6,$E$38:$E$42))</f>
        <v>0</v>
      </c>
    </row>
    <row r="59" spans="11:14" x14ac:dyDescent="0.25">
      <c r="K59" s="61">
        <f t="shared" si="2"/>
        <v>21</v>
      </c>
      <c r="L59" s="109">
        <f>IF(K59-$C$6&gt;'General Information'!$D$33,0,IF(K59=$C$6,$D$37,0)+SUMIFS($D$38:$D$42,$C$38:$C$42,K59-$C$6,$B$38:$B$42,"&lt;&gt;*Indirect*"))</f>
        <v>0</v>
      </c>
      <c r="M59" s="109">
        <f>IF(K59-$C$6&gt;'General Information'!$D$33,0,SUMIFS($D$38:$D$42,$C$38:$C$42,K59-$C$6,$B$38:$B$42,"*Indirect*"))</f>
        <v>0</v>
      </c>
      <c r="N59" s="109">
        <f>IF(K59-$C$6&gt;'General Information'!$D$33,0,IF(K59=$C$6,$E$37,0)+SUMIF($C$38:$C$42,K59-$C$6,$E$38:$E$42))</f>
        <v>0</v>
      </c>
    </row>
    <row r="60" spans="11:14" x14ac:dyDescent="0.25">
      <c r="K60" s="61">
        <f t="shared" si="2"/>
        <v>22</v>
      </c>
      <c r="L60" s="109">
        <f>IF(K60-$C$6&gt;'General Information'!$D$33,0,IF(K60=$C$6,$D$37,0)+SUMIFS($D$38:$D$42,$C$38:$C$42,K60-$C$6,$B$38:$B$42,"&lt;&gt;*Indirect*"))</f>
        <v>0</v>
      </c>
      <c r="M60" s="109">
        <f>IF(K60-$C$6&gt;'General Information'!$D$33,0,SUMIFS($D$38:$D$42,$C$38:$C$42,K60-$C$6,$B$38:$B$42,"*Indirect*"))</f>
        <v>0</v>
      </c>
      <c r="N60" s="109">
        <f>IF(K60-$C$6&gt;'General Information'!$D$33,0,IF(K60=$C$6,$E$37,0)+SUMIF($C$38:$C$42,K60-$C$6,$E$38:$E$42))</f>
        <v>0</v>
      </c>
    </row>
    <row r="61" spans="11:14" x14ac:dyDescent="0.25">
      <c r="K61" s="61">
        <f>K60+1</f>
        <v>23</v>
      </c>
      <c r="L61" s="109">
        <f>IF(K61-$C$6&gt;'General Information'!$D$33,0,IF(K61=$C$6,$D$37,0)+SUMIFS($D$38:$D$42,$C$38:$C$42,K61-$C$6,$B$38:$B$42,"&lt;&gt;*Indirect*"))</f>
        <v>0</v>
      </c>
      <c r="M61" s="109">
        <f>IF(K61-$C$6&gt;'General Information'!$D$33,0,SUMIFS($D$38:$D$42,$C$38:$C$42,K61-$C$6,$B$38:$B$42,"*Indirect*"))</f>
        <v>0</v>
      </c>
      <c r="N61" s="109">
        <f>IF(K61-$C$6&gt;'General Information'!$D$33,0,IF(K61=$C$6,$E$37,0)+SUMIF($C$38:$C$42,K61-$C$6,$E$38:$E$42))</f>
        <v>0</v>
      </c>
    </row>
    <row r="62" spans="11:14" x14ac:dyDescent="0.25">
      <c r="K62" s="61">
        <f t="shared" si="2"/>
        <v>24</v>
      </c>
      <c r="L62" s="109">
        <f>IF(K62-$C$6&gt;'General Information'!$D$33,0,IF(K62=$C$6,$D$37,0)+SUMIFS($D$38:$D$42,$C$38:$C$42,K62-$C$6,$B$38:$B$42,"&lt;&gt;*Indirect*"))</f>
        <v>0</v>
      </c>
      <c r="M62" s="109">
        <f>IF(K62-$C$6&gt;'General Information'!$D$33,0,SUMIFS($D$38:$D$42,$C$38:$C$42,K62-$C$6,$B$38:$B$42,"*Indirect*"))</f>
        <v>0</v>
      </c>
      <c r="N62" s="109">
        <f>IF(K62-$C$6&gt;'General Information'!$D$33,0,IF(K62=$C$6,$E$37,0)+SUMIF($C$38:$C$42,K62-$C$6,$E$38:$E$42))</f>
        <v>0</v>
      </c>
    </row>
    <row r="63" spans="11:14" x14ac:dyDescent="0.25">
      <c r="K63" s="61">
        <f t="shared" si="2"/>
        <v>25</v>
      </c>
      <c r="L63" s="109">
        <f>IF(K63-$C$6&gt;'General Information'!$D$33,0,IF(K63=$C$6,$D$37,0)+SUMIFS($D$38:$D$42,$C$38:$C$42,K63-$C$6,$B$38:$B$42,"&lt;&gt;*Indirect*"))</f>
        <v>0</v>
      </c>
      <c r="M63" s="109">
        <f>IF(K63-$C$6&gt;'General Information'!$D$33,0,SUMIFS($D$38:$D$42,$C$38:$C$42,K63-$C$6,$B$38:$B$42,"*Indirect*"))</f>
        <v>0</v>
      </c>
      <c r="N63" s="109">
        <f>IF(K63-$C$6&gt;'General Information'!$D$33,0,IF(K63=$C$6,$E$37,0)+SUMIF($C$38:$C$42,K63-$C$6,$E$38:$E$42))</f>
        <v>0</v>
      </c>
    </row>
    <row r="64" spans="11:14" x14ac:dyDescent="0.25">
      <c r="K64" s="61">
        <f t="shared" si="2"/>
        <v>26</v>
      </c>
      <c r="L64" s="109">
        <f>IF(K64-$C$6&gt;'General Information'!$D$33,0,IF(K64=$C$6,$D$37,0)+SUMIFS($D$38:$D$42,$C$38:$C$42,K64-$C$6,$B$38:$B$42,"&lt;&gt;*Indirect*"))</f>
        <v>0</v>
      </c>
      <c r="M64" s="109">
        <f>IF(K64-$C$6&gt;'General Information'!$D$33,0,SUMIFS($D$38:$D$42,$C$38:$C$42,K64-$C$6,$B$38:$B$42,"*Indirect*"))</f>
        <v>0</v>
      </c>
      <c r="N64" s="109">
        <f>IF(K64-$C$6&gt;'General Information'!$D$33,0,IF(K64=$C$6,$E$37,0)+SUMIF($C$38:$C$42,K64-$C$6,$E$38:$E$42))</f>
        <v>0</v>
      </c>
    </row>
    <row r="65" spans="11:14" x14ac:dyDescent="0.25">
      <c r="K65" s="61">
        <f t="shared" si="2"/>
        <v>27</v>
      </c>
      <c r="L65" s="109">
        <f>IF(K65-$C$6&gt;'General Information'!$D$33,0,IF(K65=$C$6,$D$37,0)+SUMIFS($D$38:$D$42,$C$38:$C$42,K65-$C$6,$B$38:$B$42,"&lt;&gt;*Indirect*"))</f>
        <v>0</v>
      </c>
      <c r="M65" s="109">
        <f>IF(K65-$C$6&gt;'General Information'!$D$33,0,SUMIFS($D$38:$D$42,$C$38:$C$42,K65-$C$6,$B$38:$B$42,"*Indirect*"))</f>
        <v>0</v>
      </c>
      <c r="N65" s="109">
        <f>IF(K65-$C$6&gt;'General Information'!$D$33,0,IF(K65=$C$6,$E$37,0)+SUMIF($C$38:$C$42,K65-$C$6,$E$38:$E$42))</f>
        <v>0</v>
      </c>
    </row>
    <row r="66" spans="11:14" x14ac:dyDescent="0.25">
      <c r="K66" s="61">
        <f t="shared" si="2"/>
        <v>28</v>
      </c>
      <c r="L66" s="109">
        <f>IF(K66-$C$6&gt;'General Information'!$D$33,0,IF(K66=$C$6,$D$37,0)+SUMIFS($D$38:$D$42,$C$38:$C$42,K66-$C$6,$B$38:$B$42,"&lt;&gt;*Indirect*"))</f>
        <v>0</v>
      </c>
      <c r="M66" s="109">
        <f>IF(K66-$C$6&gt;'General Information'!$D$33,0,SUMIFS($D$38:$D$42,$C$38:$C$42,K66-$C$6,$B$38:$B$42,"*Indirect*"))</f>
        <v>0</v>
      </c>
      <c r="N66" s="109">
        <f>IF(K66-$C$6&gt;'General Information'!$D$33,0,IF(K66=$C$6,$E$37,0)+SUMIF($C$38:$C$42,K66-$C$6,$E$38:$E$42))</f>
        <v>0</v>
      </c>
    </row>
    <row r="67" spans="11:14" x14ac:dyDescent="0.25">
      <c r="K67" s="61">
        <f>K66+1</f>
        <v>29</v>
      </c>
      <c r="L67" s="109">
        <f>IF(K67-$C$6&gt;'General Information'!$D$33,0,IF(K67=$C$6,$D$37,0)+SUMIFS($D$38:$D$42,$C$38:$C$42,K67-$C$6,$B$38:$B$42,"&lt;&gt;*Indirect*"))</f>
        <v>0</v>
      </c>
      <c r="M67" s="109">
        <f>IF(K67-$C$6&gt;'General Information'!$D$33,0,SUMIFS($D$38:$D$42,$C$38:$C$42,K67-$C$6,$B$38:$B$42,"*Indirect*"))</f>
        <v>0</v>
      </c>
      <c r="N67" s="109">
        <f>IF(K67-$C$6&gt;'General Information'!$D$33,0,IF(K67=$C$6,$E$37,0)+SUMIF($C$38:$C$42,K67-$C$6,$E$38:$E$42))</f>
        <v>0</v>
      </c>
    </row>
    <row r="68" spans="11:14" x14ac:dyDescent="0.25">
      <c r="K68" s="61">
        <f t="shared" si="2"/>
        <v>30</v>
      </c>
      <c r="L68" s="109">
        <f>IF(K68-$C$6&gt;'General Information'!$D$33,0,IF(K68=$C$6,$D$37,0)+SUMIFS($D$38:$D$42,$C$38:$C$42,K68-$C$6,$B$38:$B$42,"&lt;&gt;*Indirect*"))</f>
        <v>0</v>
      </c>
      <c r="M68" s="109">
        <f>IF(K68-$C$6&gt;'General Information'!$D$33,0,SUMIFS($D$38:$D$42,$C$38:$C$42,K68-$C$6,$B$38:$B$42,"*Indirect*"))</f>
        <v>0</v>
      </c>
      <c r="N68" s="109">
        <f>IF(K68-$C$6&gt;'General Information'!$D$33,0,IF(K68=$C$6,$E$37,0)+SUMIF($C$38:$C$42,K68-$C$6,$E$38:$E$42))</f>
        <v>0</v>
      </c>
    </row>
  </sheetData>
  <pageMargins left="0.7" right="0.7" top="0.75" bottom="0.75" header="0.3" footer="0.3"/>
  <pageSetup orientation="portrait" horizontalDpi="4294967293" verticalDpi="4294967295" r:id="rId1"/>
  <drawing r:id="rId2"/>
  <legacyDrawing r:id="rId3"/>
  <controls>
    <mc:AlternateContent xmlns:mc="http://schemas.openxmlformats.org/markup-compatibility/2006">
      <mc:Choice Requires="x14">
        <control shapeId="43009" r:id="rId4" name="ComboBox9">
          <controlPr defaultSize="0" autoLine="0" linkedCell="C17" listFillRange="Pay_Items!C3:D59" r:id="rId5">
            <anchor moveWithCells="1">
              <from>
                <xdr:col>2</xdr:col>
                <xdr:colOff>0</xdr:colOff>
                <xdr:row>16</xdr:row>
                <xdr:rowOff>0</xdr:rowOff>
              </from>
              <to>
                <xdr:col>3</xdr:col>
                <xdr:colOff>0</xdr:colOff>
                <xdr:row>17</xdr:row>
                <xdr:rowOff>0</xdr:rowOff>
              </to>
            </anchor>
          </controlPr>
        </control>
      </mc:Choice>
      <mc:Fallback>
        <control shapeId="43009" r:id="rId4" name="ComboBox9"/>
      </mc:Fallback>
    </mc:AlternateContent>
    <mc:AlternateContent xmlns:mc="http://schemas.openxmlformats.org/markup-compatibility/2006">
      <mc:Choice Requires="x14">
        <control shapeId="43010" r:id="rId6" name="ComboBox10">
          <controlPr defaultSize="0" autoLine="0" linkedCell="C13" listFillRange="Pay_Items!C3:D59" r:id="rId5">
            <anchor moveWithCells="1">
              <from>
                <xdr:col>2</xdr:col>
                <xdr:colOff>0</xdr:colOff>
                <xdr:row>12</xdr:row>
                <xdr:rowOff>0</xdr:rowOff>
              </from>
              <to>
                <xdr:col>3</xdr:col>
                <xdr:colOff>0</xdr:colOff>
                <xdr:row>13</xdr:row>
                <xdr:rowOff>0</xdr:rowOff>
              </to>
            </anchor>
          </controlPr>
        </control>
      </mc:Choice>
      <mc:Fallback>
        <control shapeId="43010" r:id="rId6" name="ComboBox10"/>
      </mc:Fallback>
    </mc:AlternateContent>
    <mc:AlternateContent xmlns:mc="http://schemas.openxmlformats.org/markup-compatibility/2006">
      <mc:Choice Requires="x14">
        <control shapeId="43011" r:id="rId7" name="ComboBox11">
          <controlPr defaultSize="0" autoLine="0" linkedCell="C14" listFillRange="Pay_Items!C3:D59" r:id="rId5">
            <anchor moveWithCells="1">
              <from>
                <xdr:col>2</xdr:col>
                <xdr:colOff>0</xdr:colOff>
                <xdr:row>13</xdr:row>
                <xdr:rowOff>0</xdr:rowOff>
              </from>
              <to>
                <xdr:col>3</xdr:col>
                <xdr:colOff>0</xdr:colOff>
                <xdr:row>14</xdr:row>
                <xdr:rowOff>0</xdr:rowOff>
              </to>
            </anchor>
          </controlPr>
        </control>
      </mc:Choice>
      <mc:Fallback>
        <control shapeId="43011" r:id="rId7" name="ComboBox11"/>
      </mc:Fallback>
    </mc:AlternateContent>
    <mc:AlternateContent xmlns:mc="http://schemas.openxmlformats.org/markup-compatibility/2006">
      <mc:Choice Requires="x14">
        <control shapeId="43012" r:id="rId8" name="ComboBox12">
          <controlPr defaultSize="0" autoLine="0" linkedCell="C15" listFillRange="Pay_Items!C3:D59" r:id="rId5">
            <anchor moveWithCells="1">
              <from>
                <xdr:col>2</xdr:col>
                <xdr:colOff>0</xdr:colOff>
                <xdr:row>14</xdr:row>
                <xdr:rowOff>0</xdr:rowOff>
              </from>
              <to>
                <xdr:col>3</xdr:col>
                <xdr:colOff>0</xdr:colOff>
                <xdr:row>15</xdr:row>
                <xdr:rowOff>0</xdr:rowOff>
              </to>
            </anchor>
          </controlPr>
        </control>
      </mc:Choice>
      <mc:Fallback>
        <control shapeId="43012" r:id="rId8" name="ComboBox12"/>
      </mc:Fallback>
    </mc:AlternateContent>
    <mc:AlternateContent xmlns:mc="http://schemas.openxmlformats.org/markup-compatibility/2006">
      <mc:Choice Requires="x14">
        <control shapeId="43013" r:id="rId9" name="ComboBox13">
          <controlPr defaultSize="0" autoLine="0" linkedCell="C16" listFillRange="Pay_Items!C3:D59" r:id="rId5">
            <anchor moveWithCells="1">
              <from>
                <xdr:col>2</xdr:col>
                <xdr:colOff>0</xdr:colOff>
                <xdr:row>15</xdr:row>
                <xdr:rowOff>0</xdr:rowOff>
              </from>
              <to>
                <xdr:col>3</xdr:col>
                <xdr:colOff>0</xdr:colOff>
                <xdr:row>16</xdr:row>
                <xdr:rowOff>0</xdr:rowOff>
              </to>
            </anchor>
          </controlPr>
        </control>
      </mc:Choice>
      <mc:Fallback>
        <control shapeId="43013" r:id="rId9" name="ComboBox13"/>
      </mc:Fallback>
    </mc:AlternateContent>
    <mc:AlternateContent xmlns:mc="http://schemas.openxmlformats.org/markup-compatibility/2006">
      <mc:Choice Requires="x14">
        <control shapeId="43014" r:id="rId10" name="ComboBox14">
          <controlPr defaultSize="0" autoLine="0" linkedCell="C18" listFillRange="Pay_Items!C3:D59" r:id="rId5">
            <anchor moveWithCells="1">
              <from>
                <xdr:col>2</xdr:col>
                <xdr:colOff>0</xdr:colOff>
                <xdr:row>17</xdr:row>
                <xdr:rowOff>0</xdr:rowOff>
              </from>
              <to>
                <xdr:col>3</xdr:col>
                <xdr:colOff>0</xdr:colOff>
                <xdr:row>18</xdr:row>
                <xdr:rowOff>0</xdr:rowOff>
              </to>
            </anchor>
          </controlPr>
        </control>
      </mc:Choice>
      <mc:Fallback>
        <control shapeId="43014" r:id="rId10" name="ComboBox14"/>
      </mc:Fallback>
    </mc:AlternateContent>
    <mc:AlternateContent xmlns:mc="http://schemas.openxmlformats.org/markup-compatibility/2006">
      <mc:Choice Requires="x14">
        <control shapeId="43015" r:id="rId11" name="ComboBox15">
          <controlPr defaultSize="0" autoLine="0" linkedCell="C19" listFillRange="Pay_Items!C3:D59" r:id="rId5">
            <anchor moveWithCells="1">
              <from>
                <xdr:col>2</xdr:col>
                <xdr:colOff>0</xdr:colOff>
                <xdr:row>18</xdr:row>
                <xdr:rowOff>0</xdr:rowOff>
              </from>
              <to>
                <xdr:col>3</xdr:col>
                <xdr:colOff>0</xdr:colOff>
                <xdr:row>19</xdr:row>
                <xdr:rowOff>0</xdr:rowOff>
              </to>
            </anchor>
          </controlPr>
        </control>
      </mc:Choice>
      <mc:Fallback>
        <control shapeId="43015" r:id="rId11" name="ComboBox15"/>
      </mc:Fallback>
    </mc:AlternateContent>
    <mc:AlternateContent xmlns:mc="http://schemas.openxmlformats.org/markup-compatibility/2006">
      <mc:Choice Requires="x14">
        <control shapeId="43016" r:id="rId12" name="ComboBox16">
          <controlPr defaultSize="0" autoLine="0" linkedCell="C22" listFillRange="Pay_Items!C3:D59" r:id="rId5">
            <anchor moveWithCells="1">
              <from>
                <xdr:col>2</xdr:col>
                <xdr:colOff>0</xdr:colOff>
                <xdr:row>21</xdr:row>
                <xdr:rowOff>0</xdr:rowOff>
              </from>
              <to>
                <xdr:col>3</xdr:col>
                <xdr:colOff>0</xdr:colOff>
                <xdr:row>22</xdr:row>
                <xdr:rowOff>0</xdr:rowOff>
              </to>
            </anchor>
          </controlPr>
        </control>
      </mc:Choice>
      <mc:Fallback>
        <control shapeId="43016" r:id="rId12" name="ComboBox16"/>
      </mc:Fallback>
    </mc:AlternateContent>
    <mc:AlternateContent xmlns:mc="http://schemas.openxmlformats.org/markup-compatibility/2006">
      <mc:Choice Requires="x14">
        <control shapeId="43017" r:id="rId13" name="ComboBox18">
          <controlPr defaultSize="0" autoLine="0" linkedCell="C20" listFillRange="Pay_Items!C3:D59" r:id="rId14">
            <anchor moveWithCells="1">
              <from>
                <xdr:col>2</xdr:col>
                <xdr:colOff>0</xdr:colOff>
                <xdr:row>19</xdr:row>
                <xdr:rowOff>0</xdr:rowOff>
              </from>
              <to>
                <xdr:col>3</xdr:col>
                <xdr:colOff>9525</xdr:colOff>
                <xdr:row>20</xdr:row>
                <xdr:rowOff>19050</xdr:rowOff>
              </to>
            </anchor>
          </controlPr>
        </control>
      </mc:Choice>
      <mc:Fallback>
        <control shapeId="43017" r:id="rId13" name="ComboBox18"/>
      </mc:Fallback>
    </mc:AlternateContent>
    <mc:AlternateContent xmlns:mc="http://schemas.openxmlformats.org/markup-compatibility/2006">
      <mc:Choice Requires="x14">
        <control shapeId="43018" r:id="rId15" name="ComboBox20">
          <controlPr defaultSize="0" autoLine="0" linkedCell="C21" listFillRange="Pay_Items!C3:D59" r:id="rId16">
            <anchor moveWithCells="1">
              <from>
                <xdr:col>2</xdr:col>
                <xdr:colOff>0</xdr:colOff>
                <xdr:row>20</xdr:row>
                <xdr:rowOff>0</xdr:rowOff>
              </from>
              <to>
                <xdr:col>3</xdr:col>
                <xdr:colOff>19050</xdr:colOff>
                <xdr:row>21</xdr:row>
                <xdr:rowOff>19050</xdr:rowOff>
              </to>
            </anchor>
          </controlPr>
        </control>
      </mc:Choice>
      <mc:Fallback>
        <control shapeId="43018" r:id="rId15" name="ComboBox20"/>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0902B5-918D-41AA-AFD5-D656BAAC3C5C}">
  <sheetPr codeName="Sheet6">
    <tabColor rgb="FF92D050"/>
  </sheetPr>
  <dimension ref="B2:E28"/>
  <sheetViews>
    <sheetView topLeftCell="A16" workbookViewId="0">
      <selection activeCell="J7" sqref="J7"/>
    </sheetView>
  </sheetViews>
  <sheetFormatPr defaultColWidth="8.7109375" defaultRowHeight="12.75" x14ac:dyDescent="0.2"/>
  <cols>
    <col min="1" max="16384" width="8.7109375" style="5"/>
  </cols>
  <sheetData>
    <row r="2" spans="2:5" x14ac:dyDescent="0.2">
      <c r="E2" s="5" t="s">
        <v>360</v>
      </c>
    </row>
    <row r="3" spans="2:5" x14ac:dyDescent="0.2">
      <c r="E3" s="5" t="s">
        <v>361</v>
      </c>
    </row>
    <row r="4" spans="2:5" x14ac:dyDescent="0.2">
      <c r="E4" s="5" t="s">
        <v>362</v>
      </c>
    </row>
    <row r="5" spans="2:5" x14ac:dyDescent="0.2">
      <c r="E5" s="5" t="s">
        <v>363</v>
      </c>
    </row>
    <row r="6" spans="2:5" x14ac:dyDescent="0.2">
      <c r="E6" s="5" t="s">
        <v>364</v>
      </c>
    </row>
    <row r="7" spans="2:5" ht="15" x14ac:dyDescent="0.25">
      <c r="E7" s="94" t="s">
        <v>365</v>
      </c>
    </row>
    <row r="9" spans="2:5" x14ac:dyDescent="0.2">
      <c r="B9" s="6" t="s">
        <v>109</v>
      </c>
    </row>
    <row r="28" spans="2:2" x14ac:dyDescent="0.2">
      <c r="B28" s="6"/>
    </row>
  </sheetData>
  <hyperlinks>
    <hyperlink ref="E7" r:id="rId1" xr:uid="{42931B7E-9F18-4423-8A96-98F5B7FB2656}"/>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20948-C2EC-4759-8F5B-86E9708E4B5C}">
  <sheetPr codeName="Sheet7">
    <tabColor rgb="FF92D050"/>
  </sheetPr>
  <dimension ref="B2:E9"/>
  <sheetViews>
    <sheetView topLeftCell="A22" workbookViewId="0">
      <selection activeCell="R38" sqref="R38"/>
    </sheetView>
  </sheetViews>
  <sheetFormatPr defaultColWidth="8.7109375" defaultRowHeight="12.75" x14ac:dyDescent="0.2"/>
  <cols>
    <col min="1" max="16384" width="8.7109375" style="5"/>
  </cols>
  <sheetData>
    <row r="2" spans="2:5" x14ac:dyDescent="0.2">
      <c r="E2" s="5" t="s">
        <v>360</v>
      </c>
    </row>
    <row r="3" spans="2:5" x14ac:dyDescent="0.2">
      <c r="E3" s="5" t="s">
        <v>361</v>
      </c>
    </row>
    <row r="4" spans="2:5" x14ac:dyDescent="0.2">
      <c r="E4" s="5" t="s">
        <v>362</v>
      </c>
    </row>
    <row r="5" spans="2:5" x14ac:dyDescent="0.2">
      <c r="E5" s="5" t="s">
        <v>363</v>
      </c>
    </row>
    <row r="6" spans="2:5" x14ac:dyDescent="0.2">
      <c r="E6" s="5" t="s">
        <v>364</v>
      </c>
    </row>
    <row r="7" spans="2:5" x14ac:dyDescent="0.2">
      <c r="E7" s="5" t="s">
        <v>365</v>
      </c>
    </row>
    <row r="9" spans="2:5" x14ac:dyDescent="0.2">
      <c r="B9" s="6" t="s">
        <v>347</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C50AB1-00A5-488C-97A4-6B5250719B1D}">
  <sheetPr codeName="Sheet3">
    <tabColor theme="0" tint="-0.34998626667073579"/>
  </sheetPr>
  <dimension ref="B7:S88"/>
  <sheetViews>
    <sheetView tabSelected="1" workbookViewId="0">
      <selection activeCell="D38" sqref="D38"/>
    </sheetView>
  </sheetViews>
  <sheetFormatPr defaultColWidth="8.7109375" defaultRowHeight="12.75" x14ac:dyDescent="0.2"/>
  <cols>
    <col min="1" max="2" width="8.7109375" style="5"/>
    <col min="3" max="3" width="26.7109375" style="5" bestFit="1" customWidth="1"/>
    <col min="4" max="4" width="35.42578125" style="5" customWidth="1"/>
    <col min="5" max="10" width="8.7109375" style="5"/>
    <col min="11" max="11" width="0" style="5" hidden="1" customWidth="1"/>
    <col min="12" max="12" width="35.7109375" style="5" hidden="1" customWidth="1"/>
    <col min="13" max="13" width="0" style="5" hidden="1" customWidth="1"/>
    <col min="14" max="14" width="21.28515625" style="5" hidden="1" customWidth="1"/>
    <col min="15" max="15" width="0" style="5" hidden="1" customWidth="1"/>
    <col min="16" max="16" width="8.7109375" style="5" hidden="1" customWidth="1"/>
    <col min="17" max="18" width="0" style="5" hidden="1" customWidth="1"/>
    <col min="19" max="19" width="16.28515625" style="5" hidden="1" customWidth="1"/>
    <col min="20" max="21" width="0" style="5" hidden="1" customWidth="1"/>
    <col min="22" max="16384" width="8.7109375" style="5"/>
  </cols>
  <sheetData>
    <row r="7" spans="2:19" x14ac:dyDescent="0.2">
      <c r="K7" s="5" t="s">
        <v>248</v>
      </c>
    </row>
    <row r="8" spans="2:19" x14ac:dyDescent="0.2">
      <c r="B8" s="6" t="s">
        <v>93</v>
      </c>
      <c r="L8" s="7" t="s">
        <v>246</v>
      </c>
      <c r="M8" s="7" t="s">
        <v>245</v>
      </c>
      <c r="N8" s="7" t="s">
        <v>509</v>
      </c>
      <c r="O8" s="7" t="s">
        <v>510</v>
      </c>
      <c r="P8" s="7" t="s">
        <v>247</v>
      </c>
      <c r="Q8" s="7" t="s">
        <v>250</v>
      </c>
      <c r="S8" s="5" t="s">
        <v>455</v>
      </c>
    </row>
    <row r="9" spans="2:19" x14ac:dyDescent="0.2">
      <c r="C9" s="5" t="s">
        <v>87</v>
      </c>
      <c r="D9" s="73"/>
      <c r="L9" s="7"/>
      <c r="M9" s="7"/>
      <c r="N9" s="7" t="s">
        <v>453</v>
      </c>
      <c r="O9" s="7" t="s">
        <v>453</v>
      </c>
      <c r="P9" s="7"/>
      <c r="Q9" s="3"/>
    </row>
    <row r="10" spans="2:19" x14ac:dyDescent="0.2">
      <c r="C10" s="5" t="s">
        <v>249</v>
      </c>
      <c r="D10" s="92" t="str">
        <f>IF(D9="","N/A",VLOOKUP(Airport_Name,Table17[],2))</f>
        <v>N/A</v>
      </c>
      <c r="L10" s="5" t="s">
        <v>166</v>
      </c>
      <c r="M10" s="5" t="s">
        <v>165</v>
      </c>
      <c r="N10" s="5" t="s">
        <v>423</v>
      </c>
      <c r="O10" s="5" t="s">
        <v>511</v>
      </c>
      <c r="P10" s="5" t="s">
        <v>64</v>
      </c>
      <c r="S10" s="5" t="s">
        <v>456</v>
      </c>
    </row>
    <row r="11" spans="2:19" x14ac:dyDescent="0.2">
      <c r="C11" s="5" t="s">
        <v>586</v>
      </c>
      <c r="D11" s="92" t="str">
        <f>IF(D9="","N/A",VLOOKUP(Airport_Name,Table17[],3))</f>
        <v>N/A</v>
      </c>
      <c r="L11" s="5" t="s">
        <v>184</v>
      </c>
      <c r="M11" s="5" t="s">
        <v>183</v>
      </c>
      <c r="N11" s="5" t="s">
        <v>390</v>
      </c>
      <c r="O11" s="5" t="s">
        <v>512</v>
      </c>
      <c r="P11" s="5" t="s">
        <v>65</v>
      </c>
      <c r="S11" s="5" t="s">
        <v>457</v>
      </c>
    </row>
    <row r="12" spans="2:19" x14ac:dyDescent="0.2">
      <c r="C12" s="5" t="s">
        <v>88</v>
      </c>
      <c r="D12" s="92" t="str">
        <f>IF(D9="","N/A",VLOOKUP(Airport_Name,Table17[],6))</f>
        <v>N/A</v>
      </c>
      <c r="L12" s="5" t="s">
        <v>212</v>
      </c>
      <c r="M12" s="5" t="s">
        <v>211</v>
      </c>
      <c r="N12" s="5" t="s">
        <v>405</v>
      </c>
      <c r="O12" s="5" t="s">
        <v>513</v>
      </c>
      <c r="P12" s="5" t="s">
        <v>65</v>
      </c>
      <c r="S12" s="5" t="s">
        <v>458</v>
      </c>
    </row>
    <row r="13" spans="2:19" x14ac:dyDescent="0.2">
      <c r="C13" s="5" t="s">
        <v>451</v>
      </c>
      <c r="D13" s="92" t="str">
        <f>IF(D9="","N/A",VLOOKUP(Airport_Name,Table17[],5))</f>
        <v>N/A</v>
      </c>
      <c r="L13" s="5" t="s">
        <v>117</v>
      </c>
      <c r="M13" s="5" t="s">
        <v>116</v>
      </c>
      <c r="N13" s="5" t="s">
        <v>370</v>
      </c>
      <c r="O13" s="5" t="s">
        <v>514</v>
      </c>
      <c r="P13" s="5" t="s">
        <v>65</v>
      </c>
    </row>
    <row r="14" spans="2:19" x14ac:dyDescent="0.2">
      <c r="C14" s="5" t="s">
        <v>90</v>
      </c>
      <c r="D14" s="73"/>
      <c r="L14" s="5" t="s">
        <v>228</v>
      </c>
      <c r="M14" s="5" t="s">
        <v>227</v>
      </c>
      <c r="N14" s="5" t="s">
        <v>430</v>
      </c>
      <c r="O14" s="5" t="s">
        <v>515</v>
      </c>
      <c r="P14" s="5" t="s">
        <v>64</v>
      </c>
    </row>
    <row r="15" spans="2:19" x14ac:dyDescent="0.2">
      <c r="C15" s="5" t="s">
        <v>91</v>
      </c>
      <c r="D15" s="73"/>
      <c r="L15" s="5" t="s">
        <v>168</v>
      </c>
      <c r="M15" s="5" t="s">
        <v>167</v>
      </c>
      <c r="N15" s="5" t="s">
        <v>393</v>
      </c>
      <c r="O15" s="5" t="s">
        <v>516</v>
      </c>
      <c r="P15" s="5" t="s">
        <v>65</v>
      </c>
      <c r="S15" s="5" t="s">
        <v>460</v>
      </c>
    </row>
    <row r="16" spans="2:19" x14ac:dyDescent="0.2">
      <c r="C16" s="5" t="s">
        <v>92</v>
      </c>
      <c r="D16" s="73"/>
      <c r="L16" s="5" t="s">
        <v>162</v>
      </c>
      <c r="M16" s="5" t="s">
        <v>161</v>
      </c>
      <c r="N16" s="5" t="s">
        <v>371</v>
      </c>
      <c r="O16" s="5" t="s">
        <v>517</v>
      </c>
      <c r="P16" s="5" t="s">
        <v>64</v>
      </c>
    </row>
    <row r="17" spans="2:19" x14ac:dyDescent="0.2">
      <c r="C17" s="5" t="s">
        <v>89</v>
      </c>
      <c r="D17" s="74"/>
      <c r="L17" s="5" t="s">
        <v>133</v>
      </c>
      <c r="M17" s="5" t="s">
        <v>132</v>
      </c>
      <c r="N17" s="5" t="s">
        <v>413</v>
      </c>
      <c r="O17" s="5" t="s">
        <v>518</v>
      </c>
      <c r="P17" s="5" t="s">
        <v>65</v>
      </c>
      <c r="S17" s="5" t="s">
        <v>461</v>
      </c>
    </row>
    <row r="18" spans="2:19" x14ac:dyDescent="0.2">
      <c r="L18" s="5" t="s">
        <v>519</v>
      </c>
      <c r="M18" s="5" t="s">
        <v>520</v>
      </c>
      <c r="N18" s="5" t="s">
        <v>514</v>
      </c>
      <c r="O18" s="5" t="s">
        <v>521</v>
      </c>
      <c r="P18" s="5" t="s">
        <v>66</v>
      </c>
      <c r="S18" s="5" t="s">
        <v>462</v>
      </c>
    </row>
    <row r="19" spans="2:19" x14ac:dyDescent="0.2">
      <c r="L19" s="5" t="s">
        <v>220</v>
      </c>
      <c r="M19" s="5" t="s">
        <v>219</v>
      </c>
      <c r="N19" s="5" t="s">
        <v>375</v>
      </c>
      <c r="O19" s="5" t="s">
        <v>522</v>
      </c>
      <c r="P19" s="5" t="s">
        <v>66</v>
      </c>
    </row>
    <row r="20" spans="2:19" x14ac:dyDescent="0.2">
      <c r="B20" s="6" t="s">
        <v>94</v>
      </c>
      <c r="L20" s="5" t="s">
        <v>154</v>
      </c>
      <c r="M20" s="5" t="s">
        <v>153</v>
      </c>
      <c r="N20" s="5" t="s">
        <v>377</v>
      </c>
      <c r="O20" s="5" t="s">
        <v>523</v>
      </c>
      <c r="P20" s="5" t="s">
        <v>66</v>
      </c>
    </row>
    <row r="21" spans="2:19" x14ac:dyDescent="0.2">
      <c r="C21" s="5" t="s">
        <v>251</v>
      </c>
      <c r="D21" s="73"/>
      <c r="L21" s="5" t="s">
        <v>450</v>
      </c>
      <c r="M21" s="5" t="s">
        <v>169</v>
      </c>
      <c r="N21" s="5" t="s">
        <v>394</v>
      </c>
      <c r="O21" s="5" t="s">
        <v>524</v>
      </c>
      <c r="P21" s="5" t="s">
        <v>66</v>
      </c>
      <c r="S21" s="5" t="s">
        <v>485</v>
      </c>
    </row>
    <row r="22" spans="2:19" x14ac:dyDescent="0.2">
      <c r="C22" s="5" t="s">
        <v>260</v>
      </c>
      <c r="D22" s="73"/>
      <c r="L22" s="5" t="s">
        <v>177</v>
      </c>
      <c r="M22" s="5" t="s">
        <v>176</v>
      </c>
      <c r="N22" s="5" t="s">
        <v>380</v>
      </c>
      <c r="O22" s="5" t="s">
        <v>525</v>
      </c>
      <c r="P22" s="5" t="s">
        <v>65</v>
      </c>
    </row>
    <row r="23" spans="2:19" x14ac:dyDescent="0.2">
      <c r="C23" s="5" t="s">
        <v>261</v>
      </c>
      <c r="D23" s="73"/>
      <c r="L23" s="5" t="s">
        <v>149</v>
      </c>
      <c r="M23" s="5" t="s">
        <v>148</v>
      </c>
      <c r="N23" s="5" t="s">
        <v>381</v>
      </c>
      <c r="O23" s="5" t="s">
        <v>526</v>
      </c>
      <c r="P23" s="5" t="s">
        <v>66</v>
      </c>
      <c r="S23" s="5" t="s">
        <v>484</v>
      </c>
    </row>
    <row r="24" spans="2:19" x14ac:dyDescent="0.2">
      <c r="C24" s="5" t="s">
        <v>256</v>
      </c>
      <c r="D24" s="73"/>
      <c r="L24" s="5" t="s">
        <v>244</v>
      </c>
      <c r="M24" s="5" t="s">
        <v>243</v>
      </c>
      <c r="N24" s="5" t="s">
        <v>372</v>
      </c>
      <c r="O24" s="5" t="s">
        <v>523</v>
      </c>
      <c r="P24" s="5" t="s">
        <v>66</v>
      </c>
      <c r="S24" s="5" t="s">
        <v>483</v>
      </c>
    </row>
    <row r="25" spans="2:19" x14ac:dyDescent="0.2">
      <c r="C25" s="5" t="s">
        <v>255</v>
      </c>
      <c r="D25" s="73"/>
      <c r="L25" s="5" t="s">
        <v>175</v>
      </c>
      <c r="M25" s="5" t="s">
        <v>174</v>
      </c>
      <c r="N25" s="5" t="s">
        <v>383</v>
      </c>
      <c r="O25" s="5" t="s">
        <v>383</v>
      </c>
      <c r="P25" s="5" t="s">
        <v>64</v>
      </c>
      <c r="S25" s="5" t="s">
        <v>482</v>
      </c>
    </row>
    <row r="26" spans="2:19" x14ac:dyDescent="0.2">
      <c r="C26" s="5" t="s">
        <v>268</v>
      </c>
      <c r="D26" s="73"/>
      <c r="L26" s="5" t="s">
        <v>152</v>
      </c>
      <c r="M26" s="5" t="s">
        <v>151</v>
      </c>
      <c r="N26" s="5" t="s">
        <v>384</v>
      </c>
      <c r="O26" s="5" t="s">
        <v>527</v>
      </c>
      <c r="P26" s="5" t="s">
        <v>65</v>
      </c>
    </row>
    <row r="27" spans="2:19" x14ac:dyDescent="0.2">
      <c r="C27" s="5" t="s">
        <v>269</v>
      </c>
      <c r="D27" s="73"/>
      <c r="L27" s="5" t="s">
        <v>113</v>
      </c>
      <c r="M27" s="5" t="s">
        <v>112</v>
      </c>
      <c r="N27" s="5" t="s">
        <v>385</v>
      </c>
      <c r="O27" s="5" t="s">
        <v>528</v>
      </c>
      <c r="P27" s="5" t="s">
        <v>66</v>
      </c>
    </row>
    <row r="28" spans="2:19" x14ac:dyDescent="0.2">
      <c r="C28" s="5" t="s">
        <v>270</v>
      </c>
      <c r="D28" s="73"/>
      <c r="L28" s="5" t="s">
        <v>171</v>
      </c>
      <c r="M28" s="5" t="s">
        <v>170</v>
      </c>
      <c r="N28" s="5" t="s">
        <v>404</v>
      </c>
      <c r="O28" s="5" t="s">
        <v>529</v>
      </c>
      <c r="P28" s="5" t="s">
        <v>64</v>
      </c>
    </row>
    <row r="29" spans="2:19" x14ac:dyDescent="0.2">
      <c r="C29" s="5" t="s">
        <v>459</v>
      </c>
      <c r="D29" s="73"/>
      <c r="L29" s="5" t="s">
        <v>236</v>
      </c>
      <c r="M29" s="5" t="s">
        <v>235</v>
      </c>
      <c r="N29" s="5" t="s">
        <v>440</v>
      </c>
      <c r="O29" s="5" t="s">
        <v>530</v>
      </c>
      <c r="P29" s="5" t="s">
        <v>65</v>
      </c>
    </row>
    <row r="30" spans="2:19" x14ac:dyDescent="0.2">
      <c r="L30" s="5" t="s">
        <v>156</v>
      </c>
      <c r="M30" s="5" t="s">
        <v>155</v>
      </c>
      <c r="N30" s="5" t="s">
        <v>433</v>
      </c>
      <c r="O30" s="5" t="s">
        <v>531</v>
      </c>
      <c r="P30" s="5" t="s">
        <v>65</v>
      </c>
    </row>
    <row r="31" spans="2:19" x14ac:dyDescent="0.2">
      <c r="L31" s="5" t="s">
        <v>158</v>
      </c>
      <c r="M31" s="5" t="s">
        <v>157</v>
      </c>
      <c r="N31" s="5" t="s">
        <v>386</v>
      </c>
      <c r="O31" s="5" t="s">
        <v>532</v>
      </c>
      <c r="P31" s="5" t="s">
        <v>64</v>
      </c>
    </row>
    <row r="32" spans="2:19" x14ac:dyDescent="0.2">
      <c r="B32" s="6" t="s">
        <v>252</v>
      </c>
      <c r="L32" s="5" t="s">
        <v>238</v>
      </c>
      <c r="M32" s="5" t="s">
        <v>237</v>
      </c>
      <c r="N32" s="5" t="s">
        <v>429</v>
      </c>
      <c r="O32" s="5" t="s">
        <v>533</v>
      </c>
      <c r="P32" s="5" t="s">
        <v>64</v>
      </c>
    </row>
    <row r="33" spans="2:16" x14ac:dyDescent="0.2">
      <c r="C33" s="5" t="s">
        <v>253</v>
      </c>
      <c r="D33" s="88">
        <v>30</v>
      </c>
      <c r="L33" s="5" t="s">
        <v>164</v>
      </c>
      <c r="M33" s="5" t="s">
        <v>163</v>
      </c>
      <c r="N33" s="5" t="s">
        <v>428</v>
      </c>
      <c r="O33" s="5" t="s">
        <v>534</v>
      </c>
      <c r="P33" s="5" t="s">
        <v>66</v>
      </c>
    </row>
    <row r="34" spans="2:16" x14ac:dyDescent="0.2">
      <c r="C34" s="5" t="s">
        <v>271</v>
      </c>
      <c r="D34" s="88">
        <v>3</v>
      </c>
      <c r="L34" s="5" t="s">
        <v>173</v>
      </c>
      <c r="M34" s="5" t="s">
        <v>172</v>
      </c>
      <c r="N34" s="5" t="s">
        <v>411</v>
      </c>
      <c r="O34" s="5" t="s">
        <v>518</v>
      </c>
      <c r="P34" s="5" t="s">
        <v>65</v>
      </c>
    </row>
    <row r="35" spans="2:16" x14ac:dyDescent="0.2">
      <c r="C35" s="5" t="s">
        <v>254</v>
      </c>
      <c r="D35" s="88" t="s">
        <v>452</v>
      </c>
      <c r="L35" s="5" t="s">
        <v>232</v>
      </c>
      <c r="M35" s="5" t="s">
        <v>231</v>
      </c>
      <c r="N35" s="5" t="s">
        <v>438</v>
      </c>
      <c r="O35" s="5" t="s">
        <v>535</v>
      </c>
      <c r="P35" s="5" t="s">
        <v>65</v>
      </c>
    </row>
    <row r="36" spans="2:16" x14ac:dyDescent="0.2">
      <c r="C36" s="5" t="s">
        <v>257</v>
      </c>
      <c r="D36" s="88">
        <v>10</v>
      </c>
      <c r="L36" s="5" t="s">
        <v>160</v>
      </c>
      <c r="M36" s="5" t="s">
        <v>159</v>
      </c>
      <c r="N36" s="5" t="s">
        <v>389</v>
      </c>
      <c r="O36" s="5" t="s">
        <v>536</v>
      </c>
      <c r="P36" s="5" t="s">
        <v>66</v>
      </c>
    </row>
    <row r="37" spans="2:16" x14ac:dyDescent="0.2">
      <c r="C37" s="5" t="s">
        <v>258</v>
      </c>
      <c r="D37" s="88">
        <v>5</v>
      </c>
      <c r="L37" s="5" t="s">
        <v>182</v>
      </c>
      <c r="M37" s="5" t="s">
        <v>181</v>
      </c>
      <c r="N37" s="5" t="s">
        <v>376</v>
      </c>
      <c r="O37" s="5" t="s">
        <v>537</v>
      </c>
      <c r="P37" s="5" t="s">
        <v>64</v>
      </c>
    </row>
    <row r="38" spans="2:16" x14ac:dyDescent="0.2">
      <c r="C38" s="5" t="s">
        <v>613</v>
      </c>
      <c r="D38" s="100" t="s">
        <v>632</v>
      </c>
      <c r="L38" s="5" t="s">
        <v>218</v>
      </c>
      <c r="M38" s="5" t="s">
        <v>217</v>
      </c>
      <c r="N38" s="5" t="s">
        <v>425</v>
      </c>
      <c r="O38" s="5" t="s">
        <v>538</v>
      </c>
      <c r="P38" s="5" t="s">
        <v>66</v>
      </c>
    </row>
    <row r="39" spans="2:16" x14ac:dyDescent="0.2">
      <c r="C39" s="5" t="s">
        <v>631</v>
      </c>
      <c r="D39" s="114" t="str">
        <f>IF(D38&lt;&gt;"Yes","",IF(COUNTIF(RevenueData!$A:$A,$D$10)=0,"Missing Airport Revenue",SUMIF(RevenueData!$A:$A,$D$10,RevenueData!$B:$B)+SUMIF(RevenueData!$A:$A,$D$10,RevenueData!$C:$C)+SUMIF(RevenueData!$A:$A,$D$10,RevenueData!$D:$D)+SUMIF(RevenueData!$A:$A,$D$10,RevenueData!$E:$E)+SUMIF(RevenueData!$A:$A,$D$10,RevenueData!$F:$F)+SUMIF(RevenueData!$A:$A,$D$10,RevenueData!$G:$G)+SUMIF(RevenueData!$A:$A,$D$10,RevenueData!$H:$H)))</f>
        <v/>
      </c>
      <c r="L39" s="5" t="s">
        <v>210</v>
      </c>
      <c r="M39" s="5" t="s">
        <v>209</v>
      </c>
      <c r="N39" s="5" t="s">
        <v>421</v>
      </c>
      <c r="O39" s="5" t="s">
        <v>539</v>
      </c>
      <c r="P39" s="5" t="s">
        <v>65</v>
      </c>
    </row>
    <row r="40" spans="2:16" x14ac:dyDescent="0.2">
      <c r="L40" s="5" t="s">
        <v>192</v>
      </c>
      <c r="M40" s="5" t="s">
        <v>191</v>
      </c>
      <c r="N40" s="5" t="s">
        <v>409</v>
      </c>
      <c r="O40" s="5" t="s">
        <v>540</v>
      </c>
      <c r="P40" s="5" t="s">
        <v>64</v>
      </c>
    </row>
    <row r="41" spans="2:16" x14ac:dyDescent="0.2">
      <c r="B41" s="6" t="s">
        <v>479</v>
      </c>
      <c r="L41" s="5" t="s">
        <v>186</v>
      </c>
      <c r="M41" s="5" t="s">
        <v>185</v>
      </c>
      <c r="N41" s="5" t="s">
        <v>392</v>
      </c>
      <c r="O41" s="5" t="s">
        <v>535</v>
      </c>
      <c r="P41" s="5" t="s">
        <v>65</v>
      </c>
    </row>
    <row r="42" spans="2:16" x14ac:dyDescent="0.2">
      <c r="L42" s="5" t="s">
        <v>119</v>
      </c>
      <c r="M42" s="5" t="s">
        <v>118</v>
      </c>
      <c r="N42" s="5" t="s">
        <v>441</v>
      </c>
      <c r="O42" s="5" t="s">
        <v>541</v>
      </c>
      <c r="P42" s="5" t="s">
        <v>64</v>
      </c>
    </row>
    <row r="43" spans="2:16" x14ac:dyDescent="0.2">
      <c r="B43" s="6" t="str">
        <f>HYPERLINK("#Summary!G1","View Summary  ►")</f>
        <v>View Summary  ►</v>
      </c>
      <c r="L43" s="5" t="s">
        <v>123</v>
      </c>
      <c r="M43" s="5" t="s">
        <v>122</v>
      </c>
      <c r="N43" s="5" t="s">
        <v>387</v>
      </c>
      <c r="O43" s="5" t="s">
        <v>395</v>
      </c>
      <c r="P43" s="5" t="s">
        <v>64</v>
      </c>
    </row>
    <row r="44" spans="2:16" x14ac:dyDescent="0.2">
      <c r="L44" s="5" t="s">
        <v>449</v>
      </c>
      <c r="M44" s="5" t="s">
        <v>180</v>
      </c>
      <c r="N44" s="5" t="s">
        <v>406</v>
      </c>
      <c r="O44" s="5" t="s">
        <v>542</v>
      </c>
      <c r="P44" s="5" t="s">
        <v>64</v>
      </c>
    </row>
    <row r="45" spans="2:16" x14ac:dyDescent="0.2">
      <c r="L45" s="5" t="s">
        <v>129</v>
      </c>
      <c r="M45" s="5" t="s">
        <v>128</v>
      </c>
      <c r="N45" s="5" t="s">
        <v>396</v>
      </c>
      <c r="O45" s="5" t="s">
        <v>543</v>
      </c>
      <c r="P45" s="5" t="s">
        <v>64</v>
      </c>
    </row>
    <row r="46" spans="2:16" x14ac:dyDescent="0.2">
      <c r="L46" s="5" t="s">
        <v>115</v>
      </c>
      <c r="M46" s="5" t="s">
        <v>114</v>
      </c>
      <c r="N46" s="5" t="s">
        <v>391</v>
      </c>
      <c r="O46" s="5" t="s">
        <v>544</v>
      </c>
      <c r="P46" s="5" t="s">
        <v>64</v>
      </c>
    </row>
    <row r="47" spans="2:16" x14ac:dyDescent="0.2">
      <c r="L47" s="5" t="s">
        <v>448</v>
      </c>
      <c r="M47" s="5" t="s">
        <v>418</v>
      </c>
      <c r="N47" s="5" t="s">
        <v>417</v>
      </c>
      <c r="O47" s="5" t="s">
        <v>545</v>
      </c>
      <c r="P47" s="5" t="s">
        <v>64</v>
      </c>
    </row>
    <row r="48" spans="2:16" x14ac:dyDescent="0.2">
      <c r="L48" s="5" t="s">
        <v>546</v>
      </c>
      <c r="M48" s="5" t="s">
        <v>547</v>
      </c>
      <c r="N48" s="5" t="s">
        <v>548</v>
      </c>
      <c r="O48" s="5" t="s">
        <v>549</v>
      </c>
      <c r="P48" s="5" t="s">
        <v>66</v>
      </c>
    </row>
    <row r="49" spans="12:16" x14ac:dyDescent="0.2">
      <c r="L49" s="5" t="s">
        <v>139</v>
      </c>
      <c r="M49" s="5" t="s">
        <v>138</v>
      </c>
      <c r="N49" s="5" t="s">
        <v>415</v>
      </c>
      <c r="O49" s="5" t="s">
        <v>550</v>
      </c>
      <c r="P49" s="5" t="s">
        <v>66</v>
      </c>
    </row>
    <row r="50" spans="12:16" x14ac:dyDescent="0.2">
      <c r="L50" s="5" t="s">
        <v>399</v>
      </c>
      <c r="M50" s="5" t="s">
        <v>150</v>
      </c>
      <c r="N50" s="5" t="s">
        <v>398</v>
      </c>
      <c r="O50" s="5" t="s">
        <v>551</v>
      </c>
      <c r="P50" s="5" t="s">
        <v>66</v>
      </c>
    </row>
    <row r="51" spans="12:16" x14ac:dyDescent="0.2">
      <c r="L51" s="5" t="s">
        <v>137</v>
      </c>
      <c r="M51" s="5" t="s">
        <v>136</v>
      </c>
      <c r="N51" s="5" t="s">
        <v>401</v>
      </c>
      <c r="O51" s="5" t="s">
        <v>552</v>
      </c>
      <c r="P51" s="5" t="s">
        <v>64</v>
      </c>
    </row>
    <row r="52" spans="12:16" x14ac:dyDescent="0.2">
      <c r="L52" s="5" t="s">
        <v>131</v>
      </c>
      <c r="M52" s="5" t="s">
        <v>130</v>
      </c>
      <c r="N52" s="5" t="s">
        <v>402</v>
      </c>
      <c r="O52" s="5" t="s">
        <v>553</v>
      </c>
      <c r="P52" s="5" t="s">
        <v>64</v>
      </c>
    </row>
    <row r="53" spans="12:16" x14ac:dyDescent="0.2">
      <c r="L53" s="5" t="s">
        <v>188</v>
      </c>
      <c r="M53" s="5" t="s">
        <v>187</v>
      </c>
      <c r="N53" s="5" t="s">
        <v>403</v>
      </c>
      <c r="O53" s="5" t="s">
        <v>554</v>
      </c>
      <c r="P53" s="5" t="s">
        <v>64</v>
      </c>
    </row>
    <row r="54" spans="12:16" x14ac:dyDescent="0.2">
      <c r="L54" s="5" t="s">
        <v>141</v>
      </c>
      <c r="M54" s="5" t="s">
        <v>140</v>
      </c>
      <c r="N54" s="5" t="s">
        <v>407</v>
      </c>
      <c r="O54" s="5" t="s">
        <v>555</v>
      </c>
      <c r="P54" s="5" t="s">
        <v>64</v>
      </c>
    </row>
    <row r="55" spans="12:16" x14ac:dyDescent="0.2">
      <c r="L55" s="5" t="s">
        <v>447</v>
      </c>
      <c r="M55" s="5" t="s">
        <v>373</v>
      </c>
      <c r="N55" s="5" t="s">
        <v>372</v>
      </c>
      <c r="O55" s="5" t="s">
        <v>523</v>
      </c>
      <c r="P55" s="5" t="s">
        <v>66</v>
      </c>
    </row>
    <row r="56" spans="12:16" x14ac:dyDescent="0.2">
      <c r="L56" s="5" t="s">
        <v>143</v>
      </c>
      <c r="M56" s="5" t="s">
        <v>142</v>
      </c>
      <c r="N56" s="5" t="s">
        <v>397</v>
      </c>
      <c r="O56" s="5" t="s">
        <v>556</v>
      </c>
      <c r="P56" s="5" t="s">
        <v>66</v>
      </c>
    </row>
    <row r="57" spans="12:16" x14ac:dyDescent="0.2">
      <c r="L57" s="5" t="s">
        <v>127</v>
      </c>
      <c r="M57" s="5" t="s">
        <v>126</v>
      </c>
      <c r="N57" s="5" t="s">
        <v>382</v>
      </c>
      <c r="O57" s="5" t="s">
        <v>557</v>
      </c>
      <c r="P57" s="5" t="s">
        <v>66</v>
      </c>
    </row>
    <row r="58" spans="12:16" x14ac:dyDescent="0.2">
      <c r="L58" s="5" t="s">
        <v>121</v>
      </c>
      <c r="M58" s="5" t="s">
        <v>120</v>
      </c>
      <c r="N58" s="5" t="s">
        <v>379</v>
      </c>
      <c r="O58" s="5" t="s">
        <v>521</v>
      </c>
      <c r="P58" s="5" t="s">
        <v>66</v>
      </c>
    </row>
    <row r="59" spans="12:16" x14ac:dyDescent="0.2">
      <c r="L59" s="5" t="s">
        <v>206</v>
      </c>
      <c r="M59" s="5" t="s">
        <v>205</v>
      </c>
      <c r="N59" s="5" t="s">
        <v>378</v>
      </c>
      <c r="O59" s="5" t="s">
        <v>558</v>
      </c>
      <c r="P59" s="5" t="s">
        <v>64</v>
      </c>
    </row>
    <row r="60" spans="12:16" x14ac:dyDescent="0.2">
      <c r="L60" s="5" t="s">
        <v>446</v>
      </c>
      <c r="M60" s="5" t="s">
        <v>400</v>
      </c>
      <c r="N60" s="5" t="s">
        <v>398</v>
      </c>
      <c r="O60" s="5" t="s">
        <v>559</v>
      </c>
      <c r="P60" s="5" t="s">
        <v>66</v>
      </c>
    </row>
    <row r="61" spans="12:16" x14ac:dyDescent="0.2">
      <c r="L61" s="5" t="s">
        <v>196</v>
      </c>
      <c r="M61" s="5" t="s">
        <v>195</v>
      </c>
      <c r="N61" s="5" t="s">
        <v>395</v>
      </c>
      <c r="O61" s="5" t="s">
        <v>560</v>
      </c>
      <c r="P61" s="5" t="s">
        <v>65</v>
      </c>
    </row>
    <row r="62" spans="12:16" x14ac:dyDescent="0.2">
      <c r="L62" s="5" t="s">
        <v>198</v>
      </c>
      <c r="M62" s="5" t="s">
        <v>197</v>
      </c>
      <c r="N62" s="5" t="s">
        <v>366</v>
      </c>
      <c r="O62" s="5" t="s">
        <v>561</v>
      </c>
      <c r="P62" s="5" t="s">
        <v>66</v>
      </c>
    </row>
    <row r="63" spans="12:16" x14ac:dyDescent="0.2">
      <c r="L63" s="5" t="s">
        <v>445</v>
      </c>
      <c r="M63" s="5" t="s">
        <v>412</v>
      </c>
      <c r="N63" s="5" t="s">
        <v>411</v>
      </c>
      <c r="O63" s="5" t="s">
        <v>518</v>
      </c>
      <c r="P63" s="5" t="s">
        <v>65</v>
      </c>
    </row>
    <row r="64" spans="12:16" x14ac:dyDescent="0.2">
      <c r="L64" s="5" t="s">
        <v>208</v>
      </c>
      <c r="M64" s="5" t="s">
        <v>207</v>
      </c>
      <c r="N64" s="5" t="s">
        <v>413</v>
      </c>
      <c r="O64" s="5" t="s">
        <v>518</v>
      </c>
      <c r="P64" s="5" t="s">
        <v>65</v>
      </c>
    </row>
    <row r="65" spans="12:16" x14ac:dyDescent="0.2">
      <c r="L65" s="5" t="s">
        <v>200</v>
      </c>
      <c r="M65" s="5" t="s">
        <v>199</v>
      </c>
      <c r="N65" s="5" t="s">
        <v>408</v>
      </c>
      <c r="O65" s="5" t="s">
        <v>562</v>
      </c>
      <c r="P65" s="5" t="s">
        <v>66</v>
      </c>
    </row>
    <row r="66" spans="12:16" x14ac:dyDescent="0.2">
      <c r="L66" s="5" t="s">
        <v>202</v>
      </c>
      <c r="M66" s="5" t="s">
        <v>201</v>
      </c>
      <c r="N66" s="5" t="s">
        <v>414</v>
      </c>
      <c r="O66" s="5" t="s">
        <v>563</v>
      </c>
      <c r="P66" s="5" t="s">
        <v>66</v>
      </c>
    </row>
    <row r="67" spans="12:16" x14ac:dyDescent="0.2">
      <c r="L67" s="5" t="s">
        <v>194</v>
      </c>
      <c r="M67" s="5" t="s">
        <v>193</v>
      </c>
      <c r="N67" s="5" t="s">
        <v>416</v>
      </c>
      <c r="O67" s="5" t="s">
        <v>564</v>
      </c>
      <c r="P67" s="5" t="s">
        <v>64</v>
      </c>
    </row>
    <row r="68" spans="12:16" x14ac:dyDescent="0.2">
      <c r="L68" s="5" t="s">
        <v>240</v>
      </c>
      <c r="M68" s="5" t="s">
        <v>239</v>
      </c>
      <c r="N68" s="5" t="s">
        <v>388</v>
      </c>
      <c r="O68" s="5" t="s">
        <v>565</v>
      </c>
      <c r="P68" s="5" t="s">
        <v>64</v>
      </c>
    </row>
    <row r="69" spans="12:16" x14ac:dyDescent="0.2">
      <c r="L69" s="5" t="s">
        <v>444</v>
      </c>
      <c r="M69" s="5" t="s">
        <v>419</v>
      </c>
      <c r="N69" s="5" t="s">
        <v>417</v>
      </c>
      <c r="O69" s="5" t="s">
        <v>545</v>
      </c>
      <c r="P69" s="5" t="s">
        <v>64</v>
      </c>
    </row>
    <row r="70" spans="12:16" x14ac:dyDescent="0.2">
      <c r="L70" s="5" t="s">
        <v>135</v>
      </c>
      <c r="M70" s="5" t="s">
        <v>134</v>
      </c>
      <c r="N70" s="5" t="s">
        <v>436</v>
      </c>
      <c r="O70" s="5" t="s">
        <v>566</v>
      </c>
      <c r="P70" s="5" t="s">
        <v>66</v>
      </c>
    </row>
    <row r="71" spans="12:16" x14ac:dyDescent="0.2">
      <c r="L71" s="5" t="s">
        <v>147</v>
      </c>
      <c r="M71" s="5" t="s">
        <v>146</v>
      </c>
      <c r="N71" s="5" t="s">
        <v>374</v>
      </c>
      <c r="O71" s="5" t="s">
        <v>567</v>
      </c>
      <c r="P71" s="5" t="s">
        <v>64</v>
      </c>
    </row>
    <row r="72" spans="12:16" x14ac:dyDescent="0.2">
      <c r="L72" s="5" t="s">
        <v>125</v>
      </c>
      <c r="M72" s="5" t="s">
        <v>124</v>
      </c>
      <c r="N72" s="5" t="s">
        <v>422</v>
      </c>
      <c r="O72" s="5" t="s">
        <v>565</v>
      </c>
      <c r="P72" s="5" t="s">
        <v>64</v>
      </c>
    </row>
    <row r="73" spans="12:16" x14ac:dyDescent="0.2">
      <c r="L73" s="5" t="s">
        <v>568</v>
      </c>
      <c r="M73" s="5" t="s">
        <v>569</v>
      </c>
      <c r="N73" s="5" t="s">
        <v>570</v>
      </c>
      <c r="O73" s="5" t="s">
        <v>515</v>
      </c>
      <c r="P73" s="5" t="s">
        <v>64</v>
      </c>
    </row>
    <row r="74" spans="12:16" x14ac:dyDescent="0.2">
      <c r="L74" s="5" t="s">
        <v>242</v>
      </c>
      <c r="M74" s="5" t="s">
        <v>241</v>
      </c>
      <c r="N74" s="5" t="s">
        <v>437</v>
      </c>
      <c r="O74" s="5" t="s">
        <v>571</v>
      </c>
      <c r="P74" s="5" t="s">
        <v>65</v>
      </c>
    </row>
    <row r="75" spans="12:16" x14ac:dyDescent="0.2">
      <c r="L75" s="5" t="s">
        <v>230</v>
      </c>
      <c r="M75" s="5" t="s">
        <v>229</v>
      </c>
      <c r="N75" s="5" t="s">
        <v>427</v>
      </c>
      <c r="O75" s="5" t="s">
        <v>572</v>
      </c>
      <c r="P75" s="5" t="s">
        <v>65</v>
      </c>
    </row>
    <row r="76" spans="12:16" x14ac:dyDescent="0.2">
      <c r="L76" s="5" t="s">
        <v>214</v>
      </c>
      <c r="M76" s="5" t="s">
        <v>213</v>
      </c>
      <c r="N76" s="5" t="s">
        <v>424</v>
      </c>
      <c r="O76" s="5" t="s">
        <v>573</v>
      </c>
      <c r="P76" s="5" t="s">
        <v>66</v>
      </c>
    </row>
    <row r="77" spans="12:16" x14ac:dyDescent="0.2">
      <c r="L77" s="5" t="s">
        <v>224</v>
      </c>
      <c r="M77" s="5" t="s">
        <v>223</v>
      </c>
      <c r="N77" s="5" t="s">
        <v>426</v>
      </c>
      <c r="O77" s="5" t="s">
        <v>574</v>
      </c>
      <c r="P77" s="5" t="s">
        <v>65</v>
      </c>
    </row>
    <row r="78" spans="12:16" x14ac:dyDescent="0.2">
      <c r="L78" s="5" t="s">
        <v>222</v>
      </c>
      <c r="M78" s="5" t="s">
        <v>221</v>
      </c>
      <c r="N78" s="5" t="s">
        <v>420</v>
      </c>
      <c r="O78" s="5" t="s">
        <v>575</v>
      </c>
      <c r="P78" s="5" t="s">
        <v>66</v>
      </c>
    </row>
    <row r="79" spans="12:16" x14ac:dyDescent="0.2">
      <c r="L79" s="5" t="s">
        <v>111</v>
      </c>
      <c r="M79" s="5" t="s">
        <v>110</v>
      </c>
      <c r="N79" s="5" t="s">
        <v>431</v>
      </c>
      <c r="O79" s="5" t="s">
        <v>576</v>
      </c>
      <c r="P79" s="5" t="s">
        <v>64</v>
      </c>
    </row>
    <row r="80" spans="12:16" x14ac:dyDescent="0.2">
      <c r="L80" s="5" t="s">
        <v>204</v>
      </c>
      <c r="M80" s="5" t="s">
        <v>203</v>
      </c>
      <c r="N80" s="5" t="s">
        <v>432</v>
      </c>
      <c r="O80" s="5" t="s">
        <v>564</v>
      </c>
      <c r="P80" s="5" t="s">
        <v>64</v>
      </c>
    </row>
    <row r="81" spans="12:16" x14ac:dyDescent="0.2">
      <c r="L81" s="5" t="s">
        <v>190</v>
      </c>
      <c r="M81" s="5" t="s">
        <v>189</v>
      </c>
      <c r="N81" s="5" t="s">
        <v>435</v>
      </c>
      <c r="O81" s="5" t="s">
        <v>577</v>
      </c>
      <c r="P81" s="5" t="s">
        <v>64</v>
      </c>
    </row>
    <row r="82" spans="12:16" x14ac:dyDescent="0.2">
      <c r="L82" s="5" t="s">
        <v>443</v>
      </c>
      <c r="M82" s="5" t="s">
        <v>369</v>
      </c>
      <c r="N82" s="5" t="s">
        <v>368</v>
      </c>
      <c r="O82" s="5" t="s">
        <v>578</v>
      </c>
      <c r="P82" s="5" t="s">
        <v>66</v>
      </c>
    </row>
    <row r="83" spans="12:16" x14ac:dyDescent="0.2">
      <c r="L83" s="5" t="s">
        <v>234</v>
      </c>
      <c r="M83" s="5" t="s">
        <v>233</v>
      </c>
      <c r="N83" s="5" t="s">
        <v>439</v>
      </c>
      <c r="O83" s="5" t="s">
        <v>579</v>
      </c>
      <c r="P83" s="5" t="s">
        <v>64</v>
      </c>
    </row>
    <row r="84" spans="12:16" x14ac:dyDescent="0.2">
      <c r="L84" s="5" t="s">
        <v>226</v>
      </c>
      <c r="M84" s="5" t="s">
        <v>225</v>
      </c>
      <c r="N84" s="5" t="s">
        <v>434</v>
      </c>
      <c r="O84" s="5" t="s">
        <v>580</v>
      </c>
      <c r="P84" s="5" t="s">
        <v>64</v>
      </c>
    </row>
    <row r="85" spans="12:16" x14ac:dyDescent="0.2">
      <c r="L85" s="5" t="s">
        <v>216</v>
      </c>
      <c r="M85" s="5" t="s">
        <v>215</v>
      </c>
      <c r="N85" s="5" t="s">
        <v>410</v>
      </c>
      <c r="O85" s="5" t="s">
        <v>581</v>
      </c>
      <c r="P85" s="5" t="s">
        <v>64</v>
      </c>
    </row>
    <row r="86" spans="12:16" x14ac:dyDescent="0.2">
      <c r="L86" s="5" t="s">
        <v>179</v>
      </c>
      <c r="M86" s="5" t="s">
        <v>178</v>
      </c>
      <c r="N86" s="5" t="s">
        <v>367</v>
      </c>
      <c r="O86" s="5" t="s">
        <v>582</v>
      </c>
      <c r="P86" s="5" t="s">
        <v>65</v>
      </c>
    </row>
    <row r="87" spans="12:16" x14ac:dyDescent="0.2">
      <c r="L87" s="5" t="s">
        <v>145</v>
      </c>
      <c r="M87" s="5" t="s">
        <v>144</v>
      </c>
      <c r="N87" s="5" t="s">
        <v>442</v>
      </c>
      <c r="O87" s="5" t="s">
        <v>533</v>
      </c>
      <c r="P87" s="5" t="s">
        <v>64</v>
      </c>
    </row>
    <row r="88" spans="12:16" x14ac:dyDescent="0.2">
      <c r="L88" s="5" t="s">
        <v>583</v>
      </c>
      <c r="M88" s="5" t="s">
        <v>584</v>
      </c>
      <c r="N88" s="5" t="s">
        <v>585</v>
      </c>
      <c r="O88" s="5" t="s">
        <v>531</v>
      </c>
      <c r="P88" s="5" t="s">
        <v>65</v>
      </c>
    </row>
  </sheetData>
  <sortState xmlns:xlrd2="http://schemas.microsoft.com/office/spreadsheetml/2017/richdata2" ref="L10:O84">
    <sortCondition ref="L10:L84"/>
  </sortState>
  <dataValidations xWindow="379" yWindow="686" count="4">
    <dataValidation type="list" allowBlank="1" showInputMessage="1" showErrorMessage="1" promptTitle="Branch Use" prompt="Select Branch Use" sqref="D21" xr:uid="{64074706-9D44-4DCE-92CA-02A6B4C8615F}">
      <formula1>$S$9:$S$12</formula1>
    </dataValidation>
    <dataValidation type="list" allowBlank="1" showInputMessage="1" showErrorMessage="1" promptTitle="Select Type" prompt="Select Markings Type" sqref="D29" xr:uid="{9E756415-9828-4D1E-9476-8D882108CF34}">
      <formula1>$S$16:$S$18</formula1>
    </dataValidation>
    <dataValidation type="list" showInputMessage="1" showErrorMessage="1" error="Select Airport Name from List" promptTitle="Airport Name" prompt="Select Airport" sqref="D9" xr:uid="{6ACD03AB-8423-442F-BD9B-11EF61DE0F63}">
      <formula1>$L$10:$L$88</formula1>
    </dataValidation>
    <dataValidation type="list" allowBlank="1" showInputMessage="1" showErrorMessage="1" sqref="D38" xr:uid="{573F2B62-AF02-43B1-A4AE-2E220E56427F}">
      <formula1>"No, Yes"</formula1>
    </dataValidation>
  </dataValidations>
  <pageMargins left="0.7" right="0.7" top="0.75" bottom="0.75" header="0.3" footer="0.3"/>
  <drawing r:id="rId1"/>
  <legacyDrawing r:id="rId2"/>
  <controls>
    <mc:AlternateContent xmlns:mc="http://schemas.openxmlformats.org/markup-compatibility/2006">
      <mc:Choice Requires="x14">
        <control shapeId="2049" r:id="rId3" name="cmdWsSetup">
          <controlPr defaultSize="0" autoLine="0" r:id="rId4">
            <anchor moveWithCells="1">
              <from>
                <xdr:col>3</xdr:col>
                <xdr:colOff>133350</xdr:colOff>
                <xdr:row>39</xdr:row>
                <xdr:rowOff>104775</xdr:rowOff>
              </from>
              <to>
                <xdr:col>3</xdr:col>
                <xdr:colOff>1238250</xdr:colOff>
                <xdr:row>41</xdr:row>
                <xdr:rowOff>142875</xdr:rowOff>
              </to>
            </anchor>
          </controlPr>
        </control>
      </mc:Choice>
      <mc:Fallback>
        <control shapeId="2049" r:id="rId3" name="cmdWsSetup"/>
      </mc:Fallback>
    </mc:AlternateContent>
  </controls>
  <tableParts count="4">
    <tablePart r:id="rId5"/>
    <tablePart r:id="rId6"/>
    <tablePart r:id="rId7"/>
    <tablePart r:id="rId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21A0D-AB8A-475E-9A5B-BAB1F26D79A9}">
  <sheetPr codeName="Sheet4">
    <tabColor rgb="FFFFC000"/>
  </sheetPr>
  <dimension ref="A1:J59"/>
  <sheetViews>
    <sheetView topLeftCell="B1" workbookViewId="0">
      <selection activeCell="D7" sqref="D7"/>
    </sheetView>
  </sheetViews>
  <sheetFormatPr defaultColWidth="8.7109375" defaultRowHeight="12.75" x14ac:dyDescent="0.2"/>
  <cols>
    <col min="1" max="1" width="29.28515625" style="5" bestFit="1" customWidth="1"/>
    <col min="2" max="2" width="19.5703125" style="5" bestFit="1" customWidth="1"/>
    <col min="3" max="3" width="18.5703125" style="5" customWidth="1"/>
    <col min="4" max="4" width="65.7109375" style="5" customWidth="1"/>
    <col min="5" max="5" width="8.7109375" style="5"/>
    <col min="6" max="6" width="10.7109375" style="5" customWidth="1"/>
    <col min="7" max="16384" width="8.7109375" style="5"/>
  </cols>
  <sheetData>
    <row r="1" spans="1:10" x14ac:dyDescent="0.2">
      <c r="G1" s="115" t="s">
        <v>267</v>
      </c>
      <c r="H1" s="115"/>
      <c r="I1" s="115"/>
    </row>
    <row r="2" spans="1:10" x14ac:dyDescent="0.2">
      <c r="A2" s="6" t="s">
        <v>51</v>
      </c>
      <c r="B2" s="5" t="s">
        <v>505</v>
      </c>
      <c r="C2" s="6" t="s">
        <v>52</v>
      </c>
      <c r="D2" s="6" t="s">
        <v>53</v>
      </c>
      <c r="E2" s="6" t="s">
        <v>266</v>
      </c>
      <c r="F2" s="6" t="s">
        <v>320</v>
      </c>
      <c r="G2" s="7" t="s">
        <v>64</v>
      </c>
      <c r="H2" s="7" t="s">
        <v>65</v>
      </c>
      <c r="I2" s="7" t="s">
        <v>66</v>
      </c>
    </row>
    <row r="3" spans="1:10" x14ac:dyDescent="0.2">
      <c r="A3" s="6"/>
      <c r="B3" s="5" t="s">
        <v>454</v>
      </c>
      <c r="C3" s="6"/>
      <c r="D3" s="6"/>
      <c r="E3" s="6" t="s">
        <v>453</v>
      </c>
      <c r="F3" s="6" t="s">
        <v>453</v>
      </c>
      <c r="G3" s="7"/>
      <c r="H3" s="7"/>
      <c r="I3" s="7"/>
    </row>
    <row r="4" spans="1:10" x14ac:dyDescent="0.2">
      <c r="A4" s="6" t="s">
        <v>10</v>
      </c>
      <c r="B4" s="5" t="s">
        <v>54</v>
      </c>
      <c r="C4" s="1" t="s">
        <v>317</v>
      </c>
      <c r="D4" s="2" t="s">
        <v>63</v>
      </c>
      <c r="E4" s="3" t="s">
        <v>6</v>
      </c>
      <c r="F4" s="67">
        <v>4.2</v>
      </c>
      <c r="J4" s="5" t="s">
        <v>590</v>
      </c>
    </row>
    <row r="5" spans="1:10" x14ac:dyDescent="0.2">
      <c r="B5" s="5" t="s">
        <v>54</v>
      </c>
      <c r="C5" s="1" t="s">
        <v>318</v>
      </c>
      <c r="D5" s="2" t="s">
        <v>62</v>
      </c>
      <c r="E5" s="3" t="s">
        <v>6</v>
      </c>
      <c r="F5" s="67"/>
      <c r="J5" s="5" t="s">
        <v>590</v>
      </c>
    </row>
    <row r="6" spans="1:10" x14ac:dyDescent="0.2">
      <c r="B6" s="5" t="s">
        <v>54</v>
      </c>
      <c r="C6" s="1" t="s">
        <v>329</v>
      </c>
      <c r="D6" s="2" t="s">
        <v>331</v>
      </c>
      <c r="E6" s="3" t="s">
        <v>7</v>
      </c>
      <c r="F6" s="67">
        <v>4</v>
      </c>
    </row>
    <row r="7" spans="1:10" x14ac:dyDescent="0.2">
      <c r="B7" s="5" t="s">
        <v>54</v>
      </c>
      <c r="C7" s="1" t="s">
        <v>330</v>
      </c>
      <c r="D7" s="2" t="s">
        <v>332</v>
      </c>
      <c r="E7" s="3" t="s">
        <v>7</v>
      </c>
      <c r="F7" s="67">
        <v>6.5</v>
      </c>
    </row>
    <row r="8" spans="1:10" x14ac:dyDescent="0.2">
      <c r="B8" s="5" t="s">
        <v>54</v>
      </c>
      <c r="C8" s="1" t="s">
        <v>333</v>
      </c>
      <c r="D8" s="2" t="s">
        <v>335</v>
      </c>
      <c r="E8" s="3" t="s">
        <v>7</v>
      </c>
      <c r="F8" s="67">
        <v>8</v>
      </c>
    </row>
    <row r="9" spans="1:10" x14ac:dyDescent="0.2">
      <c r="B9" s="5" t="s">
        <v>54</v>
      </c>
      <c r="C9" s="1" t="s">
        <v>334</v>
      </c>
      <c r="D9" s="2" t="s">
        <v>336</v>
      </c>
      <c r="E9" s="3" t="s">
        <v>7</v>
      </c>
      <c r="F9" s="67">
        <v>8.5</v>
      </c>
    </row>
    <row r="10" spans="1:10" x14ac:dyDescent="0.2">
      <c r="B10" s="5" t="s">
        <v>54</v>
      </c>
      <c r="C10" s="1" t="s">
        <v>11</v>
      </c>
      <c r="D10" s="2" t="s">
        <v>359</v>
      </c>
      <c r="E10" s="3" t="s">
        <v>12</v>
      </c>
      <c r="F10" s="67">
        <f>7/9</f>
        <v>0.77777777777777779</v>
      </c>
    </row>
    <row r="11" spans="1:10" x14ac:dyDescent="0.2">
      <c r="B11" s="5" t="s">
        <v>54</v>
      </c>
      <c r="C11" s="1" t="s">
        <v>488</v>
      </c>
      <c r="D11" s="2" t="s">
        <v>337</v>
      </c>
      <c r="E11" s="3" t="s">
        <v>12</v>
      </c>
      <c r="F11" s="67">
        <v>8.5</v>
      </c>
      <c r="J11" s="5" t="s">
        <v>590</v>
      </c>
    </row>
    <row r="12" spans="1:10" x14ac:dyDescent="0.2">
      <c r="B12" s="5" t="s">
        <v>54</v>
      </c>
      <c r="C12" s="1" t="s">
        <v>489</v>
      </c>
      <c r="D12" s="2" t="s">
        <v>490</v>
      </c>
      <c r="E12" s="3" t="s">
        <v>12</v>
      </c>
      <c r="F12" s="67"/>
      <c r="J12" s="5" t="s">
        <v>593</v>
      </c>
    </row>
    <row r="13" spans="1:10" x14ac:dyDescent="0.2">
      <c r="B13" s="5" t="s">
        <v>54</v>
      </c>
      <c r="C13" s="1" t="s">
        <v>341</v>
      </c>
      <c r="D13" s="2" t="s">
        <v>338</v>
      </c>
      <c r="E13" s="3" t="s">
        <v>12</v>
      </c>
      <c r="F13" s="67">
        <v>60</v>
      </c>
      <c r="J13" s="5" t="s">
        <v>590</v>
      </c>
    </row>
    <row r="14" spans="1:10" x14ac:dyDescent="0.2">
      <c r="B14" s="5" t="s">
        <v>54</v>
      </c>
      <c r="C14" s="1" t="s">
        <v>342</v>
      </c>
      <c r="D14" s="2" t="s">
        <v>339</v>
      </c>
      <c r="E14" s="3" t="s">
        <v>6</v>
      </c>
      <c r="F14" s="67">
        <v>120</v>
      </c>
      <c r="J14" s="5" t="s">
        <v>590</v>
      </c>
    </row>
    <row r="15" spans="1:10" x14ac:dyDescent="0.2">
      <c r="B15" s="5" t="s">
        <v>54</v>
      </c>
      <c r="C15" s="1" t="s">
        <v>343</v>
      </c>
      <c r="D15" s="2" t="s">
        <v>340</v>
      </c>
      <c r="E15" s="3" t="s">
        <v>6</v>
      </c>
      <c r="F15" s="67">
        <v>100</v>
      </c>
    </row>
    <row r="16" spans="1:10" x14ac:dyDescent="0.2">
      <c r="B16" s="5" t="s">
        <v>54</v>
      </c>
      <c r="C16" s="1" t="s">
        <v>1</v>
      </c>
      <c r="D16" s="2" t="s">
        <v>13</v>
      </c>
      <c r="E16" s="3" t="s">
        <v>6</v>
      </c>
      <c r="F16" s="67">
        <f>10/2</f>
        <v>5</v>
      </c>
      <c r="J16" s="5" t="s">
        <v>590</v>
      </c>
    </row>
    <row r="17" spans="1:10" x14ac:dyDescent="0.2">
      <c r="B17" s="5" t="s">
        <v>54</v>
      </c>
      <c r="C17" s="1" t="s">
        <v>14</v>
      </c>
      <c r="D17" s="2" t="s">
        <v>316</v>
      </c>
      <c r="E17" s="3" t="s">
        <v>8</v>
      </c>
      <c r="F17" s="67"/>
    </row>
    <row r="18" spans="1:10" x14ac:dyDescent="0.2">
      <c r="B18" s="5" t="s">
        <v>54</v>
      </c>
      <c r="C18" s="1" t="s">
        <v>15</v>
      </c>
      <c r="D18" s="2" t="s">
        <v>315</v>
      </c>
      <c r="E18" s="3" t="s">
        <v>8</v>
      </c>
      <c r="F18" s="67"/>
    </row>
    <row r="19" spans="1:10" x14ac:dyDescent="0.2">
      <c r="B19" s="5" t="s">
        <v>54</v>
      </c>
      <c r="C19" s="1" t="s">
        <v>16</v>
      </c>
      <c r="D19" s="2" t="s">
        <v>17</v>
      </c>
      <c r="E19" s="3" t="s">
        <v>8</v>
      </c>
      <c r="F19" s="67">
        <v>55</v>
      </c>
    </row>
    <row r="20" spans="1:10" x14ac:dyDescent="0.2">
      <c r="B20" s="5" t="s">
        <v>54</v>
      </c>
      <c r="C20" s="1" t="s">
        <v>18</v>
      </c>
      <c r="D20" s="2" t="s">
        <v>633</v>
      </c>
      <c r="E20" s="3" t="s">
        <v>6</v>
      </c>
      <c r="F20" s="67"/>
    </row>
    <row r="21" spans="1:10" x14ac:dyDescent="0.2">
      <c r="B21" s="5" t="s">
        <v>54</v>
      </c>
      <c r="C21" s="1" t="s">
        <v>20</v>
      </c>
      <c r="D21" s="2" t="s">
        <v>21</v>
      </c>
      <c r="E21" s="3" t="s">
        <v>6</v>
      </c>
      <c r="F21" s="67">
        <v>10</v>
      </c>
      <c r="J21" s="5" t="s">
        <v>590</v>
      </c>
    </row>
    <row r="22" spans="1:10" x14ac:dyDescent="0.2">
      <c r="B22" s="5" t="s">
        <v>54</v>
      </c>
      <c r="C22" s="1" t="s">
        <v>22</v>
      </c>
      <c r="D22" s="2" t="s">
        <v>309</v>
      </c>
      <c r="E22" s="3" t="s">
        <v>6</v>
      </c>
      <c r="F22" s="67"/>
      <c r="J22" s="5" t="s">
        <v>590</v>
      </c>
    </row>
    <row r="23" spans="1:10" x14ac:dyDescent="0.2">
      <c r="B23" s="5" t="s">
        <v>54</v>
      </c>
      <c r="C23" s="1" t="s">
        <v>310</v>
      </c>
      <c r="D23" s="2" t="s">
        <v>312</v>
      </c>
      <c r="E23" s="3" t="s">
        <v>6</v>
      </c>
      <c r="F23" s="67"/>
      <c r="J23" s="5" t="s">
        <v>590</v>
      </c>
    </row>
    <row r="24" spans="1:10" x14ac:dyDescent="0.2">
      <c r="B24" s="5" t="s">
        <v>54</v>
      </c>
      <c r="C24" s="1" t="s">
        <v>311</v>
      </c>
      <c r="D24" s="2" t="s">
        <v>313</v>
      </c>
      <c r="E24" s="3" t="s">
        <v>6</v>
      </c>
      <c r="F24" s="67"/>
      <c r="J24" s="5" t="s">
        <v>590</v>
      </c>
    </row>
    <row r="25" spans="1:10" x14ac:dyDescent="0.2">
      <c r="B25" s="5" t="s">
        <v>54</v>
      </c>
      <c r="C25" s="1" t="s">
        <v>23</v>
      </c>
      <c r="D25" s="2" t="s">
        <v>314</v>
      </c>
      <c r="E25" s="3" t="s">
        <v>6</v>
      </c>
      <c r="F25" s="67"/>
      <c r="J25" s="5" t="s">
        <v>590</v>
      </c>
    </row>
    <row r="26" spans="1:10" ht="12.6" customHeight="1" x14ac:dyDescent="0.2">
      <c r="A26" s="6" t="s">
        <v>24</v>
      </c>
      <c r="B26" s="5" t="s">
        <v>289</v>
      </c>
      <c r="C26" s="1" t="s">
        <v>2</v>
      </c>
      <c r="D26" s="2" t="s">
        <v>288</v>
      </c>
      <c r="E26" s="3" t="s">
        <v>6</v>
      </c>
      <c r="F26" s="67"/>
      <c r="J26" s="5" t="s">
        <v>590</v>
      </c>
    </row>
    <row r="27" spans="1:10" x14ac:dyDescent="0.2">
      <c r="B27" s="5" t="s">
        <v>289</v>
      </c>
      <c r="C27" s="1" t="s">
        <v>25</v>
      </c>
      <c r="D27" s="2" t="s">
        <v>26</v>
      </c>
      <c r="E27" s="3" t="s">
        <v>8</v>
      </c>
      <c r="F27" s="67"/>
    </row>
    <row r="28" spans="1:10" x14ac:dyDescent="0.2">
      <c r="B28" s="5" t="s">
        <v>289</v>
      </c>
      <c r="C28" s="1" t="s">
        <v>27</v>
      </c>
      <c r="D28" s="2" t="s">
        <v>634</v>
      </c>
      <c r="E28" s="3" t="s">
        <v>6</v>
      </c>
      <c r="F28" s="67"/>
    </row>
    <row r="29" spans="1:10" x14ac:dyDescent="0.2">
      <c r="B29" s="5" t="s">
        <v>289</v>
      </c>
      <c r="C29" s="1" t="s">
        <v>0</v>
      </c>
      <c r="D29" s="2" t="s">
        <v>29</v>
      </c>
      <c r="E29" s="3" t="s">
        <v>8</v>
      </c>
      <c r="F29" s="67">
        <v>65</v>
      </c>
    </row>
    <row r="30" spans="1:10" x14ac:dyDescent="0.2">
      <c r="B30" s="5" t="s">
        <v>289</v>
      </c>
      <c r="C30" s="1" t="s">
        <v>30</v>
      </c>
      <c r="D30" s="2" t="s">
        <v>635</v>
      </c>
      <c r="E30" s="3" t="s">
        <v>6</v>
      </c>
      <c r="F30" s="67"/>
    </row>
    <row r="31" spans="1:10" x14ac:dyDescent="0.2">
      <c r="B31" s="5" t="s">
        <v>289</v>
      </c>
      <c r="C31" s="1" t="s">
        <v>31</v>
      </c>
      <c r="D31" s="2" t="s">
        <v>32</v>
      </c>
      <c r="E31" s="3" t="s">
        <v>8</v>
      </c>
      <c r="F31" s="67"/>
    </row>
    <row r="32" spans="1:10" x14ac:dyDescent="0.2">
      <c r="B32" s="5" t="s">
        <v>289</v>
      </c>
      <c r="C32" s="1" t="s">
        <v>33</v>
      </c>
      <c r="D32" s="2" t="s">
        <v>636</v>
      </c>
      <c r="E32" s="3" t="s">
        <v>6</v>
      </c>
      <c r="F32" s="67"/>
    </row>
    <row r="33" spans="1:10" x14ac:dyDescent="0.2">
      <c r="B33" s="5" t="s">
        <v>289</v>
      </c>
      <c r="C33" s="1" t="s">
        <v>34</v>
      </c>
      <c r="D33" s="2" t="s">
        <v>291</v>
      </c>
      <c r="E33" s="3" t="s">
        <v>6</v>
      </c>
      <c r="F33" s="67"/>
      <c r="J33" s="5" t="s">
        <v>590</v>
      </c>
    </row>
    <row r="34" spans="1:10" x14ac:dyDescent="0.2">
      <c r="A34" s="6" t="s">
        <v>35</v>
      </c>
      <c r="B34" s="5" t="s">
        <v>290</v>
      </c>
      <c r="C34" s="1" t="s">
        <v>36</v>
      </c>
      <c r="D34" s="2" t="s">
        <v>292</v>
      </c>
      <c r="E34" s="3" t="s">
        <v>8</v>
      </c>
      <c r="F34" s="67"/>
      <c r="J34" s="5" t="s">
        <v>592</v>
      </c>
    </row>
    <row r="35" spans="1:10" x14ac:dyDescent="0.2">
      <c r="B35" s="5" t="s">
        <v>290</v>
      </c>
      <c r="C35" s="1" t="s">
        <v>37</v>
      </c>
      <c r="D35" s="2" t="s">
        <v>293</v>
      </c>
      <c r="E35" s="3" t="s">
        <v>8</v>
      </c>
      <c r="F35" s="67"/>
      <c r="J35" s="5" t="s">
        <v>592</v>
      </c>
    </row>
    <row r="36" spans="1:10" x14ac:dyDescent="0.2">
      <c r="B36" s="5" t="s">
        <v>290</v>
      </c>
      <c r="C36" s="1" t="s">
        <v>38</v>
      </c>
      <c r="D36" s="2" t="s">
        <v>294</v>
      </c>
      <c r="E36" s="3" t="s">
        <v>8</v>
      </c>
      <c r="F36" s="67"/>
      <c r="J36" s="5" t="s">
        <v>592</v>
      </c>
    </row>
    <row r="37" spans="1:10" x14ac:dyDescent="0.2">
      <c r="A37" s="6" t="s">
        <v>39</v>
      </c>
      <c r="B37" s="5" t="s">
        <v>307</v>
      </c>
      <c r="C37" s="1" t="s">
        <v>301</v>
      </c>
      <c r="D37" s="2" t="s">
        <v>304</v>
      </c>
      <c r="E37" s="3" t="s">
        <v>5</v>
      </c>
      <c r="F37" s="67">
        <v>130</v>
      </c>
    </row>
    <row r="38" spans="1:10" x14ac:dyDescent="0.2">
      <c r="B38" s="5" t="s">
        <v>307</v>
      </c>
      <c r="C38" s="1" t="s">
        <v>302</v>
      </c>
      <c r="D38" s="2" t="s">
        <v>305</v>
      </c>
      <c r="E38" s="3" t="s">
        <v>5</v>
      </c>
      <c r="F38" s="67">
        <v>120</v>
      </c>
    </row>
    <row r="39" spans="1:10" x14ac:dyDescent="0.2">
      <c r="B39" s="5" t="s">
        <v>307</v>
      </c>
      <c r="C39" s="1" t="s">
        <v>303</v>
      </c>
      <c r="D39" s="2" t="s">
        <v>306</v>
      </c>
      <c r="E39" s="3" t="s">
        <v>5</v>
      </c>
      <c r="F39" s="67">
        <v>110</v>
      </c>
    </row>
    <row r="40" spans="1:10" x14ac:dyDescent="0.2">
      <c r="B40" s="5" t="s">
        <v>307</v>
      </c>
      <c r="C40" s="1" t="s">
        <v>295</v>
      </c>
      <c r="D40" s="2" t="s">
        <v>298</v>
      </c>
      <c r="E40" s="3" t="s">
        <v>5</v>
      </c>
      <c r="F40" s="67"/>
    </row>
    <row r="41" spans="1:10" x14ac:dyDescent="0.2">
      <c r="B41" s="5" t="s">
        <v>307</v>
      </c>
      <c r="C41" s="1" t="s">
        <v>296</v>
      </c>
      <c r="D41" s="2" t="s">
        <v>299</v>
      </c>
      <c r="E41" s="3" t="s">
        <v>5</v>
      </c>
      <c r="F41" s="67"/>
    </row>
    <row r="42" spans="1:10" x14ac:dyDescent="0.2">
      <c r="B42" s="5" t="s">
        <v>307</v>
      </c>
      <c r="C42" s="1" t="s">
        <v>297</v>
      </c>
      <c r="D42" s="2" t="s">
        <v>300</v>
      </c>
      <c r="E42" s="3" t="s">
        <v>5</v>
      </c>
      <c r="F42" s="67"/>
    </row>
    <row r="43" spans="1:10" x14ac:dyDescent="0.2">
      <c r="B43" s="5" t="s">
        <v>307</v>
      </c>
      <c r="C43" s="1" t="s">
        <v>50</v>
      </c>
      <c r="D43" s="2" t="s">
        <v>308</v>
      </c>
      <c r="E43" s="3" t="s">
        <v>5</v>
      </c>
      <c r="F43" s="67"/>
    </row>
    <row r="44" spans="1:10" x14ac:dyDescent="0.2">
      <c r="A44" s="6" t="s">
        <v>40</v>
      </c>
      <c r="B44" s="5" t="s">
        <v>55</v>
      </c>
      <c r="C44" s="1" t="s">
        <v>464</v>
      </c>
      <c r="D44" s="2" t="s">
        <v>463</v>
      </c>
      <c r="E44" s="3" t="s">
        <v>6</v>
      </c>
      <c r="F44" s="67">
        <v>79</v>
      </c>
      <c r="J44" s="5" t="s">
        <v>590</v>
      </c>
    </row>
    <row r="45" spans="1:10" x14ac:dyDescent="0.2">
      <c r="A45" s="6"/>
      <c r="B45" s="5" t="s">
        <v>55</v>
      </c>
      <c r="C45" s="1" t="s">
        <v>465</v>
      </c>
      <c r="D45" s="2" t="s">
        <v>468</v>
      </c>
      <c r="E45" s="3" t="s">
        <v>6</v>
      </c>
      <c r="F45" s="67">
        <v>82</v>
      </c>
      <c r="J45" s="5" t="s">
        <v>590</v>
      </c>
    </row>
    <row r="46" spans="1:10" x14ac:dyDescent="0.2">
      <c r="A46" s="6"/>
      <c r="B46" s="5" t="s">
        <v>55</v>
      </c>
      <c r="C46" s="1" t="s">
        <v>466</v>
      </c>
      <c r="D46" s="2" t="s">
        <v>469</v>
      </c>
      <c r="E46" s="3" t="s">
        <v>6</v>
      </c>
      <c r="F46" s="67">
        <v>85</v>
      </c>
      <c r="J46" s="5" t="s">
        <v>590</v>
      </c>
    </row>
    <row r="47" spans="1:10" x14ac:dyDescent="0.2">
      <c r="A47" s="6"/>
      <c r="B47" s="5" t="s">
        <v>55</v>
      </c>
      <c r="C47" s="1" t="s">
        <v>467</v>
      </c>
      <c r="D47" s="2" t="s">
        <v>470</v>
      </c>
      <c r="E47" s="3" t="s">
        <v>6</v>
      </c>
      <c r="F47" s="67">
        <v>91</v>
      </c>
      <c r="J47" s="5" t="s">
        <v>590</v>
      </c>
    </row>
    <row r="48" spans="1:10" x14ac:dyDescent="0.2">
      <c r="A48" s="6" t="s">
        <v>41</v>
      </c>
      <c r="B48" s="5" t="s">
        <v>280</v>
      </c>
      <c r="C48" s="1" t="s">
        <v>42</v>
      </c>
      <c r="D48" s="2" t="s">
        <v>276</v>
      </c>
      <c r="E48" s="3" t="s">
        <v>6</v>
      </c>
      <c r="F48" s="67">
        <v>4</v>
      </c>
    </row>
    <row r="49" spans="1:10" x14ac:dyDescent="0.2">
      <c r="B49" s="5" t="s">
        <v>280</v>
      </c>
      <c r="C49" s="1" t="s">
        <v>43</v>
      </c>
      <c r="D49" s="2" t="s">
        <v>277</v>
      </c>
      <c r="E49" s="3" t="s">
        <v>6</v>
      </c>
      <c r="F49" s="67">
        <v>5</v>
      </c>
    </row>
    <row r="50" spans="1:10" x14ac:dyDescent="0.2">
      <c r="B50" s="5" t="s">
        <v>280</v>
      </c>
      <c r="C50" s="1" t="s">
        <v>44</v>
      </c>
      <c r="D50" s="2" t="s">
        <v>278</v>
      </c>
      <c r="E50" s="3" t="s">
        <v>6</v>
      </c>
      <c r="F50" s="67">
        <v>7</v>
      </c>
    </row>
    <row r="51" spans="1:10" x14ac:dyDescent="0.2">
      <c r="B51" s="5" t="s">
        <v>280</v>
      </c>
      <c r="C51" s="1" t="s">
        <v>45</v>
      </c>
      <c r="D51" s="2" t="s">
        <v>279</v>
      </c>
      <c r="E51" s="3" t="s">
        <v>6</v>
      </c>
      <c r="F51" s="67"/>
    </row>
    <row r="52" spans="1:10" ht="12.6" customHeight="1" x14ac:dyDescent="0.2">
      <c r="B52" s="5" t="s">
        <v>280</v>
      </c>
      <c r="C52" s="1" t="s">
        <v>282</v>
      </c>
      <c r="D52" s="2" t="s">
        <v>281</v>
      </c>
      <c r="E52" s="3" t="s">
        <v>6</v>
      </c>
      <c r="F52" s="67"/>
    </row>
    <row r="53" spans="1:10" ht="12.6" customHeight="1" x14ac:dyDescent="0.2">
      <c r="B53" s="5" t="s">
        <v>280</v>
      </c>
      <c r="C53" s="1" t="s">
        <v>283</v>
      </c>
      <c r="D53" s="2" t="s">
        <v>284</v>
      </c>
      <c r="E53" s="3" t="s">
        <v>6</v>
      </c>
      <c r="F53" s="67"/>
    </row>
    <row r="54" spans="1:10" x14ac:dyDescent="0.2">
      <c r="A54" s="6" t="s">
        <v>46</v>
      </c>
      <c r="B54" s="5" t="s">
        <v>61</v>
      </c>
      <c r="C54" s="1" t="s">
        <v>3</v>
      </c>
      <c r="D54" s="2" t="s">
        <v>4</v>
      </c>
      <c r="E54" s="3" t="s">
        <v>274</v>
      </c>
      <c r="F54" s="67">
        <v>4.5</v>
      </c>
      <c r="J54" s="5" t="s">
        <v>591</v>
      </c>
    </row>
    <row r="55" spans="1:10" x14ac:dyDescent="0.2">
      <c r="B55" s="5" t="s">
        <v>285</v>
      </c>
      <c r="C55" s="1" t="s">
        <v>275</v>
      </c>
      <c r="D55" s="2" t="s">
        <v>286</v>
      </c>
      <c r="E55" s="3" t="s">
        <v>7</v>
      </c>
      <c r="F55" s="67">
        <v>7</v>
      </c>
      <c r="J55" s="5" t="s">
        <v>287</v>
      </c>
    </row>
    <row r="56" spans="1:10" x14ac:dyDescent="0.2">
      <c r="B56" s="5" t="s">
        <v>48</v>
      </c>
      <c r="C56" s="1" t="s">
        <v>47</v>
      </c>
      <c r="D56" s="2" t="s">
        <v>60</v>
      </c>
      <c r="E56" s="3" t="s">
        <v>12</v>
      </c>
      <c r="F56" s="67">
        <f>6/9</f>
        <v>0.66666666666666663</v>
      </c>
    </row>
    <row r="57" spans="1:10" x14ac:dyDescent="0.2">
      <c r="B57" s="5" t="s">
        <v>48</v>
      </c>
      <c r="C57" s="1" t="s">
        <v>272</v>
      </c>
      <c r="D57" s="2" t="s">
        <v>273</v>
      </c>
      <c r="E57" s="3" t="s">
        <v>12</v>
      </c>
      <c r="F57" s="67"/>
    </row>
    <row r="58" spans="1:10" x14ac:dyDescent="0.2">
      <c r="B58" s="5" t="s">
        <v>49</v>
      </c>
      <c r="C58" s="1" t="s">
        <v>58</v>
      </c>
      <c r="D58" s="2" t="s">
        <v>56</v>
      </c>
      <c r="E58" s="3" t="s">
        <v>6</v>
      </c>
      <c r="F58" s="67"/>
    </row>
    <row r="59" spans="1:10" x14ac:dyDescent="0.2">
      <c r="B59" s="5" t="s">
        <v>49</v>
      </c>
      <c r="C59" s="1" t="s">
        <v>59</v>
      </c>
      <c r="D59" s="2" t="s">
        <v>57</v>
      </c>
      <c r="E59" s="3" t="s">
        <v>6</v>
      </c>
      <c r="F59" s="67"/>
    </row>
  </sheetData>
  <mergeCells count="1">
    <mergeCell ref="G1:I1"/>
  </mergeCells>
  <phoneticPr fontId="6"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A2E6E-4D4F-47BE-86B0-E4C2E1C588B4}">
  <sheetPr codeName="Sheet15"/>
  <dimension ref="A1:D3"/>
  <sheetViews>
    <sheetView workbookViewId="0">
      <selection activeCell="E12" sqref="E12"/>
    </sheetView>
  </sheetViews>
  <sheetFormatPr defaultRowHeight="15" x14ac:dyDescent="0.25"/>
  <cols>
    <col min="1" max="1" width="40.42578125" customWidth="1"/>
    <col min="2" max="2" width="26.7109375" customWidth="1"/>
    <col min="3" max="6" width="15" customWidth="1"/>
  </cols>
  <sheetData>
    <row r="1" spans="1:4" x14ac:dyDescent="0.25">
      <c r="A1" s="4" t="s">
        <v>477</v>
      </c>
    </row>
    <row r="3" spans="1:4" s="87" customFormat="1" ht="30" x14ac:dyDescent="0.25">
      <c r="A3" s="87" t="s">
        <v>246</v>
      </c>
      <c r="B3" s="87" t="s">
        <v>478</v>
      </c>
      <c r="C3" s="87" t="s">
        <v>265</v>
      </c>
      <c r="D3" s="87" t="s">
        <v>588</v>
      </c>
    </row>
  </sheetData>
  <pageMargins left="0.7" right="0.7" top="0.75" bottom="0.75" header="0.3" footer="0.3"/>
  <pageSetup orientation="portrait" horizontalDpi="4294967295" verticalDpi="4294967295"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A631D-88B3-469B-9D44-C4D81D3A0C83}">
  <sheetPr codeName="Sheet5">
    <tabColor rgb="FFFFC000"/>
  </sheetPr>
  <dimension ref="B8:E86"/>
  <sheetViews>
    <sheetView topLeftCell="A51" workbookViewId="0">
      <selection activeCell="G27" sqref="G27"/>
    </sheetView>
  </sheetViews>
  <sheetFormatPr defaultColWidth="8.7109375" defaultRowHeight="12.75" x14ac:dyDescent="0.2"/>
  <cols>
    <col min="1" max="1" width="8.7109375" style="5"/>
    <col min="2" max="2" width="29.42578125" style="5" customWidth="1"/>
    <col min="3" max="3" width="54" style="5" customWidth="1"/>
    <col min="4" max="4" width="13.7109375" style="5" customWidth="1"/>
    <col min="5" max="16384" width="8.7109375" style="5"/>
  </cols>
  <sheetData>
    <row r="8" spans="2:5" ht="13.5" thickBot="1" x14ac:dyDescent="0.25">
      <c r="B8" s="6" t="s">
        <v>494</v>
      </c>
    </row>
    <row r="9" spans="2:5" ht="27" thickTop="1" thickBot="1" x14ac:dyDescent="0.25">
      <c r="B9" s="11" t="s">
        <v>96</v>
      </c>
      <c r="C9" s="12" t="s">
        <v>95</v>
      </c>
      <c r="D9" s="12" t="s">
        <v>106</v>
      </c>
      <c r="E9" s="12" t="s">
        <v>259</v>
      </c>
    </row>
    <row r="10" spans="2:5" ht="13.15" customHeight="1" thickTop="1" x14ac:dyDescent="0.2">
      <c r="B10" s="13" t="s">
        <v>67</v>
      </c>
      <c r="C10" s="14" t="s">
        <v>107</v>
      </c>
      <c r="D10" s="38">
        <v>1</v>
      </c>
      <c r="E10" s="34">
        <v>4</v>
      </c>
    </row>
    <row r="11" spans="2:5" ht="13.15" customHeight="1" thickBot="1" x14ac:dyDescent="0.25">
      <c r="B11" s="15"/>
      <c r="C11" s="16" t="s">
        <v>108</v>
      </c>
      <c r="D11" s="39">
        <v>1</v>
      </c>
      <c r="E11" s="35"/>
    </row>
    <row r="12" spans="2:5" ht="12.6" customHeight="1" x14ac:dyDescent="0.2">
      <c r="B12" s="17" t="s">
        <v>70</v>
      </c>
      <c r="C12" s="14" t="s">
        <v>107</v>
      </c>
      <c r="D12" s="38">
        <v>1</v>
      </c>
      <c r="E12" s="36">
        <v>8</v>
      </c>
    </row>
    <row r="13" spans="2:5" ht="13.15" customHeight="1" thickBot="1" x14ac:dyDescent="0.25">
      <c r="B13" s="15"/>
      <c r="C13" s="16" t="s">
        <v>108</v>
      </c>
      <c r="D13" s="39">
        <v>1</v>
      </c>
      <c r="E13" s="35"/>
    </row>
    <row r="14" spans="2:5" ht="12.6" customHeight="1" x14ac:dyDescent="0.2">
      <c r="B14" s="17" t="s">
        <v>71</v>
      </c>
      <c r="C14" s="14" t="s">
        <v>72</v>
      </c>
      <c r="D14" s="38">
        <v>7.4999999999999997E-3</v>
      </c>
      <c r="E14" s="36">
        <v>12</v>
      </c>
    </row>
    <row r="15" spans="2:5" ht="12.6" customHeight="1" x14ac:dyDescent="0.2">
      <c r="B15" s="18"/>
      <c r="C15" s="14" t="s">
        <v>73</v>
      </c>
      <c r="D15" s="38">
        <v>3.2500000000000001E-2</v>
      </c>
      <c r="E15" s="37"/>
    </row>
    <row r="16" spans="2:5" ht="12.6" customHeight="1" x14ac:dyDescent="0.2">
      <c r="B16" s="18"/>
      <c r="C16" s="14" t="s">
        <v>68</v>
      </c>
      <c r="D16" s="38">
        <v>1</v>
      </c>
      <c r="E16" s="37"/>
    </row>
    <row r="17" spans="2:5" ht="13.15" customHeight="1" thickBot="1" x14ac:dyDescent="0.25">
      <c r="B17" s="15"/>
      <c r="C17" s="16" t="s">
        <v>69</v>
      </c>
      <c r="D17" s="39">
        <v>1</v>
      </c>
      <c r="E17" s="35"/>
    </row>
    <row r="18" spans="2:5" ht="12.6" customHeight="1" x14ac:dyDescent="0.2">
      <c r="B18" s="17" t="s">
        <v>74</v>
      </c>
      <c r="C18" s="14" t="s">
        <v>75</v>
      </c>
      <c r="D18" s="38">
        <v>0.01</v>
      </c>
      <c r="E18" s="36">
        <v>16</v>
      </c>
    </row>
    <row r="19" spans="2:5" ht="12.6" customHeight="1" x14ac:dyDescent="0.2">
      <c r="B19" s="18"/>
      <c r="C19" s="14" t="s">
        <v>76</v>
      </c>
      <c r="D19" s="38">
        <v>3.5000000000000003E-2</v>
      </c>
      <c r="E19" s="37"/>
    </row>
    <row r="20" spans="2:5" ht="12.6" customHeight="1" x14ac:dyDescent="0.2">
      <c r="B20" s="18"/>
      <c r="C20" s="14" t="s">
        <v>68</v>
      </c>
      <c r="D20" s="38">
        <v>1</v>
      </c>
      <c r="E20" s="37"/>
    </row>
    <row r="21" spans="2:5" ht="13.15" customHeight="1" thickBot="1" x14ac:dyDescent="0.25">
      <c r="B21" s="15"/>
      <c r="C21" s="16" t="s">
        <v>69</v>
      </c>
      <c r="D21" s="39">
        <v>1</v>
      </c>
      <c r="E21" s="35"/>
    </row>
    <row r="22" spans="2:5" ht="12.6" customHeight="1" x14ac:dyDescent="0.2">
      <c r="B22" s="17" t="s">
        <v>77</v>
      </c>
      <c r="C22" s="14" t="s">
        <v>78</v>
      </c>
      <c r="D22" s="38">
        <v>1</v>
      </c>
      <c r="E22" s="36">
        <v>20</v>
      </c>
    </row>
    <row r="23" spans="2:5" ht="12.6" customHeight="1" x14ac:dyDescent="0.2">
      <c r="B23" s="18"/>
      <c r="C23" s="14" t="s">
        <v>79</v>
      </c>
      <c r="D23" s="38">
        <v>1.4999999999999999E-2</v>
      </c>
      <c r="E23" s="37"/>
    </row>
    <row r="24" spans="2:5" ht="12.6" customHeight="1" x14ac:dyDescent="0.2">
      <c r="B24" s="18"/>
      <c r="C24" s="14" t="s">
        <v>80</v>
      </c>
      <c r="D24" s="38">
        <v>5.0000000000000001E-3</v>
      </c>
      <c r="E24" s="37"/>
    </row>
    <row r="25" spans="2:5" ht="13.15" customHeight="1" thickBot="1" x14ac:dyDescent="0.25">
      <c r="B25" s="15"/>
      <c r="C25" s="16" t="s">
        <v>69</v>
      </c>
      <c r="D25" s="39">
        <v>1</v>
      </c>
      <c r="E25" s="35"/>
    </row>
    <row r="26" spans="2:5" ht="12.6" customHeight="1" x14ac:dyDescent="0.2">
      <c r="B26" s="17" t="s">
        <v>81</v>
      </c>
      <c r="C26" s="14" t="s">
        <v>68</v>
      </c>
      <c r="D26" s="38">
        <v>1</v>
      </c>
      <c r="E26" s="36">
        <v>24</v>
      </c>
    </row>
    <row r="27" spans="2:5" ht="13.15" customHeight="1" thickBot="1" x14ac:dyDescent="0.25">
      <c r="B27" s="15"/>
      <c r="C27" s="16" t="s">
        <v>69</v>
      </c>
      <c r="D27" s="39">
        <v>1</v>
      </c>
      <c r="E27" s="35"/>
    </row>
    <row r="28" spans="2:5" ht="12.6" customHeight="1" x14ac:dyDescent="0.2">
      <c r="B28" s="17" t="s">
        <v>82</v>
      </c>
      <c r="C28" s="14" t="s">
        <v>83</v>
      </c>
      <c r="D28" s="38">
        <v>1.2500000000000001E-2</v>
      </c>
      <c r="E28" s="36">
        <v>28</v>
      </c>
    </row>
    <row r="29" spans="2:5" ht="12.6" customHeight="1" x14ac:dyDescent="0.2">
      <c r="B29" s="18"/>
      <c r="C29" s="14" t="s">
        <v>84</v>
      </c>
      <c r="D29" s="38">
        <v>0.04</v>
      </c>
      <c r="E29" s="37"/>
    </row>
    <row r="30" spans="2:5" ht="12.6" customHeight="1" x14ac:dyDescent="0.2">
      <c r="B30" s="18"/>
      <c r="C30" s="14" t="s">
        <v>68</v>
      </c>
      <c r="D30" s="38">
        <v>1</v>
      </c>
      <c r="E30" s="37"/>
    </row>
    <row r="31" spans="2:5" ht="13.15" customHeight="1" thickBot="1" x14ac:dyDescent="0.25">
      <c r="B31" s="15"/>
      <c r="C31" s="16" t="s">
        <v>69</v>
      </c>
      <c r="D31" s="39">
        <v>1</v>
      </c>
      <c r="E31" s="35"/>
    </row>
    <row r="32" spans="2:5" ht="13.5" thickBot="1" x14ac:dyDescent="0.25">
      <c r="B32" s="19" t="s">
        <v>85</v>
      </c>
      <c r="C32" s="20" t="s">
        <v>86</v>
      </c>
      <c r="D32" s="40">
        <v>0.125</v>
      </c>
      <c r="E32" s="21">
        <v>30</v>
      </c>
    </row>
    <row r="33" spans="2:5" ht="13.5" thickTop="1" x14ac:dyDescent="0.2"/>
    <row r="35" spans="2:5" ht="13.5" thickBot="1" x14ac:dyDescent="0.25">
      <c r="B35" s="6" t="s">
        <v>495</v>
      </c>
    </row>
    <row r="36" spans="2:5" ht="27" thickTop="1" thickBot="1" x14ac:dyDescent="0.25">
      <c r="B36" s="28" t="s">
        <v>105</v>
      </c>
      <c r="C36" s="29" t="s">
        <v>95</v>
      </c>
      <c r="D36" s="29" t="s">
        <v>106</v>
      </c>
      <c r="E36" s="29" t="s">
        <v>259</v>
      </c>
    </row>
    <row r="37" spans="2:5" ht="13.15" customHeight="1" thickTop="1" x14ac:dyDescent="0.2">
      <c r="B37" s="22" t="s">
        <v>67</v>
      </c>
      <c r="C37" s="23" t="s">
        <v>97</v>
      </c>
      <c r="D37" s="41">
        <v>1</v>
      </c>
      <c r="E37" s="30">
        <v>19</v>
      </c>
    </row>
    <row r="38" spans="2:5" ht="12.6" customHeight="1" x14ac:dyDescent="0.2">
      <c r="B38" s="24"/>
      <c r="C38" s="23" t="s">
        <v>98</v>
      </c>
      <c r="D38" s="41">
        <v>2.5000000000000001E-3</v>
      </c>
      <c r="E38" s="31"/>
    </row>
    <row r="39" spans="2:5" ht="12.6" customHeight="1" x14ac:dyDescent="0.2">
      <c r="B39" s="24"/>
      <c r="C39" s="23" t="s">
        <v>99</v>
      </c>
      <c r="D39" s="41">
        <v>1.2999999999999999E-3</v>
      </c>
      <c r="E39" s="31"/>
    </row>
    <row r="40" spans="2:5" ht="13.15" customHeight="1" thickBot="1" x14ac:dyDescent="0.25">
      <c r="B40" s="25"/>
      <c r="C40" s="26" t="s">
        <v>100</v>
      </c>
      <c r="D40" s="42">
        <v>3.0000000000000001E-3</v>
      </c>
      <c r="E40" s="32"/>
    </row>
    <row r="41" spans="2:5" ht="12.6" customHeight="1" x14ac:dyDescent="0.2">
      <c r="B41" s="27" t="s">
        <v>77</v>
      </c>
      <c r="C41" s="23" t="s">
        <v>101</v>
      </c>
      <c r="D41" s="41">
        <v>0.02</v>
      </c>
      <c r="E41" s="33">
        <v>27</v>
      </c>
    </row>
    <row r="42" spans="2:5" ht="12.6" customHeight="1" x14ac:dyDescent="0.2">
      <c r="B42" s="24"/>
      <c r="C42" s="23" t="s">
        <v>100</v>
      </c>
      <c r="D42" s="41">
        <v>3.0000000000000001E-3</v>
      </c>
      <c r="E42" s="31"/>
    </row>
    <row r="43" spans="2:5" ht="12.6" customHeight="1" x14ac:dyDescent="0.2">
      <c r="B43" s="24"/>
      <c r="C43" s="23" t="s">
        <v>99</v>
      </c>
      <c r="D43" s="41">
        <v>1.2999999999999999E-3</v>
      </c>
      <c r="E43" s="31"/>
    </row>
    <row r="44" spans="2:5" ht="12.6" customHeight="1" x14ac:dyDescent="0.2">
      <c r="B44" s="24"/>
      <c r="C44" s="23" t="s">
        <v>102</v>
      </c>
      <c r="D44" s="41">
        <v>3.0000000000000001E-3</v>
      </c>
      <c r="E44" s="31"/>
    </row>
    <row r="45" spans="2:5" ht="13.15" customHeight="1" thickBot="1" x14ac:dyDescent="0.25">
      <c r="B45" s="25"/>
      <c r="C45" s="26" t="s">
        <v>103</v>
      </c>
      <c r="D45" s="42">
        <v>1</v>
      </c>
      <c r="E45" s="32"/>
    </row>
    <row r="46" spans="2:5" ht="13.5" thickBot="1" x14ac:dyDescent="0.25">
      <c r="B46" s="8" t="s">
        <v>85</v>
      </c>
      <c r="C46" s="9" t="s">
        <v>104</v>
      </c>
      <c r="D46" s="43">
        <v>0.25</v>
      </c>
      <c r="E46" s="10">
        <v>30</v>
      </c>
    </row>
    <row r="47" spans="2:5" ht="13.5" thickTop="1" x14ac:dyDescent="0.2"/>
    <row r="49" spans="2:5" ht="13.5" thickBot="1" x14ac:dyDescent="0.25">
      <c r="B49" s="6" t="s">
        <v>496</v>
      </c>
    </row>
    <row r="50" spans="2:5" ht="27" thickTop="1" thickBot="1" x14ac:dyDescent="0.25">
      <c r="B50" s="11" t="s">
        <v>96</v>
      </c>
      <c r="C50" s="12" t="s">
        <v>95</v>
      </c>
      <c r="D50" s="12" t="s">
        <v>106</v>
      </c>
      <c r="E50" s="12" t="s">
        <v>259</v>
      </c>
    </row>
    <row r="51" spans="2:5" ht="13.5" thickTop="1" x14ac:dyDescent="0.2">
      <c r="B51" s="17" t="s">
        <v>67</v>
      </c>
      <c r="C51" s="14" t="s">
        <v>68</v>
      </c>
      <c r="D51" s="38">
        <v>1</v>
      </c>
      <c r="E51" s="36">
        <v>4</v>
      </c>
    </row>
    <row r="52" spans="2:5" ht="13.5" thickBot="1" x14ac:dyDescent="0.25">
      <c r="B52" s="15"/>
      <c r="C52" s="16" t="s">
        <v>69</v>
      </c>
      <c r="D52" s="39">
        <v>1</v>
      </c>
      <c r="E52" s="35"/>
    </row>
    <row r="53" spans="2:5" x14ac:dyDescent="0.2">
      <c r="B53" s="17" t="s">
        <v>70</v>
      </c>
      <c r="C53" s="14" t="s">
        <v>83</v>
      </c>
      <c r="D53" s="38">
        <v>1.2500000000000001E-2</v>
      </c>
      <c r="E53" s="36">
        <v>8</v>
      </c>
    </row>
    <row r="54" spans="2:5" x14ac:dyDescent="0.2">
      <c r="B54" s="18"/>
      <c r="C54" s="14" t="s">
        <v>84</v>
      </c>
      <c r="D54" s="38">
        <v>0.04</v>
      </c>
      <c r="E54" s="37"/>
    </row>
    <row r="55" spans="2:5" x14ac:dyDescent="0.2">
      <c r="B55" s="18"/>
      <c r="C55" s="14" t="s">
        <v>68</v>
      </c>
      <c r="D55" s="38">
        <v>1</v>
      </c>
      <c r="E55" s="37"/>
    </row>
    <row r="56" spans="2:5" ht="13.5" thickBot="1" x14ac:dyDescent="0.25">
      <c r="B56" s="15"/>
      <c r="C56" s="16" t="s">
        <v>69</v>
      </c>
      <c r="D56" s="39">
        <v>1</v>
      </c>
      <c r="E56" s="35"/>
    </row>
    <row r="57" spans="2:5" x14ac:dyDescent="0.2">
      <c r="B57" s="17" t="s">
        <v>71</v>
      </c>
      <c r="C57" s="14" t="s">
        <v>107</v>
      </c>
      <c r="D57" s="38">
        <v>1</v>
      </c>
      <c r="E57" s="90">
        <v>12</v>
      </c>
    </row>
    <row r="58" spans="2:5" ht="13.5" thickBot="1" x14ac:dyDescent="0.25">
      <c r="B58" s="15"/>
      <c r="C58" s="16" t="s">
        <v>108</v>
      </c>
      <c r="D58" s="39">
        <v>1</v>
      </c>
      <c r="E58" s="35"/>
    </row>
    <row r="59" spans="2:5" ht="25.5" x14ac:dyDescent="0.2">
      <c r="B59" s="17" t="s">
        <v>491</v>
      </c>
      <c r="C59" s="14" t="s">
        <v>78</v>
      </c>
      <c r="D59" s="38">
        <v>1</v>
      </c>
      <c r="E59" s="36">
        <v>16</v>
      </c>
    </row>
    <row r="60" spans="2:5" x14ac:dyDescent="0.2">
      <c r="B60" s="18"/>
      <c r="C60" s="14" t="s">
        <v>492</v>
      </c>
      <c r="D60" s="38">
        <v>1.4999999999999999E-2</v>
      </c>
      <c r="E60" s="37"/>
    </row>
    <row r="61" spans="2:5" x14ac:dyDescent="0.2">
      <c r="B61" s="18"/>
      <c r="C61" s="14" t="s">
        <v>493</v>
      </c>
      <c r="D61" s="38">
        <v>5.0000000000000001E-3</v>
      </c>
      <c r="E61" s="37"/>
    </row>
    <row r="62" spans="2:5" ht="13.5" thickBot="1" x14ac:dyDescent="0.25">
      <c r="B62" s="15"/>
      <c r="C62" s="16" t="s">
        <v>69</v>
      </c>
      <c r="D62" s="39">
        <v>1</v>
      </c>
      <c r="E62" s="35"/>
    </row>
    <row r="63" spans="2:5" x14ac:dyDescent="0.2">
      <c r="B63" s="17" t="s">
        <v>74</v>
      </c>
      <c r="C63" s="14" t="s">
        <v>68</v>
      </c>
      <c r="D63" s="38">
        <v>1</v>
      </c>
      <c r="E63" s="36">
        <v>20</v>
      </c>
    </row>
    <row r="64" spans="2:5" ht="13.5" thickBot="1" x14ac:dyDescent="0.25">
      <c r="B64" s="15"/>
      <c r="C64" s="16" t="s">
        <v>69</v>
      </c>
      <c r="D64" s="39">
        <v>1</v>
      </c>
      <c r="E64" s="35"/>
    </row>
    <row r="65" spans="2:5" x14ac:dyDescent="0.2">
      <c r="B65" s="17" t="s">
        <v>81</v>
      </c>
      <c r="C65" s="14" t="s">
        <v>83</v>
      </c>
      <c r="D65" s="38">
        <v>1.2500000000000001E-2</v>
      </c>
      <c r="E65" s="36">
        <v>24</v>
      </c>
    </row>
    <row r="66" spans="2:5" x14ac:dyDescent="0.2">
      <c r="B66" s="18"/>
      <c r="C66" s="14" t="s">
        <v>84</v>
      </c>
      <c r="D66" s="38">
        <v>0.04</v>
      </c>
      <c r="E66" s="37"/>
    </row>
    <row r="67" spans="2:5" x14ac:dyDescent="0.2">
      <c r="B67" s="18"/>
      <c r="C67" s="14" t="s">
        <v>68</v>
      </c>
      <c r="D67" s="38">
        <v>1</v>
      </c>
      <c r="E67" s="37"/>
    </row>
    <row r="68" spans="2:5" ht="13.5" thickBot="1" x14ac:dyDescent="0.25">
      <c r="B68" s="15"/>
      <c r="C68" s="16" t="s">
        <v>69</v>
      </c>
      <c r="D68" s="39">
        <v>1</v>
      </c>
      <c r="E68" s="35"/>
    </row>
    <row r="69" spans="2:5" x14ac:dyDescent="0.2">
      <c r="B69" s="17" t="s">
        <v>82</v>
      </c>
      <c r="C69" s="14" t="s">
        <v>68</v>
      </c>
      <c r="D69" s="38">
        <v>1</v>
      </c>
      <c r="E69" s="36">
        <v>28</v>
      </c>
    </row>
    <row r="70" spans="2:5" ht="13.5" thickBot="1" x14ac:dyDescent="0.25">
      <c r="B70" s="15"/>
      <c r="C70" s="16" t="s">
        <v>69</v>
      </c>
      <c r="D70" s="39">
        <v>1</v>
      </c>
      <c r="E70" s="35"/>
    </row>
    <row r="71" spans="2:5" ht="13.5" thickBot="1" x14ac:dyDescent="0.25">
      <c r="B71" s="19" t="s">
        <v>85</v>
      </c>
      <c r="C71" s="20" t="s">
        <v>498</v>
      </c>
      <c r="D71" s="40">
        <v>0</v>
      </c>
      <c r="E71" s="21">
        <v>30</v>
      </c>
    </row>
    <row r="72" spans="2:5" ht="13.5" thickTop="1" x14ac:dyDescent="0.2"/>
    <row r="74" spans="2:5" ht="13.5" thickBot="1" x14ac:dyDescent="0.25">
      <c r="B74" s="6" t="s">
        <v>497</v>
      </c>
    </row>
    <row r="75" spans="2:5" ht="27" thickTop="1" thickBot="1" x14ac:dyDescent="0.25">
      <c r="B75" s="28" t="s">
        <v>105</v>
      </c>
      <c r="C75" s="29" t="s">
        <v>95</v>
      </c>
      <c r="D75" s="29" t="s">
        <v>106</v>
      </c>
      <c r="E75" s="29" t="s">
        <v>259</v>
      </c>
    </row>
    <row r="76" spans="2:5" ht="13.5" thickTop="1" x14ac:dyDescent="0.2">
      <c r="B76" s="22" t="s">
        <v>67</v>
      </c>
      <c r="C76" s="23" t="s">
        <v>97</v>
      </c>
      <c r="D76" s="41">
        <v>1</v>
      </c>
      <c r="E76" s="30">
        <v>15</v>
      </c>
    </row>
    <row r="77" spans="2:5" x14ac:dyDescent="0.2">
      <c r="B77" s="24"/>
      <c r="C77" s="23" t="s">
        <v>501</v>
      </c>
      <c r="D77" s="41">
        <v>3.5000000000000001E-3</v>
      </c>
      <c r="E77" s="31"/>
    </row>
    <row r="78" spans="2:5" x14ac:dyDescent="0.2">
      <c r="B78" s="24"/>
      <c r="C78" s="23" t="s">
        <v>502</v>
      </c>
      <c r="D78" s="41">
        <v>2E-3</v>
      </c>
      <c r="E78" s="31"/>
    </row>
    <row r="79" spans="2:5" ht="13.5" thickBot="1" x14ac:dyDescent="0.25">
      <c r="B79" s="25"/>
      <c r="C79" s="26" t="s">
        <v>100</v>
      </c>
      <c r="D79" s="42">
        <v>3.0000000000000001E-3</v>
      </c>
      <c r="E79" s="32"/>
    </row>
    <row r="80" spans="2:5" x14ac:dyDescent="0.2">
      <c r="B80" s="27" t="s">
        <v>77</v>
      </c>
      <c r="C80" s="23" t="s">
        <v>500</v>
      </c>
      <c r="D80" s="41">
        <v>0.05</v>
      </c>
      <c r="E80" s="33">
        <v>25</v>
      </c>
    </row>
    <row r="81" spans="2:5" x14ac:dyDescent="0.2">
      <c r="B81" s="24"/>
      <c r="C81" s="23" t="s">
        <v>100</v>
      </c>
      <c r="D81" s="41">
        <v>3.0000000000000001E-3</v>
      </c>
      <c r="E81" s="31"/>
    </row>
    <row r="82" spans="2:5" x14ac:dyDescent="0.2">
      <c r="B82" s="24"/>
      <c r="C82" s="23" t="s">
        <v>503</v>
      </c>
      <c r="D82" s="41">
        <v>1.5E-3</v>
      </c>
      <c r="E82" s="31"/>
    </row>
    <row r="83" spans="2:5" x14ac:dyDescent="0.2">
      <c r="B83" s="24"/>
      <c r="C83" s="23" t="s">
        <v>102</v>
      </c>
      <c r="D83" s="41">
        <v>3.0000000000000001E-3</v>
      </c>
      <c r="E83" s="31"/>
    </row>
    <row r="84" spans="2:5" ht="13.5" thickBot="1" x14ac:dyDescent="0.25">
      <c r="B84" s="25"/>
      <c r="C84" s="26" t="s">
        <v>103</v>
      </c>
      <c r="D84" s="42">
        <v>1</v>
      </c>
      <c r="E84" s="32"/>
    </row>
    <row r="85" spans="2:5" ht="13.5" thickBot="1" x14ac:dyDescent="0.25">
      <c r="B85" s="8" t="s">
        <v>85</v>
      </c>
      <c r="C85" s="9" t="s">
        <v>498</v>
      </c>
      <c r="D85" s="43">
        <v>0</v>
      </c>
      <c r="E85" s="10">
        <v>30</v>
      </c>
    </row>
    <row r="86" spans="2:5" ht="13.5" thickTop="1" x14ac:dyDescent="0.2"/>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8C13D-2591-4149-B8C6-F9ED9B3860D2}">
  <sheetPr codeName="Sheet13">
    <tabColor theme="0" tint="-0.34998626667073579"/>
  </sheetPr>
  <dimension ref="A1:BL67"/>
  <sheetViews>
    <sheetView zoomScale="80" zoomScaleNormal="80" workbookViewId="0">
      <selection activeCell="A32" sqref="A32"/>
    </sheetView>
  </sheetViews>
  <sheetFormatPr defaultRowHeight="15" x14ac:dyDescent="0.25"/>
  <cols>
    <col min="1" max="1" width="33.42578125" bestFit="1" customWidth="1"/>
    <col min="2" max="2" width="32.85546875" customWidth="1"/>
    <col min="3" max="3" width="41.7109375" customWidth="1"/>
    <col min="4" max="4" width="41.5703125" bestFit="1" customWidth="1"/>
    <col min="5" max="5" width="33.7109375" bestFit="1" customWidth="1"/>
    <col min="6" max="6" width="11.28515625" bestFit="1" customWidth="1"/>
    <col min="7" max="7" width="12.85546875" customWidth="1"/>
    <col min="9" max="9" width="9.140625" hidden="1" customWidth="1"/>
    <col min="10" max="11" width="13.28515625" style="61" hidden="1" customWidth="1"/>
    <col min="12" max="12" width="21.710937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spans="1:64" x14ac:dyDescent="0.25">
      <c r="I1" t="s">
        <v>248</v>
      </c>
    </row>
    <row r="2" spans="1:64" x14ac:dyDescent="0.25">
      <c r="A2" s="4" t="s">
        <v>504</v>
      </c>
      <c r="E2" s="95" t="s">
        <v>618</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70</v>
      </c>
      <c r="Z2" s="62" t="s">
        <v>71</v>
      </c>
      <c r="AH2" s="4" t="s">
        <v>74</v>
      </c>
      <c r="AP2" s="62" t="s">
        <v>77</v>
      </c>
      <c r="AX2" s="4" t="s">
        <v>81</v>
      </c>
      <c r="BF2" s="62" t="s">
        <v>82</v>
      </c>
    </row>
    <row r="3" spans="1:64" x14ac:dyDescent="0.25">
      <c r="E3" s="97"/>
      <c r="F3" s="98"/>
    </row>
    <row r="4" spans="1:64" x14ac:dyDescent="0.25">
      <c r="A4" t="s">
        <v>263</v>
      </c>
      <c r="C4" s="45" t="s">
        <v>486</v>
      </c>
      <c r="E4" s="97" t="s">
        <v>600</v>
      </c>
      <c r="F4" s="112">
        <f>ROUNDUP((C5/15000),0)+ROUNDUP((C8/20000),0)+ROUNDUP((C8/50000),0)</f>
        <v>0</v>
      </c>
    </row>
    <row r="5" spans="1:64" x14ac:dyDescent="0.25">
      <c r="A5" t="s">
        <v>346</v>
      </c>
      <c r="C5">
        <f>'General Information'!D26</f>
        <v>0</v>
      </c>
      <c r="D5" t="s">
        <v>6</v>
      </c>
      <c r="E5" s="97" t="s">
        <v>601</v>
      </c>
      <c r="F5" s="112">
        <f>ROUNDUP((C5/15000),0)+ROUNDUP((C8/20000),0)+ROUNDUP((C8/50000),0)</f>
        <v>0</v>
      </c>
    </row>
    <row r="6" spans="1:64" x14ac:dyDescent="0.25">
      <c r="A6" t="s">
        <v>262</v>
      </c>
      <c r="C6">
        <f>'General Information'!D25</f>
        <v>0</v>
      </c>
      <c r="E6" s="97" t="s">
        <v>602</v>
      </c>
      <c r="F6" s="112">
        <f>ROUNDUP((C5/15000),0)+ROUNDUP((C8/20000),0)+ROUNDUP((C8/50000),0)+ROUNDUP((C5*'Maintenance Policies'!D15/10000),0)+ROUNDUP((C5*'Maintenance Policies'!D14/5000),0)</f>
        <v>0</v>
      </c>
      <c r="AP6" s="61" t="s">
        <v>355</v>
      </c>
      <c r="AQ6" s="61">
        <v>2</v>
      </c>
      <c r="AR6" s="61" t="s">
        <v>356</v>
      </c>
    </row>
    <row r="7" spans="1:64" x14ac:dyDescent="0.25">
      <c r="A7" t="s">
        <v>324</v>
      </c>
      <c r="C7" s="91" t="s">
        <v>276</v>
      </c>
      <c r="D7" t="s">
        <v>476</v>
      </c>
      <c r="E7" s="97" t="s">
        <v>603</v>
      </c>
      <c r="F7" s="112">
        <f>ROUNDUP((C5/15000),0)+ROUNDUP((C8/20000),0)+ROUNDUP((C8/50000),0)+ROUNDUP((C5*'Maintenance Policies'!D18/10000),0)+ROUNDUP((C5*'Maintenance Policies'!D19/5000),0)</f>
        <v>0</v>
      </c>
      <c r="AP7" s="61" t="s">
        <v>357</v>
      </c>
      <c r="AQ7" s="61">
        <v>120</v>
      </c>
      <c r="AR7" s="61" t="s">
        <v>358</v>
      </c>
    </row>
    <row r="8" spans="1:64" x14ac:dyDescent="0.25">
      <c r="A8" t="s">
        <v>345</v>
      </c>
      <c r="C8">
        <f>'General Information'!D28</f>
        <v>0</v>
      </c>
      <c r="D8" t="s">
        <v>12</v>
      </c>
      <c r="E8" s="97" t="s">
        <v>604</v>
      </c>
      <c r="F8" s="112">
        <f>ROUNDUP((C5/3800),0)+ROUNDUP((C8/50000),0)</f>
        <v>0</v>
      </c>
    </row>
    <row r="9" spans="1:64" x14ac:dyDescent="0.25">
      <c r="C9" s="45"/>
      <c r="E9" s="97" t="s">
        <v>605</v>
      </c>
      <c r="F9" s="112">
        <f>ROUNDUP((C5/15000),0)+ROUNDUP((C8/20000),0)+ROUNDUP((C8/50000),0)</f>
        <v>0</v>
      </c>
      <c r="AP9" s="61" t="s">
        <v>353</v>
      </c>
      <c r="AQ9" s="61">
        <v>0.1</v>
      </c>
      <c r="AR9" s="61" t="s">
        <v>354</v>
      </c>
    </row>
    <row r="10" spans="1:64" x14ac:dyDescent="0.25">
      <c r="D10" s="44"/>
      <c r="E10" s="99" t="s">
        <v>606</v>
      </c>
      <c r="F10" s="113">
        <f>ROUNDUP((C5/15000),0)+ROUNDUP((C8/20000),0)+ROUNDUP((C8/50000),0)+ROUNDUP((C5*'Maintenance Policies'!D28/10000),0)+ROUNDUP((C5*'Maintenance Policies'!D29/5000),0)</f>
        <v>0</v>
      </c>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IF(C13="",0,VLOOKUP(C13,CHOOSE({1,2},Table2[Pay Item Description],Table2[Pay Item No.]),2,0))</f>
        <v>0</v>
      </c>
      <c r="C13" s="70" t="s">
        <v>481</v>
      </c>
      <c r="D13" s="3" t="str">
        <f>IF(C13="","N/A",VLOOKUP(C13,CHOOSE({1,2},Table2[Pay Item Description],Table2[Units]),2,0))</f>
        <v>N/A</v>
      </c>
      <c r="E13" s="76"/>
      <c r="F13" s="75" t="str">
        <f>IF(C13="","N/A",VLOOKUP(C13,CHOOSE({1,2},Table2[Pay Item Description],Table2[Unit Cost]),2,0))</f>
        <v>N/A</v>
      </c>
      <c r="G13" s="72">
        <f t="shared" ref="G13:G22" si="0">IF(B13&lt;&gt;0,F13*E13,0)</f>
        <v>0</v>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IF(L13="","N/A",VLOOKUP(L13,CHOOSE({1,2},Table2[Pay Item Description],Table2[Unit Cost]),2,0))</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IF(T13="","N/A",VLOOKUP(T13,CHOOSE({1,2},Table2[Pay Item Description],Table2[Unit Cost]),2,0))</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IF(AB13="","N/A",VLOOKUP(AB13,CHOOSE({1,2},Table2[Pay Item Description],Table2[Unit Cost]),2,0))</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IF(AJ13="","N/A",VLOOKUP(AJ13,CHOOSE({1,2},Table2[Pay Item Description],Table2[Unit Cost]),2,0))</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IF(AR13="","N/A",VLOOKUP(AR13,CHOOSE({1,2},Table2[Pay Item Description],Table2[Unit Cost]),2,0))</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IF(AZ13="","N/A",VLOOKUP(AZ13,CHOOSE({1,2},Table2[Pay Item Description],Table2[Unit Cost]),2,0))</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IF(BH13="","N/A",VLOOKUP(BH13,CHOOSE({1,2},Table2[Pay Item Description],Table2[Unit Cost]),2,0))</f>
        <v>8.5</v>
      </c>
      <c r="BL13" s="63">
        <f>BK13*BJ13</f>
        <v>0</v>
      </c>
    </row>
    <row r="14" spans="1:64" ht="19.5" customHeight="1" x14ac:dyDescent="0.25">
      <c r="A14">
        <v>2</v>
      </c>
      <c r="B14" s="71">
        <f>IF(C14="",0,VLOOKUP(C14,CHOOSE({1,2},Table2[Pay Item Description],Table2[Pay Item No.]),2,0))</f>
        <v>0</v>
      </c>
      <c r="C14" s="70" t="s">
        <v>481</v>
      </c>
      <c r="D14" s="3" t="str">
        <f>IF(C14="","N/A",VLOOKUP(C14,CHOOSE({1,2},Table2[Pay Item Description],Table2[Units]),2,0))</f>
        <v>N/A</v>
      </c>
      <c r="E14" s="76"/>
      <c r="F14" s="75" t="str">
        <f>IF(C14="","N/A",VLOOKUP(C14,CHOOSE({1,2},Table2[Pay Item Description],Table2[Unit Cost]),2,0))</f>
        <v>N/A</v>
      </c>
      <c r="G14" s="72">
        <f t="shared" si="0"/>
        <v>0</v>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IF(L14="","N/A",VLOOKUP(L14,CHOOSE({1,2},Table2[Pay Item Description],Table2[Unit Cost]),2,0))</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IF(T14="","N/A",VLOOKUP(T14,CHOOSE({1,2},Table2[Pay Item Description],Table2[Unit Cost]),2,0))</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IF(AB14="","N/A",VLOOKUP(AB14,CHOOSE({1,2},Table2[Pay Item Description],Table2[Unit Cost]),2,0))</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IF(AJ14="","N/A",VLOOKUP(AJ14,CHOOSE({1,2},Table2[Pay Item Description],Table2[Unit Cost]),2,0))</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IF(AR14="","N/A",VLOOKUP(AR14,CHOOSE({1,2},Table2[Pay Item Description],Table2[Unit Cost]),2,0))</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IF(AZ14="","N/A",VLOOKUP(AZ14,CHOOSE({1,2},Table2[Pay Item Description],Table2[Unit Cost]),2,0))</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IF(BH14="","N/A",VLOOKUP(BH14,CHOOSE({1,2},Table2[Pay Item Description],Table2[Unit Cost]),2,0))</f>
        <v>4</v>
      </c>
      <c r="BL14" s="63">
        <f>BK14*BJ14</f>
        <v>0</v>
      </c>
    </row>
    <row r="15" spans="1:64" ht="19.5" customHeight="1" x14ac:dyDescent="0.25">
      <c r="A15">
        <v>3</v>
      </c>
      <c r="B15" s="71">
        <f>IF(C15="",0,VLOOKUP(C15,CHOOSE({1,2},Table2[Pay Item Description],Table2[Pay Item No.]),2,0))</f>
        <v>0</v>
      </c>
      <c r="C15" s="70"/>
      <c r="D15" s="3" t="str">
        <f>IF(C15="","N/A",VLOOKUP(C15,CHOOSE({1,2},Table2[Pay Item Description],Table2[Units]),2,0))</f>
        <v>N/A</v>
      </c>
      <c r="E15" s="76"/>
      <c r="F15" s="75" t="str">
        <f>IF(C15="","N/A",VLOOKUP(C15,CHOOSE({1,2},Table2[Pay Item Description],Table2[Unit Cost]),2,0))</f>
        <v>N/A</v>
      </c>
      <c r="G15" s="72">
        <f t="shared" si="0"/>
        <v>0</v>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IF(L15="","N/A",VLOOKUP(L15,CHOOSE({1,2},Table2[Pay Item Description],Table2[Unit Cost]),2,0))</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IF(T15="","N/A",VLOOKUP(T15,CHOOSE({1,2},Table2[Pay Item Description],Table2[Unit Cost]),2,0))</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IF(AB15="","N/A",VLOOKUP(AB15,CHOOSE({1,2},Table2[Pay Item Description],Table2[Unit Cost]),2,0))</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IF(AJ15="","N/A",VLOOKUP(AJ15,CHOOSE({1,2},Table2[Pay Item Description],Table2[Unit Cost]),2,0))</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IF(AR15="","N/A",VLOOKUP(AR15,CHOOSE({1,2},Table2[Pay Item Description],Table2[Unit Cost]),2,0))</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IF(AZ15="","N/A",VLOOKUP(AZ15,CHOOSE({1,2},Table2[Pay Item Description],Table2[Unit Cost]),2,0))</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IF(BH15="","N/A",VLOOKUP(BH15,CHOOSE({1,2},Table2[Pay Item Description],Table2[Unit Cost]),2,0))</f>
        <v>4</v>
      </c>
      <c r="BL15" s="63">
        <f>BK15*BJ15</f>
        <v>0</v>
      </c>
    </row>
    <row r="16" spans="1:64" ht="19.5" customHeight="1" x14ac:dyDescent="0.25">
      <c r="A16">
        <v>4</v>
      </c>
      <c r="B16" s="71">
        <f>IF(C16="",0,VLOOKUP(C16,CHOOSE({1,2},Table2[Pay Item Description],Table2[Pay Item No.]),2,0))</f>
        <v>0</v>
      </c>
      <c r="C16" s="70"/>
      <c r="D16" s="3" t="str">
        <f>IF(C16="","N/A",VLOOKUP(C16,CHOOSE({1,2},Table2[Pay Item Description],Table2[Units]),2,0))</f>
        <v>N/A</v>
      </c>
      <c r="E16" s="76"/>
      <c r="F16" s="75" t="str">
        <f>IF(C16="","N/A",VLOOKUP(C16,CHOOSE({1,2},Table2[Pay Item Description],Table2[Unit Cost]),2,0))</f>
        <v>N/A</v>
      </c>
      <c r="G16" s="72">
        <f t="shared" si="0"/>
        <v>0</v>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IF(AB16="","N/A",VLOOKUP(AB16,CHOOSE({1,2},Table2[Pay Item Description],Table2[Unit Cost]),2,0))</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IF(AJ16="","N/A",VLOOKUP(AJ16,CHOOSE({1,2},Table2[Pay Item Description],Table2[Unit Cost]),2,0))</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IF(AR16="","N/A",VLOOKUP(AR16,CHOOSE({1,2},Table2[Pay Item Description],Table2[Unit Cost]),2,0))</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IF(BH16="","N/A",VLOOKUP(BH16,CHOOSE({1,2},Table2[Pay Item Description],Table2[Unit Cost]),2,0))</f>
        <v>0.77777777777777779</v>
      </c>
      <c r="BL16" s="63">
        <f>BK16*BJ16</f>
        <v>0</v>
      </c>
    </row>
    <row r="17" spans="1:64" ht="19.5" customHeight="1" x14ac:dyDescent="0.25">
      <c r="A17">
        <v>5</v>
      </c>
      <c r="B17" s="71">
        <f>IF(C17="",0,VLOOKUP(C17,CHOOSE({1,2},Table2[Pay Item Description],Table2[Pay Item No.]),2,0))</f>
        <v>0</v>
      </c>
      <c r="C17" s="70"/>
      <c r="D17" s="3" t="str">
        <f>IF(C17="","N/A",VLOOKUP(C17,CHOOSE({1,2},Table2[Pay Item Description],Table2[Units]),2,0))</f>
        <v>N/A</v>
      </c>
      <c r="E17" s="76"/>
      <c r="F17" s="75" t="str">
        <f>IF(C17="","N/A",VLOOKUP(C17,CHOOSE({1,2},Table2[Pay Item Description],Table2[Unit Cost]),2,0))</f>
        <v>N/A</v>
      </c>
      <c r="G17" s="72">
        <f t="shared" si="0"/>
        <v>0</v>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IF(AB17="","N/A",VLOOKUP(AB17,CHOOSE({1,2},Table2[Pay Item Description],Table2[Unit Cost]),2,0))</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IF(AJ17="","N/A",VLOOKUP(AJ17,CHOOSE({1,2},Table2[Pay Item Description],Table2[Unit Cost]),2,0))</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IF(AR17="","N/A",VLOOKUP(AR17,CHOOSE({1,2},Table2[Pay Item Description],Table2[Unit Cost]),2,0))</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IF(BH17="","N/A",VLOOKUP(BH17,CHOOSE({1,2},Table2[Pay Item Description],Table2[Unit Cost]),2,0))</f>
        <v>0.66666666666666663</v>
      </c>
      <c r="BL17" s="63">
        <f>BK17*BJ17</f>
        <v>0</v>
      </c>
    </row>
    <row r="18" spans="1:64" ht="19.5" customHeight="1" x14ac:dyDescent="0.25">
      <c r="A18">
        <v>6</v>
      </c>
      <c r="B18" s="71">
        <f>IF(C18="",0,VLOOKUP(C18,CHOOSE({1,2},Table2[Pay Item Description],Table2[Pay Item No.]),2,0))</f>
        <v>0</v>
      </c>
      <c r="C18" s="70"/>
      <c r="D18" s="3" t="str">
        <f>IF(C18="","N/A",VLOOKUP(C18,CHOOSE({1,2},Table2[Pay Item Description],Table2[Units]),2,0))</f>
        <v>N/A</v>
      </c>
      <c r="E18" s="76"/>
      <c r="F18" s="75" t="str">
        <f>IF(C18="","N/A",VLOOKUP(C18,CHOOSE({1,2},Table2[Pay Item Description],Table2[Unit Cost]),2,0))</f>
        <v>N/A</v>
      </c>
      <c r="G18" s="72">
        <f t="shared" si="0"/>
        <v>0</v>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IF(AR18="","N/A",VLOOKUP(AR18,CHOOSE({1,2},Table2[Pay Item Description],Table2[Unit Cost]),2,0))</f>
        <v>0.66666666666666663</v>
      </c>
      <c r="AV18" s="63">
        <f t="shared" si="1"/>
        <v>0</v>
      </c>
      <c r="AZ18" t="s">
        <v>323</v>
      </c>
      <c r="BD18" s="46">
        <f>('General Information'!$D$37/100)*BD16</f>
        <v>0</v>
      </c>
      <c r="BK18" s="61" t="s">
        <v>348</v>
      </c>
      <c r="BL18" s="63">
        <f>SUM(BL13:BL17)</f>
        <v>0</v>
      </c>
    </row>
    <row r="19" spans="1:64" ht="19.5" customHeight="1" x14ac:dyDescent="0.25">
      <c r="A19">
        <v>7</v>
      </c>
      <c r="B19" s="71">
        <f>IF(C19="",0,VLOOKUP(C19,CHOOSE({1,2},Table2[Pay Item Description],Table2[Pay Item No.]),2,0))</f>
        <v>0</v>
      </c>
      <c r="C19" s="70"/>
      <c r="D19" s="3" t="str">
        <f>IF(C19="","N/A",VLOOKUP(C19,CHOOSE({1,2},Table2[Pay Item Description],Table2[Units]),2,0))</f>
        <v>N/A</v>
      </c>
      <c r="E19" s="76"/>
      <c r="F19" s="75" t="str">
        <f>IF(C19="","N/A",VLOOKUP(C19,CHOOSE({1,2},Table2[Pay Item Description],Table2[Unit Cost]),2,0))</f>
        <v>N/A</v>
      </c>
      <c r="G19" s="72">
        <f t="shared" si="0"/>
        <v>0</v>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IF(C20="",0,VLOOKUP(C20,CHOOSE({1,2},Table2[Pay Item Description],Table2[Pay Item No.]),2,0))</f>
        <v>0</v>
      </c>
      <c r="C20" s="70"/>
      <c r="D20" s="3" t="str">
        <f>IF(C20="","N/A",VLOOKUP(C20,CHOOSE({1,2},Table2[Pay Item Description],Table2[Units]),2,0))</f>
        <v>N/A</v>
      </c>
      <c r="E20" s="76"/>
      <c r="F20" s="75" t="str">
        <f>IF(C20="","N/A",VLOOKUP(C20,CHOOSE({1,2},Table2[Pay Item Description],Table2[Unit Cost]),2,0))</f>
        <v>N/A</v>
      </c>
      <c r="G20" s="72">
        <f t="shared" si="0"/>
        <v>0</v>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IF(C21="",0,VLOOKUP(C21,CHOOSE({1,2},Table2[Pay Item Description],Table2[Pay Item No.]),2,0))</f>
        <v>0</v>
      </c>
      <c r="C21" s="70"/>
      <c r="D21" s="3" t="str">
        <f>IF(C21="","N/A",VLOOKUP(C21,CHOOSE({1,2},Table2[Pay Item Description],Table2[Units]),2,0))</f>
        <v>N/A</v>
      </c>
      <c r="E21" s="76"/>
      <c r="F21" s="75" t="str">
        <f>IF(C21="","N/A",VLOOKUP(C21,CHOOSE({1,2},Table2[Pay Item Description],Table2[Unit Cost]),2,0))</f>
        <v>N/A</v>
      </c>
      <c r="G21" s="72">
        <f t="shared" si="0"/>
        <v>0</v>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IF(C22="",0,VLOOKUP(C22,CHOOSE({1,2},Table2[Pay Item Description],Table2[Pay Item No.]),2,0))</f>
        <v>0</v>
      </c>
      <c r="C22" s="70"/>
      <c r="D22" s="3" t="str">
        <f>IF(C22="","N/A",VLOOKUP(C22,CHOOSE({1,2},Table2[Pay Item Description],Table2[Units]),2,0))</f>
        <v>N/A</v>
      </c>
      <c r="E22" s="76"/>
      <c r="F22" s="75" t="str">
        <f>IF(C22="","N/A",VLOOKUP(C22,CHOOSE({1,2},Table2[Pay Item Description],Table2[Unit Cost]),2,0))</f>
        <v>N/A</v>
      </c>
      <c r="G22" s="72">
        <f t="shared" si="0"/>
        <v>0</v>
      </c>
      <c r="AU22" s="61" t="s">
        <v>349</v>
      </c>
      <c r="AV22" s="63">
        <f>SUM(AV19:AV21)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x14ac:dyDescent="0.25">
      <c r="A27" s="4" t="s">
        <v>349</v>
      </c>
      <c r="G27" s="89">
        <f>SUM(G24:G26)</f>
        <v>0</v>
      </c>
    </row>
    <row r="32" spans="1:64" x14ac:dyDescent="0.25">
      <c r="A32" s="4" t="s">
        <v>328</v>
      </c>
    </row>
    <row r="33" spans="1:14" x14ac:dyDescent="0.25">
      <c r="A33" s="4" t="s">
        <v>508</v>
      </c>
      <c r="I33" t="s">
        <v>248</v>
      </c>
    </row>
    <row r="34" spans="1:14" ht="15.75" thickBot="1" x14ac:dyDescent="0.3"/>
    <row r="35" spans="1:14" ht="16.5" thickTop="1" thickBot="1" x14ac:dyDescent="0.3">
      <c r="B35" s="53" t="s">
        <v>326</v>
      </c>
      <c r="C35" s="54" t="s">
        <v>259</v>
      </c>
      <c r="D35" s="54" t="s">
        <v>327</v>
      </c>
      <c r="E35" s="55" t="s">
        <v>350</v>
      </c>
    </row>
    <row r="36" spans="1:14" ht="15.75" thickTop="1" x14ac:dyDescent="0.25">
      <c r="B36" s="51" t="s">
        <v>325</v>
      </c>
      <c r="C36" s="56">
        <f>C6</f>
        <v>0</v>
      </c>
      <c r="D36" s="59">
        <f>G27</f>
        <v>0</v>
      </c>
      <c r="E36" s="52">
        <f>D36</f>
        <v>0</v>
      </c>
      <c r="K36" s="61" t="s">
        <v>473</v>
      </c>
      <c r="L36" s="101" t="s">
        <v>616</v>
      </c>
      <c r="M36" s="101" t="s">
        <v>617</v>
      </c>
      <c r="N36" s="101" t="s">
        <v>619</v>
      </c>
    </row>
    <row r="37" spans="1:14" x14ac:dyDescent="0.25">
      <c r="B37" s="48" t="s">
        <v>67</v>
      </c>
      <c r="C37" s="57">
        <f>'Maintenance Policies'!E10</f>
        <v>4</v>
      </c>
      <c r="D37" s="58">
        <f>P19</f>
        <v>0</v>
      </c>
      <c r="E37" s="47">
        <f>IF(C37&gt;'General Information'!$D$33,0,D37/(1+('General Information'!$D$34/100))^C37)</f>
        <v>0</v>
      </c>
      <c r="K37" s="61">
        <f>C6</f>
        <v>0</v>
      </c>
      <c r="L37" s="102">
        <f>IF(K37-$C$6&gt;'General Information'!$D$33,0,IF(K37=$C$6,$D$36,0)+SUMIFS($D$37:$D$51,$C$37:$C$51,K37-$C$6,$B$37:$B$51,"&lt;&gt;*Indirect*"))</f>
        <v>0</v>
      </c>
      <c r="M37" s="102">
        <f>IF(K37-$C$6&gt;'General Information'!$D$33,0,SUMIFS($D$37:$D$51,$C$37:$C$51,K37-$C$6,$B$37:$B$51,"*Indirect*"))</f>
        <v>0</v>
      </c>
      <c r="N37" s="102">
        <f>IF(K37-$C$6&gt;'General Information'!$D$33,0,IF(K37=$C$6,$E$36,0)+SUMIF($C$37:$C$51,K37-$C$6,$E$37:$E$51))</f>
        <v>0</v>
      </c>
    </row>
    <row r="38" spans="1:14" ht="18.75" customHeight="1" x14ac:dyDescent="0.25">
      <c r="B38" s="48" t="s">
        <v>607</v>
      </c>
      <c r="C38" s="57">
        <f>'Maintenance Policies'!E10</f>
        <v>4</v>
      </c>
      <c r="D38" s="58" t="e">
        <f>F2*F4</f>
        <v>#N/A</v>
      </c>
      <c r="E38" s="47" t="e">
        <f>IF(C38&gt;'General Information'!$D$33,0,D38/(1+('General Information'!$D$34/100))^C38)</f>
        <v>#N/A</v>
      </c>
      <c r="K38" s="61">
        <f>K37+1</f>
        <v>1</v>
      </c>
      <c r="L38" s="102">
        <f>IF(K38-$C$6&gt;'General Information'!$D$33,0,IF(K38=$C$6,$D$36,0)+SUMIFS($D$37:$D$51,$C$37:$C$51,K38-$C$6,$B$37:$B$51,"&lt;&gt;*Indirect*"))</f>
        <v>0</v>
      </c>
      <c r="M38" s="102">
        <f>IF(K38-$C$6&gt;'General Information'!$D$33,0,SUMIFS($D$37:$D$51,$C$37:$C$51,K38-$C$6,$B$37:$B$51,"*Indirect*"))</f>
        <v>0</v>
      </c>
      <c r="N38" s="102">
        <f>IF(K38-$C$6&gt;'General Information'!$D$33,0,IF(K38=$C$6,$E$36,0)+SUMIF($C$37:$C$51,K38-$C$6,$E$37:$E$51))</f>
        <v>0</v>
      </c>
    </row>
    <row r="39" spans="1:14" x14ac:dyDescent="0.25">
      <c r="B39" s="48" t="s">
        <v>70</v>
      </c>
      <c r="C39" s="57">
        <f>'Maintenance Policies'!E12</f>
        <v>8</v>
      </c>
      <c r="D39" s="58">
        <f>X19</f>
        <v>0</v>
      </c>
      <c r="E39" s="47">
        <f>IF(C39&gt;'General Information'!$D$33,0,D39/(1+('General Information'!$D$34/100))^C39)</f>
        <v>0</v>
      </c>
      <c r="K39" s="61">
        <f t="shared" ref="K39:K67" si="2">K38+1</f>
        <v>2</v>
      </c>
      <c r="L39" s="102">
        <f>IF(K39-$C$6&gt;'General Information'!$D$33,0,IF(K39=$C$6,$D$36,0)+SUMIFS($D$37:$D$51,$C$37:$C$51,K39-$C$6,$B$37:$B$51,"&lt;&gt;*Indirect*"))</f>
        <v>0</v>
      </c>
      <c r="M39" s="102">
        <f>IF(K39-$C$6&gt;'General Information'!$D$33,0,SUMIFS($D$37:$D$51,$C$37:$C$51,K39-$C$6,$B$37:$B$51,"*Indirect*"))</f>
        <v>0</v>
      </c>
      <c r="N39" s="102">
        <f>IF(K39-$C$6&gt;'General Information'!$D$33,0,IF(K39=$C$6,$E$36,0)+SUMIF($C$37:$C$51,K39-$C$6,$E$37:$E$51))</f>
        <v>0</v>
      </c>
    </row>
    <row r="40" spans="1:14" x14ac:dyDescent="0.25">
      <c r="B40" s="48" t="s">
        <v>614</v>
      </c>
      <c r="C40" s="57">
        <f>'Maintenance Policies'!E12</f>
        <v>8</v>
      </c>
      <c r="D40" s="58" t="e">
        <f>F2*F5</f>
        <v>#N/A</v>
      </c>
      <c r="E40" s="47" t="e">
        <f>IF(C40&gt;'General Information'!$D$33,0,D40/(1+('General Information'!$D$34/100))^C40)</f>
        <v>#N/A</v>
      </c>
      <c r="K40" s="61">
        <f t="shared" si="2"/>
        <v>3</v>
      </c>
      <c r="L40" s="102">
        <f>IF(K40-$C$6&gt;'General Information'!$D$33,0,IF(K40=$C$6,$D$36,0)+SUMIFS($D$37:$D$51,$C$37:$C$51,K40-$C$6,$B$37:$B$51,"&lt;&gt;*Indirect*"))</f>
        <v>0</v>
      </c>
      <c r="M40" s="102">
        <f>IF(K40-$C$6&gt;'General Information'!$D$33,0,SUMIFS($D$37:$D$51,$C$37:$C$51,K40-$C$6,$B$37:$B$51,"*Indirect*"))</f>
        <v>0</v>
      </c>
      <c r="N40" s="102">
        <f>IF(K40-$C$6&gt;'General Information'!$D$33,0,IF(K40=$C$6,$E$36,0)+SUMIF($C$37:$C$51,K40-$C$6,$E$37:$E$51))</f>
        <v>0</v>
      </c>
    </row>
    <row r="41" spans="1:14" x14ac:dyDescent="0.25">
      <c r="B41" s="48" t="s">
        <v>71</v>
      </c>
      <c r="C41" s="57">
        <f>'Maintenance Policies'!E14</f>
        <v>12</v>
      </c>
      <c r="D41" s="58">
        <f>AF21</f>
        <v>0</v>
      </c>
      <c r="E41" s="47">
        <f>IF(C41&gt;'General Information'!$D$33,0,D41/(1+('General Information'!$D$34/100))^C41)</f>
        <v>0</v>
      </c>
      <c r="K41" s="61">
        <f t="shared" si="2"/>
        <v>4</v>
      </c>
      <c r="L41" s="102">
        <f>IF(K41-$C$6&gt;'General Information'!$D$33,0,IF(K41=$C$6,$D$36,0)+SUMIFS($D$37:$D$51,$C$37:$C$51,K41-$C$6,$B$37:$B$51,"&lt;&gt;*Indirect*"))</f>
        <v>0</v>
      </c>
      <c r="M41" s="102">
        <f>IF(K41-$C$6&gt;'General Information'!$D$33,0,SUMIFS($D$37:$D$51,$C$37:$C$51,K41-$C$6,$B$37:$B$51,"*Indirect*"))</f>
        <v>0</v>
      </c>
      <c r="N41" s="102">
        <f>IF(K41-$C$6&gt;'General Information'!$D$33,0,IF(K41=$C$6,$E$36,0)+SUMIF($C$37:$C$51,K41-$C$6,$E$37:$E$51))</f>
        <v>0</v>
      </c>
    </row>
    <row r="42" spans="1:14" x14ac:dyDescent="0.25">
      <c r="B42" s="48" t="s">
        <v>608</v>
      </c>
      <c r="C42" s="57">
        <f>'Maintenance Policies'!E14</f>
        <v>12</v>
      </c>
      <c r="D42" s="58" t="e">
        <f>F2*F6</f>
        <v>#N/A</v>
      </c>
      <c r="E42" s="47" t="e">
        <f>IF(C42&gt;'General Information'!$D$33,0,D42/(1+('General Information'!$D$34/100))^C42)</f>
        <v>#N/A</v>
      </c>
      <c r="K42" s="61">
        <f t="shared" si="2"/>
        <v>5</v>
      </c>
      <c r="L42" s="102">
        <f>IF(K42-$C$6&gt;'General Information'!$D$33,0,IF(K42=$C$6,$D$36,0)+SUMIFS($D$37:$D$51,$C$37:$C$51,K42-$C$6,$B$37:$B$51,"&lt;&gt;*Indirect*"))</f>
        <v>0</v>
      </c>
      <c r="M42" s="102">
        <f>IF(K42-$C$6&gt;'General Information'!$D$33,0,SUMIFS($D$37:$D$51,$C$37:$C$51,K42-$C$6,$B$37:$B$51,"*Indirect*"))</f>
        <v>0</v>
      </c>
      <c r="N42" s="102">
        <f>IF(K42-$C$6&gt;'General Information'!$D$33,0,IF(K42=$C$6,$E$36,0)+SUMIF($C$37:$C$51,K42-$C$6,$E$37:$E$51))</f>
        <v>0</v>
      </c>
    </row>
    <row r="43" spans="1:14" x14ac:dyDescent="0.25">
      <c r="B43" s="48" t="s">
        <v>74</v>
      </c>
      <c r="C43" s="57">
        <f>'Maintenance Policies'!E18</f>
        <v>16</v>
      </c>
      <c r="D43" s="58">
        <f>AN21</f>
        <v>0</v>
      </c>
      <c r="E43" s="47">
        <f>IF(C43&gt;'General Information'!$D$33,0,D43/(1+('General Information'!$D$34/100))^C43)</f>
        <v>0</v>
      </c>
      <c r="K43" s="61">
        <f t="shared" si="2"/>
        <v>6</v>
      </c>
      <c r="L43" s="102">
        <f>IF(K43-$C$6&gt;'General Information'!$D$33,0,IF(K43=$C$6,$D$36,0)+SUMIFS($D$37:$D$51,$C$37:$C$51,K43-$C$6,$B$37:$B$51,"&lt;&gt;*Indirect*"))</f>
        <v>0</v>
      </c>
      <c r="M43" s="102">
        <f>IF(K43-$C$6&gt;'General Information'!$D$33,0,SUMIFS($D$37:$D$51,$C$37:$C$51,K43-$C$6,$B$37:$B$51,"*Indirect*"))</f>
        <v>0</v>
      </c>
      <c r="N43" s="102">
        <f>IF(K43-$C$6&gt;'General Information'!$D$33,0,IF(K43=$C$6,$E$36,0)+SUMIF($C$37:$C$51,K43-$C$6,$E$37:$E$51))</f>
        <v>0</v>
      </c>
    </row>
    <row r="44" spans="1:14" x14ac:dyDescent="0.25">
      <c r="B44" s="48" t="s">
        <v>609</v>
      </c>
      <c r="C44" s="57">
        <f>'Maintenance Policies'!E18</f>
        <v>16</v>
      </c>
      <c r="D44" s="58" t="e">
        <f>F2*F7</f>
        <v>#N/A</v>
      </c>
      <c r="E44" s="47" t="e">
        <f>IF(C44&gt;'General Information'!$D$33,0,D44/(1+('General Information'!$D$34/100))^C44)</f>
        <v>#N/A</v>
      </c>
      <c r="K44" s="61">
        <f t="shared" si="2"/>
        <v>7</v>
      </c>
      <c r="L44" s="102">
        <f>IF(K44-$C$6&gt;'General Information'!$D$33,0,IF(K44=$C$6,$D$36,0)+SUMIFS($D$37:$D$51,$C$37:$C$51,K44-$C$6,$B$37:$B$51,"&lt;&gt;*Indirect*"))</f>
        <v>0</v>
      </c>
      <c r="M44" s="102">
        <f>IF(K44-$C$6&gt;'General Information'!$D$33,0,SUMIFS($D$37:$D$51,$C$37:$C$51,K44-$C$6,$B$37:$B$51,"*Indirect*"))</f>
        <v>0</v>
      </c>
      <c r="N44" s="102">
        <f>IF(K44-$C$6&gt;'General Information'!$D$33,0,IF(K44=$C$6,$E$36,0)+SUMIF($C$37:$C$51,K44-$C$6,$E$37:$E$51))</f>
        <v>0</v>
      </c>
    </row>
    <row r="45" spans="1:14" x14ac:dyDescent="0.25">
      <c r="B45" s="48" t="s">
        <v>77</v>
      </c>
      <c r="C45" s="57">
        <f>'Maintenance Policies'!E22</f>
        <v>20</v>
      </c>
      <c r="D45" s="58">
        <f>AV22</f>
        <v>0</v>
      </c>
      <c r="E45" s="47">
        <f>IF(C45&gt;'General Information'!$D$33,0,D45/(1+('General Information'!$D$34/100))^C45)</f>
        <v>0</v>
      </c>
      <c r="K45" s="61">
        <f t="shared" si="2"/>
        <v>8</v>
      </c>
      <c r="L45" s="102">
        <f>IF(K45-$C$6&gt;'General Information'!$D$33,0,IF(K45=$C$6,$D$36,0)+SUMIFS($D$37:$D$51,$C$37:$C$51,K45-$C$6,$B$37:$B$51,"&lt;&gt;*Indirect*"))</f>
        <v>0</v>
      </c>
      <c r="M45" s="102">
        <f>IF(K45-$C$6&gt;'General Information'!$D$33,0,SUMIFS($D$37:$D$51,$C$37:$C$51,K45-$C$6,$B$37:$B$51,"*Indirect*"))</f>
        <v>0</v>
      </c>
      <c r="N45" s="102">
        <f>IF(K45-$C$6&gt;'General Information'!$D$33,0,IF(K45=$C$6,$E$36,0)+SUMIF($C$37:$C$51,K45-$C$6,$E$37:$E$51))</f>
        <v>0</v>
      </c>
    </row>
    <row r="46" spans="1:14" x14ac:dyDescent="0.25">
      <c r="B46" s="48" t="s">
        <v>610</v>
      </c>
      <c r="C46" s="57">
        <f>'Maintenance Policies'!E22</f>
        <v>20</v>
      </c>
      <c r="D46" s="58" t="e">
        <f>F2*F8</f>
        <v>#N/A</v>
      </c>
      <c r="E46" s="47" t="e">
        <f>IF(C46&gt;'General Information'!$D$33,0,D46/(1+('General Information'!$D$34/100))^C46)</f>
        <v>#N/A</v>
      </c>
      <c r="K46" s="61">
        <f t="shared" si="2"/>
        <v>9</v>
      </c>
      <c r="L46" s="102">
        <f>IF(K46-$C$6&gt;'General Information'!$D$33,0,IF(K46=$C$6,$D$36,0)+SUMIFS($D$37:$D$51,$C$37:$C$51,K46-$C$6,$B$37:$B$51,"&lt;&gt;*Indirect*"))</f>
        <v>0</v>
      </c>
      <c r="M46" s="102">
        <f>IF(K46-$C$6&gt;'General Information'!$D$33,0,SUMIFS($D$37:$D$51,$C$37:$C$51,K46-$C$6,$B$37:$B$51,"*Indirect*"))</f>
        <v>0</v>
      </c>
      <c r="N46" s="102">
        <f>IF(K46-$C$6&gt;'General Information'!$D$33,0,IF(K46=$C$6,$E$36,0)+SUMIF($C$37:$C$51,K46-$C$6,$E$37:$E$51))</f>
        <v>0</v>
      </c>
    </row>
    <row r="47" spans="1:14" x14ac:dyDescent="0.25">
      <c r="B47" s="48" t="s">
        <v>81</v>
      </c>
      <c r="C47" s="57">
        <f>'Maintenance Policies'!E26</f>
        <v>24</v>
      </c>
      <c r="D47" s="58">
        <f>BD19</f>
        <v>0</v>
      </c>
      <c r="E47" s="47">
        <f>IF(C47&gt;'General Information'!$D$33,0,D47/(1+('General Information'!$D$34/100))^C47)</f>
        <v>0</v>
      </c>
      <c r="K47" s="61">
        <f t="shared" si="2"/>
        <v>10</v>
      </c>
      <c r="L47" s="102">
        <f>IF(K47-$C$6&gt;'General Information'!$D$33,0,IF(K47=$C$6,$D$36,0)+SUMIFS($D$37:$D$51,$C$37:$C$51,K47-$C$6,$B$37:$B$51,"&lt;&gt;*Indirect*"))</f>
        <v>0</v>
      </c>
      <c r="M47" s="102">
        <f>IF(K47-$C$6&gt;'General Information'!$D$33,0,SUMIFS($D$37:$D$51,$C$37:$C$51,K47-$C$6,$B$37:$B$51,"*Indirect*"))</f>
        <v>0</v>
      </c>
      <c r="N47" s="102">
        <f>IF(K47-$C$6&gt;'General Information'!$D$33,0,IF(K47=$C$6,$E$36,0)+SUMIF($C$37:$C$51,K47-$C$6,$E$37:$E$51))</f>
        <v>0</v>
      </c>
    </row>
    <row r="48" spans="1:14" x14ac:dyDescent="0.25">
      <c r="B48" s="48" t="s">
        <v>611</v>
      </c>
      <c r="C48" s="57">
        <f>'Maintenance Policies'!E26</f>
        <v>24</v>
      </c>
      <c r="D48" s="58" t="e">
        <f>F2*F9</f>
        <v>#N/A</v>
      </c>
      <c r="E48" s="47" t="e">
        <f>IF(C48&gt;'General Information'!$D$33,0,D48/(1+('General Information'!$D$34/100))^C48)</f>
        <v>#N/A</v>
      </c>
      <c r="K48" s="61">
        <f t="shared" si="2"/>
        <v>11</v>
      </c>
      <c r="L48" s="102">
        <f>IF(K48-$C$6&gt;'General Information'!$D$33,0,IF(K48=$C$6,$D$36,0)+SUMIFS($D$37:$D$51,$C$37:$C$51,K48-$C$6,$B$37:$B$51,"&lt;&gt;*Indirect*"))</f>
        <v>0</v>
      </c>
      <c r="M48" s="102">
        <f>IF(K48-$C$6&gt;'General Information'!$D$33,0,SUMIFS($D$37:$D$51,$C$37:$C$51,K48-$C$6,$B$37:$B$51,"*Indirect*"))</f>
        <v>0</v>
      </c>
      <c r="N48" s="102">
        <f>IF(K48-$C$6&gt;'General Information'!$D$33,0,IF(K48=$C$6,$E$36,0)+SUMIF($C$37:$C$51,K48-$C$6,$E$37:$E$51))</f>
        <v>0</v>
      </c>
    </row>
    <row r="49" spans="2:14" x14ac:dyDescent="0.25">
      <c r="B49" s="48" t="s">
        <v>82</v>
      </c>
      <c r="C49" s="57">
        <f>'Maintenance Policies'!E28</f>
        <v>28</v>
      </c>
      <c r="D49" s="58">
        <f>BL21</f>
        <v>0</v>
      </c>
      <c r="E49" s="47">
        <f>IF(C49&gt;'General Information'!$D$33,0,D49/(1+('General Information'!$D$34/100))^C49)</f>
        <v>0</v>
      </c>
      <c r="K49" s="61">
        <f t="shared" si="2"/>
        <v>12</v>
      </c>
      <c r="L49" s="102">
        <f>IF(K49-$C$6&gt;'General Information'!$D$33,0,IF(K49=$C$6,$D$36,0)+SUMIFS($D$37:$D$51,$C$37:$C$51,K49-$C$6,$B$37:$B$51,"&lt;&gt;*Indirect*"))</f>
        <v>0</v>
      </c>
      <c r="M49" s="102">
        <f>IF(K49-$C$6&gt;'General Information'!$D$33,0,SUMIFS($D$37:$D$51,$C$37:$C$51,K49-$C$6,$B$37:$B$51,"*Indirect*"))</f>
        <v>0</v>
      </c>
      <c r="N49" s="102">
        <f>IF(K49-$C$6&gt;'General Information'!$D$33,0,IF(K49=$C$6,$E$36,0)+SUMIF($C$37:$C$51,K49-$C$6,$E$37:$E$51))</f>
        <v>0</v>
      </c>
    </row>
    <row r="50" spans="2:14" x14ac:dyDescent="0.25">
      <c r="B50" s="48" t="s">
        <v>612</v>
      </c>
      <c r="C50" s="57">
        <f>'Maintenance Policies'!E28</f>
        <v>28</v>
      </c>
      <c r="D50" s="58" t="e">
        <f>F2*F10</f>
        <v>#N/A</v>
      </c>
      <c r="E50" s="47" t="e">
        <f>IF(C50&gt;'General Information'!$D$33,0,D50/(1+('General Information'!$D$34/100))^C50)</f>
        <v>#N/A</v>
      </c>
      <c r="K50" s="61">
        <f t="shared" si="2"/>
        <v>13</v>
      </c>
      <c r="L50" s="102">
        <f>IF(K50-$C$6&gt;'General Information'!$D$33,0,IF(K50=$C$6,$D$36,0)+SUMIFS($D$37:$D$51,$C$37:$C$51,K50-$C$6,$B$37:$B$51,"&lt;&gt;*Indirect*"))</f>
        <v>0</v>
      </c>
      <c r="M50" s="102">
        <f>IF(K50-$C$6&gt;'General Information'!$D$33,0,SUMIFS($D$37:$D$51,$C$37:$C$51,K50-$C$6,$B$37:$B$51,"*Indirect*"))</f>
        <v>0</v>
      </c>
      <c r="N50" s="102">
        <f>IF(K50-$C$6&gt;'General Information'!$D$33,0,IF(K50=$C$6,$E$36,0)+SUMIF($C$37:$C$51,K50-$C$6,$E$37:$E$51))</f>
        <v>0</v>
      </c>
    </row>
    <row r="51" spans="2:14" x14ac:dyDescent="0.25">
      <c r="B51" s="48" t="s">
        <v>85</v>
      </c>
      <c r="C51" s="57">
        <f>'General Information'!D33</f>
        <v>10</v>
      </c>
      <c r="D51" s="58">
        <f>-'Maintenance Policies'!D32*AV22</f>
        <v>0</v>
      </c>
      <c r="E51" s="47">
        <f>IF(C51&gt;'General Information'!$D$33,0,D51/(1+('General Information'!$D$34/100))^C51)</f>
        <v>0</v>
      </c>
      <c r="K51" s="61">
        <f t="shared" si="2"/>
        <v>14</v>
      </c>
      <c r="L51" s="102">
        <f>IF(K51-$C$6&gt;'General Information'!$D$33,0,IF(K51=$C$6,$D$36,0)+SUMIFS($D$37:$D$51,$C$37:$C$51,K51-$C$6,$B$37:$B$51,"&lt;&gt;*Indirect*"))</f>
        <v>0</v>
      </c>
      <c r="M51" s="102">
        <f>IF(K51-$C$6&gt;'General Information'!$D$33,0,SUMIFS($D$37:$D$51,$C$37:$C$51,K51-$C$6,$B$37:$B$51,"*Indirect*"))</f>
        <v>0</v>
      </c>
      <c r="N51" s="102">
        <f>IF(K51-$C$6&gt;'General Information'!$D$33,0,IF(K51=$C$6,$E$36,0)+SUMIF($C$37:$C$51,K51-$C$6,$E$37:$E$51))</f>
        <v>0</v>
      </c>
    </row>
    <row r="52" spans="2:14" ht="15.75" thickBot="1" x14ac:dyDescent="0.3">
      <c r="B52" s="49" t="s">
        <v>328</v>
      </c>
      <c r="C52" s="50"/>
      <c r="D52" s="50"/>
      <c r="E52" s="60" t="e">
        <f>SUM(E36:E51)</f>
        <v>#N/A</v>
      </c>
      <c r="K52" s="61">
        <f t="shared" si="2"/>
        <v>15</v>
      </c>
      <c r="L52" s="102">
        <f>IF(K52-$C$6&gt;'General Information'!$D$33,0,IF(K52=$C$6,$D$36,0)+SUMIFS($D$37:$D$51,$C$37:$C$51,K52-$C$6,$B$37:$B$51,"&lt;&gt;*Indirect*"))</f>
        <v>0</v>
      </c>
      <c r="M52" s="102">
        <f>IF(K52-$C$6&gt;'General Information'!$D$33,0,SUMIFS($D$37:$D$51,$C$37:$C$51,K52-$C$6,$B$37:$B$51,"*Indirect*"))</f>
        <v>0</v>
      </c>
      <c r="N52" s="102">
        <f>IF(K52-$C$6&gt;'General Information'!$D$33,0,IF(K52=$C$6,$E$36,0)+SUMIF($C$37:$C$51,K52-$C$6,$E$37:$E$51))</f>
        <v>0</v>
      </c>
    </row>
    <row r="53" spans="2:14" ht="15.75" thickTop="1" x14ac:dyDescent="0.25">
      <c r="K53" s="61">
        <f t="shared" si="2"/>
        <v>16</v>
      </c>
      <c r="L53" s="102">
        <f>IF(K53-$C$6&gt;'General Information'!$D$33,0,IF(K53=$C$6,$D$36,0)+SUMIFS($D$37:$D$51,$C$37:$C$51,K53-$C$6,$B$37:$B$51,"&lt;&gt;*Indirect*"))</f>
        <v>0</v>
      </c>
      <c r="M53" s="102">
        <f>IF(K53-$C$6&gt;'General Information'!$D$33,0,SUMIFS($D$37:$D$51,$C$37:$C$51,K53-$C$6,$B$37:$B$51,"*Indirect*"))</f>
        <v>0</v>
      </c>
      <c r="N53" s="102">
        <f>IF(K53-$C$6&gt;'General Information'!$D$33,0,IF(K53=$C$6,$E$36,0)+SUMIF($C$37:$C$51,K53-$C$6,$E$37:$E$51))</f>
        <v>0</v>
      </c>
    </row>
    <row r="54" spans="2:14" x14ac:dyDescent="0.25">
      <c r="K54" s="61">
        <f t="shared" si="2"/>
        <v>17</v>
      </c>
      <c r="L54" s="102">
        <f>IF(K54-$C$6&gt;'General Information'!$D$33,0,IF(K54=$C$6,$D$36,0)+SUMIFS($D$37:$D$51,$C$37:$C$51,K54-$C$6,$B$37:$B$51,"&lt;&gt;*Indirect*"))</f>
        <v>0</v>
      </c>
      <c r="M54" s="102">
        <f>IF(K54-$C$6&gt;'General Information'!$D$33,0,SUMIFS($D$37:$D$51,$C$37:$C$51,K54-$C$6,$B$37:$B$51,"*Indirect*"))</f>
        <v>0</v>
      </c>
      <c r="N54" s="102">
        <f>IF(K54-$C$6&gt;'General Information'!$D$33,0,IF(K54=$C$6,$E$36,0)+SUMIF($C$37:$C$51,K54-$C$6,$E$37:$E$51))</f>
        <v>0</v>
      </c>
    </row>
    <row r="55" spans="2:14" x14ac:dyDescent="0.25">
      <c r="K55" s="61">
        <f t="shared" si="2"/>
        <v>18</v>
      </c>
      <c r="L55" s="102">
        <f>IF(K55-$C$6&gt;'General Information'!$D$33,0,IF(K55=$C$6,$D$36,0)+SUMIFS($D$37:$D$51,$C$37:$C$51,K55-$C$6,$B$37:$B$51,"&lt;&gt;*Indirect*"))</f>
        <v>0</v>
      </c>
      <c r="M55" s="102">
        <f>IF(K55-$C$6&gt;'General Information'!$D$33,0,SUMIFS($D$37:$D$51,$C$37:$C$51,K55-$C$6,$B$37:$B$51,"*Indirect*"))</f>
        <v>0</v>
      </c>
      <c r="N55" s="102">
        <f>IF(K55-$C$6&gt;'General Information'!$D$33,0,IF(K55=$C$6,$E$36,0)+SUMIF($C$37:$C$51,K55-$C$6,$E$37:$E$51))</f>
        <v>0</v>
      </c>
    </row>
    <row r="56" spans="2:14" x14ac:dyDescent="0.25">
      <c r="K56" s="61">
        <f t="shared" si="2"/>
        <v>19</v>
      </c>
      <c r="L56" s="102">
        <f>IF(K56-$C$6&gt;'General Information'!$D$33,0,IF(K56=$C$6,$D$36,0)+SUMIFS($D$37:$D$51,$C$37:$C$51,K56-$C$6,$B$37:$B$51,"&lt;&gt;*Indirect*"))</f>
        <v>0</v>
      </c>
      <c r="M56" s="102">
        <f>IF(K56-$C$6&gt;'General Information'!$D$33,0,SUMIFS($D$37:$D$51,$C$37:$C$51,K56-$C$6,$B$37:$B$51,"*Indirect*"))</f>
        <v>0</v>
      </c>
      <c r="N56" s="102">
        <f>IF(K56-$C$6&gt;'General Information'!$D$33,0,IF(K56=$C$6,$E$36,0)+SUMIF($C$37:$C$51,K56-$C$6,$E$37:$E$51))</f>
        <v>0</v>
      </c>
    </row>
    <row r="57" spans="2:14" x14ac:dyDescent="0.25">
      <c r="K57" s="61">
        <f t="shared" si="2"/>
        <v>20</v>
      </c>
      <c r="L57" s="102">
        <f>IF(K57-$C$6&gt;'General Information'!$D$33,0,IF(K57=$C$6,$D$36,0)+SUMIFS($D$37:$D$51,$C$37:$C$51,K57-$C$6,$B$37:$B$51,"&lt;&gt;*Indirect*"))</f>
        <v>0</v>
      </c>
      <c r="M57" s="102">
        <f>IF(K57-$C$6&gt;'General Information'!$D$33,0,SUMIFS($D$37:$D$51,$C$37:$C$51,K57-$C$6,$B$37:$B$51,"*Indirect*"))</f>
        <v>0</v>
      </c>
      <c r="N57" s="102">
        <f>IF(K57-$C$6&gt;'General Information'!$D$33,0,IF(K57=$C$6,$E$36,0)+SUMIF($C$37:$C$51,K57-$C$6,$E$37:$E$51))</f>
        <v>0</v>
      </c>
    </row>
    <row r="58" spans="2:14" x14ac:dyDescent="0.25">
      <c r="K58" s="61">
        <f t="shared" si="2"/>
        <v>21</v>
      </c>
      <c r="L58" s="102">
        <f>IF(K58-$C$6&gt;'General Information'!$D$33,0,IF(K58=$C$6,$D$36,0)+SUMIFS($D$37:$D$51,$C$37:$C$51,K58-$C$6,$B$37:$B$51,"&lt;&gt;*Indirect*"))</f>
        <v>0</v>
      </c>
      <c r="M58" s="102">
        <f>IF(K58-$C$6&gt;'General Information'!$D$33,0,SUMIFS($D$37:$D$51,$C$37:$C$51,K58-$C$6,$B$37:$B$51,"*Indirect*"))</f>
        <v>0</v>
      </c>
      <c r="N58" s="102">
        <f>IF(K58-$C$6&gt;'General Information'!$D$33,0,IF(K58=$C$6,$E$36,0)+SUMIF($C$37:$C$51,K58-$C$6,$E$37:$E$51))</f>
        <v>0</v>
      </c>
    </row>
    <row r="59" spans="2:14" x14ac:dyDescent="0.25">
      <c r="K59" s="61">
        <f t="shared" si="2"/>
        <v>22</v>
      </c>
      <c r="L59" s="102">
        <f>IF(K59-$C$6&gt;'General Information'!$D$33,0,IF(K59=$C$6,$D$36,0)+SUMIFS($D$37:$D$51,$C$37:$C$51,K59-$C$6,$B$37:$B$51,"&lt;&gt;*Indirect*"))</f>
        <v>0</v>
      </c>
      <c r="M59" s="102">
        <f>IF(K59-$C$6&gt;'General Information'!$D$33,0,SUMIFS($D$37:$D$51,$C$37:$C$51,K59-$C$6,$B$37:$B$51,"*Indirect*"))</f>
        <v>0</v>
      </c>
      <c r="N59" s="102">
        <f>IF(K59-$C$6&gt;'General Information'!$D$33,0,IF(K59=$C$6,$E$36,0)+SUMIF($C$37:$C$51,K59-$C$6,$E$37:$E$51))</f>
        <v>0</v>
      </c>
    </row>
    <row r="60" spans="2:14" x14ac:dyDescent="0.25">
      <c r="K60" s="61">
        <f>K59+1</f>
        <v>23</v>
      </c>
      <c r="L60" s="102">
        <f>IF(K60-$C$6&gt;'General Information'!$D$33,0,IF(K60=$C$6,$D$36,0)+SUMIFS($D$37:$D$51,$C$37:$C$51,K60-$C$6,$B$37:$B$51,"&lt;&gt;*Indirect*"))</f>
        <v>0</v>
      </c>
      <c r="M60" s="102">
        <f>IF(K60-$C$6&gt;'General Information'!$D$33,0,SUMIFS($D$37:$D$51,$C$37:$C$51,K60-$C$6,$B$37:$B$51,"*Indirect*"))</f>
        <v>0</v>
      </c>
      <c r="N60" s="102">
        <f>IF(K60-$C$6&gt;'General Information'!$D$33,0,IF(K60=$C$6,$E$36,0)+SUMIF($C$37:$C$51,K60-$C$6,$E$37:$E$51))</f>
        <v>0</v>
      </c>
    </row>
    <row r="61" spans="2:14" x14ac:dyDescent="0.25">
      <c r="K61" s="61">
        <f t="shared" si="2"/>
        <v>24</v>
      </c>
      <c r="L61" s="102">
        <f>IF(K61-$C$6&gt;'General Information'!$D$33,0,IF(K61=$C$6,$D$36,0)+SUMIFS($D$37:$D$51,$C$37:$C$51,K61-$C$6,$B$37:$B$51,"&lt;&gt;*Indirect*"))</f>
        <v>0</v>
      </c>
      <c r="M61" s="102">
        <f>IF(K61-$C$6&gt;'General Information'!$D$33,0,SUMIFS($D$37:$D$51,$C$37:$C$51,K61-$C$6,$B$37:$B$51,"*Indirect*"))</f>
        <v>0</v>
      </c>
      <c r="N61" s="102">
        <f>IF(K61-$C$6&gt;'General Information'!$D$33,0,IF(K61=$C$6,$E$36,0)+SUMIF($C$37:$C$51,K61-$C$6,$E$37:$E$51))</f>
        <v>0</v>
      </c>
    </row>
    <row r="62" spans="2:14" x14ac:dyDescent="0.25">
      <c r="K62" s="61">
        <f t="shared" si="2"/>
        <v>25</v>
      </c>
      <c r="L62" s="102">
        <f>IF(K62-$C$6&gt;'General Information'!$D$33,0,IF(K62=$C$6,$D$36,0)+SUMIFS($D$37:$D$51,$C$37:$C$51,K62-$C$6,$B$37:$B$51,"&lt;&gt;*Indirect*"))</f>
        <v>0</v>
      </c>
      <c r="M62" s="102">
        <f>IF(K62-$C$6&gt;'General Information'!$D$33,0,SUMIFS($D$37:$D$51,$C$37:$C$51,K62-$C$6,$B$37:$B$51,"*Indirect*"))</f>
        <v>0</v>
      </c>
      <c r="N62" s="102">
        <f>IF(K62-$C$6&gt;'General Information'!$D$33,0,IF(K62=$C$6,$E$36,0)+SUMIF($C$37:$C$51,K62-$C$6,$E$37:$E$51))</f>
        <v>0</v>
      </c>
    </row>
    <row r="63" spans="2:14" x14ac:dyDescent="0.25">
      <c r="K63" s="61">
        <f t="shared" si="2"/>
        <v>26</v>
      </c>
      <c r="L63" s="102">
        <f>IF(K63-$C$6&gt;'General Information'!$D$33,0,IF(K63=$C$6,$D$36,0)+SUMIFS($D$37:$D$51,$C$37:$C$51,K63-$C$6,$B$37:$B$51,"&lt;&gt;*Indirect*"))</f>
        <v>0</v>
      </c>
      <c r="M63" s="102">
        <f>IF(K63-$C$6&gt;'General Information'!$D$33,0,SUMIFS($D$37:$D$51,$C$37:$C$51,K63-$C$6,$B$37:$B$51,"*Indirect*"))</f>
        <v>0</v>
      </c>
      <c r="N63" s="102">
        <f>IF(K63-$C$6&gt;'General Information'!$D$33,0,IF(K63=$C$6,$E$36,0)+SUMIF($C$37:$C$51,K63-$C$6,$E$37:$E$51))</f>
        <v>0</v>
      </c>
    </row>
    <row r="64" spans="2:14" x14ac:dyDescent="0.25">
      <c r="K64" s="61">
        <f t="shared" si="2"/>
        <v>27</v>
      </c>
      <c r="L64" s="102">
        <f>IF(K64-$C$6&gt;'General Information'!$D$33,0,IF(K64=$C$6,$D$36,0)+SUMIFS($D$37:$D$51,$C$37:$C$51,K64-$C$6,$B$37:$B$51,"&lt;&gt;*Indirect*"))</f>
        <v>0</v>
      </c>
      <c r="M64" s="102">
        <f>IF(K64-$C$6&gt;'General Information'!$D$33,0,SUMIFS($D$37:$D$51,$C$37:$C$51,K64-$C$6,$B$37:$B$51,"*Indirect*"))</f>
        <v>0</v>
      </c>
      <c r="N64" s="102">
        <f>IF(K64-$C$6&gt;'General Information'!$D$33,0,IF(K64=$C$6,$E$36,0)+SUMIF($C$37:$C$51,K64-$C$6,$E$37:$E$51))</f>
        <v>0</v>
      </c>
    </row>
    <row r="65" spans="11:14" x14ac:dyDescent="0.25">
      <c r="K65" s="61">
        <f t="shared" si="2"/>
        <v>28</v>
      </c>
      <c r="L65" s="102">
        <f>IF(K65-$C$6&gt;'General Information'!$D$33,0,IF(K65=$C$6,$D$36,0)+SUMIFS($D$37:$D$51,$C$37:$C$51,K65-$C$6,$B$37:$B$51,"&lt;&gt;*Indirect*"))</f>
        <v>0</v>
      </c>
      <c r="M65" s="102">
        <f>IF(K65-$C$6&gt;'General Information'!$D$33,0,SUMIFS($D$37:$D$51,$C$37:$C$51,K65-$C$6,$B$37:$B$51,"*Indirect*"))</f>
        <v>0</v>
      </c>
      <c r="N65" s="102">
        <f>IF(K65-$C$6&gt;'General Information'!$D$33,0,IF(K65=$C$6,$E$36,0)+SUMIF($C$37:$C$51,K65-$C$6,$E$37:$E$51))</f>
        <v>0</v>
      </c>
    </row>
    <row r="66" spans="11:14" x14ac:dyDescent="0.25">
      <c r="K66" s="61">
        <f>K65+1</f>
        <v>29</v>
      </c>
      <c r="L66" s="102">
        <f>IF(K66-$C$6&gt;'General Information'!$D$33,0,IF(K66=$C$6,$D$36,0)+SUMIFS($D$37:$D$51,$C$37:$C$51,K66-$C$6,$B$37:$B$51,"&lt;&gt;*Indirect*"))</f>
        <v>0</v>
      </c>
      <c r="M66" s="102">
        <f>IF(K66-$C$6&gt;'General Information'!$D$33,0,SUMIFS($D$37:$D$51,$C$37:$C$51,K66-$C$6,$B$37:$B$51,"*Indirect*"))</f>
        <v>0</v>
      </c>
      <c r="N66" s="102">
        <f>IF(K66-$C$6&gt;'General Information'!$D$33,0,IF(K66=$C$6,$E$36,0)+SUMIF($C$37:$C$51,K66-$C$6,$E$37:$E$51))</f>
        <v>0</v>
      </c>
    </row>
    <row r="67" spans="11:14" x14ac:dyDescent="0.25">
      <c r="K67" s="61">
        <f t="shared" si="2"/>
        <v>30</v>
      </c>
      <c r="L67" s="102">
        <f>IF(K67-$C$6&gt;'General Information'!$D$33,0,IF(K67=$C$6,$D$36,0)+SUMIFS($D$37:$D$51,$C$37:$C$51,K67-$C$6,$B$37:$B$51,"&lt;&gt;*Indirect*"))</f>
        <v>0</v>
      </c>
      <c r="M67" s="102">
        <f>IF(K67-$C$6&gt;'General Information'!$D$33,0,SUMIFS($D$37:$D$51,$C$37:$C$51,K67-$C$6,$B$37:$B$51,"*Indirect*"))</f>
        <v>0</v>
      </c>
      <c r="N67" s="102">
        <f>IF(K67-$C$6&gt;'General Information'!$D$33,0,IF(K67=$C$6,$E$36,0)+SUMIF($C$37:$C$51,K67-$C$6,$E$37:$E$51))</f>
        <v>0</v>
      </c>
    </row>
  </sheetData>
  <pageMargins left="0.7" right="0.7" top="0.75" bottom="0.75" header="0.3" footer="0.3"/>
  <pageSetup orientation="portrait" horizontalDpi="4294967293" verticalDpi="4294967295" r:id="rId1"/>
  <drawing r:id="rId2"/>
  <legacyDrawing r:id="rId3"/>
  <controls>
    <mc:AlternateContent xmlns:mc="http://schemas.openxmlformats.org/markup-compatibility/2006">
      <mc:Choice Requires="x14">
        <control shapeId="33802" r:id="rId4" name="ComboBox9">
          <controlPr defaultSize="0" autoLine="0" linkedCell="C21" listFillRange="Pay_Items!C3:D59" r:id="rId5">
            <anchor moveWithCells="1">
              <from>
                <xdr:col>2</xdr:col>
                <xdr:colOff>0</xdr:colOff>
                <xdr:row>20</xdr:row>
                <xdr:rowOff>0</xdr:rowOff>
              </from>
              <to>
                <xdr:col>2</xdr:col>
                <xdr:colOff>2771775</xdr:colOff>
                <xdr:row>21</xdr:row>
                <xdr:rowOff>0</xdr:rowOff>
              </to>
            </anchor>
          </controlPr>
        </control>
      </mc:Choice>
      <mc:Fallback>
        <control shapeId="33802" r:id="rId4" name="ComboBox9"/>
      </mc:Fallback>
    </mc:AlternateContent>
    <mc:AlternateContent xmlns:mc="http://schemas.openxmlformats.org/markup-compatibility/2006">
      <mc:Choice Requires="x14">
        <control shapeId="33801" r:id="rId6" name="ComboBox8">
          <controlPr defaultSize="0" autoLine="0" linkedCell="C20" listFillRange="Pay_Items!C3:D59" r:id="rId5">
            <anchor moveWithCells="1">
              <from>
                <xdr:col>2</xdr:col>
                <xdr:colOff>0</xdr:colOff>
                <xdr:row>19</xdr:row>
                <xdr:rowOff>0</xdr:rowOff>
              </from>
              <to>
                <xdr:col>2</xdr:col>
                <xdr:colOff>2771775</xdr:colOff>
                <xdr:row>20</xdr:row>
                <xdr:rowOff>0</xdr:rowOff>
              </to>
            </anchor>
          </controlPr>
        </control>
      </mc:Choice>
      <mc:Fallback>
        <control shapeId="33801" r:id="rId6" name="ComboBox8"/>
      </mc:Fallback>
    </mc:AlternateContent>
    <mc:AlternateContent xmlns:mc="http://schemas.openxmlformats.org/markup-compatibility/2006">
      <mc:Choice Requires="x14">
        <control shapeId="33800" r:id="rId7" name="ComboBox7">
          <controlPr defaultSize="0" autoLine="0" linkedCell="C22" listFillRange="Pay_Items!C3:D59" r:id="rId8">
            <anchor moveWithCells="1">
              <from>
                <xdr:col>2</xdr:col>
                <xdr:colOff>0</xdr:colOff>
                <xdr:row>21</xdr:row>
                <xdr:rowOff>0</xdr:rowOff>
              </from>
              <to>
                <xdr:col>3</xdr:col>
                <xdr:colOff>0</xdr:colOff>
                <xdr:row>22</xdr:row>
                <xdr:rowOff>0</xdr:rowOff>
              </to>
            </anchor>
          </controlPr>
        </control>
      </mc:Choice>
      <mc:Fallback>
        <control shapeId="33800" r:id="rId7" name="ComboBox7"/>
      </mc:Fallback>
    </mc:AlternateContent>
    <mc:AlternateContent xmlns:mc="http://schemas.openxmlformats.org/markup-compatibility/2006">
      <mc:Choice Requires="x14">
        <control shapeId="33799" r:id="rId9" name="ComboBox6">
          <controlPr defaultSize="0" autoLine="0" linkedCell="C19" listFillRange="Pay_Items!C3:D59" r:id="rId8">
            <anchor moveWithCells="1">
              <from>
                <xdr:col>2</xdr:col>
                <xdr:colOff>0</xdr:colOff>
                <xdr:row>18</xdr:row>
                <xdr:rowOff>0</xdr:rowOff>
              </from>
              <to>
                <xdr:col>3</xdr:col>
                <xdr:colOff>0</xdr:colOff>
                <xdr:row>19</xdr:row>
                <xdr:rowOff>0</xdr:rowOff>
              </to>
            </anchor>
          </controlPr>
        </control>
      </mc:Choice>
      <mc:Fallback>
        <control shapeId="33799" r:id="rId9" name="ComboBox6"/>
      </mc:Fallback>
    </mc:AlternateContent>
    <mc:AlternateContent xmlns:mc="http://schemas.openxmlformats.org/markup-compatibility/2006">
      <mc:Choice Requires="x14">
        <control shapeId="33798" r:id="rId10" name="ComboBox5">
          <controlPr defaultSize="0" autoLine="0" linkedCell="C18" listFillRange="Pay_Items!C3:D59" r:id="rId8">
            <anchor moveWithCells="1">
              <from>
                <xdr:col>2</xdr:col>
                <xdr:colOff>0</xdr:colOff>
                <xdr:row>17</xdr:row>
                <xdr:rowOff>0</xdr:rowOff>
              </from>
              <to>
                <xdr:col>3</xdr:col>
                <xdr:colOff>0</xdr:colOff>
                <xdr:row>18</xdr:row>
                <xdr:rowOff>0</xdr:rowOff>
              </to>
            </anchor>
          </controlPr>
        </control>
      </mc:Choice>
      <mc:Fallback>
        <control shapeId="33798" r:id="rId10" name="ComboBox5"/>
      </mc:Fallback>
    </mc:AlternateContent>
    <mc:AlternateContent xmlns:mc="http://schemas.openxmlformats.org/markup-compatibility/2006">
      <mc:Choice Requires="x14">
        <control shapeId="33797" r:id="rId11" name="ComboBox4">
          <controlPr defaultSize="0" autoLine="0" linkedCell="C16" listFillRange="Pay_Items!C3:D59" r:id="rId12">
            <anchor moveWithCells="1">
              <from>
                <xdr:col>2</xdr:col>
                <xdr:colOff>0</xdr:colOff>
                <xdr:row>15</xdr:row>
                <xdr:rowOff>0</xdr:rowOff>
              </from>
              <to>
                <xdr:col>3</xdr:col>
                <xdr:colOff>0</xdr:colOff>
                <xdr:row>15</xdr:row>
                <xdr:rowOff>238125</xdr:rowOff>
              </to>
            </anchor>
          </controlPr>
        </control>
      </mc:Choice>
      <mc:Fallback>
        <control shapeId="33797" r:id="rId11" name="ComboBox4"/>
      </mc:Fallback>
    </mc:AlternateContent>
    <mc:AlternateContent xmlns:mc="http://schemas.openxmlformats.org/markup-compatibility/2006">
      <mc:Choice Requires="x14">
        <control shapeId="33796" r:id="rId13" name="ComboBox3">
          <controlPr defaultSize="0" autoLine="0" linkedCell="C15" listFillRange="Pay_Items!C3:D59" r:id="rId12">
            <anchor moveWithCells="1">
              <from>
                <xdr:col>2</xdr:col>
                <xdr:colOff>0</xdr:colOff>
                <xdr:row>14</xdr:row>
                <xdr:rowOff>0</xdr:rowOff>
              </from>
              <to>
                <xdr:col>3</xdr:col>
                <xdr:colOff>0</xdr:colOff>
                <xdr:row>14</xdr:row>
                <xdr:rowOff>238125</xdr:rowOff>
              </to>
            </anchor>
          </controlPr>
        </control>
      </mc:Choice>
      <mc:Fallback>
        <control shapeId="33796" r:id="rId13" name="ComboBox3"/>
      </mc:Fallback>
    </mc:AlternateContent>
    <mc:AlternateContent xmlns:mc="http://schemas.openxmlformats.org/markup-compatibility/2006">
      <mc:Choice Requires="x14">
        <control shapeId="33795" r:id="rId14" name="ComboBox1">
          <controlPr defaultSize="0" autoLine="0" linkedCell="C14" listFillRange="Pay_Items!C3:D59" r:id="rId12">
            <anchor moveWithCells="1">
              <from>
                <xdr:col>2</xdr:col>
                <xdr:colOff>0</xdr:colOff>
                <xdr:row>13</xdr:row>
                <xdr:rowOff>0</xdr:rowOff>
              </from>
              <to>
                <xdr:col>3</xdr:col>
                <xdr:colOff>0</xdr:colOff>
                <xdr:row>13</xdr:row>
                <xdr:rowOff>238125</xdr:rowOff>
              </to>
            </anchor>
          </controlPr>
        </control>
      </mc:Choice>
      <mc:Fallback>
        <control shapeId="33795" r:id="rId14" name="ComboBox1"/>
      </mc:Fallback>
    </mc:AlternateContent>
    <mc:AlternateContent xmlns:mc="http://schemas.openxmlformats.org/markup-compatibility/2006">
      <mc:Choice Requires="x14">
        <control shapeId="33794" r:id="rId15" name="Pay_Item1">
          <controlPr defaultSize="0" autoLine="0" linkedCell="C13" listFillRange="Pay_Items!C3:D59" r:id="rId12">
            <anchor moveWithCells="1">
              <from>
                <xdr:col>2</xdr:col>
                <xdr:colOff>0</xdr:colOff>
                <xdr:row>12</xdr:row>
                <xdr:rowOff>19050</xdr:rowOff>
              </from>
              <to>
                <xdr:col>3</xdr:col>
                <xdr:colOff>0</xdr:colOff>
                <xdr:row>13</xdr:row>
                <xdr:rowOff>9525</xdr:rowOff>
              </to>
            </anchor>
          </controlPr>
        </control>
      </mc:Choice>
      <mc:Fallback>
        <control shapeId="33794" r:id="rId15" name="Pay_Item1"/>
      </mc:Fallback>
    </mc:AlternateContent>
    <mc:AlternateContent xmlns:mc="http://schemas.openxmlformats.org/markup-compatibility/2006">
      <mc:Choice Requires="x14">
        <control shapeId="33793" r:id="rId16" name="ComboBox2">
          <controlPr defaultSize="0" autoLine="0" linkedCell="C17" listFillRange="Pay_Items!C3:D59" r:id="rId12">
            <anchor moveWithCells="1">
              <from>
                <xdr:col>2</xdr:col>
                <xdr:colOff>0</xdr:colOff>
                <xdr:row>16</xdr:row>
                <xdr:rowOff>0</xdr:rowOff>
              </from>
              <to>
                <xdr:col>3</xdr:col>
                <xdr:colOff>0</xdr:colOff>
                <xdr:row>16</xdr:row>
                <xdr:rowOff>238125</xdr:rowOff>
              </to>
            </anchor>
          </controlPr>
        </control>
      </mc:Choice>
      <mc:Fallback>
        <control shapeId="33793" r:id="rId16" name="ComboBox2"/>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F3006F00-FC05-471C-B1C3-588B95D9A827}">
          <x14:formula1>
            <xm:f>Pay_Items!$D$48:$D$53</xm:f>
          </x14:formula1>
          <xm:sqref>C7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9783A7-6F79-42B7-BBED-4D15B0A11F56}">
  <sheetPr codeName="Sheet2"/>
  <dimension ref="A1:H18"/>
  <sheetViews>
    <sheetView workbookViewId="0">
      <selection activeCell="B6" sqref="B6:H6"/>
    </sheetView>
  </sheetViews>
  <sheetFormatPr defaultRowHeight="15" x14ac:dyDescent="0.25"/>
  <cols>
    <col min="2" max="2" width="15.140625" bestFit="1" customWidth="1"/>
    <col min="3" max="3" width="17.42578125" bestFit="1" customWidth="1"/>
    <col min="4" max="4" width="27" bestFit="1" customWidth="1"/>
    <col min="5" max="5" width="32.7109375" bestFit="1" customWidth="1"/>
    <col min="6" max="6" width="23.7109375" bestFit="1" customWidth="1"/>
    <col min="7" max="7" width="53.85546875" bestFit="1" customWidth="1"/>
    <col min="8" max="8" width="45" bestFit="1" customWidth="1"/>
  </cols>
  <sheetData>
    <row r="1" spans="1:8" x14ac:dyDescent="0.25">
      <c r="A1" s="103" t="s">
        <v>620</v>
      </c>
      <c r="B1" s="104" t="s">
        <v>594</v>
      </c>
      <c r="C1" s="105" t="s">
        <v>621</v>
      </c>
      <c r="D1" s="104" t="s">
        <v>595</v>
      </c>
      <c r="E1" s="104" t="s">
        <v>596</v>
      </c>
      <c r="F1" s="104" t="s">
        <v>597</v>
      </c>
      <c r="G1" s="104" t="s">
        <v>598</v>
      </c>
      <c r="H1" s="104" t="s">
        <v>599</v>
      </c>
    </row>
    <row r="2" spans="1:8" x14ac:dyDescent="0.25">
      <c r="A2" s="106" t="s">
        <v>195</v>
      </c>
      <c r="B2" s="107">
        <v>946.42</v>
      </c>
      <c r="C2" s="107">
        <v>7293.08</v>
      </c>
      <c r="D2" s="107">
        <v>60.53</v>
      </c>
      <c r="E2" s="107">
        <v>3</v>
      </c>
      <c r="F2" s="107">
        <v>94.64</v>
      </c>
      <c r="G2" s="107">
        <v>108.27</v>
      </c>
      <c r="H2" s="107" t="s">
        <v>622</v>
      </c>
    </row>
    <row r="3" spans="1:8" x14ac:dyDescent="0.25">
      <c r="A3" s="106" t="s">
        <v>225</v>
      </c>
      <c r="B3" s="107">
        <v>794.52</v>
      </c>
      <c r="C3" s="107">
        <v>2153.4299999999998</v>
      </c>
      <c r="D3" s="107">
        <v>13.7</v>
      </c>
      <c r="E3" s="107">
        <v>1101.3699999999999</v>
      </c>
      <c r="F3" s="107">
        <v>26.3</v>
      </c>
      <c r="G3" s="107">
        <v>254.8</v>
      </c>
      <c r="H3" s="107" t="s">
        <v>623</v>
      </c>
    </row>
    <row r="4" spans="1:8" x14ac:dyDescent="0.25">
      <c r="A4" s="106" t="s">
        <v>193</v>
      </c>
      <c r="B4" s="107">
        <v>4939.57</v>
      </c>
      <c r="C4" s="107">
        <v>1517.81</v>
      </c>
      <c r="D4" s="107">
        <v>30</v>
      </c>
      <c r="E4" s="107">
        <v>10</v>
      </c>
      <c r="F4" s="107" t="s">
        <v>623</v>
      </c>
      <c r="G4" s="107">
        <v>2344</v>
      </c>
      <c r="H4" s="107" t="s">
        <v>623</v>
      </c>
    </row>
    <row r="5" spans="1:8" x14ac:dyDescent="0.25">
      <c r="A5" s="106" t="s">
        <v>207</v>
      </c>
      <c r="B5" s="107">
        <v>592</v>
      </c>
      <c r="C5" s="107">
        <v>1410</v>
      </c>
      <c r="D5" s="107">
        <v>1</v>
      </c>
      <c r="E5" s="107">
        <v>7</v>
      </c>
      <c r="F5" s="107" t="s">
        <v>623</v>
      </c>
      <c r="G5" s="107">
        <v>2250</v>
      </c>
      <c r="H5" s="107">
        <v>2031</v>
      </c>
    </row>
    <row r="6" spans="1:8" x14ac:dyDescent="0.25">
      <c r="A6" s="106" t="s">
        <v>150</v>
      </c>
      <c r="B6" s="107">
        <v>2630</v>
      </c>
      <c r="C6" s="107">
        <v>1044</v>
      </c>
      <c r="D6" s="107">
        <v>42</v>
      </c>
      <c r="E6" s="107">
        <v>15</v>
      </c>
      <c r="F6" s="107" t="s">
        <v>623</v>
      </c>
      <c r="G6" s="107">
        <v>110</v>
      </c>
      <c r="H6" s="107">
        <v>2862</v>
      </c>
    </row>
    <row r="7" spans="1:8" x14ac:dyDescent="0.25">
      <c r="A7" s="106" t="s">
        <v>227</v>
      </c>
      <c r="B7" s="107">
        <v>1924.14</v>
      </c>
      <c r="C7" s="107">
        <v>923.66</v>
      </c>
      <c r="D7" s="107" t="s">
        <v>623</v>
      </c>
      <c r="E7" s="107" t="s">
        <v>623</v>
      </c>
      <c r="F7" s="107" t="s">
        <v>623</v>
      </c>
      <c r="G7" s="107">
        <v>27397.26</v>
      </c>
      <c r="H7" s="107">
        <v>571.58000000000004</v>
      </c>
    </row>
    <row r="8" spans="1:8" x14ac:dyDescent="0.25">
      <c r="A8" s="106" t="s">
        <v>159</v>
      </c>
      <c r="B8" s="107">
        <v>1000</v>
      </c>
      <c r="C8" s="107">
        <v>725</v>
      </c>
      <c r="D8" s="107">
        <v>10</v>
      </c>
      <c r="E8" s="107">
        <v>5</v>
      </c>
      <c r="F8" s="107">
        <v>40</v>
      </c>
      <c r="G8" s="107" t="s">
        <v>624</v>
      </c>
      <c r="H8" s="107">
        <v>20</v>
      </c>
    </row>
    <row r="9" spans="1:8" x14ac:dyDescent="0.25">
      <c r="A9" s="106" t="s">
        <v>233</v>
      </c>
      <c r="B9" s="107">
        <v>635.26</v>
      </c>
      <c r="C9" s="107">
        <v>279</v>
      </c>
      <c r="D9" s="107" t="s">
        <v>623</v>
      </c>
      <c r="E9" s="107" t="s">
        <v>623</v>
      </c>
      <c r="F9" s="107" t="s">
        <v>623</v>
      </c>
      <c r="G9" s="107" t="s">
        <v>623</v>
      </c>
      <c r="H9" s="107">
        <v>25</v>
      </c>
    </row>
    <row r="10" spans="1:8" ht="15" customHeight="1" x14ac:dyDescent="0.25">
      <c r="A10" s="106" t="s">
        <v>163</v>
      </c>
      <c r="B10" s="107">
        <v>1660.27</v>
      </c>
      <c r="C10" s="107">
        <v>3427.4</v>
      </c>
      <c r="D10" s="107">
        <v>3.5</v>
      </c>
      <c r="E10" s="107">
        <v>350</v>
      </c>
      <c r="F10" s="107" t="s">
        <v>623</v>
      </c>
      <c r="G10" s="107" t="s">
        <v>623</v>
      </c>
      <c r="H10" s="107" t="s">
        <v>623</v>
      </c>
    </row>
    <row r="11" spans="1:8" ht="15" customHeight="1" x14ac:dyDescent="0.25">
      <c r="A11" s="106" t="s">
        <v>418</v>
      </c>
      <c r="B11" s="107">
        <v>8400</v>
      </c>
      <c r="C11" s="107">
        <v>70000</v>
      </c>
      <c r="D11" s="107">
        <v>1000</v>
      </c>
      <c r="E11" s="107" t="s">
        <v>623</v>
      </c>
      <c r="F11" s="107">
        <v>625</v>
      </c>
      <c r="G11" s="107" t="s">
        <v>623</v>
      </c>
      <c r="H11" s="107">
        <v>9215</v>
      </c>
    </row>
    <row r="12" spans="1:8" ht="15" customHeight="1" x14ac:dyDescent="0.25">
      <c r="A12" s="106" t="s">
        <v>201</v>
      </c>
      <c r="B12" s="107">
        <v>4604</v>
      </c>
      <c r="C12" s="107">
        <v>4057</v>
      </c>
      <c r="D12" s="107" t="s">
        <v>623</v>
      </c>
      <c r="E12" s="107" t="s">
        <v>623</v>
      </c>
      <c r="F12" s="107">
        <v>140.4</v>
      </c>
      <c r="G12" s="107" t="s">
        <v>623</v>
      </c>
      <c r="H12" s="107" t="s">
        <v>623</v>
      </c>
    </row>
    <row r="13" spans="1:8" ht="15" customHeight="1" x14ac:dyDescent="0.25">
      <c r="A13" s="106" t="s">
        <v>203</v>
      </c>
      <c r="B13" s="107">
        <v>4939.57</v>
      </c>
      <c r="C13" s="107">
        <v>1517.81</v>
      </c>
      <c r="D13" s="107">
        <v>30</v>
      </c>
      <c r="E13" s="107">
        <v>10</v>
      </c>
      <c r="F13" s="107" t="s">
        <v>623</v>
      </c>
      <c r="G13" s="107">
        <v>2344</v>
      </c>
      <c r="H13" s="107" t="s">
        <v>623</v>
      </c>
    </row>
    <row r="14" spans="1:8" x14ac:dyDescent="0.25">
      <c r="A14" s="106" t="s">
        <v>219</v>
      </c>
      <c r="B14" s="108">
        <v>794</v>
      </c>
      <c r="C14" s="108">
        <v>2431</v>
      </c>
      <c r="D14" s="107">
        <v>300</v>
      </c>
      <c r="E14" s="107">
        <v>150</v>
      </c>
      <c r="F14" s="107">
        <v>100</v>
      </c>
      <c r="G14" s="107">
        <v>300</v>
      </c>
      <c r="H14" s="107">
        <v>25</v>
      </c>
    </row>
    <row r="15" spans="1:8" x14ac:dyDescent="0.25">
      <c r="A15" s="106" t="s">
        <v>239</v>
      </c>
      <c r="B15" s="107">
        <v>5.26</v>
      </c>
      <c r="C15" s="107">
        <v>76.709999999999994</v>
      </c>
      <c r="D15" s="107" t="s">
        <v>625</v>
      </c>
      <c r="E15" s="107" t="s">
        <v>626</v>
      </c>
      <c r="F15" s="107" t="s">
        <v>627</v>
      </c>
      <c r="G15" s="107" t="s">
        <v>628</v>
      </c>
      <c r="H15" s="107" t="s">
        <v>629</v>
      </c>
    </row>
    <row r="16" spans="1:8" x14ac:dyDescent="0.25">
      <c r="A16" s="106" t="s">
        <v>189</v>
      </c>
      <c r="B16" s="108">
        <v>727</v>
      </c>
      <c r="C16" s="108">
        <v>388</v>
      </c>
      <c r="D16" s="107">
        <v>6</v>
      </c>
      <c r="E16" s="107" t="s">
        <v>623</v>
      </c>
      <c r="F16" s="107" t="s">
        <v>623</v>
      </c>
      <c r="G16" s="107">
        <v>368</v>
      </c>
      <c r="H16" s="107">
        <v>569</v>
      </c>
    </row>
    <row r="17" spans="1:8" x14ac:dyDescent="0.25">
      <c r="A17" s="106" t="s">
        <v>146</v>
      </c>
      <c r="B17" s="107">
        <v>1184.5899999999999</v>
      </c>
      <c r="C17" s="107">
        <v>1267.07</v>
      </c>
      <c r="D17" s="107">
        <v>120</v>
      </c>
      <c r="E17" s="107">
        <v>667.73</v>
      </c>
      <c r="F17" s="107" t="s">
        <v>623</v>
      </c>
      <c r="G17" s="107" t="s">
        <v>623</v>
      </c>
      <c r="H17" s="107" t="s">
        <v>623</v>
      </c>
    </row>
    <row r="18" spans="1:8" x14ac:dyDescent="0.25">
      <c r="A18" s="106" t="s">
        <v>187</v>
      </c>
      <c r="B18" s="116" t="s">
        <v>630</v>
      </c>
      <c r="C18" s="117"/>
      <c r="D18" s="107" t="s">
        <v>623</v>
      </c>
      <c r="E18" s="107" t="s">
        <v>623</v>
      </c>
      <c r="F18" s="107">
        <v>71.88</v>
      </c>
      <c r="G18" s="107">
        <v>915.33</v>
      </c>
      <c r="H18" s="107">
        <v>40.6</v>
      </c>
    </row>
  </sheetData>
  <mergeCells count="1">
    <mergeCell ref="B18:C18"/>
  </mergeCells>
  <conditionalFormatting sqref="A1:A18">
    <cfRule type="duplicateValues" dxfId="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015DA-6C9D-41FA-B6BC-72FB34395618}">
  <sheetPr codeName="Sheet12">
    <tabColor theme="0" tint="-0.34998626667073579"/>
  </sheetPr>
  <dimension ref="A1:BL67"/>
  <sheetViews>
    <sheetView topLeftCell="A5" zoomScale="80" zoomScaleNormal="80" workbookViewId="0">
      <selection activeCell="BQ20" sqref="BQ20"/>
    </sheetView>
  </sheetViews>
  <sheetFormatPr defaultRowHeight="15" x14ac:dyDescent="0.25"/>
  <cols>
    <col min="1" max="1" width="12.28515625" customWidth="1"/>
    <col min="2" max="2" width="19.7109375" customWidth="1"/>
    <col min="3" max="3" width="41.7109375" customWidth="1"/>
    <col min="4" max="4" width="17.42578125" customWidth="1"/>
    <col min="5" max="5" width="12.28515625" customWidth="1"/>
    <col min="6" max="6" width="10.5703125" customWidth="1"/>
    <col min="7" max="7" width="12.85546875" customWidth="1"/>
    <col min="9" max="9" width="9.140625" hidden="1" customWidth="1"/>
    <col min="10" max="11" width="13.28515625" style="61" hidden="1" customWidth="1"/>
    <col min="12" max="12" width="41.4257812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spans="1:64" x14ac:dyDescent="0.25">
      <c r="I1" t="s">
        <v>248</v>
      </c>
    </row>
    <row r="2" spans="1:64" x14ac:dyDescent="0.25">
      <c r="A2" s="4" t="s">
        <v>504</v>
      </c>
      <c r="J2" s="62" t="s">
        <v>67</v>
      </c>
      <c r="R2" s="4" t="s">
        <v>70</v>
      </c>
      <c r="Z2" s="62" t="s">
        <v>71</v>
      </c>
      <c r="AH2" s="4" t="s">
        <v>74</v>
      </c>
      <c r="AP2" s="62" t="s">
        <v>77</v>
      </c>
      <c r="AX2" s="4" t="s">
        <v>81</v>
      </c>
      <c r="BF2" s="62" t="s">
        <v>82</v>
      </c>
    </row>
    <row r="4" spans="1:64" x14ac:dyDescent="0.25">
      <c r="A4" t="s">
        <v>263</v>
      </c>
      <c r="C4" s="45" t="s">
        <v>486</v>
      </c>
    </row>
    <row r="5" spans="1:64" x14ac:dyDescent="0.25">
      <c r="A5" t="s">
        <v>346</v>
      </c>
      <c r="C5">
        <f>'General Information'!D26</f>
        <v>0</v>
      </c>
      <c r="D5" t="s">
        <v>6</v>
      </c>
    </row>
    <row r="6" spans="1:64" x14ac:dyDescent="0.25">
      <c r="A6" t="s">
        <v>262</v>
      </c>
      <c r="C6">
        <f>'General Information'!D25</f>
        <v>0</v>
      </c>
      <c r="AP6" s="61" t="s">
        <v>355</v>
      </c>
      <c r="AQ6" s="61">
        <v>2</v>
      </c>
      <c r="AR6" s="61" t="s">
        <v>356</v>
      </c>
    </row>
    <row r="7" spans="1:64" x14ac:dyDescent="0.25">
      <c r="A7" t="s">
        <v>324</v>
      </c>
      <c r="C7" s="91" t="s">
        <v>276</v>
      </c>
      <c r="D7" t="s">
        <v>476</v>
      </c>
      <c r="AP7" s="61" t="s">
        <v>357</v>
      </c>
      <c r="AQ7" s="61">
        <v>120</v>
      </c>
      <c r="AR7" s="61" t="s">
        <v>358</v>
      </c>
    </row>
    <row r="8" spans="1:64" x14ac:dyDescent="0.25">
      <c r="A8" t="s">
        <v>345</v>
      </c>
      <c r="C8">
        <f>'General Information'!D28</f>
        <v>0</v>
      </c>
      <c r="D8" t="s">
        <v>12</v>
      </c>
    </row>
    <row r="9" spans="1:64" x14ac:dyDescent="0.25">
      <c r="C9" s="45"/>
      <c r="AP9" s="61" t="s">
        <v>353</v>
      </c>
      <c r="AQ9" s="61">
        <v>0.1</v>
      </c>
      <c r="AR9" s="61" t="s">
        <v>354</v>
      </c>
    </row>
    <row r="10" spans="1:64" x14ac:dyDescent="0.25">
      <c r="D10" s="44"/>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IF(C13="",0,VLOOKUP(C13,CHOOSE({1,2},Table2[Pay Item Description],Table2[Pay Item No.]),2,0))</f>
        <v>0</v>
      </c>
      <c r="C13" s="70" t="s">
        <v>481</v>
      </c>
      <c r="D13" s="3" t="str">
        <f>IF(C13="","N/A",VLOOKUP(C13,CHOOSE({1,2},Table2[Pay Item Description],Table2[Units]),2,0))</f>
        <v>N/A</v>
      </c>
      <c r="E13" s="76"/>
      <c r="F13" s="75" t="str">
        <f>IF(C13="","N/A",VLOOKUP(C13,CHOOSE({1,2},Table2[Pay Item Description],Table2[Unit Cost]),2,0))</f>
        <v>N/A</v>
      </c>
      <c r="G13" s="72">
        <f t="shared" ref="G13:G22" si="0">IF(B13&lt;&gt;0,F13*E13,0)</f>
        <v>0</v>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IF(L13="","N/A",VLOOKUP(L13,CHOOSE({1,2},Table2[Pay Item Description],Table2[Unit Cost]),2,0))</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IF(T13="","N/A",VLOOKUP(T13,CHOOSE({1,2},Table2[Pay Item Description],Table2[Unit Cost]),2,0))</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IF(AB13="","N/A",VLOOKUP(AB13,CHOOSE({1,2},Table2[Pay Item Description],Table2[Unit Cost]),2,0))</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IF(AJ13="","N/A",VLOOKUP(AJ13,CHOOSE({1,2},Table2[Pay Item Description],Table2[Unit Cost]),2,0))</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IF(AR13="","N/A",VLOOKUP(AR13,CHOOSE({1,2},Table2[Pay Item Description],Table2[Unit Cost]),2,0))</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IF(AZ13="","N/A",VLOOKUP(AZ13,CHOOSE({1,2},Table2[Pay Item Description],Table2[Unit Cost]),2,0))</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IF(BH13="","N/A",VLOOKUP(BH13,CHOOSE({1,2},Table2[Pay Item Description],Table2[Unit Cost]),2,0))</f>
        <v>8.5</v>
      </c>
      <c r="BL13" s="63">
        <f>BK13*BJ13</f>
        <v>0</v>
      </c>
    </row>
    <row r="14" spans="1:64" ht="19.5" customHeight="1" x14ac:dyDescent="0.25">
      <c r="A14">
        <v>2</v>
      </c>
      <c r="B14" s="71">
        <f>IF(C14="",0,VLOOKUP(C14,CHOOSE({1,2},Table2[Pay Item Description],Table2[Pay Item No.]),2,0))</f>
        <v>0</v>
      </c>
      <c r="C14" s="70" t="s">
        <v>481</v>
      </c>
      <c r="D14" s="3" t="str">
        <f>IF(C14="","N/A",VLOOKUP(C14,CHOOSE({1,2},Table2[Pay Item Description],Table2[Units]),2,0))</f>
        <v>N/A</v>
      </c>
      <c r="E14" s="76"/>
      <c r="F14" s="75" t="str">
        <f>IF(C14="","N/A",VLOOKUP(C14,CHOOSE({1,2},Table2[Pay Item Description],Table2[Unit Cost]),2,0))</f>
        <v>N/A</v>
      </c>
      <c r="G14" s="72">
        <f t="shared" si="0"/>
        <v>0</v>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IF(L14="","N/A",VLOOKUP(L14,CHOOSE({1,2},Table2[Pay Item Description],Table2[Unit Cost]),2,0))</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IF(T14="","N/A",VLOOKUP(T14,CHOOSE({1,2},Table2[Pay Item Description],Table2[Unit Cost]),2,0))</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IF(AB14="","N/A",VLOOKUP(AB14,CHOOSE({1,2},Table2[Pay Item Description],Table2[Unit Cost]),2,0))</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IF(AJ14="","N/A",VLOOKUP(AJ14,CHOOSE({1,2},Table2[Pay Item Description],Table2[Unit Cost]),2,0))</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IF(AR14="","N/A",VLOOKUP(AR14,CHOOSE({1,2},Table2[Pay Item Description],Table2[Unit Cost]),2,0))</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IF(AZ14="","N/A",VLOOKUP(AZ14,CHOOSE({1,2},Table2[Pay Item Description],Table2[Unit Cost]),2,0))</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IF(BH14="","N/A",VLOOKUP(BH14,CHOOSE({1,2},Table2[Pay Item Description],Table2[Unit Cost]),2,0))</f>
        <v>4</v>
      </c>
      <c r="BL14" s="63">
        <f>BK14*BJ14</f>
        <v>0</v>
      </c>
    </row>
    <row r="15" spans="1:64" ht="19.5" customHeight="1" x14ac:dyDescent="0.25">
      <c r="A15">
        <v>3</v>
      </c>
      <c r="B15" s="71">
        <f>IF(C15="",0,VLOOKUP(C15,CHOOSE({1,2},Table2[Pay Item Description],Table2[Pay Item No.]),2,0))</f>
        <v>0</v>
      </c>
      <c r="C15" s="70"/>
      <c r="D15" s="3" t="str">
        <f>IF(C15="","N/A",VLOOKUP(C15,CHOOSE({1,2},Table2[Pay Item Description],Table2[Units]),2,0))</f>
        <v>N/A</v>
      </c>
      <c r="E15" s="76"/>
      <c r="F15" s="75" t="str">
        <f>IF(C15="","N/A",VLOOKUP(C15,CHOOSE({1,2},Table2[Pay Item Description],Table2[Unit Cost]),2,0))</f>
        <v>N/A</v>
      </c>
      <c r="G15" s="72">
        <f t="shared" si="0"/>
        <v>0</v>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IF(L15="","N/A",VLOOKUP(L15,CHOOSE({1,2},Table2[Pay Item Description],Table2[Unit Cost]),2,0))</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IF(T15="","N/A",VLOOKUP(T15,CHOOSE({1,2},Table2[Pay Item Description],Table2[Unit Cost]),2,0))</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IF(AB15="","N/A",VLOOKUP(AB15,CHOOSE({1,2},Table2[Pay Item Description],Table2[Unit Cost]),2,0))</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IF(AJ15="","N/A",VLOOKUP(AJ15,CHOOSE({1,2},Table2[Pay Item Description],Table2[Unit Cost]),2,0))</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IF(AR15="","N/A",VLOOKUP(AR15,CHOOSE({1,2},Table2[Pay Item Description],Table2[Unit Cost]),2,0))</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IF(AZ15="","N/A",VLOOKUP(AZ15,CHOOSE({1,2},Table2[Pay Item Description],Table2[Unit Cost]),2,0))</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IF(BH15="","N/A",VLOOKUP(BH15,CHOOSE({1,2},Table2[Pay Item Description],Table2[Unit Cost]),2,0))</f>
        <v>4</v>
      </c>
      <c r="BL15" s="63">
        <f>BK15*BJ15</f>
        <v>0</v>
      </c>
    </row>
    <row r="16" spans="1:64" ht="19.5" customHeight="1" x14ac:dyDescent="0.25">
      <c r="A16">
        <v>4</v>
      </c>
      <c r="B16" s="71">
        <f>IF(C16="",0,VLOOKUP(C16,CHOOSE({1,2},Table2[Pay Item Description],Table2[Pay Item No.]),2,0))</f>
        <v>0</v>
      </c>
      <c r="C16" s="70"/>
      <c r="D16" s="3" t="str">
        <f>IF(C16="","N/A",VLOOKUP(C16,CHOOSE({1,2},Table2[Pay Item Description],Table2[Units]),2,0))</f>
        <v>N/A</v>
      </c>
      <c r="E16" s="76"/>
      <c r="F16" s="75" t="str">
        <f>IF(C16="","N/A",VLOOKUP(C16,CHOOSE({1,2},Table2[Pay Item Description],Table2[Unit Cost]),2,0))</f>
        <v>N/A</v>
      </c>
      <c r="G16" s="72">
        <f t="shared" si="0"/>
        <v>0</v>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IF(AB16="","N/A",VLOOKUP(AB16,CHOOSE({1,2},Table2[Pay Item Description],Table2[Unit Cost]),2,0))</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IF(AJ16="","N/A",VLOOKUP(AJ16,CHOOSE({1,2},Table2[Pay Item Description],Table2[Unit Cost]),2,0))</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IF(AR16="","N/A",VLOOKUP(AR16,CHOOSE({1,2},Table2[Pay Item Description],Table2[Unit Cost]),2,0))</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IF(BH16="","N/A",VLOOKUP(BH16,CHOOSE({1,2},Table2[Pay Item Description],Table2[Unit Cost]),2,0))</f>
        <v>0.77777777777777779</v>
      </c>
      <c r="BL16" s="63">
        <f>BK16*BJ16</f>
        <v>0</v>
      </c>
    </row>
    <row r="17" spans="1:64" ht="19.5" customHeight="1" x14ac:dyDescent="0.25">
      <c r="A17">
        <v>5</v>
      </c>
      <c r="B17" s="71">
        <f>IF(C17="",0,VLOOKUP(C17,CHOOSE({1,2},Table2[Pay Item Description],Table2[Pay Item No.]),2,0))</f>
        <v>0</v>
      </c>
      <c r="C17" s="70"/>
      <c r="D17" s="3" t="str">
        <f>IF(C17="","N/A",VLOOKUP(C17,CHOOSE({1,2},Table2[Pay Item Description],Table2[Units]),2,0))</f>
        <v>N/A</v>
      </c>
      <c r="E17" s="76"/>
      <c r="F17" s="75" t="str">
        <f>IF(C17="","N/A",VLOOKUP(C17,CHOOSE({1,2},Table2[Pay Item Description],Table2[Unit Cost]),2,0))</f>
        <v>N/A</v>
      </c>
      <c r="G17" s="72">
        <f t="shared" si="0"/>
        <v>0</v>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IF(AB17="","N/A",VLOOKUP(AB17,CHOOSE({1,2},Table2[Pay Item Description],Table2[Unit Cost]),2,0))</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IF(AJ17="","N/A",VLOOKUP(AJ17,CHOOSE({1,2},Table2[Pay Item Description],Table2[Unit Cost]),2,0))</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IF(AR17="","N/A",VLOOKUP(AR17,CHOOSE({1,2},Table2[Pay Item Description],Table2[Unit Cost]),2,0))</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IF(BH17="","N/A",VLOOKUP(BH17,CHOOSE({1,2},Table2[Pay Item Description],Table2[Unit Cost]),2,0))</f>
        <v>0.66666666666666663</v>
      </c>
      <c r="BL17" s="63">
        <f>BK17*BJ17</f>
        <v>0</v>
      </c>
    </row>
    <row r="18" spans="1:64" ht="19.5" customHeight="1" x14ac:dyDescent="0.25">
      <c r="A18">
        <v>6</v>
      </c>
      <c r="B18" s="71">
        <f>IF(C18="",0,VLOOKUP(C18,CHOOSE({1,2},Table2[Pay Item Description],Table2[Pay Item No.]),2,0))</f>
        <v>0</v>
      </c>
      <c r="C18" s="70"/>
      <c r="D18" s="3" t="str">
        <f>IF(C18="","N/A",VLOOKUP(C18,CHOOSE({1,2},Table2[Pay Item Description],Table2[Units]),2,0))</f>
        <v>N/A</v>
      </c>
      <c r="E18" s="76"/>
      <c r="F18" s="75" t="str">
        <f>IF(C18="","N/A",VLOOKUP(C18,CHOOSE({1,2},Table2[Pay Item Description],Table2[Unit Cost]),2,0))</f>
        <v>N/A</v>
      </c>
      <c r="G18" s="72">
        <f t="shared" si="0"/>
        <v>0</v>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IF(AR18="","N/A",VLOOKUP(AR18,CHOOSE({1,2},Table2[Pay Item Description],Table2[Unit Cost]),2,0))</f>
        <v>0.66666666666666663</v>
      </c>
      <c r="AV18" s="63">
        <f t="shared" si="1"/>
        <v>0</v>
      </c>
      <c r="AZ18" t="s">
        <v>323</v>
      </c>
      <c r="BD18" s="46">
        <f>('General Information'!$D$37/100)*BD16</f>
        <v>0</v>
      </c>
      <c r="BK18" s="61" t="s">
        <v>348</v>
      </c>
      <c r="BL18" s="63">
        <f>SUM(BL13:BL17)</f>
        <v>0</v>
      </c>
    </row>
    <row r="19" spans="1:64" ht="19.5" customHeight="1" x14ac:dyDescent="0.25">
      <c r="A19">
        <v>7</v>
      </c>
      <c r="B19" s="71">
        <f>IF(C19="",0,VLOOKUP(C19,CHOOSE({1,2},Table2[Pay Item Description],Table2[Pay Item No.]),2,0))</f>
        <v>0</v>
      </c>
      <c r="C19" s="70"/>
      <c r="D19" s="3" t="str">
        <f>IF(C19="","N/A",VLOOKUP(C19,CHOOSE({1,2},Table2[Pay Item Description],Table2[Units]),2,0))</f>
        <v>N/A</v>
      </c>
      <c r="E19" s="76"/>
      <c r="F19" s="75" t="str">
        <f>IF(C19="","N/A",VLOOKUP(C19,CHOOSE({1,2},Table2[Pay Item Description],Table2[Unit Cost]),2,0))</f>
        <v>N/A</v>
      </c>
      <c r="G19" s="72">
        <f t="shared" si="0"/>
        <v>0</v>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IF(C20="",0,VLOOKUP(C20,CHOOSE({1,2},Table2[Pay Item Description],Table2[Pay Item No.]),2,0))</f>
        <v>0</v>
      </c>
      <c r="C20" s="70"/>
      <c r="D20" s="3" t="str">
        <f>IF(C20="","N/A",VLOOKUP(C20,CHOOSE({1,2},Table2[Pay Item Description],Table2[Units]),2,0))</f>
        <v>N/A</v>
      </c>
      <c r="E20" s="76"/>
      <c r="F20" s="75" t="str">
        <f>IF(C20="","N/A",VLOOKUP(C20,CHOOSE({1,2},Table2[Pay Item Description],Table2[Unit Cost]),2,0))</f>
        <v>N/A</v>
      </c>
      <c r="G20" s="72">
        <f t="shared" ref="G20:G21" si="2">IF(B20&lt;&gt;0,F20*E20,0)</f>
        <v>0</v>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IF(C21="",0,VLOOKUP(C21,CHOOSE({1,2},Table2[Pay Item Description],Table2[Pay Item No.]),2,0))</f>
        <v>0</v>
      </c>
      <c r="C21" s="70"/>
      <c r="D21" s="3" t="str">
        <f>IF(C21="","N/A",VLOOKUP(C21,CHOOSE({1,2},Table2[Pay Item Description],Table2[Units]),2,0))</f>
        <v>N/A</v>
      </c>
      <c r="E21" s="76"/>
      <c r="F21" s="75" t="str">
        <f>IF(C21="","N/A",VLOOKUP(C21,CHOOSE({1,2},Table2[Pay Item Description],Table2[Unit Cost]),2,0))</f>
        <v>N/A</v>
      </c>
      <c r="G21" s="72">
        <f t="shared" si="2"/>
        <v>0</v>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IF(C22="",0,VLOOKUP(C22,CHOOSE({1,2},Table2[Pay Item Description],Table2[Pay Item No.]),2,0))</f>
        <v>0</v>
      </c>
      <c r="C22" s="70"/>
      <c r="D22" s="3" t="str">
        <f>IF(C22="","N/A",VLOOKUP(C22,CHOOSE({1,2},Table2[Pay Item Description],Table2[Units]),2,0))</f>
        <v>N/A</v>
      </c>
      <c r="E22" s="76"/>
      <c r="F22" s="75" t="str">
        <f>IF(C22="","N/A",VLOOKUP(C22,CHOOSE({1,2},Table2[Pay Item Description],Table2[Unit Cost]),2,0))</f>
        <v>N/A</v>
      </c>
      <c r="G22" s="72">
        <f t="shared" si="0"/>
        <v>0</v>
      </c>
      <c r="AU22" s="61" t="s">
        <v>349</v>
      </c>
      <c r="AV22" s="63">
        <f>SUM(AV19:AV21)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x14ac:dyDescent="0.25">
      <c r="A27" s="4" t="s">
        <v>349</v>
      </c>
      <c r="G27" s="89">
        <f>SUM(G24:G26)</f>
        <v>0</v>
      </c>
    </row>
    <row r="32" spans="1:64" x14ac:dyDescent="0.25">
      <c r="A32" s="4" t="s">
        <v>328</v>
      </c>
    </row>
    <row r="33" spans="1:13" x14ac:dyDescent="0.25">
      <c r="A33" s="4" t="s">
        <v>508</v>
      </c>
      <c r="I33" t="s">
        <v>248</v>
      </c>
    </row>
    <row r="34" spans="1:13" ht="15.75" thickBot="1" x14ac:dyDescent="0.3"/>
    <row r="35" spans="1:13" ht="27" thickTop="1" thickBot="1" x14ac:dyDescent="0.3">
      <c r="B35" s="53" t="s">
        <v>326</v>
      </c>
      <c r="C35" s="54" t="s">
        <v>259</v>
      </c>
      <c r="D35" s="54" t="s">
        <v>327</v>
      </c>
      <c r="E35" s="55"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Policies'!E10</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Policies'!E12</f>
        <v>8</v>
      </c>
      <c r="D38" s="58">
        <f>X19</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Policies'!E14</f>
        <v>12</v>
      </c>
      <c r="D39" s="58">
        <f>AF21</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74</v>
      </c>
      <c r="C40" s="57">
        <f>'Maintenance Policies'!E18</f>
        <v>16</v>
      </c>
      <c r="D40" s="58">
        <f>AN21</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77</v>
      </c>
      <c r="C41" s="57">
        <f>'Maintenance Policies'!E22</f>
        <v>20</v>
      </c>
      <c r="D41" s="58">
        <f>AV22</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Policies'!E26</f>
        <v>24</v>
      </c>
      <c r="D42" s="58">
        <f>BD19</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Policies'!E28</f>
        <v>28</v>
      </c>
      <c r="D43" s="58">
        <f>BL21</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48" t="s">
        <v>85</v>
      </c>
      <c r="C44" s="57">
        <f>'General Information'!D33</f>
        <v>10</v>
      </c>
      <c r="D44" s="58">
        <f>-'Maintenance Policies'!D32*AV22</f>
        <v>0</v>
      </c>
      <c r="E44" s="47">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ht="15.75" thickBot="1" x14ac:dyDescent="0.3">
      <c r="B45" s="49" t="s">
        <v>328</v>
      </c>
      <c r="C45" s="50"/>
      <c r="D45" s="50"/>
      <c r="E45" s="60">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dataValidations count="1">
    <dataValidation allowBlank="1" showInputMessage="1" showErrorMessage="1" promptTitle="Qty" prompt="Enter quantity" sqref="E13" xr:uid="{60E3F3D1-DCAA-49C2-B270-FF9B34BE2F49}"/>
  </dataValidations>
  <pageMargins left="0.7" right="0.7" top="0.75" bottom="0.75" header="0.3" footer="0.3"/>
  <pageSetup orientation="portrait" horizontalDpi="4294967293" verticalDpi="4294967295" r:id="rId1"/>
  <drawing r:id="rId2"/>
  <legacyDrawing r:id="rId3"/>
  <controls>
    <mc:AlternateContent xmlns:mc="http://schemas.openxmlformats.org/markup-compatibility/2006">
      <mc:Choice Requires="x14">
        <control shapeId="20534" r:id="rId4" name="ComboBox33">
          <controlPr defaultSize="0" autoLine="0" linkedCell="AZ15" listFillRange="Pay_Items!C3:D59" r:id="rId5">
            <anchor moveWithCells="1" sizeWithCells="1">
              <from>
                <xdr:col>51</xdr:col>
                <xdr:colOff>0</xdr:colOff>
                <xdr:row>14</xdr:row>
                <xdr:rowOff>0</xdr:rowOff>
              </from>
              <to>
                <xdr:col>52</xdr:col>
                <xdr:colOff>28575</xdr:colOff>
                <xdr:row>14</xdr:row>
                <xdr:rowOff>238125</xdr:rowOff>
              </to>
            </anchor>
          </controlPr>
        </control>
      </mc:Choice>
      <mc:Fallback>
        <control shapeId="20534" r:id="rId4" name="ComboBox33"/>
      </mc:Fallback>
    </mc:AlternateContent>
    <mc:AlternateContent xmlns:mc="http://schemas.openxmlformats.org/markup-compatibility/2006">
      <mc:Choice Requires="x14">
        <control shapeId="20533" r:id="rId6" name="ComboBox32">
          <controlPr defaultSize="0" autoLine="0" linkedCell="AZ14" listFillRange="Pay_Items!C3:D59" r:id="rId7">
            <anchor moveWithCells="1" sizeWithCells="1">
              <from>
                <xdr:col>51</xdr:col>
                <xdr:colOff>0</xdr:colOff>
                <xdr:row>13</xdr:row>
                <xdr:rowOff>0</xdr:rowOff>
              </from>
              <to>
                <xdr:col>52</xdr:col>
                <xdr:colOff>28575</xdr:colOff>
                <xdr:row>13</xdr:row>
                <xdr:rowOff>238125</xdr:rowOff>
              </to>
            </anchor>
          </controlPr>
        </control>
      </mc:Choice>
      <mc:Fallback>
        <control shapeId="20533" r:id="rId6" name="ComboBox32"/>
      </mc:Fallback>
    </mc:AlternateContent>
    <mc:AlternateContent xmlns:mc="http://schemas.openxmlformats.org/markup-compatibility/2006">
      <mc:Choice Requires="x14">
        <control shapeId="20532" r:id="rId8" name="ComboBox31">
          <controlPr defaultSize="0" autoLine="0" linkedCell="BH13" listFillRange="Pay_Items!C3:D59" r:id="rId9">
            <anchor moveWithCells="1" sizeWithCells="1">
              <from>
                <xdr:col>59</xdr:col>
                <xdr:colOff>0</xdr:colOff>
                <xdr:row>12</xdr:row>
                <xdr:rowOff>0</xdr:rowOff>
              </from>
              <to>
                <xdr:col>60</xdr:col>
                <xdr:colOff>19050</xdr:colOff>
                <xdr:row>12</xdr:row>
                <xdr:rowOff>238125</xdr:rowOff>
              </to>
            </anchor>
          </controlPr>
        </control>
      </mc:Choice>
      <mc:Fallback>
        <control shapeId="20532" r:id="rId8" name="ComboBox31"/>
      </mc:Fallback>
    </mc:AlternateContent>
    <mc:AlternateContent xmlns:mc="http://schemas.openxmlformats.org/markup-compatibility/2006">
      <mc:Choice Requires="x14">
        <control shapeId="20531" r:id="rId10" name="ComboBox30">
          <controlPr defaultSize="0" autoLine="0" linkedCell="BH17" listFillRange="Pay_Items!C3:D59" r:id="rId11">
            <anchor moveWithCells="1" sizeWithCells="1">
              <from>
                <xdr:col>59</xdr:col>
                <xdr:colOff>0</xdr:colOff>
                <xdr:row>16</xdr:row>
                <xdr:rowOff>0</xdr:rowOff>
              </from>
              <to>
                <xdr:col>60</xdr:col>
                <xdr:colOff>19050</xdr:colOff>
                <xdr:row>16</xdr:row>
                <xdr:rowOff>238125</xdr:rowOff>
              </to>
            </anchor>
          </controlPr>
        </control>
      </mc:Choice>
      <mc:Fallback>
        <control shapeId="20531" r:id="rId10" name="ComboBox30"/>
      </mc:Fallback>
    </mc:AlternateContent>
    <mc:AlternateContent xmlns:mc="http://schemas.openxmlformats.org/markup-compatibility/2006">
      <mc:Choice Requires="x14">
        <control shapeId="20530" r:id="rId12" name="ComboBox29">
          <controlPr defaultSize="0" autoLine="0" linkedCell="BH16" listFillRange="Pay_Items!C3:D59" r:id="rId13">
            <anchor moveWithCells="1" sizeWithCells="1">
              <from>
                <xdr:col>59</xdr:col>
                <xdr:colOff>0</xdr:colOff>
                <xdr:row>15</xdr:row>
                <xdr:rowOff>0</xdr:rowOff>
              </from>
              <to>
                <xdr:col>60</xdr:col>
                <xdr:colOff>19050</xdr:colOff>
                <xdr:row>15</xdr:row>
                <xdr:rowOff>238125</xdr:rowOff>
              </to>
            </anchor>
          </controlPr>
        </control>
      </mc:Choice>
      <mc:Fallback>
        <control shapeId="20530" r:id="rId12" name="ComboBox29"/>
      </mc:Fallback>
    </mc:AlternateContent>
    <mc:AlternateContent xmlns:mc="http://schemas.openxmlformats.org/markup-compatibility/2006">
      <mc:Choice Requires="x14">
        <control shapeId="20529" r:id="rId14" name="ComboBox28">
          <controlPr defaultSize="0" autoLine="0" linkedCell="BH14" listFillRange="Pay_Items!C3:D59" r:id="rId15">
            <anchor moveWithCells="1" sizeWithCells="1">
              <from>
                <xdr:col>59</xdr:col>
                <xdr:colOff>0</xdr:colOff>
                <xdr:row>13</xdr:row>
                <xdr:rowOff>0</xdr:rowOff>
              </from>
              <to>
                <xdr:col>60</xdr:col>
                <xdr:colOff>19050</xdr:colOff>
                <xdr:row>13</xdr:row>
                <xdr:rowOff>238125</xdr:rowOff>
              </to>
            </anchor>
          </controlPr>
        </control>
      </mc:Choice>
      <mc:Fallback>
        <control shapeId="20529" r:id="rId14" name="ComboBox28"/>
      </mc:Fallback>
    </mc:AlternateContent>
    <mc:AlternateContent xmlns:mc="http://schemas.openxmlformats.org/markup-compatibility/2006">
      <mc:Choice Requires="x14">
        <control shapeId="20520" r:id="rId16" name="ComboBox27">
          <controlPr defaultSize="0" autoLine="0" linkedCell="AR15" listFillRange="Pay_Items!C3:D59" r:id="rId17">
            <anchor moveWithCells="1" sizeWithCells="1">
              <from>
                <xdr:col>43</xdr:col>
                <xdr:colOff>0</xdr:colOff>
                <xdr:row>14</xdr:row>
                <xdr:rowOff>0</xdr:rowOff>
              </from>
              <to>
                <xdr:col>44</xdr:col>
                <xdr:colOff>9525</xdr:colOff>
                <xdr:row>14</xdr:row>
                <xdr:rowOff>238125</xdr:rowOff>
              </to>
            </anchor>
          </controlPr>
        </control>
      </mc:Choice>
      <mc:Fallback>
        <control shapeId="20520" r:id="rId16" name="ComboBox27"/>
      </mc:Fallback>
    </mc:AlternateContent>
    <mc:AlternateContent xmlns:mc="http://schemas.openxmlformats.org/markup-compatibility/2006">
      <mc:Choice Requires="x14">
        <control shapeId="20519" r:id="rId18" name="ComboBox26">
          <controlPr defaultSize="0" autoLine="0" linkedCell="AR18" listFillRange="Pay_Items!C3:D59" r:id="rId11">
            <anchor moveWithCells="1" sizeWithCells="1">
              <from>
                <xdr:col>43</xdr:col>
                <xdr:colOff>0</xdr:colOff>
                <xdr:row>17</xdr:row>
                <xdr:rowOff>0</xdr:rowOff>
              </from>
              <to>
                <xdr:col>44</xdr:col>
                <xdr:colOff>9525</xdr:colOff>
                <xdr:row>17</xdr:row>
                <xdr:rowOff>238125</xdr:rowOff>
              </to>
            </anchor>
          </controlPr>
        </control>
      </mc:Choice>
      <mc:Fallback>
        <control shapeId="20519" r:id="rId18" name="ComboBox26"/>
      </mc:Fallback>
    </mc:AlternateContent>
    <mc:AlternateContent xmlns:mc="http://schemas.openxmlformats.org/markup-compatibility/2006">
      <mc:Choice Requires="x14">
        <control shapeId="20518" r:id="rId19" name="ComboBox25">
          <controlPr defaultSize="0" autoLine="0" linkedCell="AR13" listFillRange="Pay_Items!C3:D59" r:id="rId20">
            <anchor moveWithCells="1" sizeWithCells="1">
              <from>
                <xdr:col>43</xdr:col>
                <xdr:colOff>0</xdr:colOff>
                <xdr:row>12</xdr:row>
                <xdr:rowOff>0</xdr:rowOff>
              </from>
              <to>
                <xdr:col>44</xdr:col>
                <xdr:colOff>9525</xdr:colOff>
                <xdr:row>12</xdr:row>
                <xdr:rowOff>238125</xdr:rowOff>
              </to>
            </anchor>
          </controlPr>
        </control>
      </mc:Choice>
      <mc:Fallback>
        <control shapeId="20518" r:id="rId19" name="ComboBox25"/>
      </mc:Fallback>
    </mc:AlternateContent>
    <mc:AlternateContent xmlns:mc="http://schemas.openxmlformats.org/markup-compatibility/2006">
      <mc:Choice Requires="x14">
        <control shapeId="20517" r:id="rId21" name="ComboBox24">
          <controlPr defaultSize="0" autoLine="0" linkedCell="AR17" listFillRange="Pay_Items!C3:D59" r:id="rId9">
            <anchor moveWithCells="1" sizeWithCells="1">
              <from>
                <xdr:col>43</xdr:col>
                <xdr:colOff>0</xdr:colOff>
                <xdr:row>16</xdr:row>
                <xdr:rowOff>0</xdr:rowOff>
              </from>
              <to>
                <xdr:col>44</xdr:col>
                <xdr:colOff>9525</xdr:colOff>
                <xdr:row>16</xdr:row>
                <xdr:rowOff>238125</xdr:rowOff>
              </to>
            </anchor>
          </controlPr>
        </control>
      </mc:Choice>
      <mc:Fallback>
        <control shapeId="20517" r:id="rId21" name="ComboBox24"/>
      </mc:Fallback>
    </mc:AlternateContent>
    <mc:AlternateContent xmlns:mc="http://schemas.openxmlformats.org/markup-compatibility/2006">
      <mc:Choice Requires="x14">
        <control shapeId="20516" r:id="rId22" name="ComboBox23">
          <controlPr defaultSize="0" autoLine="0" linkedCell="AR16" listFillRange="Pay_Items!C3:D59" r:id="rId15">
            <anchor moveWithCells="1" sizeWithCells="1">
              <from>
                <xdr:col>43</xdr:col>
                <xdr:colOff>0</xdr:colOff>
                <xdr:row>15</xdr:row>
                <xdr:rowOff>0</xdr:rowOff>
              </from>
              <to>
                <xdr:col>44</xdr:col>
                <xdr:colOff>9525</xdr:colOff>
                <xdr:row>15</xdr:row>
                <xdr:rowOff>238125</xdr:rowOff>
              </to>
            </anchor>
          </controlPr>
        </control>
      </mc:Choice>
      <mc:Fallback>
        <control shapeId="20516" r:id="rId22" name="ComboBox23"/>
      </mc:Fallback>
    </mc:AlternateContent>
    <mc:AlternateContent xmlns:mc="http://schemas.openxmlformats.org/markup-compatibility/2006">
      <mc:Choice Requires="x14">
        <control shapeId="20515" r:id="rId23" name="ComboBox22">
          <controlPr defaultSize="0" autoLine="0" linkedCell="AR14" listFillRange="Pay_Items!C3:D59" r:id="rId24">
            <anchor moveWithCells="1" sizeWithCells="1">
              <from>
                <xdr:col>43</xdr:col>
                <xdr:colOff>0</xdr:colOff>
                <xdr:row>13</xdr:row>
                <xdr:rowOff>0</xdr:rowOff>
              </from>
              <to>
                <xdr:col>44</xdr:col>
                <xdr:colOff>9525</xdr:colOff>
                <xdr:row>13</xdr:row>
                <xdr:rowOff>238125</xdr:rowOff>
              </to>
            </anchor>
          </controlPr>
        </control>
      </mc:Choice>
      <mc:Fallback>
        <control shapeId="20515" r:id="rId23" name="ComboBox22"/>
      </mc:Fallback>
    </mc:AlternateContent>
    <mc:AlternateContent xmlns:mc="http://schemas.openxmlformats.org/markup-compatibility/2006">
      <mc:Choice Requires="x14">
        <control shapeId="20514" r:id="rId25" name="ComboBox21">
          <controlPr defaultSize="0" autoLine="0" linkedCell="AJ13" listFillRange="Pay_Items!C3:D59" r:id="rId26">
            <anchor moveWithCells="1" sizeWithCells="1">
              <from>
                <xdr:col>35</xdr:col>
                <xdr:colOff>0</xdr:colOff>
                <xdr:row>12</xdr:row>
                <xdr:rowOff>0</xdr:rowOff>
              </from>
              <to>
                <xdr:col>36</xdr:col>
                <xdr:colOff>19050</xdr:colOff>
                <xdr:row>12</xdr:row>
                <xdr:rowOff>238125</xdr:rowOff>
              </to>
            </anchor>
          </controlPr>
        </control>
      </mc:Choice>
      <mc:Fallback>
        <control shapeId="20514" r:id="rId25" name="ComboBox21"/>
      </mc:Fallback>
    </mc:AlternateContent>
    <mc:AlternateContent xmlns:mc="http://schemas.openxmlformats.org/markup-compatibility/2006">
      <mc:Choice Requires="x14">
        <control shapeId="20513" r:id="rId27" name="ComboBox20">
          <controlPr defaultSize="0" autoLine="0" linkedCell="AJ17" listFillRange="Pay_Items!C3:D59" r:id="rId11">
            <anchor moveWithCells="1" sizeWithCells="1">
              <from>
                <xdr:col>35</xdr:col>
                <xdr:colOff>0</xdr:colOff>
                <xdr:row>16</xdr:row>
                <xdr:rowOff>0</xdr:rowOff>
              </from>
              <to>
                <xdr:col>36</xdr:col>
                <xdr:colOff>19050</xdr:colOff>
                <xdr:row>16</xdr:row>
                <xdr:rowOff>238125</xdr:rowOff>
              </to>
            </anchor>
          </controlPr>
        </control>
      </mc:Choice>
      <mc:Fallback>
        <control shapeId="20513" r:id="rId27" name="ComboBox20"/>
      </mc:Fallback>
    </mc:AlternateContent>
    <mc:AlternateContent xmlns:mc="http://schemas.openxmlformats.org/markup-compatibility/2006">
      <mc:Choice Requires="x14">
        <control shapeId="20512" r:id="rId28" name="ComboBox19">
          <controlPr defaultSize="0" autoLine="0" linkedCell="AJ16" listFillRange="Pay_Items!C3:D59" r:id="rId13">
            <anchor moveWithCells="1" sizeWithCells="1">
              <from>
                <xdr:col>35</xdr:col>
                <xdr:colOff>0</xdr:colOff>
                <xdr:row>15</xdr:row>
                <xdr:rowOff>0</xdr:rowOff>
              </from>
              <to>
                <xdr:col>36</xdr:col>
                <xdr:colOff>19050</xdr:colOff>
                <xdr:row>15</xdr:row>
                <xdr:rowOff>238125</xdr:rowOff>
              </to>
            </anchor>
          </controlPr>
        </control>
      </mc:Choice>
      <mc:Fallback>
        <control shapeId="20512" r:id="rId28" name="ComboBox19"/>
      </mc:Fallback>
    </mc:AlternateContent>
    <mc:AlternateContent xmlns:mc="http://schemas.openxmlformats.org/markup-compatibility/2006">
      <mc:Choice Requires="x14">
        <control shapeId="20511" r:id="rId29" name="ComboBox18">
          <controlPr defaultSize="0" autoLine="0" linkedCell="AJ14" listFillRange="Pay_Items!C3:D59" r:id="rId15">
            <anchor moveWithCells="1" sizeWithCells="1">
              <from>
                <xdr:col>35</xdr:col>
                <xdr:colOff>0</xdr:colOff>
                <xdr:row>13</xdr:row>
                <xdr:rowOff>0</xdr:rowOff>
              </from>
              <to>
                <xdr:col>36</xdr:col>
                <xdr:colOff>19050</xdr:colOff>
                <xdr:row>13</xdr:row>
                <xdr:rowOff>238125</xdr:rowOff>
              </to>
            </anchor>
          </controlPr>
        </control>
      </mc:Choice>
      <mc:Fallback>
        <control shapeId="20511" r:id="rId29" name="ComboBox18"/>
      </mc:Fallback>
    </mc:AlternateContent>
    <mc:AlternateContent xmlns:mc="http://schemas.openxmlformats.org/markup-compatibility/2006">
      <mc:Choice Requires="x14">
        <control shapeId="20510" r:id="rId30" name="ComboBox17">
          <controlPr defaultSize="0" autoLine="0" linkedCell="AB13" listFillRange="Pay_Items!C3:D59" r:id="rId31">
            <anchor moveWithCells="1" sizeWithCells="1">
              <from>
                <xdr:col>27</xdr:col>
                <xdr:colOff>0</xdr:colOff>
                <xdr:row>12</xdr:row>
                <xdr:rowOff>0</xdr:rowOff>
              </from>
              <to>
                <xdr:col>28</xdr:col>
                <xdr:colOff>19050</xdr:colOff>
                <xdr:row>12</xdr:row>
                <xdr:rowOff>238125</xdr:rowOff>
              </to>
            </anchor>
          </controlPr>
        </control>
      </mc:Choice>
      <mc:Fallback>
        <control shapeId="20510" r:id="rId30" name="ComboBox17"/>
      </mc:Fallback>
    </mc:AlternateContent>
    <mc:AlternateContent xmlns:mc="http://schemas.openxmlformats.org/markup-compatibility/2006">
      <mc:Choice Requires="x14">
        <control shapeId="20509" r:id="rId32" name="ComboBox16">
          <controlPr defaultSize="0" autoLine="0" linkedCell="AB17" listFillRange="Pay_Items!C3:D59" r:id="rId11">
            <anchor moveWithCells="1" sizeWithCells="1">
              <from>
                <xdr:col>27</xdr:col>
                <xdr:colOff>0</xdr:colOff>
                <xdr:row>16</xdr:row>
                <xdr:rowOff>0</xdr:rowOff>
              </from>
              <to>
                <xdr:col>28</xdr:col>
                <xdr:colOff>19050</xdr:colOff>
                <xdr:row>16</xdr:row>
                <xdr:rowOff>238125</xdr:rowOff>
              </to>
            </anchor>
          </controlPr>
        </control>
      </mc:Choice>
      <mc:Fallback>
        <control shapeId="20509" r:id="rId32" name="ComboBox16"/>
      </mc:Fallback>
    </mc:AlternateContent>
    <mc:AlternateContent xmlns:mc="http://schemas.openxmlformats.org/markup-compatibility/2006">
      <mc:Choice Requires="x14">
        <control shapeId="20508" r:id="rId33" name="ComboBox15">
          <controlPr defaultSize="0" autoLine="0" linkedCell="AB16" listFillRange="Pay_Items!C3:D59" r:id="rId13">
            <anchor moveWithCells="1" sizeWithCells="1">
              <from>
                <xdr:col>27</xdr:col>
                <xdr:colOff>0</xdr:colOff>
                <xdr:row>15</xdr:row>
                <xdr:rowOff>0</xdr:rowOff>
              </from>
              <to>
                <xdr:col>28</xdr:col>
                <xdr:colOff>19050</xdr:colOff>
                <xdr:row>15</xdr:row>
                <xdr:rowOff>238125</xdr:rowOff>
              </to>
            </anchor>
          </controlPr>
        </control>
      </mc:Choice>
      <mc:Fallback>
        <control shapeId="20508" r:id="rId33" name="ComboBox15"/>
      </mc:Fallback>
    </mc:AlternateContent>
    <mc:AlternateContent xmlns:mc="http://schemas.openxmlformats.org/markup-compatibility/2006">
      <mc:Choice Requires="x14">
        <control shapeId="20504" r:id="rId34" name="ComboBox14">
          <controlPr defaultSize="0" autoLine="0" linkedCell="AB14" listFillRange="Pay_Items!C3:D59" r:id="rId15">
            <anchor moveWithCells="1" sizeWithCells="1">
              <from>
                <xdr:col>27</xdr:col>
                <xdr:colOff>0</xdr:colOff>
                <xdr:row>13</xdr:row>
                <xdr:rowOff>0</xdr:rowOff>
              </from>
              <to>
                <xdr:col>28</xdr:col>
                <xdr:colOff>19050</xdr:colOff>
                <xdr:row>13</xdr:row>
                <xdr:rowOff>238125</xdr:rowOff>
              </to>
            </anchor>
          </controlPr>
        </control>
      </mc:Choice>
      <mc:Fallback>
        <control shapeId="20504" r:id="rId34" name="ComboBox14"/>
      </mc:Fallback>
    </mc:AlternateContent>
    <mc:AlternateContent xmlns:mc="http://schemas.openxmlformats.org/markup-compatibility/2006">
      <mc:Choice Requires="x14">
        <control shapeId="20503" r:id="rId35" name="ComboBox13">
          <controlPr defaultSize="0" autoLine="0" linkedCell="T15" listFillRange="Pay_Items!C3:D59" r:id="rId11">
            <anchor moveWithCells="1" sizeWithCells="1">
              <from>
                <xdr:col>19</xdr:col>
                <xdr:colOff>0</xdr:colOff>
                <xdr:row>14</xdr:row>
                <xdr:rowOff>0</xdr:rowOff>
              </from>
              <to>
                <xdr:col>20</xdr:col>
                <xdr:colOff>19050</xdr:colOff>
                <xdr:row>14</xdr:row>
                <xdr:rowOff>238125</xdr:rowOff>
              </to>
            </anchor>
          </controlPr>
        </control>
      </mc:Choice>
      <mc:Fallback>
        <control shapeId="20503" r:id="rId35" name="ComboBox13"/>
      </mc:Fallback>
    </mc:AlternateContent>
    <mc:AlternateContent xmlns:mc="http://schemas.openxmlformats.org/markup-compatibility/2006">
      <mc:Choice Requires="x14">
        <control shapeId="20502" r:id="rId36" name="ComboBox12">
          <controlPr defaultSize="0" autoLine="0" linkedCell="T14" listFillRange="Pay_Items!C3:D59" r:id="rId13">
            <anchor moveWithCells="1" sizeWithCells="1">
              <from>
                <xdr:col>19</xdr:col>
                <xdr:colOff>0</xdr:colOff>
                <xdr:row>13</xdr:row>
                <xdr:rowOff>0</xdr:rowOff>
              </from>
              <to>
                <xdr:col>20</xdr:col>
                <xdr:colOff>19050</xdr:colOff>
                <xdr:row>13</xdr:row>
                <xdr:rowOff>238125</xdr:rowOff>
              </to>
            </anchor>
          </controlPr>
        </control>
      </mc:Choice>
      <mc:Fallback>
        <control shapeId="20502" r:id="rId36" name="ComboBox12"/>
      </mc:Fallback>
    </mc:AlternateContent>
    <mc:AlternateContent xmlns:mc="http://schemas.openxmlformats.org/markup-compatibility/2006">
      <mc:Choice Requires="x14">
        <control shapeId="20500" r:id="rId37" name="ComboBox11">
          <controlPr defaultSize="0" autoLine="0" linkedCell="L15" listFillRange="Pay_Items!C3:D59" r:id="rId11">
            <anchor moveWithCells="1" sizeWithCells="1">
              <from>
                <xdr:col>11</xdr:col>
                <xdr:colOff>0</xdr:colOff>
                <xdr:row>14</xdr:row>
                <xdr:rowOff>0</xdr:rowOff>
              </from>
              <to>
                <xdr:col>12</xdr:col>
                <xdr:colOff>19050</xdr:colOff>
                <xdr:row>14</xdr:row>
                <xdr:rowOff>238125</xdr:rowOff>
              </to>
            </anchor>
          </controlPr>
        </control>
      </mc:Choice>
      <mc:Fallback>
        <control shapeId="20500" r:id="rId37" name="ComboBox11"/>
      </mc:Fallback>
    </mc:AlternateContent>
    <mc:AlternateContent xmlns:mc="http://schemas.openxmlformats.org/markup-compatibility/2006">
      <mc:Choice Requires="x14">
        <control shapeId="20499" r:id="rId38" name="ComboBox10">
          <controlPr defaultSize="0" autoLine="0" linkedCell="L14" listFillRange="Pay_Items!C3:D59" r:id="rId13">
            <anchor moveWithCells="1" sizeWithCells="1">
              <from>
                <xdr:col>11</xdr:col>
                <xdr:colOff>0</xdr:colOff>
                <xdr:row>13</xdr:row>
                <xdr:rowOff>0</xdr:rowOff>
              </from>
              <to>
                <xdr:col>12</xdr:col>
                <xdr:colOff>19050</xdr:colOff>
                <xdr:row>13</xdr:row>
                <xdr:rowOff>238125</xdr:rowOff>
              </to>
            </anchor>
          </controlPr>
        </control>
      </mc:Choice>
      <mc:Fallback>
        <control shapeId="20499" r:id="rId38" name="ComboBox10"/>
      </mc:Fallback>
    </mc:AlternateContent>
    <mc:AlternateContent xmlns:mc="http://schemas.openxmlformats.org/markup-compatibility/2006">
      <mc:Choice Requires="x14">
        <control shapeId="20497" r:id="rId39" name="ComboBox9">
          <controlPr defaultSize="0" autoLine="0" linkedCell="C21" listFillRange="Pay_Items!C3:D59" r:id="rId40">
            <anchor moveWithCells="1">
              <from>
                <xdr:col>2</xdr:col>
                <xdr:colOff>0</xdr:colOff>
                <xdr:row>20</xdr:row>
                <xdr:rowOff>0</xdr:rowOff>
              </from>
              <to>
                <xdr:col>2</xdr:col>
                <xdr:colOff>2771775</xdr:colOff>
                <xdr:row>21</xdr:row>
                <xdr:rowOff>0</xdr:rowOff>
              </to>
            </anchor>
          </controlPr>
        </control>
      </mc:Choice>
      <mc:Fallback>
        <control shapeId="20497" r:id="rId39" name="ComboBox9"/>
      </mc:Fallback>
    </mc:AlternateContent>
    <mc:AlternateContent xmlns:mc="http://schemas.openxmlformats.org/markup-compatibility/2006">
      <mc:Choice Requires="x14">
        <control shapeId="20496" r:id="rId41" name="ComboBox8">
          <controlPr defaultSize="0" autoLine="0" linkedCell="C20" listFillRange="Pay_Items!C3:D59" r:id="rId40">
            <anchor moveWithCells="1">
              <from>
                <xdr:col>2</xdr:col>
                <xdr:colOff>0</xdr:colOff>
                <xdr:row>19</xdr:row>
                <xdr:rowOff>0</xdr:rowOff>
              </from>
              <to>
                <xdr:col>2</xdr:col>
                <xdr:colOff>2771775</xdr:colOff>
                <xdr:row>20</xdr:row>
                <xdr:rowOff>0</xdr:rowOff>
              </to>
            </anchor>
          </controlPr>
        </control>
      </mc:Choice>
      <mc:Fallback>
        <control shapeId="20496" r:id="rId41" name="ComboBox8"/>
      </mc:Fallback>
    </mc:AlternateContent>
    <mc:AlternateContent xmlns:mc="http://schemas.openxmlformats.org/markup-compatibility/2006">
      <mc:Choice Requires="x14">
        <control shapeId="20481" r:id="rId42" name="ComboBox2">
          <controlPr defaultSize="0" autoLine="0" autoPict="0" linkedCell="C17" listFillRange="Pay_Items!C3:D59" r:id="rId43">
            <anchor moveWithCells="1">
              <from>
                <xdr:col>2</xdr:col>
                <xdr:colOff>0</xdr:colOff>
                <xdr:row>16</xdr:row>
                <xdr:rowOff>0</xdr:rowOff>
              </from>
              <to>
                <xdr:col>2</xdr:col>
                <xdr:colOff>2781300</xdr:colOff>
                <xdr:row>16</xdr:row>
                <xdr:rowOff>238125</xdr:rowOff>
              </to>
            </anchor>
          </controlPr>
        </control>
      </mc:Choice>
      <mc:Fallback>
        <control shapeId="20481" r:id="rId42" name="ComboBox2"/>
      </mc:Fallback>
    </mc:AlternateContent>
    <mc:AlternateContent xmlns:mc="http://schemas.openxmlformats.org/markup-compatibility/2006">
      <mc:Choice Requires="x14">
        <control shapeId="20482" r:id="rId44" name="Pay_Item1">
          <controlPr defaultSize="0" autoLine="0" autoPict="0" linkedCell="C13" listFillRange="Pay_Items!C3:D59" r:id="rId43">
            <anchor moveWithCells="1">
              <from>
                <xdr:col>2</xdr:col>
                <xdr:colOff>0</xdr:colOff>
                <xdr:row>12</xdr:row>
                <xdr:rowOff>19050</xdr:rowOff>
              </from>
              <to>
                <xdr:col>2</xdr:col>
                <xdr:colOff>2781300</xdr:colOff>
                <xdr:row>13</xdr:row>
                <xdr:rowOff>9525</xdr:rowOff>
              </to>
            </anchor>
          </controlPr>
        </control>
      </mc:Choice>
      <mc:Fallback>
        <control shapeId="20482" r:id="rId44" name="Pay_Item1"/>
      </mc:Fallback>
    </mc:AlternateContent>
    <mc:AlternateContent xmlns:mc="http://schemas.openxmlformats.org/markup-compatibility/2006">
      <mc:Choice Requires="x14">
        <control shapeId="20483" r:id="rId45" name="ComboBox1">
          <controlPr defaultSize="0" autoLine="0" autoPict="0" linkedCell="C14" listFillRange="Pay_Items!C3:D59" r:id="rId43">
            <anchor moveWithCells="1">
              <from>
                <xdr:col>2</xdr:col>
                <xdr:colOff>0</xdr:colOff>
                <xdr:row>13</xdr:row>
                <xdr:rowOff>0</xdr:rowOff>
              </from>
              <to>
                <xdr:col>2</xdr:col>
                <xdr:colOff>2781300</xdr:colOff>
                <xdr:row>13</xdr:row>
                <xdr:rowOff>238125</xdr:rowOff>
              </to>
            </anchor>
          </controlPr>
        </control>
      </mc:Choice>
      <mc:Fallback>
        <control shapeId="20483" r:id="rId45" name="ComboBox1"/>
      </mc:Fallback>
    </mc:AlternateContent>
    <mc:AlternateContent xmlns:mc="http://schemas.openxmlformats.org/markup-compatibility/2006">
      <mc:Choice Requires="x14">
        <control shapeId="20484" r:id="rId46" name="ComboBox3">
          <controlPr defaultSize="0" autoLine="0" autoPict="0" linkedCell="C15" listFillRange="Pay_Items!C3:D59" r:id="rId43">
            <anchor moveWithCells="1">
              <from>
                <xdr:col>2</xdr:col>
                <xdr:colOff>0</xdr:colOff>
                <xdr:row>14</xdr:row>
                <xdr:rowOff>0</xdr:rowOff>
              </from>
              <to>
                <xdr:col>2</xdr:col>
                <xdr:colOff>2781300</xdr:colOff>
                <xdr:row>14</xdr:row>
                <xdr:rowOff>238125</xdr:rowOff>
              </to>
            </anchor>
          </controlPr>
        </control>
      </mc:Choice>
      <mc:Fallback>
        <control shapeId="20484" r:id="rId46" name="ComboBox3"/>
      </mc:Fallback>
    </mc:AlternateContent>
    <mc:AlternateContent xmlns:mc="http://schemas.openxmlformats.org/markup-compatibility/2006">
      <mc:Choice Requires="x14">
        <control shapeId="20485" r:id="rId47" name="ComboBox4">
          <controlPr defaultSize="0" autoLine="0" autoPict="0" linkedCell="C16" listFillRange="Pay_Items!C3:D59" r:id="rId43">
            <anchor moveWithCells="1">
              <from>
                <xdr:col>2</xdr:col>
                <xdr:colOff>0</xdr:colOff>
                <xdr:row>15</xdr:row>
                <xdr:rowOff>0</xdr:rowOff>
              </from>
              <to>
                <xdr:col>2</xdr:col>
                <xdr:colOff>2781300</xdr:colOff>
                <xdr:row>15</xdr:row>
                <xdr:rowOff>238125</xdr:rowOff>
              </to>
            </anchor>
          </controlPr>
        </control>
      </mc:Choice>
      <mc:Fallback>
        <control shapeId="20485" r:id="rId47" name="ComboBox4"/>
      </mc:Fallback>
    </mc:AlternateContent>
    <mc:AlternateContent xmlns:mc="http://schemas.openxmlformats.org/markup-compatibility/2006">
      <mc:Choice Requires="x14">
        <control shapeId="20486" r:id="rId48" name="ComboBox5">
          <controlPr defaultSize="0" autoLine="0" autoPict="0" linkedCell="C18" listFillRange="Pay_Items!C3:D59" r:id="rId49">
            <anchor moveWithCells="1">
              <from>
                <xdr:col>2</xdr:col>
                <xdr:colOff>0</xdr:colOff>
                <xdr:row>17</xdr:row>
                <xdr:rowOff>0</xdr:rowOff>
              </from>
              <to>
                <xdr:col>2</xdr:col>
                <xdr:colOff>2781300</xdr:colOff>
                <xdr:row>18</xdr:row>
                <xdr:rowOff>0</xdr:rowOff>
              </to>
            </anchor>
          </controlPr>
        </control>
      </mc:Choice>
      <mc:Fallback>
        <control shapeId="20486" r:id="rId48" name="ComboBox5"/>
      </mc:Fallback>
    </mc:AlternateContent>
    <mc:AlternateContent xmlns:mc="http://schemas.openxmlformats.org/markup-compatibility/2006">
      <mc:Choice Requires="x14">
        <control shapeId="20487" r:id="rId50" name="ComboBox6">
          <controlPr defaultSize="0" autoLine="0" autoPict="0" linkedCell="C19" listFillRange="Pay_Items!C3:D59" r:id="rId49">
            <anchor moveWithCells="1">
              <from>
                <xdr:col>2</xdr:col>
                <xdr:colOff>0</xdr:colOff>
                <xdr:row>18</xdr:row>
                <xdr:rowOff>0</xdr:rowOff>
              </from>
              <to>
                <xdr:col>2</xdr:col>
                <xdr:colOff>2781300</xdr:colOff>
                <xdr:row>19</xdr:row>
                <xdr:rowOff>0</xdr:rowOff>
              </to>
            </anchor>
          </controlPr>
        </control>
      </mc:Choice>
      <mc:Fallback>
        <control shapeId="20487" r:id="rId50" name="ComboBox6"/>
      </mc:Fallback>
    </mc:AlternateContent>
    <mc:AlternateContent xmlns:mc="http://schemas.openxmlformats.org/markup-compatibility/2006">
      <mc:Choice Requires="x14">
        <control shapeId="20488" r:id="rId51" name="ComboBox7">
          <controlPr defaultSize="0" autoLine="0" autoPict="0" linkedCell="C22" listFillRange="Pay_Items!C3:D59" r:id="rId49">
            <anchor moveWithCells="1">
              <from>
                <xdr:col>2</xdr:col>
                <xdr:colOff>0</xdr:colOff>
                <xdr:row>21</xdr:row>
                <xdr:rowOff>0</xdr:rowOff>
              </from>
              <to>
                <xdr:col>2</xdr:col>
                <xdr:colOff>2781300</xdr:colOff>
                <xdr:row>22</xdr:row>
                <xdr:rowOff>0</xdr:rowOff>
              </to>
            </anchor>
          </controlPr>
        </control>
      </mc:Choice>
      <mc:Fallback>
        <control shapeId="20488" r:id="rId51" name="ComboBox7"/>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52634035-2B87-4118-9FE3-3CFA30467520}">
          <x14:formula1>
            <xm:f>Pay_Items!$D$48:$D$53</xm:f>
          </x14:formula1>
          <xm:sqref>C7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092C6-E135-4028-879C-E98CA962D793}">
  <sheetPr codeName="Sheet17">
    <tabColor theme="0" tint="-0.34998626667073579"/>
  </sheetPr>
  <dimension ref="A1:X68"/>
  <sheetViews>
    <sheetView topLeftCell="A2" zoomScale="80" zoomScaleNormal="80" workbookViewId="0">
      <selection activeCell="H44" sqref="H44"/>
    </sheetView>
  </sheetViews>
  <sheetFormatPr defaultRowHeight="15" x14ac:dyDescent="0.25"/>
  <cols>
    <col min="2" max="2" width="19.7109375" customWidth="1"/>
    <col min="3" max="3" width="41.7109375" customWidth="1"/>
    <col min="4" max="4" width="11" customWidth="1"/>
    <col min="5" max="5" width="17.140625" customWidth="1"/>
    <col min="6" max="7" width="10.5703125" customWidth="1"/>
    <col min="9" max="9" width="9.140625" hidden="1" customWidth="1"/>
    <col min="10" max="11" width="13.28515625" style="61" hidden="1" customWidth="1"/>
    <col min="12" max="12" width="41.7109375" style="61" hidden="1" customWidth="1"/>
    <col min="13" max="16" width="13.28515625" style="61" hidden="1" customWidth="1"/>
    <col min="17" max="17" width="3.5703125" hidden="1" customWidth="1"/>
    <col min="18" max="19" width="13.28515625" hidden="1" customWidth="1"/>
    <col min="20" max="20" width="41.28515625" hidden="1" customWidth="1"/>
    <col min="21" max="22" width="13.28515625" hidden="1" customWidth="1"/>
    <col min="23" max="24" width="13.28515625" customWidth="1"/>
  </cols>
  <sheetData>
    <row r="1" spans="1:24" x14ac:dyDescent="0.25">
      <c r="I1" t="s">
        <v>248</v>
      </c>
    </row>
    <row r="2" spans="1:24" x14ac:dyDescent="0.25">
      <c r="A2" s="4" t="s">
        <v>504</v>
      </c>
      <c r="J2" s="62" t="s">
        <v>67</v>
      </c>
      <c r="R2" s="4" t="s">
        <v>77</v>
      </c>
    </row>
    <row r="4" spans="1:24" x14ac:dyDescent="0.25">
      <c r="A4" t="s">
        <v>263</v>
      </c>
      <c r="C4" s="45" t="s">
        <v>487</v>
      </c>
    </row>
    <row r="5" spans="1:24" x14ac:dyDescent="0.25">
      <c r="A5" t="s">
        <v>346</v>
      </c>
      <c r="C5">
        <f>'General Information'!D26</f>
        <v>0</v>
      </c>
      <c r="D5" t="s">
        <v>6</v>
      </c>
    </row>
    <row r="6" spans="1:24" x14ac:dyDescent="0.25">
      <c r="A6" t="s">
        <v>262</v>
      </c>
      <c r="C6">
        <f>'General Information'!D25</f>
        <v>0</v>
      </c>
    </row>
    <row r="7" spans="1:24" x14ac:dyDescent="0.25">
      <c r="A7" t="s">
        <v>345</v>
      </c>
      <c r="C7">
        <f>'General Information'!D28</f>
        <v>0</v>
      </c>
      <c r="D7" t="s">
        <v>12</v>
      </c>
      <c r="J7" s="61" t="s">
        <v>351</v>
      </c>
      <c r="K7" s="64">
        <f>C5/((12.5*12.5)/9)</f>
        <v>0</v>
      </c>
    </row>
    <row r="8" spans="1:24" x14ac:dyDescent="0.25">
      <c r="C8" s="44"/>
      <c r="J8" s="61" t="s">
        <v>352</v>
      </c>
      <c r="K8" s="61">
        <f>K7*25+((K7/8)*12.5)</f>
        <v>0</v>
      </c>
    </row>
    <row r="9" spans="1:24" x14ac:dyDescent="0.25">
      <c r="C9" s="44"/>
    </row>
    <row r="10" spans="1:24" x14ac:dyDescent="0.25">
      <c r="C10" s="44"/>
    </row>
    <row r="12" spans="1:2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IF(C13="",0,VLOOKUP(C13,CHOOSE({1,2},Table2[Pay Item Description],Table2[Pay Item No.]),2,0))</f>
        <v>0</v>
      </c>
      <c r="C13" s="70" t="s">
        <v>481</v>
      </c>
      <c r="D13" s="3" t="str">
        <f>IF(C13="","N/A",VLOOKUP(C13,CHOOSE({1,2},Table2[Pay Item Description],Table2[Units]),2,0))</f>
        <v>N/A</v>
      </c>
      <c r="E13" s="77"/>
      <c r="F13" s="75" t="str">
        <f>IF(C13="","N/A",VLOOKUP(C13,CHOOSE({1,2},Table2[Pay Item Description],Table2[Unit Cost]),2,0))</f>
        <v>N/A</v>
      </c>
      <c r="G13" s="72">
        <f t="shared" ref="G13:G17" si="0">IF(B13&lt;&gt;0,F13*E13,0)</f>
        <v>0</v>
      </c>
      <c r="J13" s="61">
        <v>1</v>
      </c>
      <c r="K13" s="61" t="str">
        <f>IF(L13="",0,VLOOKUP(L13,CHOOSE({1,2},Table2[Pay Item Description],Table2[Pay Item No.]),2,0))</f>
        <v>P-605-5.1a</v>
      </c>
      <c r="L13" s="61" t="str">
        <f>Pay_Items!D55</f>
        <v>Joint Clean and Reseal, Concrete</v>
      </c>
      <c r="M13" s="61" t="str">
        <f>IF(L13="","N/A",VLOOKUP(L13,CHOOSE({1,2},Table2[Pay Item Description],Table2[Units]),2,0))</f>
        <v>L.F.</v>
      </c>
      <c r="N13" s="65">
        <f>K8*'Maintenance Policies'!D37</f>
        <v>0</v>
      </c>
      <c r="O13" s="68">
        <f>IF(L13="","N/A",VLOOKUP(L13,CHOOSE({1,2},Table2[Pay Item Description],Table2[Unit Cost]),2,0))</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IF(T13="","N/A",VLOOKUP(T13,CHOOSE({1,2},Table2[Pay Item Description],Table2[Unit Cost]),2,0))</f>
        <v>100</v>
      </c>
      <c r="X13" s="46">
        <f>W13*V13</f>
        <v>0</v>
      </c>
    </row>
    <row r="14" spans="1:24" ht="19.5" customHeight="1" x14ac:dyDescent="0.25">
      <c r="A14">
        <v>2</v>
      </c>
      <c r="B14" s="71">
        <f>IF(C14="",0,VLOOKUP(C14,CHOOSE({1,2},Table2[Pay Item Description],Table2[Pay Item No.]),2,0))</f>
        <v>0</v>
      </c>
      <c r="C14" s="70"/>
      <c r="D14" s="3" t="str">
        <f>IF(C14="","N/A",VLOOKUP(C14,CHOOSE({1,2},Table2[Pay Item Description],Table2[Units]),2,0))</f>
        <v>N/A</v>
      </c>
      <c r="E14" s="77"/>
      <c r="F14" s="75" t="str">
        <f>IF(C14="","N/A",VLOOKUP(C14,CHOOSE({1,2},Table2[Pay Item Description],Table2[Unit Cost]),2,0))</f>
        <v>N/A</v>
      </c>
      <c r="G14" s="72">
        <f t="shared" si="0"/>
        <v>0</v>
      </c>
      <c r="J14" s="61">
        <v>2</v>
      </c>
      <c r="K14" s="61" t="str">
        <f>VLOOKUP(L14,CHOOSE({1,2},Table2[Pay Item Description],Table2[Pay Item No.]),2,0)</f>
        <v>P-101-5.2c</v>
      </c>
      <c r="L14" s="61" t="str">
        <f>Pay_Items!D8</f>
        <v>Crack Seal, Concrete</v>
      </c>
      <c r="M14" s="61" t="str">
        <f>IF(L14="","N/A",VLOOKUP(L14,CHOOSE({1,2},Table2[Pay Item Description],Table2[Units]),2,0))</f>
        <v>L.F.</v>
      </c>
      <c r="N14" s="65">
        <f>'Maintenance Policies'!D38*(C5*9)</f>
        <v>0</v>
      </c>
      <c r="O14" s="68">
        <f>IF(L14="","N/A",VLOOKUP(L14,CHOOSE({1,2},Table2[Pay Item Description],Table2[Unit Cost]),2,0))</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IF(T14="","N/A",VLOOKUP(T14,CHOOSE({1,2},Table2[Pay Item Description],Table2[Unit Cost]),2,0))</f>
        <v>120</v>
      </c>
      <c r="X14" s="46">
        <f>W14*V14</f>
        <v>0</v>
      </c>
    </row>
    <row r="15" spans="1:24" ht="19.5" customHeight="1" x14ac:dyDescent="0.25">
      <c r="A15">
        <v>3</v>
      </c>
      <c r="B15" s="71">
        <f>IF(C15="",0,VLOOKUP(C15,CHOOSE({1,2},Table2[Pay Item Description],Table2[Pay Item No.]),2,0))</f>
        <v>0</v>
      </c>
      <c r="C15" s="70"/>
      <c r="D15" s="3" t="str">
        <f>IF(C15="","N/A",VLOOKUP(C15,CHOOSE({1,2},Table2[Pay Item Description],Table2[Units]),2,0))</f>
        <v>N/A</v>
      </c>
      <c r="E15" s="77"/>
      <c r="F15" s="75" t="str">
        <f>IF(C15="","N/A",VLOOKUP(C15,CHOOSE({1,2},Table2[Pay Item Description],Table2[Unit Cost]),2,0))</f>
        <v>N/A</v>
      </c>
      <c r="G15" s="72">
        <f t="shared" si="0"/>
        <v>0</v>
      </c>
      <c r="J15" s="61">
        <v>3</v>
      </c>
      <c r="K15" s="61" t="str">
        <f>VLOOKUP(L15,CHOOSE({1,2},Table2[Pay Item Description],Table2[Pay Item No.]),2,0)</f>
        <v>P-101-5.5a</v>
      </c>
      <c r="L15" s="61" t="str">
        <f>Pay_Items!D13</f>
        <v>Spall Repair, Concrete</v>
      </c>
      <c r="M15" s="61" t="str">
        <f>IF(L15="","N/A",VLOOKUP(L15,CHOOSE({1,2},Table2[Pay Item Description],Table2[Units]),2,0))</f>
        <v>S.F.</v>
      </c>
      <c r="N15" s="65">
        <f>'Maintenance Policies'!D39*(C5*9)</f>
        <v>0</v>
      </c>
      <c r="O15" s="68">
        <f>IF(L15="","N/A",VLOOKUP(L15,CHOOSE({1,2},Table2[Pay Item Description],Table2[Unit Cost]),2,0))</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IF(T15="","N/A",VLOOKUP(T15,CHOOSE({1,2},Table2[Pay Item Description],Table2[Unit Cost]),2,0))</f>
        <v>60</v>
      </c>
      <c r="X15" s="46">
        <f>W15*V15</f>
        <v>0</v>
      </c>
    </row>
    <row r="16" spans="1:24" ht="19.5" customHeight="1" x14ac:dyDescent="0.25">
      <c r="A16">
        <v>4</v>
      </c>
      <c r="B16" s="71">
        <f>IF(C16="",0,VLOOKUP(C16,CHOOSE({1,2},Table2[Pay Item Description],Table2[Pay Item No.]),2,0))</f>
        <v>0</v>
      </c>
      <c r="C16" s="70"/>
      <c r="D16" s="3" t="str">
        <f>IF(C16="","N/A",VLOOKUP(C16,CHOOSE({1,2},Table2[Pay Item Description],Table2[Units]),2,0))</f>
        <v>N/A</v>
      </c>
      <c r="E16" s="77"/>
      <c r="F16" s="75" t="str">
        <f>IF(C16="","N/A",VLOOKUP(C16,CHOOSE({1,2},Table2[Pay Item Description],Table2[Unit Cost]),2,0))</f>
        <v>N/A</v>
      </c>
      <c r="G16" s="72">
        <f t="shared" si="0"/>
        <v>0</v>
      </c>
      <c r="J16" s="61">
        <v>4</v>
      </c>
      <c r="K16" s="61" t="str">
        <f>VLOOKUP(L16,CHOOSE({1,2},Table2[Pay Item Description],Table2[Pay Item No.]),2,0)</f>
        <v>P-101-5.5b</v>
      </c>
      <c r="L16" s="61" t="str">
        <f>Pay_Items!D14</f>
        <v>Full-Depth Repair, Concrete</v>
      </c>
      <c r="M16" s="61" t="str">
        <f>IF(L16="","N/A",VLOOKUP(L16,CHOOSE({1,2},Table2[Pay Item Description],Table2[Units]),2,0))</f>
        <v>S.Y.</v>
      </c>
      <c r="N16" s="65">
        <f>'Maintenance Policies'!D40*C5</f>
        <v>0</v>
      </c>
      <c r="O16" s="68">
        <f>IF(L16="","N/A",VLOOKUP(L16,CHOOSE({1,2},Table2[Pay Item Description],Table2[Unit Cost]),2,0))</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IF(T16="","N/A",VLOOKUP(T16,CHOOSE({1,2},Table2[Pay Item Description],Table2[Unit Cost]),2,0))</f>
        <v>8</v>
      </c>
      <c r="X16" s="46">
        <f>W16*V16</f>
        <v>0</v>
      </c>
    </row>
    <row r="17" spans="1:24" ht="19.5" customHeight="1" x14ac:dyDescent="0.25">
      <c r="A17">
        <v>5</v>
      </c>
      <c r="B17" s="71">
        <f>IF(C17="",0,VLOOKUP(C17,CHOOSE({1,2},Table2[Pay Item Description],Table2[Pay Item No.]),2,0))</f>
        <v>0</v>
      </c>
      <c r="C17" s="70"/>
      <c r="D17" s="3" t="str">
        <f>IF(C17="","N/A",VLOOKUP(C17,CHOOSE({1,2},Table2[Pay Item Description],Table2[Units]),2,0))</f>
        <v>N/A</v>
      </c>
      <c r="E17" s="77"/>
      <c r="F17" s="75" t="str">
        <f>IF(C17="","N/A",VLOOKUP(C17,CHOOSE({1,2},Table2[Pay Item Description],Table2[Unit Cost]),2,0))</f>
        <v>N/A</v>
      </c>
      <c r="G17" s="72">
        <f t="shared" si="0"/>
        <v>0</v>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IF(T17="","N/A",VLOOKUP(T17,CHOOSE({1,2},Table2[Pay Item Description],Table2[Unit Cost]),2,0))</f>
        <v>7</v>
      </c>
      <c r="X17" s="46">
        <f>W17*V17</f>
        <v>0</v>
      </c>
    </row>
    <row r="18" spans="1:24" ht="19.5" customHeight="1" x14ac:dyDescent="0.25">
      <c r="A18">
        <v>6</v>
      </c>
      <c r="B18" s="71">
        <f>IF(C18="",0,VLOOKUP(C18,CHOOSE({1,2},Table2[Pay Item Description],Table2[Pay Item No.]),2,0))</f>
        <v>0</v>
      </c>
      <c r="C18" s="70"/>
      <c r="D18" s="3" t="str">
        <f>IF(C18="","N/A",VLOOKUP(C18,CHOOSE({1,2},Table2[Pay Item Description],Table2[Units]),2,0))</f>
        <v>N/A</v>
      </c>
      <c r="E18" s="77"/>
      <c r="F18" s="75" t="str">
        <f>IF(C18="","N/A",VLOOKUP(C18,CHOOSE({1,2},Table2[Pay Item Description],Table2[Unit Cost]),2,0))</f>
        <v>N/A</v>
      </c>
      <c r="G18" s="72">
        <f>IF(B18&lt;&gt;0,F18*E18,0)</f>
        <v>0</v>
      </c>
      <c r="L18" s="61" t="s">
        <v>9</v>
      </c>
      <c r="P18" s="63">
        <f>('General Information'!$D$36/100)*P17</f>
        <v>0</v>
      </c>
      <c r="W18" t="s">
        <v>348</v>
      </c>
      <c r="X18" s="46">
        <f>SUM(X13:X17)</f>
        <v>0</v>
      </c>
    </row>
    <row r="19" spans="1:24" ht="19.5" customHeight="1" x14ac:dyDescent="0.25">
      <c r="A19">
        <v>7</v>
      </c>
      <c r="B19" s="71">
        <f>IF(C19="",0,VLOOKUP(C19,CHOOSE({1,2},Table2[Pay Item Description],Table2[Pay Item No.]),2,0))</f>
        <v>0</v>
      </c>
      <c r="C19" s="70"/>
      <c r="D19" s="3" t="str">
        <f>IF(C19="","N/A",VLOOKUP(C19,CHOOSE({1,2},Table2[Pay Item Description],Table2[Units]),2,0))</f>
        <v>N/A</v>
      </c>
      <c r="E19" s="77"/>
      <c r="F19" s="75" t="str">
        <f>IF(C19="","N/A",VLOOKUP(C19,CHOOSE({1,2},Table2[Pay Item Description],Table2[Unit Cost]),2,0))</f>
        <v>N/A</v>
      </c>
      <c r="G19" s="72">
        <f t="shared" ref="G19:G22" si="1">IF(B19&lt;&gt;0,F19*E19,0)</f>
        <v>0</v>
      </c>
      <c r="L19" s="61" t="s">
        <v>323</v>
      </c>
      <c r="P19" s="63">
        <f>('General Information'!$D$37/100)*P17</f>
        <v>0</v>
      </c>
      <c r="T19" t="s">
        <v>9</v>
      </c>
      <c r="X19" s="46">
        <f>('General Information'!$D$36/100)*X18</f>
        <v>0</v>
      </c>
    </row>
    <row r="20" spans="1:24" ht="19.5" customHeight="1" x14ac:dyDescent="0.25">
      <c r="A20">
        <v>8</v>
      </c>
      <c r="B20" s="71">
        <f>IF(C20="",0,VLOOKUP(C20,CHOOSE({1,2},Table2[Pay Item Description],Table2[Pay Item No.]),2,0))</f>
        <v>0</v>
      </c>
      <c r="C20" s="70"/>
      <c r="D20" s="3" t="str">
        <f>IF(C20="","N/A",VLOOKUP(C20,CHOOSE({1,2},Table2[Pay Item Description],Table2[Units]),2,0))</f>
        <v>N/A</v>
      </c>
      <c r="E20" s="77"/>
      <c r="F20" s="75" t="str">
        <f>IF(C20="","N/A",VLOOKUP(C20,CHOOSE({1,2},Table2[Pay Item Description],Table2[Unit Cost]),2,0))</f>
        <v>N/A</v>
      </c>
      <c r="G20" s="72">
        <f t="shared" ref="G20:G21" si="2">IF(B20&lt;&gt;0,F20*E20,0)</f>
        <v>0</v>
      </c>
      <c r="O20" s="61" t="s">
        <v>349</v>
      </c>
      <c r="P20" s="63">
        <f>SUM(P17:P19)</f>
        <v>0</v>
      </c>
      <c r="T20" t="s">
        <v>323</v>
      </c>
      <c r="X20" s="46">
        <f>('General Information'!$D$37/100)*X18</f>
        <v>0</v>
      </c>
    </row>
    <row r="21" spans="1:24" ht="19.5" customHeight="1" x14ac:dyDescent="0.25">
      <c r="A21">
        <v>9</v>
      </c>
      <c r="B21" s="71">
        <f>IF(C21="",0,VLOOKUP(C21,CHOOSE({1,2},Table2[Pay Item Description],Table2[Pay Item No.]),2,0))</f>
        <v>0</v>
      </c>
      <c r="C21" s="70"/>
      <c r="D21" s="3" t="str">
        <f>IF(C21="","N/A",VLOOKUP(C21,CHOOSE({1,2},Table2[Pay Item Description],Table2[Units]),2,0))</f>
        <v>N/A</v>
      </c>
      <c r="E21" s="77"/>
      <c r="F21" s="75" t="str">
        <f>IF(C21="","N/A",VLOOKUP(C21,CHOOSE({1,2},Table2[Pay Item Description],Table2[Unit Cost]),2,0))</f>
        <v>N/A</v>
      </c>
      <c r="G21" s="72">
        <f t="shared" si="2"/>
        <v>0</v>
      </c>
      <c r="W21" t="s">
        <v>349</v>
      </c>
      <c r="X21" s="46">
        <f>SUM(X18:X20)</f>
        <v>0</v>
      </c>
    </row>
    <row r="22" spans="1:24" ht="19.5" customHeight="1" x14ac:dyDescent="0.25">
      <c r="A22">
        <v>10</v>
      </c>
      <c r="B22" s="71">
        <f>IF(C22="",0,VLOOKUP(C22,CHOOSE({1,2},Table2[Pay Item Description],Table2[Pay Item No.]),2,0))</f>
        <v>0</v>
      </c>
      <c r="C22" s="70"/>
      <c r="D22" s="3" t="str">
        <f>IF(C22="","N/A",VLOOKUP(C22,CHOOSE({1,2},Table2[Pay Item Description],Table2[Units]),2,0))</f>
        <v>N/A</v>
      </c>
      <c r="E22" s="77"/>
      <c r="F22" s="75" t="str">
        <f>IF(C22="","N/A",VLOOKUP(C22,CHOOSE({1,2},Table2[Pay Item Description],Table2[Unit Cost]),2,0))</f>
        <v>N/A</v>
      </c>
      <c r="G22" s="72">
        <f t="shared" si="1"/>
        <v>0</v>
      </c>
    </row>
    <row r="23" spans="1:24" x14ac:dyDescent="0.25">
      <c r="G23" s="46"/>
    </row>
    <row r="24" spans="1:24" x14ac:dyDescent="0.25">
      <c r="A24" t="s">
        <v>348</v>
      </c>
      <c r="G24" s="72">
        <f>SUM(G13:G22)</f>
        <v>0</v>
      </c>
    </row>
    <row r="25" spans="1:24" x14ac:dyDescent="0.25">
      <c r="B25" t="s">
        <v>9</v>
      </c>
      <c r="G25" s="72">
        <f>('General Information'!$D$36/100)*G24</f>
        <v>0</v>
      </c>
    </row>
    <row r="26" spans="1:24" x14ac:dyDescent="0.25">
      <c r="B26" t="s">
        <v>323</v>
      </c>
      <c r="G26" s="72">
        <f>('General Information'!$D$37/100)*G24</f>
        <v>0</v>
      </c>
    </row>
    <row r="27" spans="1:24" s="4" customFormat="1" x14ac:dyDescent="0.25">
      <c r="A27" s="4" t="s">
        <v>349</v>
      </c>
      <c r="G27" s="93">
        <f>SUM(G24:G26)</f>
        <v>0</v>
      </c>
      <c r="J27" s="62"/>
      <c r="K27" s="62"/>
      <c r="L27" s="62"/>
      <c r="M27" s="62"/>
      <c r="N27" s="62"/>
      <c r="O27" s="62"/>
      <c r="P27" s="62"/>
    </row>
    <row r="33" spans="1:13" x14ac:dyDescent="0.25">
      <c r="A33" s="4" t="s">
        <v>328</v>
      </c>
    </row>
    <row r="34" spans="1:13" x14ac:dyDescent="0.25">
      <c r="A34" s="4" t="s">
        <v>506</v>
      </c>
      <c r="I34" t="s">
        <v>248</v>
      </c>
    </row>
    <row r="35" spans="1:13" ht="15.75" thickBot="1" x14ac:dyDescent="0.3"/>
    <row r="36" spans="1:13" ht="27" thickTop="1" thickBot="1" x14ac:dyDescent="0.3">
      <c r="B36" s="53" t="s">
        <v>326</v>
      </c>
      <c r="C36" s="54" t="s">
        <v>259</v>
      </c>
      <c r="D36" s="54" t="s">
        <v>327</v>
      </c>
      <c r="E36" s="55" t="s">
        <v>350</v>
      </c>
    </row>
    <row r="37" spans="1:13" ht="15.75" thickTop="1" x14ac:dyDescent="0.25">
      <c r="B37" s="51" t="s">
        <v>325</v>
      </c>
      <c r="C37" s="56">
        <f>C6</f>
        <v>0</v>
      </c>
      <c r="D37" s="59">
        <f>G27</f>
        <v>0</v>
      </c>
      <c r="E37" s="52">
        <f>D37</f>
        <v>0</v>
      </c>
      <c r="K37" s="61" t="s">
        <v>473</v>
      </c>
      <c r="L37" s="61" t="s">
        <v>474</v>
      </c>
      <c r="M37" s="61" t="s">
        <v>475</v>
      </c>
    </row>
    <row r="38" spans="1:13" x14ac:dyDescent="0.25">
      <c r="B38" s="48" t="s">
        <v>67</v>
      </c>
      <c r="C38" s="57">
        <f>'Maintenance Policies'!E37</f>
        <v>19</v>
      </c>
      <c r="D38" s="58">
        <f>P20</f>
        <v>0</v>
      </c>
      <c r="E38" s="47">
        <f>IF(C38&gt;'General Information'!$D$33,0,D38/(1+('General Information'!$D$34/100))^C38)</f>
        <v>0</v>
      </c>
      <c r="K38" s="61">
        <f>C6</f>
        <v>0</v>
      </c>
      <c r="L38" s="63">
        <f>IF(K38-$C$6&gt;'General Information'!$D$33,0,IF(K38=$C$6,$D$37,0)+SUMIF($C$38:$C$40,K38-$C$6,$D$38:$D$40))</f>
        <v>0</v>
      </c>
      <c r="M38" s="63">
        <f>IF(K38-$C$6&gt;'General Information'!$D$33,0,IF(K38=$C$6,$E$37,0)+SUMIF($C$38:$C$40,K38-$C$6,$E$38:$E$40))</f>
        <v>0</v>
      </c>
    </row>
    <row r="39" spans="1:13" x14ac:dyDescent="0.25">
      <c r="B39" s="48" t="s">
        <v>77</v>
      </c>
      <c r="C39" s="57">
        <f>'Maintenance Policies'!E41</f>
        <v>27</v>
      </c>
      <c r="D39" s="58">
        <f>X21</f>
        <v>0</v>
      </c>
      <c r="E39" s="47">
        <f>IF(C39&gt;'General Information'!$D$33,0,D39/(1+('General Information'!$D$34/100))^C39)</f>
        <v>0</v>
      </c>
      <c r="K39" s="61">
        <f>K38+1</f>
        <v>1</v>
      </c>
      <c r="L39" s="63">
        <f>IF(K39-$C$6&gt;'General Information'!$D$33,0,IF(K39=$C$6,$D$37,0)+SUMIF($C$38:$C$40,K39-$C$6,$D$38:$D$40))</f>
        <v>0</v>
      </c>
      <c r="M39" s="63">
        <f>IF(K39-$C$6&gt;'General Information'!$D$33,0,IF(K39=$C$6,$E$37,0)+SUMIF($C$38:$C$40,K39-$C$6,$E$38:$E$40))</f>
        <v>0</v>
      </c>
    </row>
    <row r="40" spans="1:13" x14ac:dyDescent="0.25">
      <c r="B40" s="48" t="s">
        <v>85</v>
      </c>
      <c r="C40" s="57">
        <f>'General Information'!D33</f>
        <v>10</v>
      </c>
      <c r="D40" s="58">
        <f>-'Maintenance Policies'!D46*G27</f>
        <v>0</v>
      </c>
      <c r="E40" s="47">
        <f>IF(C40&gt;'General Information'!$D$33,0,D40/(1+('General Information'!$D$34/100))^C40)</f>
        <v>0</v>
      </c>
      <c r="K40" s="61">
        <f t="shared" ref="K40:K68" si="3">K39+1</f>
        <v>2</v>
      </c>
      <c r="L40" s="63">
        <f>IF(K40-$C$6&gt;'General Information'!$D$33,0,IF(K40=$C$6,$D$37,0)+SUMIF($C$38:$C$40,K40-$C$6,$D$38:$D$40))</f>
        <v>0</v>
      </c>
      <c r="M40" s="63">
        <f>IF(K40-$C$6&gt;'General Information'!$D$33,0,IF(K40=$C$6,$E$37,0)+SUMIF($C$38:$C$40,K40-$C$6,$E$38:$E$40))</f>
        <v>0</v>
      </c>
    </row>
    <row r="41" spans="1:13" ht="15.75" thickBot="1" x14ac:dyDescent="0.3">
      <c r="B41" s="49" t="s">
        <v>328</v>
      </c>
      <c r="C41" s="50"/>
      <c r="D41" s="50"/>
      <c r="E41" s="60">
        <f>SUM(E37:E40)</f>
        <v>0</v>
      </c>
      <c r="K41" s="61">
        <f t="shared" si="3"/>
        <v>3</v>
      </c>
      <c r="L41" s="63">
        <f>IF(K41-$C$6&gt;'General Information'!$D$33,0,IF(K41=$C$6,$D$37,0)+SUMIF($C$38:$C$40,K41-$C$6,$D$38:$D$40))</f>
        <v>0</v>
      </c>
      <c r="M41" s="63">
        <f>IF(K41-$C$6&gt;'General Information'!$D$33,0,IF(K41=$C$6,$E$37,0)+SUMIF($C$38:$C$40,K41-$C$6,$E$38:$E$40))</f>
        <v>0</v>
      </c>
    </row>
    <row r="42" spans="1:13" ht="15.75" thickTop="1" x14ac:dyDescent="0.25">
      <c r="K42" s="61">
        <f t="shared" si="3"/>
        <v>4</v>
      </c>
      <c r="L42" s="63">
        <f>IF(K42-$C$6&gt;'General Information'!$D$33,0,IF(K42=$C$6,$D$37,0)+SUMIF($C$38:$C$40,K42-$C$6,$D$38:$D$40))</f>
        <v>0</v>
      </c>
      <c r="M42" s="63">
        <f>IF(K42-$C$6&gt;'General Information'!$D$33,0,IF(K42=$C$6,$E$37,0)+SUMIF($C$38:$C$40,K42-$C$6,$E$38:$E$40))</f>
        <v>0</v>
      </c>
    </row>
    <row r="43" spans="1:13" x14ac:dyDescent="0.25">
      <c r="K43" s="61">
        <f t="shared" si="3"/>
        <v>5</v>
      </c>
      <c r="L43" s="63">
        <f>IF(K43-$C$6&gt;'General Information'!$D$33,0,IF(K43=$C$6,$D$37,0)+SUMIF($C$38:$C$40,K43-$C$6,$D$38:$D$40))</f>
        <v>0</v>
      </c>
      <c r="M43" s="63">
        <f>IF(K43-$C$6&gt;'General Information'!$D$33,0,IF(K43=$C$6,$E$37,0)+SUMIF($C$38:$C$40,K43-$C$6,$E$38:$E$40))</f>
        <v>0</v>
      </c>
    </row>
    <row r="44" spans="1:13" x14ac:dyDescent="0.25">
      <c r="K44" s="61">
        <f t="shared" si="3"/>
        <v>6</v>
      </c>
      <c r="L44" s="63">
        <f>IF(K44-$C$6&gt;'General Information'!$D$33,0,IF(K44=$C$6,$D$37,0)+SUMIF($C$38:$C$40,K44-$C$6,$D$38:$D$40))</f>
        <v>0</v>
      </c>
      <c r="M44" s="63">
        <f>IF(K44-$C$6&gt;'General Information'!$D$33,0,IF(K44=$C$6,$E$37,0)+SUMIF($C$38:$C$40,K44-$C$6,$E$38:$E$40))</f>
        <v>0</v>
      </c>
    </row>
    <row r="45" spans="1:13" x14ac:dyDescent="0.25">
      <c r="K45" s="61">
        <f t="shared" si="3"/>
        <v>7</v>
      </c>
      <c r="L45" s="63">
        <f>IF(K45-$C$6&gt;'General Information'!$D$33,0,IF(K45=$C$6,$D$37,0)+SUMIF($C$38:$C$40,K45-$C$6,$D$38:$D$40))</f>
        <v>0</v>
      </c>
      <c r="M45" s="63">
        <f>IF(K45-$C$6&gt;'General Information'!$D$33,0,IF(K45=$C$6,$E$37,0)+SUMIF($C$38:$C$40,K45-$C$6,$E$38:$E$40))</f>
        <v>0</v>
      </c>
    </row>
    <row r="46" spans="1:13" x14ac:dyDescent="0.25">
      <c r="K46" s="61">
        <f t="shared" si="3"/>
        <v>8</v>
      </c>
      <c r="L46" s="63">
        <f>IF(K46-$C$6&gt;'General Information'!$D$33,0,IF(K46=$C$6,$D$37,0)+SUMIF($C$38:$C$40,K46-$C$6,$D$38:$D$40))</f>
        <v>0</v>
      </c>
      <c r="M46" s="63">
        <f>IF(K46-$C$6&gt;'General Information'!$D$33,0,IF(K46=$C$6,$E$37,0)+SUMIF($C$38:$C$40,K46-$C$6,$E$38:$E$40))</f>
        <v>0</v>
      </c>
    </row>
    <row r="47" spans="1:13" x14ac:dyDescent="0.25">
      <c r="K47" s="61">
        <f t="shared" si="3"/>
        <v>9</v>
      </c>
      <c r="L47" s="63">
        <f>IF(K47-$C$6&gt;'General Information'!$D$33,0,IF(K47=$C$6,$D$37,0)+SUMIF($C$38:$C$40,K47-$C$6,$D$38:$D$40))</f>
        <v>0</v>
      </c>
      <c r="M47" s="63">
        <f>IF(K47-$C$6&gt;'General Information'!$D$33,0,IF(K47=$C$6,$E$37,0)+SUMIF($C$38:$C$40,K47-$C$6,$E$38:$E$40))</f>
        <v>0</v>
      </c>
    </row>
    <row r="48" spans="1:13" x14ac:dyDescent="0.25">
      <c r="K48" s="61">
        <f t="shared" si="3"/>
        <v>10</v>
      </c>
      <c r="L48" s="63">
        <f>IF(K48-$C$6&gt;'General Information'!$D$33,0,IF(K48=$C$6,$D$37,0)+SUMIF($C$38:$C$40,K48-$C$6,$D$38:$D$40))</f>
        <v>0</v>
      </c>
      <c r="M48" s="63">
        <f>IF(K48-$C$6&gt;'General Information'!$D$33,0,IF(K48=$C$6,$E$37,0)+SUMIF($C$38:$C$40,K48-$C$6,$E$38:$E$40))</f>
        <v>0</v>
      </c>
    </row>
    <row r="49" spans="11:13" x14ac:dyDescent="0.25">
      <c r="K49" s="61">
        <f t="shared" si="3"/>
        <v>11</v>
      </c>
      <c r="L49" s="63">
        <f>IF(K49-$C$6&gt;'General Information'!$D$33,0,IF(K49=$C$6,$D$37,0)+SUMIF($C$38:$C$40,K49-$C$6,$D$38:$D$40))</f>
        <v>0</v>
      </c>
      <c r="M49" s="63">
        <f>IF(K49-$C$6&gt;'General Information'!$D$33,0,IF(K49=$C$6,$E$37,0)+SUMIF($C$38:$C$40,K49-$C$6,$E$38:$E$40))</f>
        <v>0</v>
      </c>
    </row>
    <row r="50" spans="11:13" x14ac:dyDescent="0.25">
      <c r="K50" s="61">
        <f t="shared" si="3"/>
        <v>12</v>
      </c>
      <c r="L50" s="63">
        <f>IF(K50-$C$6&gt;'General Information'!$D$33,0,IF(K50=$C$6,$D$37,0)+SUMIF($C$38:$C$40,K50-$C$6,$D$38:$D$40))</f>
        <v>0</v>
      </c>
      <c r="M50" s="63">
        <f>IF(K50-$C$6&gt;'General Information'!$D$33,0,IF(K50=$C$6,$E$37,0)+SUMIF($C$38:$C$40,K50-$C$6,$E$38:$E$40))</f>
        <v>0</v>
      </c>
    </row>
    <row r="51" spans="11:13" x14ac:dyDescent="0.25">
      <c r="K51" s="61">
        <f t="shared" si="3"/>
        <v>13</v>
      </c>
      <c r="L51" s="63">
        <f>IF(K51-$C$6&gt;'General Information'!$D$33,0,IF(K51=$C$6,$D$37,0)+SUMIF($C$38:$C$40,K51-$C$6,$D$38:$D$40))</f>
        <v>0</v>
      </c>
      <c r="M51" s="63">
        <f>IF(K51-$C$6&gt;'General Information'!$D$33,0,IF(K51=$C$6,$E$37,0)+SUMIF($C$38:$C$40,K51-$C$6,$E$38:$E$40))</f>
        <v>0</v>
      </c>
    </row>
    <row r="52" spans="11:13" x14ac:dyDescent="0.25">
      <c r="K52" s="61">
        <f t="shared" si="3"/>
        <v>14</v>
      </c>
      <c r="L52" s="63">
        <f>IF(K52-$C$6&gt;'General Information'!$D$33,0,IF(K52=$C$6,$D$37,0)+SUMIF($C$38:$C$40,K52-$C$6,$D$38:$D$40))</f>
        <v>0</v>
      </c>
      <c r="M52" s="63">
        <f>IF(K52-$C$6&gt;'General Information'!$D$33,0,IF(K52=$C$6,$E$37,0)+SUMIF($C$38:$C$40,K52-$C$6,$E$38:$E$40))</f>
        <v>0</v>
      </c>
    </row>
    <row r="53" spans="11:13" x14ac:dyDescent="0.25">
      <c r="K53" s="61">
        <f t="shared" si="3"/>
        <v>15</v>
      </c>
      <c r="L53" s="63">
        <f>IF(K53-$C$6&gt;'General Information'!$D$33,0,IF(K53=$C$6,$D$37,0)+SUMIF($C$38:$C$40,K53-$C$6,$D$38:$D$40))</f>
        <v>0</v>
      </c>
      <c r="M53" s="63">
        <f>IF(K53-$C$6&gt;'General Information'!$D$33,0,IF(K53=$C$6,$E$37,0)+SUMIF($C$38:$C$40,K53-$C$6,$E$38:$E$40))</f>
        <v>0</v>
      </c>
    </row>
    <row r="54" spans="11:13" x14ac:dyDescent="0.25">
      <c r="K54" s="61">
        <f t="shared" si="3"/>
        <v>16</v>
      </c>
      <c r="L54" s="63">
        <f>IF(K54-$C$6&gt;'General Information'!$D$33,0,IF(K54=$C$6,$D$37,0)+SUMIF($C$38:$C$40,K54-$C$6,$D$38:$D$40))</f>
        <v>0</v>
      </c>
      <c r="M54" s="63">
        <f>IF(K54-$C$6&gt;'General Information'!$D$33,0,IF(K54=$C$6,$E$37,0)+SUMIF($C$38:$C$40,K54-$C$6,$E$38:$E$40))</f>
        <v>0</v>
      </c>
    </row>
    <row r="55" spans="11:13" x14ac:dyDescent="0.25">
      <c r="K55" s="61">
        <f t="shared" si="3"/>
        <v>17</v>
      </c>
      <c r="L55" s="63">
        <f>IF(K55-$C$6&gt;'General Information'!$D$33,0,IF(K55=$C$6,$D$37,0)+SUMIF($C$38:$C$40,K55-$C$6,$D$38:$D$40))</f>
        <v>0</v>
      </c>
      <c r="M55" s="63">
        <f>IF(K55-$C$6&gt;'General Information'!$D$33,0,IF(K55=$C$6,$E$37,0)+SUMIF($C$38:$C$40,K55-$C$6,$E$38:$E$40))</f>
        <v>0</v>
      </c>
    </row>
    <row r="56" spans="11:13" x14ac:dyDescent="0.25">
      <c r="K56" s="61">
        <f t="shared" si="3"/>
        <v>18</v>
      </c>
      <c r="L56" s="63">
        <f>IF(K56-$C$6&gt;'General Information'!$D$33,0,IF(K56=$C$6,$D$37,0)+SUMIF($C$38:$C$40,K56-$C$6,$D$38:$D$40))</f>
        <v>0</v>
      </c>
      <c r="M56" s="63">
        <f>IF(K56-$C$6&gt;'General Information'!$D$33,0,IF(K56=$C$6,$E$37,0)+SUMIF($C$38:$C$40,K56-$C$6,$E$38:$E$40))</f>
        <v>0</v>
      </c>
    </row>
    <row r="57" spans="11:13" x14ac:dyDescent="0.25">
      <c r="K57" s="61">
        <f t="shared" si="3"/>
        <v>19</v>
      </c>
      <c r="L57" s="63">
        <f>IF(K57-$C$6&gt;'General Information'!$D$33,0,IF(K57=$C$6,$D$37,0)+SUMIF($C$38:$C$40,K57-$C$6,$D$38:$D$40))</f>
        <v>0</v>
      </c>
      <c r="M57" s="63">
        <f>IF(K57-$C$6&gt;'General Information'!$D$33,0,IF(K57=$C$6,$E$37,0)+SUMIF($C$38:$C$40,K57-$C$6,$E$38:$E$40))</f>
        <v>0</v>
      </c>
    </row>
    <row r="58" spans="11:13" x14ac:dyDescent="0.25">
      <c r="K58" s="61">
        <f t="shared" si="3"/>
        <v>20</v>
      </c>
      <c r="L58" s="63">
        <f>IF(K58-$C$6&gt;'General Information'!$D$33,0,IF(K58=$C$6,$D$37,0)+SUMIF($C$38:$C$40,K58-$C$6,$D$38:$D$40))</f>
        <v>0</v>
      </c>
      <c r="M58" s="63">
        <f>IF(K58-$C$6&gt;'General Information'!$D$33,0,IF(K58=$C$6,$E$37,0)+SUMIF($C$38:$C$40,K58-$C$6,$E$38:$E$40))</f>
        <v>0</v>
      </c>
    </row>
    <row r="59" spans="11:13" x14ac:dyDescent="0.25">
      <c r="K59" s="61">
        <f t="shared" si="3"/>
        <v>21</v>
      </c>
      <c r="L59" s="63">
        <f>IF(K59-$C$6&gt;'General Information'!$D$33,0,IF(K59=$C$6,$D$37,0)+SUMIF($C$38:$C$40,K59-$C$6,$D$38:$D$40))</f>
        <v>0</v>
      </c>
      <c r="M59" s="63">
        <f>IF(K59-$C$6&gt;'General Information'!$D$33,0,IF(K59=$C$6,$E$37,0)+SUMIF($C$38:$C$40,K59-$C$6,$E$38:$E$40))</f>
        <v>0</v>
      </c>
    </row>
    <row r="60" spans="11:13" x14ac:dyDescent="0.25">
      <c r="K60" s="61">
        <f t="shared" si="3"/>
        <v>22</v>
      </c>
      <c r="L60" s="63">
        <f>IF(K60-$C$6&gt;'General Information'!$D$33,0,IF(K60=$C$6,$D$37,0)+SUMIF($C$38:$C$40,K60-$C$6,$D$38:$D$40))</f>
        <v>0</v>
      </c>
      <c r="M60" s="63">
        <f>IF(K60-$C$6&gt;'General Information'!$D$33,0,IF(K60=$C$6,$E$37,0)+SUMIF($C$38:$C$40,K60-$C$6,$E$38:$E$40))</f>
        <v>0</v>
      </c>
    </row>
    <row r="61" spans="11:13" x14ac:dyDescent="0.25">
      <c r="K61" s="61">
        <f>K60+1</f>
        <v>23</v>
      </c>
      <c r="L61" s="63">
        <f>IF(K61-$C$6&gt;'General Information'!$D$33,0,IF(K61=$C$6,$D$37,0)+SUMIF($C$38:$C$40,K61-$C$6,$D$38:$D$40))</f>
        <v>0</v>
      </c>
      <c r="M61" s="63">
        <f>IF(K61-$C$6&gt;'General Information'!$D$33,0,IF(K61=$C$6,$E$37,0)+SUMIF($C$38:$C$40,K61-$C$6,$E$38:$E$40))</f>
        <v>0</v>
      </c>
    </row>
    <row r="62" spans="11:13" x14ac:dyDescent="0.25">
      <c r="K62" s="61">
        <f t="shared" si="3"/>
        <v>24</v>
      </c>
      <c r="L62" s="63">
        <f>IF(K62-$C$6&gt;'General Information'!$D$33,0,IF(K62=$C$6,$D$37,0)+SUMIF($C$38:$C$40,K62-$C$6,$D$38:$D$40))</f>
        <v>0</v>
      </c>
      <c r="M62" s="63">
        <f>IF(K62-$C$6&gt;'General Information'!$D$33,0,IF(K62=$C$6,$E$37,0)+SUMIF($C$38:$C$40,K62-$C$6,$E$38:$E$40))</f>
        <v>0</v>
      </c>
    </row>
    <row r="63" spans="11:13" x14ac:dyDescent="0.25">
      <c r="K63" s="61">
        <f t="shared" si="3"/>
        <v>25</v>
      </c>
      <c r="L63" s="63">
        <f>IF(K63-$C$6&gt;'General Information'!$D$33,0,IF(K63=$C$6,$D$37,0)+SUMIF($C$38:$C$40,K63-$C$6,$D$38:$D$40))</f>
        <v>0</v>
      </c>
      <c r="M63" s="63">
        <f>IF(K63-$C$6&gt;'General Information'!$D$33,0,IF(K63=$C$6,$E$37,0)+SUMIF($C$38:$C$40,K63-$C$6,$E$38:$E$40))</f>
        <v>0</v>
      </c>
    </row>
    <row r="64" spans="11:13" x14ac:dyDescent="0.25">
      <c r="K64" s="61">
        <f t="shared" si="3"/>
        <v>26</v>
      </c>
      <c r="L64" s="63">
        <f>IF(K64-$C$6&gt;'General Information'!$D$33,0,IF(K64=$C$6,$D$37,0)+SUMIF($C$38:$C$40,K64-$C$6,$D$38:$D$40))</f>
        <v>0</v>
      </c>
      <c r="M64" s="63">
        <f>IF(K64-$C$6&gt;'General Information'!$D$33,0,IF(K64=$C$6,$E$37,0)+SUMIF($C$38:$C$40,K64-$C$6,$E$38:$E$40))</f>
        <v>0</v>
      </c>
    </row>
    <row r="65" spans="11:13" x14ac:dyDescent="0.25">
      <c r="K65" s="61">
        <f t="shared" si="3"/>
        <v>27</v>
      </c>
      <c r="L65" s="63">
        <f>IF(K65-$C$6&gt;'General Information'!$D$33,0,IF(K65=$C$6,$D$37,0)+SUMIF($C$38:$C$40,K65-$C$6,$D$38:$D$40))</f>
        <v>0</v>
      </c>
      <c r="M65" s="63">
        <f>IF(K65-$C$6&gt;'General Information'!$D$33,0,IF(K65=$C$6,$E$37,0)+SUMIF($C$38:$C$40,K65-$C$6,$E$38:$E$40))</f>
        <v>0</v>
      </c>
    </row>
    <row r="66" spans="11:13" x14ac:dyDescent="0.25">
      <c r="K66" s="61">
        <f t="shared" si="3"/>
        <v>28</v>
      </c>
      <c r="L66" s="63">
        <f>IF(K66-$C$6&gt;'General Information'!$D$33,0,IF(K66=$C$6,$D$37,0)+SUMIF($C$38:$C$40,K66-$C$6,$D$38:$D$40))</f>
        <v>0</v>
      </c>
      <c r="M66" s="63">
        <f>IF(K66-$C$6&gt;'General Information'!$D$33,0,IF(K66=$C$6,$E$37,0)+SUMIF($C$38:$C$40,K66-$C$6,$E$38:$E$40))</f>
        <v>0</v>
      </c>
    </row>
    <row r="67" spans="11:13" x14ac:dyDescent="0.25">
      <c r="K67" s="61">
        <f>K66+1</f>
        <v>29</v>
      </c>
      <c r="L67" s="63">
        <f>IF(K67-$C$6&gt;'General Information'!$D$33,0,IF(K67=$C$6,$D$37,0)+SUMIF($C$38:$C$40,K67-$C$6,$D$38:$D$40))</f>
        <v>0</v>
      </c>
      <c r="M67" s="63">
        <f>IF(K67-$C$6&gt;'General Information'!$D$33,0,IF(K67=$C$6,$E$37,0)+SUMIF($C$38:$C$40,K67-$C$6,$E$38:$E$40))</f>
        <v>0</v>
      </c>
    </row>
    <row r="68" spans="11:13" x14ac:dyDescent="0.25">
      <c r="K68" s="61">
        <f t="shared" si="3"/>
        <v>30</v>
      </c>
      <c r="L68" s="63">
        <f>IF(K68-$C$6&gt;'General Information'!$D$33,0,IF(K68=$C$6,$D$37,0)+SUMIF($C$38:$C$40,K68-$C$6,$D$38:$D$40))</f>
        <v>0</v>
      </c>
      <c r="M68" s="63">
        <f>IF(K68-$C$6&gt;'General Information'!$D$33,0,IF(K68=$C$6,$E$37,0)+SUMIF($C$38:$C$40,K68-$C$6,$E$38:$E$40))</f>
        <v>0</v>
      </c>
    </row>
  </sheetData>
  <pageMargins left="0.7" right="0.7" top="0.75" bottom="0.75" header="0.3" footer="0.3"/>
  <pageSetup orientation="portrait" horizontalDpi="4294967293" verticalDpi="4294967295" r:id="rId1"/>
  <drawing r:id="rId2"/>
  <legacyDrawing r:id="rId3"/>
  <controls>
    <mc:AlternateContent xmlns:mc="http://schemas.openxmlformats.org/markup-compatibility/2006">
      <mc:Choice Requires="x14">
        <control shapeId="22548" r:id="rId4" name="ComboBox20">
          <controlPr defaultSize="0" autoLine="0" linkedCell="C21" listFillRange="Pay_Items!C3:D59" r:id="rId5">
            <anchor moveWithCells="1">
              <from>
                <xdr:col>2</xdr:col>
                <xdr:colOff>0</xdr:colOff>
                <xdr:row>20</xdr:row>
                <xdr:rowOff>0</xdr:rowOff>
              </from>
              <to>
                <xdr:col>3</xdr:col>
                <xdr:colOff>19050</xdr:colOff>
                <xdr:row>21</xdr:row>
                <xdr:rowOff>19050</xdr:rowOff>
              </to>
            </anchor>
          </controlPr>
        </control>
      </mc:Choice>
      <mc:Fallback>
        <control shapeId="22548" r:id="rId4" name="ComboBox20"/>
      </mc:Fallback>
    </mc:AlternateContent>
    <mc:AlternateContent xmlns:mc="http://schemas.openxmlformats.org/markup-compatibility/2006">
      <mc:Choice Requires="x14">
        <control shapeId="22546" r:id="rId6" name="ComboBox18">
          <controlPr defaultSize="0" autoLine="0" linkedCell="C20" listFillRange="Pay_Items!C3:D59" r:id="rId7">
            <anchor moveWithCells="1">
              <from>
                <xdr:col>2</xdr:col>
                <xdr:colOff>0</xdr:colOff>
                <xdr:row>19</xdr:row>
                <xdr:rowOff>0</xdr:rowOff>
              </from>
              <to>
                <xdr:col>3</xdr:col>
                <xdr:colOff>9525</xdr:colOff>
                <xdr:row>20</xdr:row>
                <xdr:rowOff>19050</xdr:rowOff>
              </to>
            </anchor>
          </controlPr>
        </control>
      </mc:Choice>
      <mc:Fallback>
        <control shapeId="22546" r:id="rId6" name="ComboBox18"/>
      </mc:Fallback>
    </mc:AlternateContent>
    <mc:AlternateContent xmlns:mc="http://schemas.openxmlformats.org/markup-compatibility/2006">
      <mc:Choice Requires="x14">
        <control shapeId="22537" r:id="rId8" name="ComboBox9">
          <controlPr defaultSize="0" autoLine="0" autoPict="0" linkedCell="C17" listFillRange="Pay_Items!C3:D59" r:id="rId9">
            <anchor moveWithCells="1">
              <from>
                <xdr:col>2</xdr:col>
                <xdr:colOff>0</xdr:colOff>
                <xdr:row>16</xdr:row>
                <xdr:rowOff>0</xdr:rowOff>
              </from>
              <to>
                <xdr:col>2</xdr:col>
                <xdr:colOff>2781300</xdr:colOff>
                <xdr:row>16</xdr:row>
                <xdr:rowOff>247650</xdr:rowOff>
              </to>
            </anchor>
          </controlPr>
        </control>
      </mc:Choice>
      <mc:Fallback>
        <control shapeId="22537" r:id="rId8" name="ComboBox9"/>
      </mc:Fallback>
    </mc:AlternateContent>
    <mc:AlternateContent xmlns:mc="http://schemas.openxmlformats.org/markup-compatibility/2006">
      <mc:Choice Requires="x14">
        <control shapeId="22538" r:id="rId10" name="ComboBox10">
          <controlPr defaultSize="0" autoLine="0" autoPict="0" linkedCell="C13" listFillRange="Pay_Items!C3:D59" r:id="rId9">
            <anchor moveWithCells="1">
              <from>
                <xdr:col>2</xdr:col>
                <xdr:colOff>0</xdr:colOff>
                <xdr:row>11</xdr:row>
                <xdr:rowOff>190500</xdr:rowOff>
              </from>
              <to>
                <xdr:col>2</xdr:col>
                <xdr:colOff>2781300</xdr:colOff>
                <xdr:row>12</xdr:row>
                <xdr:rowOff>247650</xdr:rowOff>
              </to>
            </anchor>
          </controlPr>
        </control>
      </mc:Choice>
      <mc:Fallback>
        <control shapeId="22538" r:id="rId10" name="ComboBox10"/>
      </mc:Fallback>
    </mc:AlternateContent>
    <mc:AlternateContent xmlns:mc="http://schemas.openxmlformats.org/markup-compatibility/2006">
      <mc:Choice Requires="x14">
        <control shapeId="22539" r:id="rId11" name="ComboBox11">
          <controlPr defaultSize="0" autoLine="0" autoPict="0" linkedCell="C14" listFillRange="Pay_Items!C3:D59" r:id="rId9">
            <anchor moveWithCells="1">
              <from>
                <xdr:col>2</xdr:col>
                <xdr:colOff>0</xdr:colOff>
                <xdr:row>13</xdr:row>
                <xdr:rowOff>0</xdr:rowOff>
              </from>
              <to>
                <xdr:col>2</xdr:col>
                <xdr:colOff>2781300</xdr:colOff>
                <xdr:row>13</xdr:row>
                <xdr:rowOff>247650</xdr:rowOff>
              </to>
            </anchor>
          </controlPr>
        </control>
      </mc:Choice>
      <mc:Fallback>
        <control shapeId="22539" r:id="rId11" name="ComboBox11"/>
      </mc:Fallback>
    </mc:AlternateContent>
    <mc:AlternateContent xmlns:mc="http://schemas.openxmlformats.org/markup-compatibility/2006">
      <mc:Choice Requires="x14">
        <control shapeId="22540" r:id="rId12" name="ComboBox12">
          <controlPr defaultSize="0" autoLine="0" autoPict="0" linkedCell="C15" listFillRange="Pay_Items!C3:D59" r:id="rId9">
            <anchor moveWithCells="1">
              <from>
                <xdr:col>2</xdr:col>
                <xdr:colOff>0</xdr:colOff>
                <xdr:row>14</xdr:row>
                <xdr:rowOff>0</xdr:rowOff>
              </from>
              <to>
                <xdr:col>2</xdr:col>
                <xdr:colOff>2781300</xdr:colOff>
                <xdr:row>14</xdr:row>
                <xdr:rowOff>247650</xdr:rowOff>
              </to>
            </anchor>
          </controlPr>
        </control>
      </mc:Choice>
      <mc:Fallback>
        <control shapeId="22540" r:id="rId12" name="ComboBox12"/>
      </mc:Fallback>
    </mc:AlternateContent>
    <mc:AlternateContent xmlns:mc="http://schemas.openxmlformats.org/markup-compatibility/2006">
      <mc:Choice Requires="x14">
        <control shapeId="22541" r:id="rId13" name="ComboBox13">
          <controlPr defaultSize="0" autoLine="0" autoPict="0" linkedCell="C16" listFillRange="Pay_Items!C3:D59" r:id="rId9">
            <anchor moveWithCells="1">
              <from>
                <xdr:col>2</xdr:col>
                <xdr:colOff>0</xdr:colOff>
                <xdr:row>15</xdr:row>
                <xdr:rowOff>0</xdr:rowOff>
              </from>
              <to>
                <xdr:col>2</xdr:col>
                <xdr:colOff>2781300</xdr:colOff>
                <xdr:row>15</xdr:row>
                <xdr:rowOff>247650</xdr:rowOff>
              </to>
            </anchor>
          </controlPr>
        </control>
      </mc:Choice>
      <mc:Fallback>
        <control shapeId="22541" r:id="rId13" name="ComboBox13"/>
      </mc:Fallback>
    </mc:AlternateContent>
    <mc:AlternateContent xmlns:mc="http://schemas.openxmlformats.org/markup-compatibility/2006">
      <mc:Choice Requires="x14">
        <control shapeId="22542" r:id="rId14" name="ComboBox14">
          <controlPr defaultSize="0" autoLine="0" autoPict="0" linkedCell="C18" listFillRange="Pay_Items!C3:D59" r:id="rId9">
            <anchor moveWithCells="1">
              <from>
                <xdr:col>2</xdr:col>
                <xdr:colOff>0</xdr:colOff>
                <xdr:row>17</xdr:row>
                <xdr:rowOff>0</xdr:rowOff>
              </from>
              <to>
                <xdr:col>2</xdr:col>
                <xdr:colOff>2781300</xdr:colOff>
                <xdr:row>17</xdr:row>
                <xdr:rowOff>247650</xdr:rowOff>
              </to>
            </anchor>
          </controlPr>
        </control>
      </mc:Choice>
      <mc:Fallback>
        <control shapeId="22542" r:id="rId14" name="ComboBox14"/>
      </mc:Fallback>
    </mc:AlternateContent>
    <mc:AlternateContent xmlns:mc="http://schemas.openxmlformats.org/markup-compatibility/2006">
      <mc:Choice Requires="x14">
        <control shapeId="22543" r:id="rId15" name="ComboBox15">
          <controlPr defaultSize="0" autoLine="0" autoPict="0" linkedCell="C19" listFillRange="Pay_Items!C3:D59" r:id="rId9">
            <anchor moveWithCells="1">
              <from>
                <xdr:col>2</xdr:col>
                <xdr:colOff>0</xdr:colOff>
                <xdr:row>18</xdr:row>
                <xdr:rowOff>0</xdr:rowOff>
              </from>
              <to>
                <xdr:col>2</xdr:col>
                <xdr:colOff>2781300</xdr:colOff>
                <xdr:row>18</xdr:row>
                <xdr:rowOff>247650</xdr:rowOff>
              </to>
            </anchor>
          </controlPr>
        </control>
      </mc:Choice>
      <mc:Fallback>
        <control shapeId="22543" r:id="rId15" name="ComboBox15"/>
      </mc:Fallback>
    </mc:AlternateContent>
    <mc:AlternateContent xmlns:mc="http://schemas.openxmlformats.org/markup-compatibility/2006">
      <mc:Choice Requires="x14">
        <control shapeId="22544" r:id="rId16" name="ComboBox16">
          <controlPr defaultSize="0" autoLine="0" autoPict="0" linkedCell="C22" listFillRange="Pay_Items!C3:D59" r:id="rId9">
            <anchor moveWithCells="1">
              <from>
                <xdr:col>2</xdr:col>
                <xdr:colOff>0</xdr:colOff>
                <xdr:row>21</xdr:row>
                <xdr:rowOff>0</xdr:rowOff>
              </from>
              <to>
                <xdr:col>2</xdr:col>
                <xdr:colOff>2781300</xdr:colOff>
                <xdr:row>21</xdr:row>
                <xdr:rowOff>247650</xdr:rowOff>
              </to>
            </anchor>
          </controlPr>
        </control>
      </mc:Choice>
      <mc:Fallback>
        <control shapeId="22544" r:id="rId16" name="ComboBox16"/>
      </mc:Fallback>
    </mc:AlternateContent>
    <mc:AlternateContent xmlns:mc="http://schemas.openxmlformats.org/markup-compatibility/2006">
      <mc:Choice Requires="x14">
        <control shapeId="22553" r:id="rId17" name="ComboBox21">
          <controlPr defaultSize="0" autoLine="0" autoPict="0" linkedCell="L13" listFillRange="Pay_Items!C3:D59" r:id="rId18">
            <anchor moveWithCells="1" sizeWithCells="1">
              <from>
                <xdr:col>11</xdr:col>
                <xdr:colOff>0</xdr:colOff>
                <xdr:row>12</xdr:row>
                <xdr:rowOff>0</xdr:rowOff>
              </from>
              <to>
                <xdr:col>11</xdr:col>
                <xdr:colOff>2781300</xdr:colOff>
                <xdr:row>12</xdr:row>
                <xdr:rowOff>238125</xdr:rowOff>
              </to>
            </anchor>
          </controlPr>
        </control>
      </mc:Choice>
      <mc:Fallback>
        <control shapeId="22553" r:id="rId17" name="ComboBox21"/>
      </mc:Fallback>
    </mc:AlternateContent>
    <mc:AlternateContent xmlns:mc="http://schemas.openxmlformats.org/markup-compatibility/2006">
      <mc:Choice Requires="x14">
        <control shapeId="22554" r:id="rId19" name="ComboBox22">
          <controlPr defaultSize="0" autoLine="0" autoPict="0" linkedCell="L14" listFillRange="Pay_Items!C3:D59" r:id="rId20">
            <anchor moveWithCells="1" sizeWithCells="1">
              <from>
                <xdr:col>11</xdr:col>
                <xdr:colOff>0</xdr:colOff>
                <xdr:row>13</xdr:row>
                <xdr:rowOff>0</xdr:rowOff>
              </from>
              <to>
                <xdr:col>11</xdr:col>
                <xdr:colOff>2781300</xdr:colOff>
                <xdr:row>14</xdr:row>
                <xdr:rowOff>0</xdr:rowOff>
              </to>
            </anchor>
          </controlPr>
        </control>
      </mc:Choice>
      <mc:Fallback>
        <control shapeId="22554" r:id="rId19" name="ComboBox22"/>
      </mc:Fallback>
    </mc:AlternateContent>
    <mc:AlternateContent xmlns:mc="http://schemas.openxmlformats.org/markup-compatibility/2006">
      <mc:Choice Requires="x14">
        <control shapeId="22555" r:id="rId21" name="ComboBox23">
          <controlPr defaultSize="0" autoLine="0" autoPict="0" linkedCell="L15" listFillRange="Pay_Items!C3:D59" r:id="rId22">
            <anchor moveWithCells="1" sizeWithCells="1">
              <from>
                <xdr:col>11</xdr:col>
                <xdr:colOff>0</xdr:colOff>
                <xdr:row>14</xdr:row>
                <xdr:rowOff>0</xdr:rowOff>
              </from>
              <to>
                <xdr:col>11</xdr:col>
                <xdr:colOff>2781300</xdr:colOff>
                <xdr:row>15</xdr:row>
                <xdr:rowOff>0</xdr:rowOff>
              </to>
            </anchor>
          </controlPr>
        </control>
      </mc:Choice>
      <mc:Fallback>
        <control shapeId="22555" r:id="rId21" name="ComboBox23"/>
      </mc:Fallback>
    </mc:AlternateContent>
    <mc:AlternateContent xmlns:mc="http://schemas.openxmlformats.org/markup-compatibility/2006">
      <mc:Choice Requires="x14">
        <control shapeId="22556" r:id="rId23" name="ComboBox24">
          <controlPr defaultSize="0" autoLine="0" autoPict="0" linkedCell="L16" listFillRange="Pay_Items!C3:D59" r:id="rId24">
            <anchor moveWithCells="1" sizeWithCells="1">
              <from>
                <xdr:col>11</xdr:col>
                <xdr:colOff>0</xdr:colOff>
                <xdr:row>15</xdr:row>
                <xdr:rowOff>0</xdr:rowOff>
              </from>
              <to>
                <xdr:col>11</xdr:col>
                <xdr:colOff>2781300</xdr:colOff>
                <xdr:row>16</xdr:row>
                <xdr:rowOff>0</xdr:rowOff>
              </to>
            </anchor>
          </controlPr>
        </control>
      </mc:Choice>
      <mc:Fallback>
        <control shapeId="22556" r:id="rId23" name="ComboBox24"/>
      </mc:Fallback>
    </mc:AlternateContent>
    <mc:AlternateContent xmlns:mc="http://schemas.openxmlformats.org/markup-compatibility/2006">
      <mc:Choice Requires="x14">
        <control shapeId="22562" r:id="rId25" name="ComboBox25">
          <controlPr defaultSize="0" autoLine="0" linkedCell="T17" listFillRange="Pay_Items!C3:D59" r:id="rId26">
            <anchor moveWithCells="1" sizeWithCells="1">
              <from>
                <xdr:col>19</xdr:col>
                <xdr:colOff>0</xdr:colOff>
                <xdr:row>16</xdr:row>
                <xdr:rowOff>0</xdr:rowOff>
              </from>
              <to>
                <xdr:col>20</xdr:col>
                <xdr:colOff>19050</xdr:colOff>
                <xdr:row>17</xdr:row>
                <xdr:rowOff>0</xdr:rowOff>
              </to>
            </anchor>
          </controlPr>
        </control>
      </mc:Choice>
      <mc:Fallback>
        <control shapeId="22562" r:id="rId25" name="ComboBox25"/>
      </mc:Fallback>
    </mc:AlternateContent>
    <mc:AlternateContent xmlns:mc="http://schemas.openxmlformats.org/markup-compatibility/2006">
      <mc:Choice Requires="x14">
        <control shapeId="22563" r:id="rId27" name="ComboBox26">
          <controlPr defaultSize="0" autoLine="0" linkedCell="T13" listFillRange="Pay_Items!C3:D59" r:id="rId28">
            <anchor moveWithCells="1" sizeWithCells="1">
              <from>
                <xdr:col>19</xdr:col>
                <xdr:colOff>0</xdr:colOff>
                <xdr:row>12</xdr:row>
                <xdr:rowOff>0</xdr:rowOff>
              </from>
              <to>
                <xdr:col>20</xdr:col>
                <xdr:colOff>19050</xdr:colOff>
                <xdr:row>12</xdr:row>
                <xdr:rowOff>238125</xdr:rowOff>
              </to>
            </anchor>
          </controlPr>
        </control>
      </mc:Choice>
      <mc:Fallback>
        <control shapeId="22563" r:id="rId27" name="ComboBox26"/>
      </mc:Fallback>
    </mc:AlternateContent>
    <mc:AlternateContent xmlns:mc="http://schemas.openxmlformats.org/markup-compatibility/2006">
      <mc:Choice Requires="x14">
        <control shapeId="22564" r:id="rId29" name="ComboBox27">
          <controlPr defaultSize="0" autoLine="0" linkedCell="T14" listFillRange="Pay_Items!C3:D59" r:id="rId30">
            <anchor moveWithCells="1" sizeWithCells="1">
              <from>
                <xdr:col>19</xdr:col>
                <xdr:colOff>0</xdr:colOff>
                <xdr:row>13</xdr:row>
                <xdr:rowOff>0</xdr:rowOff>
              </from>
              <to>
                <xdr:col>20</xdr:col>
                <xdr:colOff>19050</xdr:colOff>
                <xdr:row>14</xdr:row>
                <xdr:rowOff>0</xdr:rowOff>
              </to>
            </anchor>
          </controlPr>
        </control>
      </mc:Choice>
      <mc:Fallback>
        <control shapeId="22564" r:id="rId29" name="ComboBox27"/>
      </mc:Fallback>
    </mc:AlternateContent>
    <mc:AlternateContent xmlns:mc="http://schemas.openxmlformats.org/markup-compatibility/2006">
      <mc:Choice Requires="x14">
        <control shapeId="22565" r:id="rId31" name="ComboBox28">
          <controlPr defaultSize="0" autoLine="0" linkedCell="T15" listFillRange="Pay_Items!C3:D59" r:id="rId32">
            <anchor moveWithCells="1" sizeWithCells="1">
              <from>
                <xdr:col>19</xdr:col>
                <xdr:colOff>0</xdr:colOff>
                <xdr:row>14</xdr:row>
                <xdr:rowOff>0</xdr:rowOff>
              </from>
              <to>
                <xdr:col>20</xdr:col>
                <xdr:colOff>19050</xdr:colOff>
                <xdr:row>15</xdr:row>
                <xdr:rowOff>0</xdr:rowOff>
              </to>
            </anchor>
          </controlPr>
        </control>
      </mc:Choice>
      <mc:Fallback>
        <control shapeId="22565" r:id="rId31" name="ComboBox28"/>
      </mc:Fallback>
    </mc:AlternateContent>
    <mc:AlternateContent xmlns:mc="http://schemas.openxmlformats.org/markup-compatibility/2006">
      <mc:Choice Requires="x14">
        <control shapeId="22566" r:id="rId33" name="ComboBox29">
          <controlPr defaultSize="0" autoLine="0" linkedCell="T16" listFillRange="Pay_Items!C3:D59" r:id="rId34">
            <anchor moveWithCells="1" sizeWithCells="1">
              <from>
                <xdr:col>19</xdr:col>
                <xdr:colOff>0</xdr:colOff>
                <xdr:row>15</xdr:row>
                <xdr:rowOff>0</xdr:rowOff>
              </from>
              <to>
                <xdr:col>20</xdr:col>
                <xdr:colOff>19050</xdr:colOff>
                <xdr:row>16</xdr:row>
                <xdr:rowOff>0</xdr:rowOff>
              </to>
            </anchor>
          </controlPr>
        </control>
      </mc:Choice>
      <mc:Fallback>
        <control shapeId="22566" r:id="rId33" name="ComboBox29"/>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5FA10-AC72-4648-9DCA-CCA2A81BD82C}">
  <sheetPr codeName="Sheet19">
    <tabColor theme="0" tint="-0.34998626667073579"/>
  </sheetPr>
  <dimension ref="A1:BL67"/>
  <sheetViews>
    <sheetView zoomScale="80" zoomScaleNormal="80" workbookViewId="0"/>
  </sheetViews>
  <sheetFormatPr defaultRowHeight="15" x14ac:dyDescent="0.25"/>
  <cols>
    <col min="1" max="1" width="12.28515625" customWidth="1"/>
    <col min="2" max="2" width="19.7109375" customWidth="1"/>
    <col min="3" max="3" width="41.7109375" customWidth="1"/>
    <col min="5" max="5" width="12.7109375" customWidth="1"/>
    <col min="6" max="7" width="10.5703125" customWidth="1"/>
    <col min="10" max="10" width="13.28515625" style="61" bestFit="1" customWidth="1"/>
    <col min="11" max="11" width="13.28515625" style="61" customWidth="1"/>
    <col min="12" max="12" width="41.5703125" style="61" customWidth="1"/>
    <col min="13" max="13" width="13.28515625" style="61" customWidth="1"/>
    <col min="14" max="16" width="13.28515625" style="61" bestFit="1" customWidth="1"/>
    <col min="17" max="17" width="3.5703125" customWidth="1"/>
    <col min="18" max="19" width="13.28515625" customWidth="1"/>
    <col min="20" max="20" width="41.140625" customWidth="1"/>
    <col min="21" max="24" width="13.28515625" customWidth="1"/>
    <col min="25" max="25" width="3.5703125" customWidth="1"/>
    <col min="26" max="26" width="13.28515625" style="61" bestFit="1" customWidth="1"/>
    <col min="27" max="27" width="13.28515625" style="61" customWidth="1"/>
    <col min="28" max="28" width="40.5703125" style="61" customWidth="1"/>
    <col min="29" max="29" width="13.28515625" style="61" customWidth="1"/>
    <col min="30" max="32" width="13.28515625" style="61" bestFit="1" customWidth="1"/>
    <col min="33" max="33" width="3.5703125" customWidth="1"/>
    <col min="34" max="34" width="13.28515625" bestFit="1" customWidth="1"/>
    <col min="35" max="35" width="13.28515625" customWidth="1"/>
    <col min="36" max="36" width="40.7109375" customWidth="1"/>
    <col min="37" max="37" width="13.28515625" customWidth="1"/>
    <col min="38" max="40" width="13.28515625" bestFit="1" customWidth="1"/>
    <col min="41" max="41" width="3.5703125" customWidth="1"/>
    <col min="42" max="42" width="13.28515625" style="61" bestFit="1" customWidth="1"/>
    <col min="43" max="43" width="13.28515625" style="61" customWidth="1"/>
    <col min="44" max="44" width="40.5703125" style="61" customWidth="1"/>
    <col min="45" max="45" width="13.28515625" style="61" customWidth="1"/>
    <col min="46" max="48" width="13.28515625" style="61" bestFit="1" customWidth="1"/>
    <col min="49" max="49" width="3.5703125" customWidth="1"/>
    <col min="50" max="50" width="13.28515625" bestFit="1" customWidth="1"/>
    <col min="51" max="51" width="13.28515625" customWidth="1"/>
    <col min="52" max="52" width="40.5703125" customWidth="1"/>
    <col min="53" max="53" width="13.28515625" customWidth="1"/>
    <col min="54" max="56" width="13.28515625" bestFit="1" customWidth="1"/>
    <col min="57" max="57" width="3.5703125" customWidth="1"/>
    <col min="58" max="58" width="13.28515625" style="61" bestFit="1" customWidth="1"/>
    <col min="59" max="59" width="13.28515625" style="61" customWidth="1"/>
    <col min="60" max="60" width="40.5703125" style="61" customWidth="1"/>
    <col min="61" max="61" width="13.28515625" style="61" customWidth="1"/>
    <col min="62" max="64" width="13.28515625" style="61" bestFit="1" customWidth="1"/>
    <col min="65" max="65" width="3.5703125" customWidth="1"/>
  </cols>
  <sheetData>
    <row r="1" spans="1:64" x14ac:dyDescent="0.25">
      <c r="I1" t="s">
        <v>248</v>
      </c>
    </row>
    <row r="2" spans="1:64" x14ac:dyDescent="0.25">
      <c r="A2" s="4" t="s">
        <v>504</v>
      </c>
      <c r="J2" s="62" t="s">
        <v>67</v>
      </c>
      <c r="R2" s="4" t="s">
        <v>70</v>
      </c>
      <c r="Z2" s="62" t="s">
        <v>71</v>
      </c>
      <c r="AH2" s="4" t="s">
        <v>77</v>
      </c>
      <c r="AP2" s="62" t="s">
        <v>74</v>
      </c>
      <c r="AX2" s="4" t="s">
        <v>81</v>
      </c>
      <c r="BF2" s="62" t="s">
        <v>82</v>
      </c>
    </row>
    <row r="4" spans="1:64" x14ac:dyDescent="0.25">
      <c r="A4" t="s">
        <v>263</v>
      </c>
      <c r="C4" s="45" t="s">
        <v>499</v>
      </c>
    </row>
    <row r="5" spans="1:64" x14ac:dyDescent="0.25">
      <c r="A5" t="s">
        <v>346</v>
      </c>
      <c r="C5">
        <f>'General Information'!D26</f>
        <v>0</v>
      </c>
      <c r="D5" t="s">
        <v>6</v>
      </c>
    </row>
    <row r="6" spans="1:64" x14ac:dyDescent="0.25">
      <c r="A6" t="s">
        <v>262</v>
      </c>
      <c r="C6">
        <f>'General Information'!D25</f>
        <v>0</v>
      </c>
      <c r="AH6" t="s">
        <v>355</v>
      </c>
      <c r="AI6">
        <v>2</v>
      </c>
      <c r="AJ6" t="s">
        <v>356</v>
      </c>
    </row>
    <row r="7" spans="1:64" x14ac:dyDescent="0.25">
      <c r="A7" t="s">
        <v>324</v>
      </c>
      <c r="C7" s="91" t="s">
        <v>276</v>
      </c>
      <c r="D7" t="s">
        <v>476</v>
      </c>
      <c r="AH7" t="s">
        <v>357</v>
      </c>
      <c r="AI7">
        <v>120</v>
      </c>
      <c r="AJ7" t="s">
        <v>358</v>
      </c>
    </row>
    <row r="8" spans="1:64" x14ac:dyDescent="0.25">
      <c r="A8" t="s">
        <v>345</v>
      </c>
      <c r="C8">
        <f>'General Information'!D28</f>
        <v>0</v>
      </c>
      <c r="D8" t="s">
        <v>12</v>
      </c>
    </row>
    <row r="9" spans="1:64" x14ac:dyDescent="0.25">
      <c r="C9" s="45"/>
      <c r="AH9" t="s">
        <v>353</v>
      </c>
      <c r="AI9">
        <v>7.0000000000000007E-2</v>
      </c>
      <c r="AJ9" t="s">
        <v>354</v>
      </c>
    </row>
    <row r="10" spans="1:64" x14ac:dyDescent="0.25">
      <c r="D10" s="44"/>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IF(C13="",0,VLOOKUP(C13,CHOOSE({1,2},Table2[Pay Item Description],Table2[Pay Item No.]),2,0))</f>
        <v>0</v>
      </c>
      <c r="C13" s="70" t="s">
        <v>481</v>
      </c>
      <c r="D13" s="3" t="str">
        <f>IF(C13="","N/A",VLOOKUP(C13,CHOOSE({1,2},Table2[Pay Item Description],Table2[Units]),2,0))</f>
        <v>N/A</v>
      </c>
      <c r="E13" s="76">
        <v>0</v>
      </c>
      <c r="F13" s="75" t="str">
        <f>IF(C13="","N/A",VLOOKUP(C13,CHOOSE({1,2},Table2[Pay Item Description],Table2[Unit Cost]),2,0))</f>
        <v>N/A</v>
      </c>
      <c r="G13" s="72">
        <f t="shared" ref="G13:G22" si="0">IF(B13&lt;&gt;0,F13*E13,0)</f>
        <v>0</v>
      </c>
      <c r="J13" s="61">
        <v>1</v>
      </c>
      <c r="K13" s="78" t="str">
        <f>IF(L13="",0,VLOOKUP(L13,CHOOSE({1,2},Table2[Pay Item Description],Table2[Pay Item No.]),2,0))</f>
        <v>P-608-8.1</v>
      </c>
      <c r="L13" s="61" t="str">
        <f>C7</f>
        <v>Emulsified Asphalt Surface Treatment</v>
      </c>
      <c r="M13" s="79" t="str">
        <f>IF(L13="","N/A",VLOOKUP(L13,CHOOSE({1,2},Table2[Pay Item Description],Table2[Units]),2,0))</f>
        <v>S.Y.</v>
      </c>
      <c r="N13" s="81">
        <f>'Maintenance Policies'!D51*$C$5</f>
        <v>0</v>
      </c>
      <c r="O13" s="83">
        <f>IF(L13="","N/A",VLOOKUP(L13,CHOOSE({1,2},Table2[Pay Item Description],Table2[Unit Cost]),2,0))</f>
        <v>4</v>
      </c>
      <c r="P13" s="63">
        <f>O13*N13</f>
        <v>0</v>
      </c>
      <c r="R13">
        <v>1</v>
      </c>
      <c r="S13" t="str">
        <f>IF(T13="",0,VLOOKUP(T13,CHOOSE({1,2},Table2[Pay Item Description],Table2[Pay Item No.]),2,0))</f>
        <v>P-101-5.4a</v>
      </c>
      <c r="T13" t="str">
        <f>Pay_Items!D11</f>
        <v>Spall Repair, Asphalt</v>
      </c>
      <c r="U13" s="85" t="str">
        <f>IF(T13="","N/A",VLOOKUP(T13,CHOOSE({1,2},Table2[Pay Item Description],Table2[Units]),2,0))</f>
        <v>S.F.</v>
      </c>
      <c r="V13" s="84">
        <f>'Maintenance Policies'!D53*($C$5*9)</f>
        <v>0</v>
      </c>
      <c r="W13" s="86">
        <f>IF(T13="","N/A",VLOOKUP(T13,CHOOSE({1,2},Table2[Pay Item Description],Table2[Unit Cost]),2,0))</f>
        <v>8.5</v>
      </c>
      <c r="X13" s="46">
        <f>W13*V13</f>
        <v>0</v>
      </c>
      <c r="Z13" s="61">
        <v>1</v>
      </c>
      <c r="AA13" s="78" t="str">
        <f>IF(AB13="",0,VLOOKUP(AB13,CHOOSE({1,2},Table2[Pay Item Description],Table2[Pay Item No.]),2,0))</f>
        <v>P-608-8.1</v>
      </c>
      <c r="AB13" s="61" t="str">
        <f>C7</f>
        <v>Emulsified Asphalt Surface Treatment</v>
      </c>
      <c r="AC13" s="79" t="str">
        <f>IF(AB13="","N/A",VLOOKUP(AB13,CHOOSE({1,2},Table2[Pay Item Description],Table2[Units]),2,0))</f>
        <v>S.Y.</v>
      </c>
      <c r="AD13" s="81">
        <f>'Maintenance Policies'!D57*$C$5</f>
        <v>0</v>
      </c>
      <c r="AE13" s="83">
        <f>IF(AB13="","N/A",VLOOKUP(AB13,CHOOSE({1,2},Table2[Pay Item Description],Table2[Unit Cost]),2,0))</f>
        <v>4</v>
      </c>
      <c r="AF13" s="63">
        <f>AE13*AD13</f>
        <v>0</v>
      </c>
      <c r="AH13">
        <v>1</v>
      </c>
      <c r="AI13" s="71" t="str">
        <f>IF(AJ13="",0,VLOOKUP(AJ13,CHOOSE({1,2},Table2[Pay Item Description],Table2[Pay Item No.]),2,0))</f>
        <v>P-101-5.6</v>
      </c>
      <c r="AJ13" t="s">
        <v>13</v>
      </c>
      <c r="AK13" s="3" t="str">
        <f>IF(AJ13="","N/A",VLOOKUP(AJ13,CHOOSE({1,2},Table2[Pay Item Description],Table2[Units]),2,0))</f>
        <v>S.Y.</v>
      </c>
      <c r="AL13" s="84">
        <f>'Maintenance Policies'!D59*$C$5</f>
        <v>0</v>
      </c>
      <c r="AM13" s="67">
        <f>IF(AJ13="","N/A",VLOOKUP(AJ13,CHOOSE({1,2},Table2[Pay Item Description],Table2[Unit Cost]),2,0))</f>
        <v>5</v>
      </c>
      <c r="AN13" s="46">
        <f>AM13*AL13</f>
        <v>0</v>
      </c>
      <c r="AP13" s="61">
        <v>1</v>
      </c>
      <c r="AQ13" s="78" t="str">
        <f>IF(AR13="",0,VLOOKUP(AR13,CHOOSE({1,2},Table2[Pay Item Description],Table2[Pay Item No.]),2,0))</f>
        <v>P-608-8.1</v>
      </c>
      <c r="AR13" s="61" t="str">
        <f>C7</f>
        <v>Emulsified Asphalt Surface Treatment</v>
      </c>
      <c r="AS13" s="79" t="str">
        <f>IF(AR13="","N/A",VLOOKUP(AR13,CHOOSE({1,2},Table2[Pay Item Description],Table2[Units]),2,0))</f>
        <v>S.Y.</v>
      </c>
      <c r="AT13" s="81">
        <f>'Maintenance Policies'!D63*$C$5</f>
        <v>0</v>
      </c>
      <c r="AU13" s="83">
        <f>IF(AR13="","N/A",VLOOKUP(AR13,CHOOSE({1,2},Table2[Pay Item Description],Table2[Unit Cost]),2,0))</f>
        <v>4</v>
      </c>
      <c r="AV13" s="63">
        <f t="shared" ref="AV13:AV15" si="1">AU13*AT13</f>
        <v>0</v>
      </c>
      <c r="AX13">
        <v>1</v>
      </c>
      <c r="AY13" s="71" t="str">
        <f>IF(AZ13="",0,VLOOKUP(AZ13,CHOOSE({1,2},Table2[Pay Item Description],Table2[Pay Item No.]),2,0))</f>
        <v>P-101-5.4a</v>
      </c>
      <c r="AZ13" t="s">
        <v>337</v>
      </c>
      <c r="BA13" s="3" t="str">
        <f>IF(AZ13="","N/A",VLOOKUP(AZ13,CHOOSE({1,2},Table2[Pay Item Description],Table2[Units]),2,0))</f>
        <v>S.F.</v>
      </c>
      <c r="BB13" s="84">
        <f>'Maintenance Policies'!D65*($C$5*9)</f>
        <v>0</v>
      </c>
      <c r="BC13" s="67">
        <f>IF(AZ13="","N/A",VLOOKUP(AZ13,CHOOSE({1,2},Table2[Pay Item Description],Table2[Unit Cost]),2,0))</f>
        <v>8.5</v>
      </c>
      <c r="BD13" s="46">
        <f>BC13*BB13</f>
        <v>0</v>
      </c>
      <c r="BF13" s="61">
        <v>1</v>
      </c>
      <c r="BG13" s="78" t="str">
        <f>IF(BH13="",0,VLOOKUP(BH13,CHOOSE({1,2},Table2[Pay Item Description],Table2[Pay Item No.]),2,0))</f>
        <v>P-608-8.1</v>
      </c>
      <c r="BH13" s="61" t="str">
        <f>C7</f>
        <v>Emulsified Asphalt Surface Treatment</v>
      </c>
      <c r="BI13" s="79" t="str">
        <f>IF(BH13="","N/A",VLOOKUP(BH13,CHOOSE({1,2},Table2[Pay Item Description],Table2[Units]),2,0))</f>
        <v>S.Y.</v>
      </c>
      <c r="BJ13" s="81">
        <f>'Maintenance Policies'!D69*$C$5</f>
        <v>0</v>
      </c>
      <c r="BK13" s="83">
        <f>IF(BH13="","N/A",VLOOKUP(BH13,CHOOSE({1,2},Table2[Pay Item Description],Table2[Unit Cost]),2,0))</f>
        <v>4</v>
      </c>
      <c r="BL13" s="63">
        <f>BK13*BJ13</f>
        <v>0</v>
      </c>
    </row>
    <row r="14" spans="1:64" ht="19.5" customHeight="1" x14ac:dyDescent="0.25">
      <c r="A14">
        <v>2</v>
      </c>
      <c r="B14" s="71">
        <f>IF(C14="",0,VLOOKUP(C14,CHOOSE({1,2},Table2[Pay Item Description],Table2[Pay Item No.]),2,0))</f>
        <v>0</v>
      </c>
      <c r="C14" s="70" t="s">
        <v>481</v>
      </c>
      <c r="D14" s="3" t="str">
        <f>IF(C14="","N/A",VLOOKUP(C14,CHOOSE({1,2},Table2[Pay Item Description],Table2[Units]),2,0))</f>
        <v>N/A</v>
      </c>
      <c r="E14" s="76">
        <v>0</v>
      </c>
      <c r="F14" s="75" t="str">
        <f>IF(C14="","N/A",VLOOKUP(C14,CHOOSE({1,2},Table2[Pay Item Description],Table2[Unit Cost]),2,0))</f>
        <v>N/A</v>
      </c>
      <c r="G14" s="72">
        <f t="shared" si="0"/>
        <v>0</v>
      </c>
      <c r="J14" s="61">
        <v>2</v>
      </c>
      <c r="K14" s="61" t="str">
        <f>IF(L14="",0,VLOOKUP(L14,CHOOSE({1,2},Table2[Pay Item Description],Table2[Pay Item No.]),2,0))</f>
        <v>P-101-5.3</v>
      </c>
      <c r="L14" s="61" t="s">
        <v>359</v>
      </c>
      <c r="M14" s="80" t="str">
        <f>IF(L14="","N/A",VLOOKUP(L14,CHOOSE({1,2},Table2[Pay Item Description],Table2[Units]),2,0))</f>
        <v>S.F.</v>
      </c>
      <c r="N14" s="81">
        <f>'Maintenance Policies'!D52*$C$8</f>
        <v>0</v>
      </c>
      <c r="O14" s="82">
        <f>IF(L14="","N/A",VLOOKUP(L14,CHOOSE({1,2},Table2[Pay Item Description],Table2[Unit Cost]),2,0))</f>
        <v>0.77777777777777779</v>
      </c>
      <c r="P14" s="63">
        <f>O14*N14</f>
        <v>0</v>
      </c>
      <c r="R14">
        <v>2</v>
      </c>
      <c r="S14" t="str">
        <f>IF(T14="",0,VLOOKUP(T14,CHOOSE({1,2},Table2[Pay Item Description],Table2[Pay Item No.]),2,0))</f>
        <v>P-101-5.2a</v>
      </c>
      <c r="T14" t="str">
        <f>Pay_Items!D6</f>
        <v>Crack Repair (Type I), Asphalt</v>
      </c>
      <c r="U14" s="85" t="str">
        <f>IF(T14="","N/A",VLOOKUP(T14,CHOOSE({1,2},Table2[Pay Item Description],Table2[Units]),2,0))</f>
        <v>L.F.</v>
      </c>
      <c r="V14" s="84">
        <f>'Maintenance Policies'!D54*($C$5*9)</f>
        <v>0</v>
      </c>
      <c r="W14" s="86">
        <f>IF(T14="","N/A",VLOOKUP(T14,CHOOSE({1,2},Table2[Pay Item Description],Table2[Unit Cost]),2,0))</f>
        <v>4</v>
      </c>
      <c r="X14" s="46">
        <f>W14*V14</f>
        <v>0</v>
      </c>
      <c r="Z14" s="61">
        <v>2</v>
      </c>
      <c r="AA14" s="78" t="str">
        <f>IF(AB14="",0,VLOOKUP(AB14,CHOOSE({1,2},Table2[Pay Item Description],Table2[Pay Item No.]),2,0))</f>
        <v>P-101-5.3</v>
      </c>
      <c r="AB14" s="61" t="s">
        <v>359</v>
      </c>
      <c r="AC14" s="79" t="str">
        <f>IF(AB14="","N/A",VLOOKUP(AB14,CHOOSE({1,2},Table2[Pay Item Description],Table2[Units]),2,0))</f>
        <v>S.F.</v>
      </c>
      <c r="AD14" s="81">
        <f>'Maintenance Policies'!D58*$C$8</f>
        <v>0</v>
      </c>
      <c r="AE14" s="83">
        <f>IF(AB14="","N/A",VLOOKUP(AB14,CHOOSE({1,2},Table2[Pay Item Description],Table2[Unit Cost]),2,0))</f>
        <v>0.77777777777777779</v>
      </c>
      <c r="AF14" s="63">
        <f>AE14*AD14</f>
        <v>0</v>
      </c>
      <c r="AH14">
        <v>2</v>
      </c>
      <c r="AI14" s="71" t="str">
        <f>IF(AJ14="",0,VLOOKUP(AJ14,CHOOSE({1,2},Table2[Pay Item Description],Table2[Pay Item No.]),2,0))</f>
        <v>P-603-5.1</v>
      </c>
      <c r="AJ14" t="s">
        <v>4</v>
      </c>
      <c r="AK14" s="3" t="str">
        <f>IF(AJ14="","N/A",VLOOKUP(AJ14,CHOOSE({1,2},Table2[Pay Item Description],Table2[Units]),2,0))</f>
        <v>GAL</v>
      </c>
      <c r="AL14" s="84">
        <f>'Maintenance Policies'!D59*$C$5*AI9</f>
        <v>0</v>
      </c>
      <c r="AM14" s="67">
        <f>IF(AJ14="","N/A",VLOOKUP(AJ14,CHOOSE({1,2},Table2[Pay Item Description],Table2[Unit Cost]),2,0))</f>
        <v>4.5</v>
      </c>
      <c r="AN14" s="46">
        <f>AM14*AL14</f>
        <v>0</v>
      </c>
      <c r="AP14" s="61">
        <v>2</v>
      </c>
      <c r="AQ14" s="78" t="str">
        <f>IF(AR14="",0,VLOOKUP(AR14,CHOOSE({1,2},Table2[Pay Item Description],Table2[Pay Item No.]),2,0))</f>
        <v>P-101-5.3</v>
      </c>
      <c r="AR14" s="61" t="s">
        <v>359</v>
      </c>
      <c r="AS14" s="79" t="str">
        <f>IF(AR14="","N/A",VLOOKUP(AR14,CHOOSE({1,2},Table2[Pay Item Description],Table2[Units]),2,0))</f>
        <v>S.F.</v>
      </c>
      <c r="AT14" s="81">
        <f>'Maintenance Policies'!D64*$C$8</f>
        <v>0</v>
      </c>
      <c r="AU14" s="83">
        <f>IF(AR14="","N/A",VLOOKUP(AR14,CHOOSE({1,2},Table2[Pay Item Description],Table2[Unit Cost]),2,0))</f>
        <v>0.77777777777777779</v>
      </c>
      <c r="AV14" s="63">
        <f t="shared" si="1"/>
        <v>0</v>
      </c>
      <c r="AX14">
        <v>2</v>
      </c>
      <c r="AY14" s="71" t="str">
        <f>IF(AZ14="",0,VLOOKUP(AZ14,CHOOSE({1,2},Table2[Pay Item Description],Table2[Pay Item No.]),2,0))</f>
        <v>P-101-5.2a</v>
      </c>
      <c r="AZ14" t="s">
        <v>331</v>
      </c>
      <c r="BA14" s="3" t="str">
        <f>IF(AZ14="","N/A",VLOOKUP(AZ14,CHOOSE({1,2},Table2[Pay Item Description],Table2[Units]),2,0))</f>
        <v>L.F.</v>
      </c>
      <c r="BB14" s="84">
        <f>'Maintenance Policies'!D66*($C$5*9)</f>
        <v>0</v>
      </c>
      <c r="BC14" s="67">
        <f>IF(AZ14="","N/A",VLOOKUP(AZ14,CHOOSE({1,2},Table2[Pay Item Description],Table2[Unit Cost]),2,0))</f>
        <v>4</v>
      </c>
      <c r="BD14" s="46">
        <f>BC14*BB14</f>
        <v>0</v>
      </c>
      <c r="BF14" s="61">
        <v>2</v>
      </c>
      <c r="BG14" s="78" t="str">
        <f>IF(BH14="",0,VLOOKUP(BH14,CHOOSE({1,2},Table2[Pay Item Description],Table2[Pay Item No.]),2,0))</f>
        <v>P-101-5.3</v>
      </c>
      <c r="BH14" s="61" t="s">
        <v>359</v>
      </c>
      <c r="BI14" s="79" t="str">
        <f>IF(BH14="","N/A",VLOOKUP(BH14,CHOOSE({1,2},Table2[Pay Item Description],Table2[Units]),2,0))</f>
        <v>S.F.</v>
      </c>
      <c r="BJ14" s="81">
        <f>'Maintenance Policies'!D70*$C$8</f>
        <v>0</v>
      </c>
      <c r="BK14" s="83">
        <f>IF(BH14="","N/A",VLOOKUP(BH14,CHOOSE({1,2},Table2[Pay Item Description],Table2[Unit Cost]),2,0))</f>
        <v>0.77777777777777779</v>
      </c>
      <c r="BL14" s="63">
        <f>BK14*BJ14</f>
        <v>0</v>
      </c>
    </row>
    <row r="15" spans="1:64" ht="19.5" customHeight="1" x14ac:dyDescent="0.25">
      <c r="A15">
        <v>3</v>
      </c>
      <c r="B15" s="71">
        <f>IF(C15="",0,VLOOKUP(C15,CHOOSE({1,2},Table2[Pay Item Description],Table2[Pay Item No.]),2,0))</f>
        <v>0</v>
      </c>
      <c r="C15" s="70" t="s">
        <v>481</v>
      </c>
      <c r="D15" s="3" t="str">
        <f>IF(C15="","N/A",VLOOKUP(C15,CHOOSE({1,2},Table2[Pay Item Description],Table2[Units]),2,0))</f>
        <v>N/A</v>
      </c>
      <c r="E15" s="76">
        <v>0</v>
      </c>
      <c r="F15" s="75" t="str">
        <f>IF(C15="","N/A",VLOOKUP(C15,CHOOSE({1,2},Table2[Pay Item Description],Table2[Unit Cost]),2,0))</f>
        <v>N/A</v>
      </c>
      <c r="G15" s="72">
        <f t="shared" si="0"/>
        <v>0</v>
      </c>
      <c r="J15" s="61">
        <v>3</v>
      </c>
      <c r="K15" s="61" t="str">
        <f>IF(L15="",0,VLOOKUP(L15,CHOOSE({1,2},Table2[Pay Item Description],Table2[Pay Item No.]),2,0))</f>
        <v>P-620-5.1a</v>
      </c>
      <c r="L15" s="61" t="s">
        <v>60</v>
      </c>
      <c r="M15" s="80" t="str">
        <f>IF(L15="","N/A",VLOOKUP(L15,CHOOSE({1,2},Table2[Pay Item Description],Table2[Units]),2,0))</f>
        <v>S.F.</v>
      </c>
      <c r="N15" s="81">
        <f>'Maintenance Policies'!D52*$C$8</f>
        <v>0</v>
      </c>
      <c r="O15" s="82">
        <f>IF(L15="","N/A",VLOOKUP(L15,CHOOSE({1,2},Table2[Pay Item Description],Table2[Unit Cost]),2,0))</f>
        <v>0.66666666666666663</v>
      </c>
      <c r="P15" s="63">
        <f>O15*N15</f>
        <v>0</v>
      </c>
      <c r="R15">
        <v>3</v>
      </c>
      <c r="S15" s="71" t="str">
        <f>IF(T15="",0,VLOOKUP(T15,CHOOSE({1,2},Table2[Pay Item Description],Table2[Pay Item No.]),2,0))</f>
        <v>P-608-8.1</v>
      </c>
      <c r="T15" t="str">
        <f>C7</f>
        <v>Emulsified Asphalt Surface Treatment</v>
      </c>
      <c r="U15" s="3" t="str">
        <f>IF(T15="","N/A",VLOOKUP(T15,CHOOSE({1,2},Table2[Pay Item Description],Table2[Units]),2,0))</f>
        <v>S.Y.</v>
      </c>
      <c r="V15" s="84">
        <f>'Maintenance Policies'!D55*$C$5</f>
        <v>0</v>
      </c>
      <c r="W15" s="67">
        <f>IF(T15="","N/A",VLOOKUP(T15,CHOOSE({1,2},Table2[Pay Item Description],Table2[Unit Cost]),2,0))</f>
        <v>4</v>
      </c>
      <c r="X15" s="46">
        <f>W15*V15</f>
        <v>0</v>
      </c>
      <c r="Z15" s="61">
        <v>3</v>
      </c>
      <c r="AA15" s="78" t="str">
        <f>IF(AB15="",0,VLOOKUP(AB15,CHOOSE({1,2},Table2[Pay Item Description],Table2[Pay Item No.]),2,0))</f>
        <v>P-620-5.1a</v>
      </c>
      <c r="AB15" s="61" t="s">
        <v>60</v>
      </c>
      <c r="AC15" s="79" t="str">
        <f>IF(AB15="","N/A",VLOOKUP(AB15,CHOOSE({1,2},Table2[Pay Item Description],Table2[Units]),2,0))</f>
        <v>S.F.</v>
      </c>
      <c r="AD15" s="81">
        <f>'Maintenance Policies'!D58*$C$8</f>
        <v>0</v>
      </c>
      <c r="AE15" s="83">
        <f>IF(AB15="","N/A",VLOOKUP(AB15,CHOOSE({1,2},Table2[Pay Item Description],Table2[Unit Cost]),2,0))</f>
        <v>0.66666666666666663</v>
      </c>
      <c r="AF15" s="63">
        <f>AE15*AD15</f>
        <v>0</v>
      </c>
      <c r="AH15">
        <v>3</v>
      </c>
      <c r="AI15" s="71" t="str">
        <f>IF(AJ15="",0,VLOOKUP(AJ15,CHOOSE({1,2},Table2[Pay Item Description],Table2[Pay Item No.]),2,0))</f>
        <v>P-401-8.1a</v>
      </c>
      <c r="AJ15" t="s">
        <v>304</v>
      </c>
      <c r="AK15" s="3" t="str">
        <f>IF(AJ15="","N/A",VLOOKUP(AJ15,CHOOSE({1,2},Table2[Pay Item Description],Table2[Units]),2,0))</f>
        <v>TON</v>
      </c>
      <c r="AL15" s="84">
        <f>'Maintenance Policies'!D59*$C$5*AI6*AI7/2000</f>
        <v>0</v>
      </c>
      <c r="AM15" s="67">
        <f>IF(AJ15="","N/A",VLOOKUP(AJ15,CHOOSE({1,2},Table2[Pay Item Description],Table2[Unit Cost]),2,0))</f>
        <v>130</v>
      </c>
      <c r="AN15" s="46">
        <f>AM15*AL15</f>
        <v>0</v>
      </c>
      <c r="AP15" s="61">
        <v>3</v>
      </c>
      <c r="AQ15" s="78" t="str">
        <f>IF(AR15="",0,VLOOKUP(AR15,CHOOSE({1,2},Table2[Pay Item Description],Table2[Pay Item No.]),2,0))</f>
        <v>P-620-5.1a</v>
      </c>
      <c r="AR15" s="61" t="s">
        <v>60</v>
      </c>
      <c r="AS15" s="79" t="str">
        <f>IF(AR15="","N/A",VLOOKUP(AR15,CHOOSE({1,2},Table2[Pay Item Description],Table2[Units]),2,0))</f>
        <v>S.F.</v>
      </c>
      <c r="AT15" s="81">
        <f>'Maintenance Policies'!D64*$C$8</f>
        <v>0</v>
      </c>
      <c r="AU15" s="83">
        <f>IF(AR15="","N/A",VLOOKUP(AR15,CHOOSE({1,2},Table2[Pay Item Description],Table2[Unit Cost]),2,0))</f>
        <v>0.66666666666666663</v>
      </c>
      <c r="AV15" s="63">
        <f t="shared" si="1"/>
        <v>0</v>
      </c>
      <c r="AX15">
        <v>3</v>
      </c>
      <c r="AY15" s="71" t="str">
        <f>IF(AZ15="",0,VLOOKUP(AZ15,CHOOSE({1,2},Table2[Pay Item Description],Table2[Pay Item No.]),2,0))</f>
        <v>P-608-8.1</v>
      </c>
      <c r="AZ15" t="str">
        <f>C7</f>
        <v>Emulsified Asphalt Surface Treatment</v>
      </c>
      <c r="BA15" s="3" t="str">
        <f>IF(AZ15="","N/A",VLOOKUP(AZ15,CHOOSE({1,2},Table2[Pay Item Description],Table2[Units]),2,0))</f>
        <v>S.Y.</v>
      </c>
      <c r="BB15" s="84">
        <f>'Maintenance Policies'!D67*$C$5</f>
        <v>0</v>
      </c>
      <c r="BC15" s="67">
        <f>IF(AZ15="","N/A",VLOOKUP(AZ15,CHOOSE({1,2},Table2[Pay Item Description],Table2[Unit Cost]),2,0))</f>
        <v>4</v>
      </c>
      <c r="BD15" s="46">
        <f>BC15*BB15</f>
        <v>0</v>
      </c>
      <c r="BF15" s="61">
        <v>3</v>
      </c>
      <c r="BG15" s="78" t="str">
        <f>IF(BH15="",0,VLOOKUP(BH15,CHOOSE({1,2},Table2[Pay Item Description],Table2[Pay Item No.]),2,0))</f>
        <v>P-620-5.1a</v>
      </c>
      <c r="BH15" s="61" t="s">
        <v>60</v>
      </c>
      <c r="BI15" s="79" t="str">
        <f>IF(BH15="","N/A",VLOOKUP(BH15,CHOOSE({1,2},Table2[Pay Item Description],Table2[Units]),2,0))</f>
        <v>S.F.</v>
      </c>
      <c r="BJ15" s="81">
        <f>'Maintenance Policies'!D70*$C$8</f>
        <v>0</v>
      </c>
      <c r="BK15" s="83">
        <f>IF(BH15="","N/A",VLOOKUP(BH15,CHOOSE({1,2},Table2[Pay Item Description],Table2[Unit Cost]),2,0))</f>
        <v>0.66666666666666663</v>
      </c>
      <c r="BL15" s="63">
        <f>BK15*BJ15</f>
        <v>0</v>
      </c>
    </row>
    <row r="16" spans="1:64" ht="19.5" customHeight="1" x14ac:dyDescent="0.25">
      <c r="A16">
        <v>4</v>
      </c>
      <c r="B16" s="71">
        <f>IF(C16="",0,VLOOKUP(C16,CHOOSE({1,2},Table2[Pay Item Description],Table2[Pay Item No.]),2,0))</f>
        <v>0</v>
      </c>
      <c r="C16" s="70" t="s">
        <v>481</v>
      </c>
      <c r="D16" s="3" t="str">
        <f>IF(C16="","N/A",VLOOKUP(C16,CHOOSE({1,2},Table2[Pay Item Description],Table2[Units]),2,0))</f>
        <v>N/A</v>
      </c>
      <c r="E16" s="76">
        <v>0</v>
      </c>
      <c r="F16" s="75" t="str">
        <f>IF(C16="","N/A",VLOOKUP(C16,CHOOSE({1,2},Table2[Pay Item Description],Table2[Unit Cost]),2,0))</f>
        <v>N/A</v>
      </c>
      <c r="G16" s="72">
        <f t="shared" si="0"/>
        <v>0</v>
      </c>
      <c r="O16" s="61" t="s">
        <v>348</v>
      </c>
      <c r="P16" s="63">
        <f>SUM(P13:P15)</f>
        <v>0</v>
      </c>
      <c r="R16">
        <v>4</v>
      </c>
      <c r="S16" t="str">
        <f>IF(T16="",0,VLOOKUP(T16,CHOOSE({1,2},Table2[Pay Item Description],Table2[Pay Item No.]),2,0))</f>
        <v>P-101-5.3</v>
      </c>
      <c r="T16" t="str">
        <f>Pay_Items!D10</f>
        <v>Markings Removal</v>
      </c>
      <c r="U16" s="85" t="str">
        <f>IF(T16="","N/A",VLOOKUP(T16,CHOOSE({1,2},Table2[Pay Item Description],Table2[Units]),2,0))</f>
        <v>S.F.</v>
      </c>
      <c r="V16" s="84">
        <f>'Maintenance Policies'!D56*$C$8</f>
        <v>0</v>
      </c>
      <c r="W16" s="86">
        <f>IF(T16="","N/A",VLOOKUP(T16,CHOOSE({1,2},Table2[Pay Item Description],Table2[Unit Cost]),2,0))</f>
        <v>0.77777777777777779</v>
      </c>
      <c r="X16" s="46">
        <f>W16*V16</f>
        <v>0</v>
      </c>
      <c r="AE16" s="61" t="s">
        <v>348</v>
      </c>
      <c r="AF16" s="63">
        <f>SUM(AF13:AF15)</f>
        <v>0</v>
      </c>
      <c r="AH16">
        <v>4</v>
      </c>
      <c r="AI16" s="71" t="str">
        <f>IF(AJ16="",0,VLOOKUP(AJ16,CHOOSE({1,2},Table2[Pay Item Description],Table2[Pay Item No.]),2,0))</f>
        <v>P-101-5.2a</v>
      </c>
      <c r="AJ16" t="s">
        <v>331</v>
      </c>
      <c r="AK16" s="3" t="str">
        <f>IF(AJ16="","N/A",VLOOKUP(AJ16,CHOOSE({1,2},Table2[Pay Item Description],Table2[Units]),2,0))</f>
        <v>L.F.</v>
      </c>
      <c r="AL16" s="84">
        <f>'Maintenance Policies'!D60*($C$5*9)</f>
        <v>0</v>
      </c>
      <c r="AM16" s="67">
        <f>IF(AJ16="","N/A",VLOOKUP(AJ16,CHOOSE({1,2},Table2[Pay Item Description],Table2[Unit Cost]),2,0))</f>
        <v>4</v>
      </c>
      <c r="AN16" s="46">
        <f>AM16*AL16</f>
        <v>0</v>
      </c>
      <c r="AU16" s="61" t="s">
        <v>348</v>
      </c>
      <c r="AV16" s="63">
        <f>SUM(AV13:AV15)</f>
        <v>0</v>
      </c>
      <c r="AX16">
        <v>4</v>
      </c>
      <c r="AY16" s="71" t="str">
        <f>IF(AZ16="",0,VLOOKUP(AZ16,CHOOSE({1,2},Table2[Pay Item Description],Table2[Pay Item No.]),2,0))</f>
        <v>P-101-5.3</v>
      </c>
      <c r="AZ16" t="s">
        <v>359</v>
      </c>
      <c r="BA16" s="3" t="str">
        <f>IF(AZ16="","N/A",VLOOKUP(AZ16,CHOOSE({1,2},Table2[Pay Item Description],Table2[Units]),2,0))</f>
        <v>S.F.</v>
      </c>
      <c r="BB16" s="84">
        <f>'Maintenance Policies'!D68*$C$8</f>
        <v>0</v>
      </c>
      <c r="BC16" s="67">
        <f>IF(AZ16="","N/A",VLOOKUP(AZ16,CHOOSE({1,2},Table2[Pay Item Description],Table2[Unit Cost]),2,0))</f>
        <v>0.77777777777777779</v>
      </c>
      <c r="BD16" s="46">
        <f>BC16*BB16</f>
        <v>0</v>
      </c>
      <c r="BK16" s="61" t="s">
        <v>348</v>
      </c>
      <c r="BL16" s="63">
        <f>SUM(BL13:BL15)</f>
        <v>0</v>
      </c>
    </row>
    <row r="17" spans="1:64" ht="19.5" customHeight="1" x14ac:dyDescent="0.25">
      <c r="A17">
        <v>5</v>
      </c>
      <c r="B17" s="71">
        <f>IF(C17="",0,VLOOKUP(C17,CHOOSE({1,2},Table2[Pay Item Description],Table2[Pay Item No.]),2,0))</f>
        <v>0</v>
      </c>
      <c r="C17" s="70" t="s">
        <v>481</v>
      </c>
      <c r="D17" s="3" t="str">
        <f>IF(C17="","N/A",VLOOKUP(C17,CHOOSE({1,2},Table2[Pay Item Description],Table2[Units]),2,0))</f>
        <v>N/A</v>
      </c>
      <c r="E17" s="76">
        <v>0</v>
      </c>
      <c r="F17" s="75" t="str">
        <f>IF(C17="","N/A",VLOOKUP(C17,CHOOSE({1,2},Table2[Pay Item Description],Table2[Unit Cost]),2,0))</f>
        <v>N/A</v>
      </c>
      <c r="G17" s="72">
        <f t="shared" si="0"/>
        <v>0</v>
      </c>
      <c r="L17" s="61" t="s">
        <v>9</v>
      </c>
      <c r="P17" s="63">
        <f>('General Information'!$D$36/100)*P16</f>
        <v>0</v>
      </c>
      <c r="R17">
        <v>5</v>
      </c>
      <c r="S17" t="str">
        <f>IF(T17="",0,VLOOKUP(T17,CHOOSE({1,2},Table2[Pay Item Description],Table2[Pay Item No.]),2,0))</f>
        <v>P-620-5.1a</v>
      </c>
      <c r="T17" t="str">
        <f>Pay_Items!D56</f>
        <v>Markings (prep, markings, reflective media)</v>
      </c>
      <c r="U17" s="85" t="str">
        <f>IF(T17="","N/A",VLOOKUP(T17,CHOOSE({1,2},Table2[Pay Item Description],Table2[Units]),2,0))</f>
        <v>S.F.</v>
      </c>
      <c r="V17" s="84">
        <f>'Maintenance Policies'!D56*$C$8</f>
        <v>0</v>
      </c>
      <c r="W17" s="86">
        <f>IF(T17="","N/A",VLOOKUP(T17,CHOOSE({1,2},Table2[Pay Item Description],Table2[Unit Cost]),2,0))</f>
        <v>0.66666666666666663</v>
      </c>
      <c r="X17" s="46">
        <f>W17*V17</f>
        <v>0</v>
      </c>
      <c r="AB17" s="61" t="s">
        <v>9</v>
      </c>
      <c r="AF17" s="63">
        <f>('General Information'!$D$36/100)*AF16</f>
        <v>0</v>
      </c>
      <c r="AH17">
        <v>5</v>
      </c>
      <c r="AI17" s="71" t="str">
        <f>IF(AJ17="",0,VLOOKUP(AJ17,CHOOSE({1,2},Table2[Pay Item Description],Table2[Pay Item No.]),2,0))</f>
        <v>P-101-5.4a</v>
      </c>
      <c r="AJ17" t="s">
        <v>337</v>
      </c>
      <c r="AK17" s="3" t="str">
        <f>IF(AJ17="","N/A",VLOOKUP(AJ17,CHOOSE({1,2},Table2[Pay Item Description],Table2[Units]),2,0))</f>
        <v>S.F.</v>
      </c>
      <c r="AL17" s="84">
        <f>'Maintenance Policies'!D61*($C$5*9)</f>
        <v>0</v>
      </c>
      <c r="AM17" s="67">
        <f>IF(AJ17="","N/A",VLOOKUP(AJ17,CHOOSE({1,2},Table2[Pay Item Description],Table2[Unit Cost]),2,0))</f>
        <v>8.5</v>
      </c>
      <c r="AN17" s="46">
        <f t="shared" ref="AN17:AN18" si="2">AM17*AL17</f>
        <v>0</v>
      </c>
      <c r="AR17" s="61" t="s">
        <v>9</v>
      </c>
      <c r="AV17" s="63">
        <f>('General Information'!$D$36/100)*AV16</f>
        <v>0</v>
      </c>
      <c r="AX17">
        <v>5</v>
      </c>
      <c r="AY17" s="71" t="str">
        <f>IF(AZ17="",0,VLOOKUP(AZ17,CHOOSE({1,2},Table2[Pay Item Description],Table2[Pay Item No.]),2,0))</f>
        <v>P-620-5.1a</v>
      </c>
      <c r="AZ17" t="s">
        <v>60</v>
      </c>
      <c r="BA17" s="3" t="str">
        <f>IF(AZ17="","N/A",VLOOKUP(AZ17,CHOOSE({1,2},Table2[Pay Item Description],Table2[Units]),2,0))</f>
        <v>S.F.</v>
      </c>
      <c r="BB17" s="84">
        <f>'Maintenance Policies'!D68*$C$8</f>
        <v>0</v>
      </c>
      <c r="BC17" s="67">
        <f>IF(AZ17="","N/A",VLOOKUP(AZ17,CHOOSE({1,2},Table2[Pay Item Description],Table2[Unit Cost]),2,0))</f>
        <v>0.66666666666666663</v>
      </c>
      <c r="BD17" s="46">
        <f>BC17*BB17</f>
        <v>0</v>
      </c>
      <c r="BH17" s="61" t="s">
        <v>9</v>
      </c>
      <c r="BL17" s="63">
        <f>('General Information'!$D$36/100)*BL16</f>
        <v>0</v>
      </c>
    </row>
    <row r="18" spans="1:64" ht="19.5" customHeight="1" x14ac:dyDescent="0.25">
      <c r="A18">
        <v>6</v>
      </c>
      <c r="B18" s="71">
        <f>IF(C18="",0,VLOOKUP(C18,CHOOSE({1,2},Table2[Pay Item Description],Table2[Pay Item No.]),2,0))</f>
        <v>0</v>
      </c>
      <c r="C18" s="70" t="s">
        <v>481</v>
      </c>
      <c r="D18" s="3" t="str">
        <f>IF(C18="","N/A",VLOOKUP(C18,CHOOSE({1,2},Table2[Pay Item Description],Table2[Units]),2,0))</f>
        <v>N/A</v>
      </c>
      <c r="E18" s="76">
        <v>0</v>
      </c>
      <c r="F18" s="75" t="str">
        <f>IF(C18="","N/A",VLOOKUP(C18,CHOOSE({1,2},Table2[Pay Item Description],Table2[Unit Cost]),2,0))</f>
        <v>N/A</v>
      </c>
      <c r="G18" s="72">
        <f t="shared" si="0"/>
        <v>0</v>
      </c>
      <c r="L18" s="61" t="s">
        <v>323</v>
      </c>
      <c r="P18" s="63">
        <f>('General Information'!$D$37/100)*P16</f>
        <v>0</v>
      </c>
      <c r="W18" t="s">
        <v>348</v>
      </c>
      <c r="X18" s="46">
        <f>SUM(X13:X17)</f>
        <v>0</v>
      </c>
      <c r="AB18" s="61" t="s">
        <v>323</v>
      </c>
      <c r="AF18" s="63">
        <f>('General Information'!$D$37/100)*AF16</f>
        <v>0</v>
      </c>
      <c r="AH18">
        <v>6</v>
      </c>
      <c r="AI18" s="71" t="str">
        <f>IF(AJ18="",0,VLOOKUP(AJ18,CHOOSE({1,2},Table2[Pay Item Description],Table2[Pay Item No.]),2,0))</f>
        <v>P-620-5.1a</v>
      </c>
      <c r="AJ18" t="s">
        <v>60</v>
      </c>
      <c r="AK18" s="3" t="str">
        <f>IF(AJ18="","N/A",VLOOKUP(AJ18,CHOOSE({1,2},Table2[Pay Item Description],Table2[Units]),2,0))</f>
        <v>S.F.</v>
      </c>
      <c r="AL18" s="84">
        <f>'Maintenance Policies'!D62*$C$8</f>
        <v>0</v>
      </c>
      <c r="AM18" s="67">
        <f>IF(AJ18="","N/A",VLOOKUP(AJ18,CHOOSE({1,2},Table2[Pay Item Description],Table2[Unit Cost]),2,0))</f>
        <v>0.66666666666666663</v>
      </c>
      <c r="AN18" s="46">
        <f t="shared" si="2"/>
        <v>0</v>
      </c>
      <c r="AR18" s="61" t="s">
        <v>323</v>
      </c>
      <c r="AV18" s="63">
        <f>('General Information'!$D$37/100)*AV16</f>
        <v>0</v>
      </c>
      <c r="BC18" t="s">
        <v>348</v>
      </c>
      <c r="BD18" s="46">
        <f>SUM(BD13:BD17)</f>
        <v>0</v>
      </c>
      <c r="BH18" s="61" t="s">
        <v>323</v>
      </c>
      <c r="BL18" s="63">
        <f>('General Information'!$D$37/100)*BL16</f>
        <v>0</v>
      </c>
    </row>
    <row r="19" spans="1:64" ht="19.5" customHeight="1" x14ac:dyDescent="0.25">
      <c r="A19">
        <v>7</v>
      </c>
      <c r="B19" s="71">
        <f>IF(C19="",0,VLOOKUP(C19,CHOOSE({1,2},Table2[Pay Item Description],Table2[Pay Item No.]),2,0))</f>
        <v>0</v>
      </c>
      <c r="C19" s="70" t="s">
        <v>481</v>
      </c>
      <c r="D19" s="3" t="str">
        <f>IF(C19="","N/A",VLOOKUP(C19,CHOOSE({1,2},Table2[Pay Item Description],Table2[Units]),2,0))</f>
        <v>N/A</v>
      </c>
      <c r="E19" s="76">
        <v>0</v>
      </c>
      <c r="F19" s="75" t="str">
        <f>IF(C19="","N/A",VLOOKUP(C19,CHOOSE({1,2},Table2[Pay Item Description],Table2[Unit Cost]),2,0))</f>
        <v>N/A</v>
      </c>
      <c r="G19" s="72">
        <f t="shared" si="0"/>
        <v>0</v>
      </c>
      <c r="O19" s="61" t="s">
        <v>349</v>
      </c>
      <c r="P19" s="63">
        <f>SUM(P16:P18)</f>
        <v>0</v>
      </c>
      <c r="T19" t="s">
        <v>9</v>
      </c>
      <c r="X19" s="46">
        <f>('General Information'!$D$36/100)*X18</f>
        <v>0</v>
      </c>
      <c r="AE19" s="61" t="s">
        <v>349</v>
      </c>
      <c r="AF19" s="63">
        <f>SUM(AF16:AF18)</f>
        <v>0</v>
      </c>
      <c r="AM19" t="s">
        <v>348</v>
      </c>
      <c r="AN19" s="46">
        <f>SUM(AN13:AN18)</f>
        <v>0</v>
      </c>
      <c r="AU19" s="61" t="s">
        <v>349</v>
      </c>
      <c r="AV19" s="63">
        <f>SUM(AV16:AV18)</f>
        <v>0</v>
      </c>
      <c r="AZ19" t="s">
        <v>9</v>
      </c>
      <c r="BD19" s="46">
        <f>('General Information'!$D$36/100)*BD18</f>
        <v>0</v>
      </c>
      <c r="BK19" s="61" t="s">
        <v>349</v>
      </c>
      <c r="BL19" s="63">
        <f>SUM(BL16:BL18)</f>
        <v>0</v>
      </c>
    </row>
    <row r="20" spans="1:64" ht="19.5" customHeight="1" x14ac:dyDescent="0.25">
      <c r="A20">
        <v>8</v>
      </c>
      <c r="B20" s="71">
        <f>IF(C20="",0,VLOOKUP(C20,CHOOSE({1,2},Table2[Pay Item Description],Table2[Pay Item No.]),2,0))</f>
        <v>0</v>
      </c>
      <c r="C20" s="70" t="s">
        <v>481</v>
      </c>
      <c r="D20" s="3" t="str">
        <f>IF(C20="","N/A",VLOOKUP(C20,CHOOSE({1,2},Table2[Pay Item Description],Table2[Units]),2,0))</f>
        <v>N/A</v>
      </c>
      <c r="E20" s="76">
        <v>0</v>
      </c>
      <c r="F20" s="75" t="str">
        <f>IF(C20="","N/A",VLOOKUP(C20,CHOOSE({1,2},Table2[Pay Item Description],Table2[Unit Cost]),2,0))</f>
        <v>N/A</v>
      </c>
      <c r="G20" s="72">
        <f t="shared" si="0"/>
        <v>0</v>
      </c>
      <c r="T20" t="s">
        <v>323</v>
      </c>
      <c r="X20" s="46">
        <f>('General Information'!$D$37/100)*X18</f>
        <v>0</v>
      </c>
      <c r="AJ20" t="s">
        <v>9</v>
      </c>
      <c r="AN20" s="46">
        <f>('General Information'!$D$36/100)*AN19</f>
        <v>0</v>
      </c>
      <c r="AZ20" t="s">
        <v>323</v>
      </c>
      <c r="BD20" s="46">
        <f>('General Information'!$D$37/100)*BD18</f>
        <v>0</v>
      </c>
    </row>
    <row r="21" spans="1:64" ht="19.5" customHeight="1" x14ac:dyDescent="0.25">
      <c r="A21">
        <v>9</v>
      </c>
      <c r="B21" s="71">
        <f>IF(C21="",0,VLOOKUP(C21,CHOOSE({1,2},Table2[Pay Item Description],Table2[Pay Item No.]),2,0))</f>
        <v>0</v>
      </c>
      <c r="C21" s="70" t="s">
        <v>481</v>
      </c>
      <c r="D21" s="3" t="str">
        <f>IF(C21="","N/A",VLOOKUP(C21,CHOOSE({1,2},Table2[Pay Item Description],Table2[Units]),2,0))</f>
        <v>N/A</v>
      </c>
      <c r="E21" s="76">
        <v>0</v>
      </c>
      <c r="F21" s="75" t="str">
        <f>IF(C21="","N/A",VLOOKUP(C21,CHOOSE({1,2},Table2[Pay Item Description],Table2[Unit Cost]),2,0))</f>
        <v>N/A</v>
      </c>
      <c r="G21" s="72">
        <f t="shared" si="0"/>
        <v>0</v>
      </c>
      <c r="W21" t="s">
        <v>349</v>
      </c>
      <c r="X21" s="46">
        <f>SUM(X18:X20)</f>
        <v>0</v>
      </c>
      <c r="AJ21" t="s">
        <v>323</v>
      </c>
      <c r="AN21" s="46">
        <f>('General Information'!$D$37/100)*AN19</f>
        <v>0</v>
      </c>
      <c r="BC21" t="s">
        <v>349</v>
      </c>
      <c r="BD21" s="46">
        <f>SUM(BD18:BD20)</f>
        <v>0</v>
      </c>
    </row>
    <row r="22" spans="1:64" ht="19.5" customHeight="1" x14ac:dyDescent="0.25">
      <c r="A22">
        <v>10</v>
      </c>
      <c r="B22" s="71">
        <f>IF(C22="",0,VLOOKUP(C22,CHOOSE({1,2},Table2[Pay Item Description],Table2[Pay Item No.]),2,0))</f>
        <v>0</v>
      </c>
      <c r="C22" s="70" t="s">
        <v>481</v>
      </c>
      <c r="D22" s="3" t="str">
        <f>IF(C22="","N/A",VLOOKUP(C22,CHOOSE({1,2},Table2[Pay Item Description],Table2[Units]),2,0))</f>
        <v>N/A</v>
      </c>
      <c r="E22" s="76">
        <v>0</v>
      </c>
      <c r="F22" s="75" t="str">
        <f>IF(C22="","N/A",VLOOKUP(C22,CHOOSE({1,2},Table2[Pay Item Description],Table2[Unit Cost]),2,0))</f>
        <v>N/A</v>
      </c>
      <c r="G22" s="72">
        <f t="shared" si="0"/>
        <v>0</v>
      </c>
      <c r="AM22" t="s">
        <v>349</v>
      </c>
      <c r="AN22" s="46">
        <f>SUM(AN19:AN21)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s="4" customFormat="1" x14ac:dyDescent="0.25">
      <c r="A27" s="4" t="s">
        <v>349</v>
      </c>
      <c r="G27" s="89">
        <f>SUM(G24:G26)</f>
        <v>0</v>
      </c>
      <c r="J27" s="62"/>
      <c r="K27" s="62"/>
      <c r="L27" s="62"/>
      <c r="M27" s="62"/>
      <c r="N27" s="62"/>
      <c r="O27" s="62"/>
      <c r="P27" s="62"/>
      <c r="Z27" s="62"/>
      <c r="AA27" s="62"/>
      <c r="AB27" s="62"/>
      <c r="AC27" s="62"/>
      <c r="AD27" s="62"/>
      <c r="AE27" s="62"/>
      <c r="AF27" s="62"/>
      <c r="AP27" s="62"/>
      <c r="AQ27" s="62"/>
      <c r="AR27" s="62"/>
      <c r="AS27" s="62"/>
      <c r="AT27" s="62"/>
      <c r="AU27" s="62"/>
      <c r="AV27" s="62"/>
      <c r="BF27" s="62"/>
      <c r="BG27" s="62"/>
      <c r="BH27" s="62"/>
      <c r="BI27" s="62"/>
      <c r="BJ27" s="62"/>
      <c r="BK27" s="62"/>
      <c r="BL27" s="62"/>
    </row>
    <row r="32" spans="1:64" x14ac:dyDescent="0.25">
      <c r="A32" s="4" t="s">
        <v>328</v>
      </c>
    </row>
    <row r="33" spans="1:13" x14ac:dyDescent="0.25">
      <c r="A33" s="4" t="s">
        <v>507</v>
      </c>
      <c r="I33" t="s">
        <v>248</v>
      </c>
    </row>
    <row r="34" spans="1:13" ht="15.75" thickBot="1" x14ac:dyDescent="0.3"/>
    <row r="35" spans="1:13" ht="27" thickTop="1" thickBot="1" x14ac:dyDescent="0.3">
      <c r="B35" s="53" t="s">
        <v>326</v>
      </c>
      <c r="C35" s="54" t="s">
        <v>259</v>
      </c>
      <c r="D35" s="54" t="s">
        <v>327</v>
      </c>
      <c r="E35" s="55"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Policies'!E51</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Policies'!E53</f>
        <v>8</v>
      </c>
      <c r="D38" s="58">
        <f>X21</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Policies'!E57</f>
        <v>12</v>
      </c>
      <c r="D39" s="58">
        <f>AF19</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77</v>
      </c>
      <c r="C40" s="57">
        <f>'Maintenance Policies'!E59</f>
        <v>16</v>
      </c>
      <c r="D40" s="58">
        <f>AN22</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74</v>
      </c>
      <c r="C41" s="57">
        <f>'Maintenance Policies'!E63</f>
        <v>20</v>
      </c>
      <c r="D41" s="58">
        <f>AV19</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Policies'!E65</f>
        <v>24</v>
      </c>
      <c r="D42" s="58">
        <f>BD21</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Policies'!E69</f>
        <v>28</v>
      </c>
      <c r="D43" s="58">
        <f>BL19</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48" t="s">
        <v>85</v>
      </c>
      <c r="C44" s="57">
        <f>'General Information'!D33</f>
        <v>10</v>
      </c>
      <c r="D44" s="58">
        <f>-'Maintenance Policies'!D71*AN22</f>
        <v>0</v>
      </c>
      <c r="E44" s="47">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ht="15.75" thickBot="1" x14ac:dyDescent="0.3">
      <c r="B45" s="49" t="s">
        <v>328</v>
      </c>
      <c r="C45" s="50"/>
      <c r="D45" s="50"/>
      <c r="E45" s="60">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pageMargins left="0.7" right="0.7" top="0.75" bottom="0.75" header="0.3" footer="0.3"/>
  <pageSetup orientation="portrait" horizontalDpi="4294967293" verticalDpi="0" r:id="rId1"/>
  <drawing r:id="rId2"/>
  <legacyDrawing r:id="rId3"/>
  <controls>
    <mc:AlternateContent xmlns:mc="http://schemas.openxmlformats.org/markup-compatibility/2006">
      <mc:Choice Requires="x14">
        <control shapeId="31852" r:id="rId4" name="ComboBox27">
          <controlPr defaultSize="0" autoLine="0" linkedCell="BH14" listFillRange="Pay_Items!C3:D59" r:id="rId5">
            <anchor moveWithCells="1">
              <from>
                <xdr:col>59</xdr:col>
                <xdr:colOff>0</xdr:colOff>
                <xdr:row>13</xdr:row>
                <xdr:rowOff>0</xdr:rowOff>
              </from>
              <to>
                <xdr:col>60</xdr:col>
                <xdr:colOff>152400</xdr:colOff>
                <xdr:row>14</xdr:row>
                <xdr:rowOff>0</xdr:rowOff>
              </to>
            </anchor>
          </controlPr>
        </control>
      </mc:Choice>
      <mc:Fallback>
        <control shapeId="31852" r:id="rId4" name="ComboBox27"/>
      </mc:Fallback>
    </mc:AlternateContent>
    <mc:AlternateContent xmlns:mc="http://schemas.openxmlformats.org/markup-compatibility/2006">
      <mc:Choice Requires="x14">
        <control shapeId="31851" r:id="rId6" name="ComboBox26">
          <controlPr defaultSize="0" autoLine="0" linkedCell="BH15" listFillRange="Pay_Items!C3:D59" r:id="rId7">
            <anchor moveWithCells="1">
              <from>
                <xdr:col>59</xdr:col>
                <xdr:colOff>0</xdr:colOff>
                <xdr:row>14</xdr:row>
                <xdr:rowOff>0</xdr:rowOff>
              </from>
              <to>
                <xdr:col>60</xdr:col>
                <xdr:colOff>152400</xdr:colOff>
                <xdr:row>15</xdr:row>
                <xdr:rowOff>0</xdr:rowOff>
              </to>
            </anchor>
          </controlPr>
        </control>
      </mc:Choice>
      <mc:Fallback>
        <control shapeId="31851" r:id="rId6" name="ComboBox26"/>
      </mc:Fallback>
    </mc:AlternateContent>
    <mc:AlternateContent xmlns:mc="http://schemas.openxmlformats.org/markup-compatibility/2006">
      <mc:Choice Requires="x14">
        <control shapeId="31850" r:id="rId8" name="ComboBox25">
          <controlPr defaultSize="0" autoLine="0" linkedCell="AZ16" listFillRange="Pay_Items!C3:D59" r:id="rId5">
            <anchor moveWithCells="1">
              <from>
                <xdr:col>51</xdr:col>
                <xdr:colOff>0</xdr:colOff>
                <xdr:row>15</xdr:row>
                <xdr:rowOff>0</xdr:rowOff>
              </from>
              <to>
                <xdr:col>52</xdr:col>
                <xdr:colOff>152400</xdr:colOff>
                <xdr:row>16</xdr:row>
                <xdr:rowOff>0</xdr:rowOff>
              </to>
            </anchor>
          </controlPr>
        </control>
      </mc:Choice>
      <mc:Fallback>
        <control shapeId="31850" r:id="rId8" name="ComboBox25"/>
      </mc:Fallback>
    </mc:AlternateContent>
    <mc:AlternateContent xmlns:mc="http://schemas.openxmlformats.org/markup-compatibility/2006">
      <mc:Choice Requires="x14">
        <control shapeId="31849" r:id="rId9" name="ComboBox24">
          <controlPr defaultSize="0" autoLine="0" linkedCell="AZ17" listFillRange="Pay_Items!C3:D59" r:id="rId7">
            <anchor moveWithCells="1">
              <from>
                <xdr:col>51</xdr:col>
                <xdr:colOff>0</xdr:colOff>
                <xdr:row>16</xdr:row>
                <xdr:rowOff>0</xdr:rowOff>
              </from>
              <to>
                <xdr:col>52</xdr:col>
                <xdr:colOff>152400</xdr:colOff>
                <xdr:row>17</xdr:row>
                <xdr:rowOff>0</xdr:rowOff>
              </to>
            </anchor>
          </controlPr>
        </control>
      </mc:Choice>
      <mc:Fallback>
        <control shapeId="31849" r:id="rId9" name="ComboBox24"/>
      </mc:Fallback>
    </mc:AlternateContent>
    <mc:AlternateContent xmlns:mc="http://schemas.openxmlformats.org/markup-compatibility/2006">
      <mc:Choice Requires="x14">
        <control shapeId="31848" r:id="rId10" name="ComboBox23">
          <controlPr defaultSize="0" autoLine="0" linkedCell="AZ13" listFillRange="Pay_Items!C3:D59" r:id="rId11">
            <anchor moveWithCells="1">
              <from>
                <xdr:col>51</xdr:col>
                <xdr:colOff>0</xdr:colOff>
                <xdr:row>12</xdr:row>
                <xdr:rowOff>0</xdr:rowOff>
              </from>
              <to>
                <xdr:col>52</xdr:col>
                <xdr:colOff>152400</xdr:colOff>
                <xdr:row>13</xdr:row>
                <xdr:rowOff>0</xdr:rowOff>
              </to>
            </anchor>
          </controlPr>
        </control>
      </mc:Choice>
      <mc:Fallback>
        <control shapeId="31848" r:id="rId10" name="ComboBox23"/>
      </mc:Fallback>
    </mc:AlternateContent>
    <mc:AlternateContent xmlns:mc="http://schemas.openxmlformats.org/markup-compatibility/2006">
      <mc:Choice Requires="x14">
        <control shapeId="31847" r:id="rId12" name="ComboBox22">
          <controlPr defaultSize="0" autoLine="0" linkedCell="AZ14" listFillRange="Pay_Items!C3:D59" r:id="rId13">
            <anchor moveWithCells="1">
              <from>
                <xdr:col>51</xdr:col>
                <xdr:colOff>0</xdr:colOff>
                <xdr:row>13</xdr:row>
                <xdr:rowOff>0</xdr:rowOff>
              </from>
              <to>
                <xdr:col>52</xdr:col>
                <xdr:colOff>152400</xdr:colOff>
                <xdr:row>14</xdr:row>
                <xdr:rowOff>0</xdr:rowOff>
              </to>
            </anchor>
          </controlPr>
        </control>
      </mc:Choice>
      <mc:Fallback>
        <control shapeId="31847" r:id="rId12" name="ComboBox22"/>
      </mc:Fallback>
    </mc:AlternateContent>
    <mc:AlternateContent xmlns:mc="http://schemas.openxmlformats.org/markup-compatibility/2006">
      <mc:Choice Requires="x14">
        <control shapeId="31842" r:id="rId14" name="ComboBox21">
          <controlPr defaultSize="0" autoLine="0" linkedCell="AR13" listFillRange="Pay_Items!C3:D59" r:id="rId15">
            <anchor moveWithCells="1">
              <from>
                <xdr:col>43</xdr:col>
                <xdr:colOff>0</xdr:colOff>
                <xdr:row>13</xdr:row>
                <xdr:rowOff>0</xdr:rowOff>
              </from>
              <to>
                <xdr:col>44</xdr:col>
                <xdr:colOff>152400</xdr:colOff>
                <xdr:row>14</xdr:row>
                <xdr:rowOff>0</xdr:rowOff>
              </to>
            </anchor>
          </controlPr>
        </control>
      </mc:Choice>
      <mc:Fallback>
        <control shapeId="31842" r:id="rId14" name="ComboBox21"/>
      </mc:Fallback>
    </mc:AlternateContent>
    <mc:AlternateContent xmlns:mc="http://schemas.openxmlformats.org/markup-compatibility/2006">
      <mc:Choice Requires="x14">
        <control shapeId="31841" r:id="rId16" name="ComboBox20">
          <controlPr defaultSize="0" autoLine="0" linkedCell="AR14" listFillRange="Pay_Items!C3:D59" r:id="rId5">
            <anchor moveWithCells="1">
              <from>
                <xdr:col>43</xdr:col>
                <xdr:colOff>0</xdr:colOff>
                <xdr:row>14</xdr:row>
                <xdr:rowOff>0</xdr:rowOff>
              </from>
              <to>
                <xdr:col>44</xdr:col>
                <xdr:colOff>152400</xdr:colOff>
                <xdr:row>15</xdr:row>
                <xdr:rowOff>0</xdr:rowOff>
              </to>
            </anchor>
          </controlPr>
        </control>
      </mc:Choice>
      <mc:Fallback>
        <control shapeId="31841" r:id="rId16" name="ComboBox20"/>
      </mc:Fallback>
    </mc:AlternateContent>
    <mc:AlternateContent xmlns:mc="http://schemas.openxmlformats.org/markup-compatibility/2006">
      <mc:Choice Requires="x14">
        <control shapeId="31840" r:id="rId17" name="ComboBox19">
          <controlPr defaultSize="0" autoLine="0" linkedCell="AJ17" listFillRange="Pay_Items!C3:D59" r:id="rId18">
            <anchor moveWithCells="1">
              <from>
                <xdr:col>35</xdr:col>
                <xdr:colOff>0</xdr:colOff>
                <xdr:row>16</xdr:row>
                <xdr:rowOff>0</xdr:rowOff>
              </from>
              <to>
                <xdr:col>36</xdr:col>
                <xdr:colOff>142875</xdr:colOff>
                <xdr:row>17</xdr:row>
                <xdr:rowOff>0</xdr:rowOff>
              </to>
            </anchor>
          </controlPr>
        </control>
      </mc:Choice>
      <mc:Fallback>
        <control shapeId="31840" r:id="rId17" name="ComboBox19"/>
      </mc:Fallback>
    </mc:AlternateContent>
    <mc:AlternateContent xmlns:mc="http://schemas.openxmlformats.org/markup-compatibility/2006">
      <mc:Choice Requires="x14">
        <control shapeId="31839" r:id="rId19" name="ComboBox18">
          <controlPr defaultSize="0" autoLine="0" linkedCell="AJ18" listFillRange="Pay_Items!C3:D59" r:id="rId7">
            <anchor moveWithCells="1">
              <from>
                <xdr:col>35</xdr:col>
                <xdr:colOff>0</xdr:colOff>
                <xdr:row>17</xdr:row>
                <xdr:rowOff>0</xdr:rowOff>
              </from>
              <to>
                <xdr:col>36</xdr:col>
                <xdr:colOff>142875</xdr:colOff>
                <xdr:row>18</xdr:row>
                <xdr:rowOff>0</xdr:rowOff>
              </to>
            </anchor>
          </controlPr>
        </control>
      </mc:Choice>
      <mc:Fallback>
        <control shapeId="31839" r:id="rId19" name="ComboBox18"/>
      </mc:Fallback>
    </mc:AlternateContent>
    <mc:AlternateContent xmlns:mc="http://schemas.openxmlformats.org/markup-compatibility/2006">
      <mc:Choice Requires="x14">
        <control shapeId="31836" r:id="rId20" name="ComboBox17">
          <controlPr defaultSize="0" autoLine="0" linkedCell="AJ15" listFillRange="Pay_Items!C3:D59" r:id="rId21">
            <anchor moveWithCells="1">
              <from>
                <xdr:col>35</xdr:col>
                <xdr:colOff>0</xdr:colOff>
                <xdr:row>14</xdr:row>
                <xdr:rowOff>0</xdr:rowOff>
              </from>
              <to>
                <xdr:col>36</xdr:col>
                <xdr:colOff>142875</xdr:colOff>
                <xdr:row>15</xdr:row>
                <xdr:rowOff>0</xdr:rowOff>
              </to>
            </anchor>
          </controlPr>
        </control>
      </mc:Choice>
      <mc:Fallback>
        <control shapeId="31836" r:id="rId20" name="ComboBox17"/>
      </mc:Fallback>
    </mc:AlternateContent>
    <mc:AlternateContent xmlns:mc="http://schemas.openxmlformats.org/markup-compatibility/2006">
      <mc:Choice Requires="x14">
        <control shapeId="31835" r:id="rId22" name="ComboBox16">
          <controlPr defaultSize="0" autoLine="0" linkedCell="AJ16" listFillRange="Pay_Items!C3:D59" r:id="rId13">
            <anchor moveWithCells="1">
              <from>
                <xdr:col>35</xdr:col>
                <xdr:colOff>0</xdr:colOff>
                <xdr:row>15</xdr:row>
                <xdr:rowOff>0</xdr:rowOff>
              </from>
              <to>
                <xdr:col>36</xdr:col>
                <xdr:colOff>142875</xdr:colOff>
                <xdr:row>16</xdr:row>
                <xdr:rowOff>0</xdr:rowOff>
              </to>
            </anchor>
          </controlPr>
        </control>
      </mc:Choice>
      <mc:Fallback>
        <control shapeId="31835" r:id="rId22" name="ComboBox16"/>
      </mc:Fallback>
    </mc:AlternateContent>
    <mc:AlternateContent xmlns:mc="http://schemas.openxmlformats.org/markup-compatibility/2006">
      <mc:Choice Requires="x14">
        <control shapeId="31834" r:id="rId23" name="ComboBox13">
          <controlPr defaultSize="0" autoLine="0" linkedCell="AJ13" listFillRange="Pay_Items!C3:D59" r:id="rId24">
            <anchor moveWithCells="1">
              <from>
                <xdr:col>35</xdr:col>
                <xdr:colOff>0</xdr:colOff>
                <xdr:row>12</xdr:row>
                <xdr:rowOff>0</xdr:rowOff>
              </from>
              <to>
                <xdr:col>36</xdr:col>
                <xdr:colOff>142875</xdr:colOff>
                <xdr:row>13</xdr:row>
                <xdr:rowOff>0</xdr:rowOff>
              </to>
            </anchor>
          </controlPr>
        </control>
      </mc:Choice>
      <mc:Fallback>
        <control shapeId="31834" r:id="rId23" name="ComboBox13"/>
      </mc:Fallback>
    </mc:AlternateContent>
    <mc:AlternateContent xmlns:mc="http://schemas.openxmlformats.org/markup-compatibility/2006">
      <mc:Choice Requires="x14">
        <control shapeId="31833" r:id="rId25" name="ComboBox12">
          <controlPr defaultSize="0" autoLine="0" linkedCell="AJ14" listFillRange="Pay_Items!C3:D59" r:id="rId26">
            <anchor moveWithCells="1">
              <from>
                <xdr:col>35</xdr:col>
                <xdr:colOff>0</xdr:colOff>
                <xdr:row>13</xdr:row>
                <xdr:rowOff>0</xdr:rowOff>
              </from>
              <to>
                <xdr:col>36</xdr:col>
                <xdr:colOff>142875</xdr:colOff>
                <xdr:row>14</xdr:row>
                <xdr:rowOff>0</xdr:rowOff>
              </to>
            </anchor>
          </controlPr>
        </control>
      </mc:Choice>
      <mc:Fallback>
        <control shapeId="31833" r:id="rId25" name="ComboBox12"/>
      </mc:Fallback>
    </mc:AlternateContent>
    <mc:AlternateContent xmlns:mc="http://schemas.openxmlformats.org/markup-compatibility/2006">
      <mc:Choice Requires="x14">
        <control shapeId="31831" r:id="rId27" name="ComboBox11">
          <controlPr defaultSize="0" autoLine="0" linkedCell="AB15" listFillRange="Pay_Items!C3:D59" r:id="rId7">
            <anchor moveWithCells="1">
              <from>
                <xdr:col>27</xdr:col>
                <xdr:colOff>0</xdr:colOff>
                <xdr:row>14</xdr:row>
                <xdr:rowOff>0</xdr:rowOff>
              </from>
              <to>
                <xdr:col>28</xdr:col>
                <xdr:colOff>152400</xdr:colOff>
                <xdr:row>15</xdr:row>
                <xdr:rowOff>0</xdr:rowOff>
              </to>
            </anchor>
          </controlPr>
        </control>
      </mc:Choice>
      <mc:Fallback>
        <control shapeId="31831" r:id="rId27" name="ComboBox11"/>
      </mc:Fallback>
    </mc:AlternateContent>
    <mc:AlternateContent xmlns:mc="http://schemas.openxmlformats.org/markup-compatibility/2006">
      <mc:Choice Requires="x14">
        <control shapeId="31830" r:id="rId28" name="ComboBox10">
          <controlPr defaultSize="0" autoLine="0" linkedCell="AB14" listFillRange="Pay_Items!C3:D59" r:id="rId5">
            <anchor moveWithCells="1">
              <from>
                <xdr:col>27</xdr:col>
                <xdr:colOff>0</xdr:colOff>
                <xdr:row>13</xdr:row>
                <xdr:rowOff>0</xdr:rowOff>
              </from>
              <to>
                <xdr:col>28</xdr:col>
                <xdr:colOff>152400</xdr:colOff>
                <xdr:row>14</xdr:row>
                <xdr:rowOff>0</xdr:rowOff>
              </to>
            </anchor>
          </controlPr>
        </control>
      </mc:Choice>
      <mc:Fallback>
        <control shapeId="31830" r:id="rId28" name="ComboBox10"/>
      </mc:Fallback>
    </mc:AlternateContent>
    <mc:AlternateContent xmlns:mc="http://schemas.openxmlformats.org/markup-compatibility/2006">
      <mc:Choice Requires="x14">
        <control shapeId="31787" r:id="rId29" name="ComboBox2">
          <controlPr defaultSize="0" autoLine="0" linkedCell="C17" listFillRange="Pay_Items!C3:D59" r:id="rId30">
            <anchor moveWithCells="1">
              <from>
                <xdr:col>2</xdr:col>
                <xdr:colOff>19050</xdr:colOff>
                <xdr:row>16</xdr:row>
                <xdr:rowOff>0</xdr:rowOff>
              </from>
              <to>
                <xdr:col>3</xdr:col>
                <xdr:colOff>9525</xdr:colOff>
                <xdr:row>16</xdr:row>
                <xdr:rowOff>238125</xdr:rowOff>
              </to>
            </anchor>
          </controlPr>
        </control>
      </mc:Choice>
      <mc:Fallback>
        <control shapeId="31787" r:id="rId29" name="ComboBox2"/>
      </mc:Fallback>
    </mc:AlternateContent>
    <mc:AlternateContent xmlns:mc="http://schemas.openxmlformats.org/markup-compatibility/2006">
      <mc:Choice Requires="x14">
        <control shapeId="31788" r:id="rId31" name="ComboBox32">
          <controlPr defaultSize="0" autoLine="0" linkedCell="C13" listFillRange="Pay_Items!C3:D59" r:id="rId30">
            <anchor moveWithCells="1">
              <from>
                <xdr:col>2</xdr:col>
                <xdr:colOff>19050</xdr:colOff>
                <xdr:row>12</xdr:row>
                <xdr:rowOff>0</xdr:rowOff>
              </from>
              <to>
                <xdr:col>3</xdr:col>
                <xdr:colOff>9525</xdr:colOff>
                <xdr:row>12</xdr:row>
                <xdr:rowOff>238125</xdr:rowOff>
              </to>
            </anchor>
          </controlPr>
        </control>
      </mc:Choice>
      <mc:Fallback>
        <control shapeId="31788" r:id="rId31" name="ComboBox32"/>
      </mc:Fallback>
    </mc:AlternateContent>
    <mc:AlternateContent xmlns:mc="http://schemas.openxmlformats.org/markup-compatibility/2006">
      <mc:Choice Requires="x14">
        <control shapeId="31789" r:id="rId32" name="ComboBox1">
          <controlPr defaultSize="0" autoLine="0" linkedCell="C14" listFillRange="Pay_Items!C3:D59" r:id="rId30">
            <anchor moveWithCells="1">
              <from>
                <xdr:col>2</xdr:col>
                <xdr:colOff>19050</xdr:colOff>
                <xdr:row>13</xdr:row>
                <xdr:rowOff>0</xdr:rowOff>
              </from>
              <to>
                <xdr:col>3</xdr:col>
                <xdr:colOff>9525</xdr:colOff>
                <xdr:row>13</xdr:row>
                <xdr:rowOff>238125</xdr:rowOff>
              </to>
            </anchor>
          </controlPr>
        </control>
      </mc:Choice>
      <mc:Fallback>
        <control shapeId="31789" r:id="rId32" name="ComboBox1"/>
      </mc:Fallback>
    </mc:AlternateContent>
    <mc:AlternateContent xmlns:mc="http://schemas.openxmlformats.org/markup-compatibility/2006">
      <mc:Choice Requires="x14">
        <control shapeId="31790" r:id="rId33" name="ComboBox3">
          <controlPr defaultSize="0" autoLine="0" linkedCell="C15" listFillRange="Pay_Items!C3:D59" r:id="rId30">
            <anchor moveWithCells="1">
              <from>
                <xdr:col>2</xdr:col>
                <xdr:colOff>19050</xdr:colOff>
                <xdr:row>14</xdr:row>
                <xdr:rowOff>0</xdr:rowOff>
              </from>
              <to>
                <xdr:col>3</xdr:col>
                <xdr:colOff>9525</xdr:colOff>
                <xdr:row>14</xdr:row>
                <xdr:rowOff>238125</xdr:rowOff>
              </to>
            </anchor>
          </controlPr>
        </control>
      </mc:Choice>
      <mc:Fallback>
        <control shapeId="31790" r:id="rId33" name="ComboBox3"/>
      </mc:Fallback>
    </mc:AlternateContent>
    <mc:AlternateContent xmlns:mc="http://schemas.openxmlformats.org/markup-compatibility/2006">
      <mc:Choice Requires="x14">
        <control shapeId="31791" r:id="rId34" name="ComboBox4">
          <controlPr defaultSize="0" autoLine="0" linkedCell="C16" listFillRange="Pay_Items!C3:D59" r:id="rId30">
            <anchor moveWithCells="1">
              <from>
                <xdr:col>2</xdr:col>
                <xdr:colOff>19050</xdr:colOff>
                <xdr:row>15</xdr:row>
                <xdr:rowOff>0</xdr:rowOff>
              </from>
              <to>
                <xdr:col>3</xdr:col>
                <xdr:colOff>9525</xdr:colOff>
                <xdr:row>15</xdr:row>
                <xdr:rowOff>238125</xdr:rowOff>
              </to>
            </anchor>
          </controlPr>
        </control>
      </mc:Choice>
      <mc:Fallback>
        <control shapeId="31791" r:id="rId34" name="ComboBox4"/>
      </mc:Fallback>
    </mc:AlternateContent>
    <mc:AlternateContent xmlns:mc="http://schemas.openxmlformats.org/markup-compatibility/2006">
      <mc:Choice Requires="x14">
        <control shapeId="31792" r:id="rId35" name="ComboBox5">
          <controlPr defaultSize="0" autoLine="0" linkedCell="C18" listFillRange="Pay_Items!C3:D59" r:id="rId36">
            <anchor moveWithCells="1">
              <from>
                <xdr:col>2</xdr:col>
                <xdr:colOff>19050</xdr:colOff>
                <xdr:row>17</xdr:row>
                <xdr:rowOff>0</xdr:rowOff>
              </from>
              <to>
                <xdr:col>3</xdr:col>
                <xdr:colOff>9525</xdr:colOff>
                <xdr:row>18</xdr:row>
                <xdr:rowOff>0</xdr:rowOff>
              </to>
            </anchor>
          </controlPr>
        </control>
      </mc:Choice>
      <mc:Fallback>
        <control shapeId="31792" r:id="rId35" name="ComboBox5"/>
      </mc:Fallback>
    </mc:AlternateContent>
    <mc:AlternateContent xmlns:mc="http://schemas.openxmlformats.org/markup-compatibility/2006">
      <mc:Choice Requires="x14">
        <control shapeId="31793" r:id="rId37" name="ComboBox6">
          <controlPr defaultSize="0" autoLine="0" linkedCell="C19" listFillRange="Pay_Items!C3:D59" r:id="rId36">
            <anchor moveWithCells="1">
              <from>
                <xdr:col>2</xdr:col>
                <xdr:colOff>19050</xdr:colOff>
                <xdr:row>18</xdr:row>
                <xdr:rowOff>0</xdr:rowOff>
              </from>
              <to>
                <xdr:col>3</xdr:col>
                <xdr:colOff>9525</xdr:colOff>
                <xdr:row>19</xdr:row>
                <xdr:rowOff>0</xdr:rowOff>
              </to>
            </anchor>
          </controlPr>
        </control>
      </mc:Choice>
      <mc:Fallback>
        <control shapeId="31793" r:id="rId37" name="ComboBox6"/>
      </mc:Fallback>
    </mc:AlternateContent>
    <mc:AlternateContent xmlns:mc="http://schemas.openxmlformats.org/markup-compatibility/2006">
      <mc:Choice Requires="x14">
        <control shapeId="31794" r:id="rId38" name="ComboBox7">
          <controlPr defaultSize="0" autoLine="0" linkedCell="C22" listFillRange="Pay_Items!C3:D59" r:id="rId36">
            <anchor moveWithCells="1">
              <from>
                <xdr:col>2</xdr:col>
                <xdr:colOff>19050</xdr:colOff>
                <xdr:row>21</xdr:row>
                <xdr:rowOff>0</xdr:rowOff>
              </from>
              <to>
                <xdr:col>3</xdr:col>
                <xdr:colOff>9525</xdr:colOff>
                <xdr:row>22</xdr:row>
                <xdr:rowOff>0</xdr:rowOff>
              </to>
            </anchor>
          </controlPr>
        </control>
      </mc:Choice>
      <mc:Fallback>
        <control shapeId="31794" r:id="rId38" name="ComboBox7"/>
      </mc:Fallback>
    </mc:AlternateContent>
    <mc:AlternateContent xmlns:mc="http://schemas.openxmlformats.org/markup-compatibility/2006">
      <mc:Choice Requires="x14">
        <control shapeId="31795" r:id="rId39" name="ComboBox8">
          <controlPr defaultSize="0" autoLine="0" linkedCell="C20" listFillRange="Pay_Items!C3:D59" r:id="rId36">
            <anchor moveWithCells="1">
              <from>
                <xdr:col>2</xdr:col>
                <xdr:colOff>19050</xdr:colOff>
                <xdr:row>19</xdr:row>
                <xdr:rowOff>0</xdr:rowOff>
              </from>
              <to>
                <xdr:col>3</xdr:col>
                <xdr:colOff>9525</xdr:colOff>
                <xdr:row>20</xdr:row>
                <xdr:rowOff>0</xdr:rowOff>
              </to>
            </anchor>
          </controlPr>
        </control>
      </mc:Choice>
      <mc:Fallback>
        <control shapeId="31795" r:id="rId39" name="ComboBox8"/>
      </mc:Fallback>
    </mc:AlternateContent>
    <mc:AlternateContent xmlns:mc="http://schemas.openxmlformats.org/markup-compatibility/2006">
      <mc:Choice Requires="x14">
        <control shapeId="31796" r:id="rId40" name="ComboBox9">
          <controlPr defaultSize="0" autoLine="0" linkedCell="C21" listFillRange="Pay_Items!C3:D59" r:id="rId36">
            <anchor moveWithCells="1">
              <from>
                <xdr:col>2</xdr:col>
                <xdr:colOff>19050</xdr:colOff>
                <xdr:row>20</xdr:row>
                <xdr:rowOff>0</xdr:rowOff>
              </from>
              <to>
                <xdr:col>3</xdr:col>
                <xdr:colOff>9525</xdr:colOff>
                <xdr:row>21</xdr:row>
                <xdr:rowOff>0</xdr:rowOff>
              </to>
            </anchor>
          </controlPr>
        </control>
      </mc:Choice>
      <mc:Fallback>
        <control shapeId="31796" r:id="rId40" name="ComboBox9"/>
      </mc:Fallback>
    </mc:AlternateContent>
    <mc:AlternateContent xmlns:mc="http://schemas.openxmlformats.org/markup-compatibility/2006">
      <mc:Choice Requires="x14">
        <control shapeId="31797" r:id="rId41" name="ComboBox14">
          <controlPr defaultSize="0" autoLine="0" linkedCell="L14" listFillRange="Pay_Items!C3:D59" r:id="rId42">
            <anchor moveWithCells="1">
              <from>
                <xdr:col>11</xdr:col>
                <xdr:colOff>19050</xdr:colOff>
                <xdr:row>13</xdr:row>
                <xdr:rowOff>0</xdr:rowOff>
              </from>
              <to>
                <xdr:col>12</xdr:col>
                <xdr:colOff>114300</xdr:colOff>
                <xdr:row>13</xdr:row>
                <xdr:rowOff>238125</xdr:rowOff>
              </to>
            </anchor>
          </controlPr>
        </control>
      </mc:Choice>
      <mc:Fallback>
        <control shapeId="31797" r:id="rId41" name="ComboBox14"/>
      </mc:Fallback>
    </mc:AlternateContent>
    <mc:AlternateContent xmlns:mc="http://schemas.openxmlformats.org/markup-compatibility/2006">
      <mc:Choice Requires="x14">
        <control shapeId="31798" r:id="rId43" name="ComboBox15">
          <controlPr defaultSize="0" autoLine="0" linkedCell="L15" listFillRange="Pay_Items!C3:D59" r:id="rId44">
            <anchor moveWithCells="1">
              <from>
                <xdr:col>11</xdr:col>
                <xdr:colOff>19050</xdr:colOff>
                <xdr:row>14</xdr:row>
                <xdr:rowOff>0</xdr:rowOff>
              </from>
              <to>
                <xdr:col>12</xdr:col>
                <xdr:colOff>114300</xdr:colOff>
                <xdr:row>14</xdr:row>
                <xdr:rowOff>238125</xdr:rowOff>
              </to>
            </anchor>
          </controlPr>
        </control>
      </mc:Choice>
      <mc:Fallback>
        <control shapeId="31798" r:id="rId43" name="ComboBox15"/>
      </mc:Fallback>
    </mc:AlternateContent>
    <mc:AlternateContent xmlns:mc="http://schemas.openxmlformats.org/markup-compatibility/2006">
      <mc:Choice Requires="x14">
        <control shapeId="31824" r:id="rId45" name="ComboBox35">
          <controlPr defaultSize="0" autoLine="0" linkedCell="T14" listFillRange="Pay_Items!C3:D59" r:id="rId13">
            <anchor moveWithCells="1">
              <from>
                <xdr:col>19</xdr:col>
                <xdr:colOff>0</xdr:colOff>
                <xdr:row>13</xdr:row>
                <xdr:rowOff>0</xdr:rowOff>
              </from>
              <to>
                <xdr:col>20</xdr:col>
                <xdr:colOff>114300</xdr:colOff>
                <xdr:row>14</xdr:row>
                <xdr:rowOff>0</xdr:rowOff>
              </to>
            </anchor>
          </controlPr>
        </control>
      </mc:Choice>
      <mc:Fallback>
        <control shapeId="31824" r:id="rId45" name="ComboBox35"/>
      </mc:Fallback>
    </mc:AlternateContent>
    <mc:AlternateContent xmlns:mc="http://schemas.openxmlformats.org/markup-compatibility/2006">
      <mc:Choice Requires="x14">
        <control shapeId="31825" r:id="rId46" name="ComboBox36">
          <controlPr defaultSize="0" autoLine="0" linkedCell="T16" listFillRange="Pay_Items!C3:D59" r:id="rId5">
            <anchor moveWithCells="1">
              <from>
                <xdr:col>19</xdr:col>
                <xdr:colOff>0</xdr:colOff>
                <xdr:row>15</xdr:row>
                <xdr:rowOff>0</xdr:rowOff>
              </from>
              <to>
                <xdr:col>20</xdr:col>
                <xdr:colOff>114300</xdr:colOff>
                <xdr:row>16</xdr:row>
                <xdr:rowOff>0</xdr:rowOff>
              </to>
            </anchor>
          </controlPr>
        </control>
      </mc:Choice>
      <mc:Fallback>
        <control shapeId="31825" r:id="rId46" name="ComboBox36"/>
      </mc:Fallback>
    </mc:AlternateContent>
    <mc:AlternateContent xmlns:mc="http://schemas.openxmlformats.org/markup-compatibility/2006">
      <mc:Choice Requires="x14">
        <control shapeId="31826" r:id="rId47" name="ComboBox37">
          <controlPr defaultSize="0" autoLine="0" linkedCell="T17" listFillRange="Pay_Items!C3:D59" r:id="rId7">
            <anchor moveWithCells="1">
              <from>
                <xdr:col>19</xdr:col>
                <xdr:colOff>0</xdr:colOff>
                <xdr:row>16</xdr:row>
                <xdr:rowOff>0</xdr:rowOff>
              </from>
              <to>
                <xdr:col>20</xdr:col>
                <xdr:colOff>114300</xdr:colOff>
                <xdr:row>17</xdr:row>
                <xdr:rowOff>0</xdr:rowOff>
              </to>
            </anchor>
          </controlPr>
        </control>
      </mc:Choice>
      <mc:Fallback>
        <control shapeId="31826" r:id="rId47" name="ComboBox37"/>
      </mc:Fallback>
    </mc:AlternateContent>
    <mc:AlternateContent xmlns:mc="http://schemas.openxmlformats.org/markup-compatibility/2006">
      <mc:Choice Requires="x14">
        <control shapeId="31827" r:id="rId48" name="ComboBox38">
          <controlPr defaultSize="0" autoLine="0" linkedCell="T13" listFillRange="Pay_Items!C3:D59" r:id="rId11">
            <anchor moveWithCells="1">
              <from>
                <xdr:col>19</xdr:col>
                <xdr:colOff>0</xdr:colOff>
                <xdr:row>12</xdr:row>
                <xdr:rowOff>0</xdr:rowOff>
              </from>
              <to>
                <xdr:col>20</xdr:col>
                <xdr:colOff>114300</xdr:colOff>
                <xdr:row>13</xdr:row>
                <xdr:rowOff>0</xdr:rowOff>
              </to>
            </anchor>
          </controlPr>
        </control>
      </mc:Choice>
      <mc:Fallback>
        <control shapeId="31827" r:id="rId48" name="ComboBox38"/>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BEBA4976-99B8-4103-B271-CCF9D105E1EE}">
          <x14:formula1>
            <xm:f>Pay_Items!$D$48:$D$53</xm:f>
          </x14:formula1>
          <xm:sqref>C7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E5FC6-E98A-41B8-BE27-7BC66189E51E}">
  <sheetPr codeName="Sheet16">
    <tabColor theme="0" tint="-0.34998626667073579"/>
  </sheetPr>
  <dimension ref="A1:E45"/>
  <sheetViews>
    <sheetView topLeftCell="A8" workbookViewId="0"/>
  </sheetViews>
  <sheetFormatPr defaultRowHeight="15" x14ac:dyDescent="0.25"/>
  <sheetData>
    <row r="1" spans="1:1" x14ac:dyDescent="0.25">
      <c r="A1" t="s">
        <v>587</v>
      </c>
    </row>
    <row r="45" spans="5:5" x14ac:dyDescent="0.25">
      <c r="E45" t="s">
        <v>589</v>
      </c>
    </row>
  </sheetData>
  <pageMargins left="0.7" right="0.7" top="0.75" bottom="0.75" header="0.3" footer="0.3"/>
</worksheet>
</file>

<file path=xl/worksheets/sheet14.xml><?xml version="1.0" encoding="utf-8"?>
<worksheet xmlns:r="http://schemas.openxmlformats.org/officeDocument/2006/relationships" xmlns="http://schemas.openxmlformats.org/spreadsheetml/2006/main">
  <sheetPr codeName="Sheet10">
    <tabColor rgb="FF92D050"/>
    <pageSetUpPr fitToPage="1"/>
  </sheetPr>
  <dimension ref="A1:AJ71"/>
  <sheetViews>
    <sheetView workbookViewId="0">
      <pane ySplit="3" topLeftCell="A4" activePane="bottomLeft" state="frozen"/>
      <selection pane="bottomLeft" activeCell="A1" sqref="A1"/>
    </sheetView>
  </sheetViews>
  <sheetFormatPr baseColWidth="8" defaultRowHeight="15"/>
  <cols>
    <col width="22" customWidth="1" min="1" max="1"/>
    <col width="32" customWidth="1" min="2" max="2"/>
    <col width="17" customWidth="1" min="3" max="3"/>
    <col width="17" customWidth="1" min="4" max="4"/>
    <col width="34" customWidth="1" min="5" max="5"/>
    <col width="3" customWidth="1" min="6" max="6"/>
    <col width="20" customWidth="1" min="7" max="7"/>
    <col width="24" customWidth="1" min="8" max="8"/>
    <col width="14" customWidth="1" min="9" max="9"/>
    <col width="14" customWidth="1" min="10" max="10"/>
    <col width="14" customWidth="1" min="11" max="11"/>
    <col width="14" customWidth="1" min="12" max="12"/>
    <col width="14" customWidth="1" min="13" max="13"/>
    <col width="14" customWidth="1" min="14" max="14"/>
    <col width="14" customWidth="1" min="15" max="15"/>
    <col width="14" customWidth="1" min="16" max="16"/>
    <col width="14" customWidth="1" min="17" max="17"/>
    <col width="14" customWidth="1" min="18" max="18"/>
    <col width="14" customWidth="1" min="19" max="19"/>
    <col width="14" customWidth="1" min="20" max="20"/>
    <col width="14" customWidth="1" min="21" max="21"/>
    <col width="14" customWidth="1" min="22" max="22"/>
    <col width="24" customWidth="1" min="23" max="23"/>
    <col width="13" customWidth="1" min="24" max="24"/>
    <col width="13" customWidth="1" min="25" max="25"/>
    <col width="13" customWidth="1" min="26" max="26"/>
    <col width="13" customWidth="1" min="27" max="27"/>
    <col width="13" customWidth="1" min="28" max="28"/>
    <col width="13" customWidth="1" min="29" max="29"/>
    <col width="13" customWidth="1" min="30" max="30"/>
    <col width="13" customWidth="1" min="31" max="31"/>
    <col width="13" customWidth="1" min="32" max="32"/>
    <col width="13" customWidth="1" min="33" max="33"/>
    <col width="13" customWidth="1" min="34" max="34"/>
    <col width="13" customWidth="1" min="35" max="35"/>
    <col width="13" customWidth="1" min="36" max="36"/>
    <col width="13" customWidth="1" min="37" max="37"/>
  </cols>
  <sheetData>
    <row r="1" ht="22" customHeight="1">
      <c r="A1" s="119">
        <f>HYPERLINK("#'General Information'!D9","◄ General Information")</f>
        <v/>
      </c>
      <c r="B1" s="120">
        <f>HYPERLINK("#Instructions!B9","Instructions")</f>
        <v/>
      </c>
      <c r="G1" s="121" t="inlineStr">
        <is>
          <t>LCCA SUMMARY</t>
        </is>
      </c>
      <c r="W1" s="122" t="inlineStr">
        <is>
          <t>CHART DATA (calculated automatically from the table on the left; do not edit)</t>
        </is>
      </c>
    </row>
    <row r="2">
      <c r="G2" s="123" t="inlineStr">
        <is>
          <t>Everything from this column onward calculates from the alternative worksheets and updates by itself. Columns A:E and "Chart 1" are written by the Alternative Setup form as before.</t>
        </is>
      </c>
    </row>
    <row r="3">
      <c r="A3" s="124" t="inlineStr">
        <is>
          <t>Alternative</t>
        </is>
      </c>
      <c r="B3" s="124" t="inlineStr">
        <is>
          <t>Name</t>
        </is>
      </c>
      <c r="C3" s="124" t="inlineStr">
        <is>
          <t>Initial Construction</t>
        </is>
      </c>
      <c r="D3" s="124" t="inlineStr">
        <is>
          <t>Present Worth</t>
        </is>
      </c>
      <c r="E3" s="124" t="inlineStr">
        <is>
          <t>Alternative Description</t>
        </is>
      </c>
      <c r="G3" s="124" t="inlineStr">
        <is>
          <t>Worksheet</t>
        </is>
      </c>
      <c r="H3" s="124" t="inlineStr">
        <is>
          <t>Alternative</t>
        </is>
      </c>
      <c r="I3" s="124" t="inlineStr">
        <is>
          <t>Type</t>
        </is>
      </c>
      <c r="J3" s="124" t="inlineStr">
        <is>
          <t>Initial construction</t>
        </is>
      </c>
      <c r="K3" s="124" t="inlineStr">
        <is>
          <t>Maintenance PW</t>
        </is>
      </c>
      <c r="L3" s="124" t="inlineStr">
        <is>
          <t>Rehabilitation PW</t>
        </is>
      </c>
      <c r="M3" s="124" t="inlineStr">
        <is>
          <t>Lost revenue PW</t>
        </is>
      </c>
      <c r="N3" s="124" t="inlineStr">
        <is>
          <t>Salvage PW</t>
        </is>
      </c>
      <c r="O3" s="124" t="inlineStr">
        <is>
          <t>Net present worth</t>
        </is>
      </c>
      <c r="P3" s="124" t="inlineStr">
        <is>
          <t>vs. lowest NPW</t>
        </is>
      </c>
      <c r="Q3" s="124" t="inlineStr">
        <is>
          <t>Closure days in period</t>
        </is>
      </c>
      <c r="R3" s="124" t="inlineStr">
        <is>
          <t>Runway availability</t>
        </is>
      </c>
      <c r="W3" s="122" t="inlineStr">
        <is>
          <t>Present worth by category</t>
        </is>
      </c>
    </row>
    <row r="4">
      <c r="G4" s="125">
        <f>IF(Database!$D$4="","",Database!$D$4)</f>
        <v/>
      </c>
      <c r="H4" s="125">
        <f>IF($G4="","",Database!$A$4)</f>
        <v/>
      </c>
      <c r="I4" s="125">
        <f>IF($G4="","",Database!$B$4)</f>
        <v/>
      </c>
      <c r="J4" s="126">
        <f>IF($G4="","",IFERROR(INDEX(INDIRECT("'"&amp;$G4&amp;"'!$G$1:$G$70"),MATCH("Total",INDIRECT("'"&amp;$G4&amp;"'!$A$1:$A$70"),0)),0))</f>
        <v/>
      </c>
      <c r="K4" s="126">
        <f>IF($G4="","",IFERROR(SUMIFS(INDIRECT("'"&amp;$G4&amp;"'!$E$37:$E$52"),INDIRECT("'"&amp;$G4&amp;"'!$B$37:$B$52"),"Maintenance*",INDIRECT("'"&amp;$G4&amp;"'!$B$37:$B$52"),"&lt;&gt;*Indirect*"),0))</f>
        <v/>
      </c>
      <c r="L4" s="126">
        <f>IF($G4="","",IFERROR(SUMIFS(INDIRECT("'"&amp;$G4&amp;"'!$E$37:$E$52"),INDIRECT("'"&amp;$G4&amp;"'!$B$37:$B$52"),"Rehabilitation*",INDIRECT("'"&amp;$G4&amp;"'!$B$37:$B$52"),"&lt;&gt;*Indirect*"),0))</f>
        <v/>
      </c>
      <c r="M4" s="126">
        <f>IF($G4="","",IFERROR(SUMIFS(INDIRECT("'"&amp;$G4&amp;"'!$E$37:$E$52"),INDIRECT("'"&amp;$G4&amp;"'!$B$37:$B$52"),"*Indirect*"),0))</f>
        <v/>
      </c>
      <c r="N4" s="126">
        <f>IF($G4="","",IFERROR(SUMIFS(INDIRECT("'"&amp;$G4&amp;"'!$E$37:$E$52"),INDIRECT("'"&amp;$G4&amp;"'!$B$37:$B$52"),"Salvage*"),0))</f>
        <v/>
      </c>
      <c r="O4" s="126">
        <f>IF($G4="","",IFERROR(INDEX(INDIRECT("'"&amp;$G4&amp;"'!$E$1:$E$70"),MATCH("Net Present Worth",INDIRECT("'"&amp;$G4&amp;"'!$B$1:$B$70"),0)),0))</f>
        <v/>
      </c>
      <c r="P4" s="126">
        <f>IF($G4="","",O4-MIN($O$4:$O$7))</f>
        <v/>
      </c>
      <c r="Q4" s="125">
        <f>IF($G4="","",IFERROR(SUM(INDIRECT("'"&amp;$G4&amp;"'!$F$4:$F$10")),0))</f>
        <v/>
      </c>
      <c r="R4" s="127">
        <f>IF($G4="","",1-Q4/('General Information'!$D$33*365))</f>
        <v/>
      </c>
      <c r="W4" s="124" t="inlineStr">
        <is>
          <t>Category</t>
        </is>
      </c>
      <c r="X4" s="124">
        <f>IF($H$4="","Alt "&amp;1,$H$4)</f>
        <v/>
      </c>
      <c r="Y4" s="124">
        <f>IF($H$5="","Alt "&amp;2,$H$5)</f>
        <v/>
      </c>
      <c r="Z4" s="124">
        <f>IF($H$6="","Alt "&amp;3,$H$6)</f>
        <v/>
      </c>
      <c r="AA4" s="124">
        <f>IF($H$7="","Alt "&amp;4,$H$7)</f>
        <v/>
      </c>
    </row>
    <row r="5">
      <c r="G5" s="125">
        <f>IF(Database!$D$5="","",Database!$D$5)</f>
        <v/>
      </c>
      <c r="H5" s="125">
        <f>IF($G5="","",Database!$A$5)</f>
        <v/>
      </c>
      <c r="I5" s="125">
        <f>IF($G5="","",Database!$B$5)</f>
        <v/>
      </c>
      <c r="J5" s="126">
        <f>IF($G5="","",IFERROR(INDEX(INDIRECT("'"&amp;$G5&amp;"'!$G$1:$G$70"),MATCH("Total",INDIRECT("'"&amp;$G5&amp;"'!$A$1:$A$70"),0)),0))</f>
        <v/>
      </c>
      <c r="K5" s="126">
        <f>IF($G5="","",IFERROR(SUMIFS(INDIRECT("'"&amp;$G5&amp;"'!$E$37:$E$52"),INDIRECT("'"&amp;$G5&amp;"'!$B$37:$B$52"),"Maintenance*",INDIRECT("'"&amp;$G5&amp;"'!$B$37:$B$52"),"&lt;&gt;*Indirect*"),0))</f>
        <v/>
      </c>
      <c r="L5" s="126">
        <f>IF($G5="","",IFERROR(SUMIFS(INDIRECT("'"&amp;$G5&amp;"'!$E$37:$E$52"),INDIRECT("'"&amp;$G5&amp;"'!$B$37:$B$52"),"Rehabilitation*",INDIRECT("'"&amp;$G5&amp;"'!$B$37:$B$52"),"&lt;&gt;*Indirect*"),0))</f>
        <v/>
      </c>
      <c r="M5" s="126">
        <f>IF($G5="","",IFERROR(SUMIFS(INDIRECT("'"&amp;$G5&amp;"'!$E$37:$E$52"),INDIRECT("'"&amp;$G5&amp;"'!$B$37:$B$52"),"*Indirect*"),0))</f>
        <v/>
      </c>
      <c r="N5" s="126">
        <f>IF($G5="","",IFERROR(SUMIFS(INDIRECT("'"&amp;$G5&amp;"'!$E$37:$E$52"),INDIRECT("'"&amp;$G5&amp;"'!$B$37:$B$52"),"Salvage*"),0))</f>
        <v/>
      </c>
      <c r="O5" s="126">
        <f>IF($G5="","",IFERROR(INDEX(INDIRECT("'"&amp;$G5&amp;"'!$E$1:$E$70"),MATCH("Net Present Worth",INDIRECT("'"&amp;$G5&amp;"'!$B$1:$B$70"),0)),0))</f>
        <v/>
      </c>
      <c r="P5" s="126">
        <f>IF($G5="","",O5-MIN($O$4:$O$7))</f>
        <v/>
      </c>
      <c r="Q5" s="125">
        <f>IF($G5="","",IFERROR(SUM(INDIRECT("'"&amp;$G5&amp;"'!$F$4:$F$10")),0))</f>
        <v/>
      </c>
      <c r="R5" s="127">
        <f>IF($G5="","",1-Q5/('General Information'!$D$33*365))</f>
        <v/>
      </c>
      <c r="W5" s="128" t="inlineStr">
        <is>
          <t>Initial construction</t>
        </is>
      </c>
      <c r="X5" s="129">
        <f>IF(J4="",0,J4)</f>
        <v/>
      </c>
      <c r="Y5" s="129">
        <f>IF(J5="",0,J5)</f>
        <v/>
      </c>
      <c r="Z5" s="129">
        <f>IF(J6="",0,J6)</f>
        <v/>
      </c>
      <c r="AA5" s="129">
        <f>IF(J7="",0,J7)</f>
        <v/>
      </c>
    </row>
    <row r="6">
      <c r="G6" s="125">
        <f>IF(Database!$D$6="","",Database!$D$6)</f>
        <v/>
      </c>
      <c r="H6" s="125">
        <f>IF($G6="","",Database!$A$6)</f>
        <v/>
      </c>
      <c r="I6" s="125">
        <f>IF($G6="","",Database!$B$6)</f>
        <v/>
      </c>
      <c r="J6" s="126">
        <f>IF($G6="","",IFERROR(INDEX(INDIRECT("'"&amp;$G6&amp;"'!$G$1:$G$70"),MATCH("Total",INDIRECT("'"&amp;$G6&amp;"'!$A$1:$A$70"),0)),0))</f>
        <v/>
      </c>
      <c r="K6" s="126">
        <f>IF($G6="","",IFERROR(SUMIFS(INDIRECT("'"&amp;$G6&amp;"'!$E$37:$E$52"),INDIRECT("'"&amp;$G6&amp;"'!$B$37:$B$52"),"Maintenance*",INDIRECT("'"&amp;$G6&amp;"'!$B$37:$B$52"),"&lt;&gt;*Indirect*"),0))</f>
        <v/>
      </c>
      <c r="L6" s="126">
        <f>IF($G6="","",IFERROR(SUMIFS(INDIRECT("'"&amp;$G6&amp;"'!$E$37:$E$52"),INDIRECT("'"&amp;$G6&amp;"'!$B$37:$B$52"),"Rehabilitation*",INDIRECT("'"&amp;$G6&amp;"'!$B$37:$B$52"),"&lt;&gt;*Indirect*"),0))</f>
        <v/>
      </c>
      <c r="M6" s="126">
        <f>IF($G6="","",IFERROR(SUMIFS(INDIRECT("'"&amp;$G6&amp;"'!$E$37:$E$52"),INDIRECT("'"&amp;$G6&amp;"'!$B$37:$B$52"),"*Indirect*"),0))</f>
        <v/>
      </c>
      <c r="N6" s="126">
        <f>IF($G6="","",IFERROR(SUMIFS(INDIRECT("'"&amp;$G6&amp;"'!$E$37:$E$52"),INDIRECT("'"&amp;$G6&amp;"'!$B$37:$B$52"),"Salvage*"),0))</f>
        <v/>
      </c>
      <c r="O6" s="126">
        <f>IF($G6="","",IFERROR(INDEX(INDIRECT("'"&amp;$G6&amp;"'!$E$1:$E$70"),MATCH("Net Present Worth",INDIRECT("'"&amp;$G6&amp;"'!$B$1:$B$70"),0)),0))</f>
        <v/>
      </c>
      <c r="P6" s="126">
        <f>IF($G6="","",O6-MIN($O$4:$O$7))</f>
        <v/>
      </c>
      <c r="Q6" s="125">
        <f>IF($G6="","",IFERROR(SUM(INDIRECT("'"&amp;$G6&amp;"'!$F$4:$F$10")),0))</f>
        <v/>
      </c>
      <c r="R6" s="127">
        <f>IF($G6="","",1-Q6/('General Information'!$D$33*365))</f>
        <v/>
      </c>
      <c r="W6" s="128" t="inlineStr">
        <is>
          <t>Maintenance</t>
        </is>
      </c>
      <c r="X6" s="129">
        <f>IF(K4="",0,K4)</f>
        <v/>
      </c>
      <c r="Y6" s="129">
        <f>IF(K5="",0,K5)</f>
        <v/>
      </c>
      <c r="Z6" s="129">
        <f>IF(K6="",0,K6)</f>
        <v/>
      </c>
      <c r="AA6" s="129">
        <f>IF(K7="",0,K7)</f>
        <v/>
      </c>
    </row>
    <row r="7">
      <c r="G7" s="125">
        <f>IF(Database!$D$7="","",Database!$D$7)</f>
        <v/>
      </c>
      <c r="H7" s="125">
        <f>IF($G7="","",Database!$A$7)</f>
        <v/>
      </c>
      <c r="I7" s="125">
        <f>IF($G7="","",Database!$B$7)</f>
        <v/>
      </c>
      <c r="J7" s="126">
        <f>IF($G7="","",IFERROR(INDEX(INDIRECT("'"&amp;$G7&amp;"'!$G$1:$G$70"),MATCH("Total",INDIRECT("'"&amp;$G7&amp;"'!$A$1:$A$70"),0)),0))</f>
        <v/>
      </c>
      <c r="K7" s="126">
        <f>IF($G7="","",IFERROR(SUMIFS(INDIRECT("'"&amp;$G7&amp;"'!$E$37:$E$52"),INDIRECT("'"&amp;$G7&amp;"'!$B$37:$B$52"),"Maintenance*",INDIRECT("'"&amp;$G7&amp;"'!$B$37:$B$52"),"&lt;&gt;*Indirect*"),0))</f>
        <v/>
      </c>
      <c r="L7" s="126">
        <f>IF($G7="","",IFERROR(SUMIFS(INDIRECT("'"&amp;$G7&amp;"'!$E$37:$E$52"),INDIRECT("'"&amp;$G7&amp;"'!$B$37:$B$52"),"Rehabilitation*",INDIRECT("'"&amp;$G7&amp;"'!$B$37:$B$52"),"&lt;&gt;*Indirect*"),0))</f>
        <v/>
      </c>
      <c r="M7" s="126">
        <f>IF($G7="","",IFERROR(SUMIFS(INDIRECT("'"&amp;$G7&amp;"'!$E$37:$E$52"),INDIRECT("'"&amp;$G7&amp;"'!$B$37:$B$52"),"*Indirect*"),0))</f>
        <v/>
      </c>
      <c r="N7" s="126">
        <f>IF($G7="","",IFERROR(SUMIFS(INDIRECT("'"&amp;$G7&amp;"'!$E$37:$E$52"),INDIRECT("'"&amp;$G7&amp;"'!$B$37:$B$52"),"Salvage*"),0))</f>
        <v/>
      </c>
      <c r="O7" s="126">
        <f>IF($G7="","",IFERROR(INDEX(INDIRECT("'"&amp;$G7&amp;"'!$E$1:$E$70"),MATCH("Net Present Worth",INDIRECT("'"&amp;$G7&amp;"'!$B$1:$B$70"),0)),0))</f>
        <v/>
      </c>
      <c r="P7" s="126">
        <f>IF($G7="","",O7-MIN($O$4:$O$7))</f>
        <v/>
      </c>
      <c r="Q7" s="125">
        <f>IF($G7="","",IFERROR(SUM(INDIRECT("'"&amp;$G7&amp;"'!$F$4:$F$10")),0))</f>
        <v/>
      </c>
      <c r="R7" s="127">
        <f>IF($G7="","",1-Q7/('General Information'!$D$33*365))</f>
        <v/>
      </c>
      <c r="W7" s="128" t="inlineStr">
        <is>
          <t>Rehabilitation</t>
        </is>
      </c>
      <c r="X7" s="129">
        <f>IF(L4="",0,L4)</f>
        <v/>
      </c>
      <c r="Y7" s="129">
        <f>IF(L5="",0,L5)</f>
        <v/>
      </c>
      <c r="Z7" s="129">
        <f>IF(L6="",0,L6)</f>
        <v/>
      </c>
      <c r="AA7" s="129">
        <f>IF(L7="",0,L7)</f>
        <v/>
      </c>
    </row>
    <row r="8">
      <c r="W8" s="128" t="inlineStr">
        <is>
          <t>Lost revenue</t>
        </is>
      </c>
      <c r="X8" s="129">
        <f>IF(M4="",0,M4)</f>
        <v/>
      </c>
      <c r="Y8" s="129">
        <f>IF(M5="",0,M5)</f>
        <v/>
      </c>
      <c r="Z8" s="129">
        <f>IF(M6="",0,M6)</f>
        <v/>
      </c>
      <c r="AA8" s="129">
        <f>IF(M7="",0,M7)</f>
        <v/>
      </c>
    </row>
    <row r="9">
      <c r="G9" s="130">
        <f>IF(COUNT($O$4:$O$7)=0,"No alternatives yet. Go to General Information and click Alternative Setup.","Lowest present worth: "&amp;INDEX($H$4:$H$7,MATCH(MIN($O$4:$O$7),$O$4:$O$7,0))&amp;"   |   margin to next: "&amp;TEXT(SMALL($O$4:$O$7,MIN(2,COUNT($O$4:$O$7)))-MIN($O$4:$O$7),"$#,##0")&amp;"   |   "&amp;'General Information'!$D$34&amp;"% over "&amp;'General Information'!$D$33&amp;" years   |   lost revenue: "&amp;'General Information'!$D$38)</f>
        <v/>
      </c>
      <c r="H9" s="131" t="n"/>
      <c r="I9" s="131" t="n"/>
      <c r="J9" s="131" t="n"/>
      <c r="K9" s="131" t="n"/>
      <c r="L9" s="131" t="n"/>
      <c r="M9" s="131" t="n"/>
      <c r="N9" s="131" t="n"/>
      <c r="O9" s="131" t="n"/>
      <c r="P9" s="131" t="n"/>
      <c r="Q9" s="131" t="n"/>
      <c r="R9" s="131" t="n"/>
      <c r="W9" s="128" t="inlineStr">
        <is>
          <t>Salvage</t>
        </is>
      </c>
      <c r="X9" s="129">
        <f>IF(N4="",0,N4)</f>
        <v/>
      </c>
      <c r="Y9" s="129">
        <f>IF(N5="",0,N5)</f>
        <v/>
      </c>
      <c r="Z9" s="129">
        <f>IF(N6="",0,N6)</f>
        <v/>
      </c>
      <c r="AA9" s="129">
        <f>IF(N7="",0,N7)</f>
        <v/>
      </c>
    </row>
    <row r="10">
      <c r="G10" s="123">
        <f>IF(COUNT($O$4:$O$7)&lt;2,"",IF(INDEX($H$4:$H$7,MATCH(MIN($O$4:$O$7),$O$4:$O$7,0))=INDEX($H$4:$H$7,MATCH(MIN($X$32:$AA$32),$X$32:$AA$32,0)),"The same alternative is lowest at the FAA AIP rate of 7%.","At the FAA AIP rate of 7% the lowest-cost alternative changes: see chart 2."))</f>
        <v/>
      </c>
      <c r="W10" s="122" t="inlineStr">
        <is>
          <t>Net present worth vs. discount rate</t>
        </is>
      </c>
    </row>
    <row r="11">
      <c r="W11" s="124" t="inlineStr">
        <is>
          <t>Rate (%)</t>
        </is>
      </c>
      <c r="X11" s="124">
        <f>X$4</f>
        <v/>
      </c>
      <c r="Y11" s="124">
        <f>Y$4</f>
        <v/>
      </c>
      <c r="Z11" s="124">
        <f>Z$4</f>
        <v/>
      </c>
      <c r="AA11" s="124">
        <f>AA$4</f>
        <v/>
      </c>
    </row>
    <row r="12">
      <c r="G12" s="121" t="inlineStr">
        <is>
          <t>CHARTS</t>
        </is>
      </c>
      <c r="W12" s="132" t="n">
        <v>2</v>
      </c>
      <c r="X12" s="129">
        <f>IF($G$4="",0,IFERROR($J$4+SUMPRODUCT((INDIRECT("'"&amp;$G$4&amp;"'!$C$37:$C$52")&lt;='General Information'!$D$33)*INDIRECT("'"&amp;$G$4&amp;"'!$D$37:$D$52")/(1+$W12/100)^INDIRECT("'"&amp;$G$4&amp;"'!$C$37:$C$52")),0))</f>
        <v/>
      </c>
      <c r="Y12" s="129">
        <f>IF($G$5="",0,IFERROR($J$5+SUMPRODUCT((INDIRECT("'"&amp;$G$5&amp;"'!$C$37:$C$52")&lt;='General Information'!$D$33)*INDIRECT("'"&amp;$G$5&amp;"'!$D$37:$D$52")/(1+$W12/100)^INDIRECT("'"&amp;$G$5&amp;"'!$C$37:$C$52")),0))</f>
        <v/>
      </c>
      <c r="Z12" s="129">
        <f>IF($G$6="",0,IFERROR($J$6+SUMPRODUCT((INDIRECT("'"&amp;$G$6&amp;"'!$C$37:$C$52")&lt;='General Information'!$D$33)*INDIRECT("'"&amp;$G$6&amp;"'!$D$37:$D$52")/(1+$W12/100)^INDIRECT("'"&amp;$G$6&amp;"'!$C$37:$C$52")),0))</f>
        <v/>
      </c>
      <c r="AA12" s="129">
        <f>IF($G$7="",0,IFERROR($J$7+SUMPRODUCT((INDIRECT("'"&amp;$G$7&amp;"'!$C$37:$C$52")&lt;='General Information'!$D$33)*INDIRECT("'"&amp;$G$7&amp;"'!$D$37:$D$52")/(1+$W12/100)^INDIRECT("'"&amp;$G$7&amp;"'!$C$37:$C$52")),0))</f>
        <v/>
      </c>
    </row>
    <row r="13">
      <c r="W13" s="132" t="n">
        <v>2.25</v>
      </c>
      <c r="X13" s="129">
        <f>IF($G$4="",0,IFERROR($J$4+SUMPRODUCT((INDIRECT("'"&amp;$G$4&amp;"'!$C$37:$C$52")&lt;='General Information'!$D$33)*INDIRECT("'"&amp;$G$4&amp;"'!$D$37:$D$52")/(1+$W13/100)^INDIRECT("'"&amp;$G$4&amp;"'!$C$37:$C$52")),0))</f>
        <v/>
      </c>
      <c r="Y13" s="129">
        <f>IF($G$5="",0,IFERROR($J$5+SUMPRODUCT((INDIRECT("'"&amp;$G$5&amp;"'!$C$37:$C$52")&lt;='General Information'!$D$33)*INDIRECT("'"&amp;$G$5&amp;"'!$D$37:$D$52")/(1+$W13/100)^INDIRECT("'"&amp;$G$5&amp;"'!$C$37:$C$52")),0))</f>
        <v/>
      </c>
      <c r="Z13" s="129">
        <f>IF($G$6="",0,IFERROR($J$6+SUMPRODUCT((INDIRECT("'"&amp;$G$6&amp;"'!$C$37:$C$52")&lt;='General Information'!$D$33)*INDIRECT("'"&amp;$G$6&amp;"'!$D$37:$D$52")/(1+$W13/100)^INDIRECT("'"&amp;$G$6&amp;"'!$C$37:$C$52")),0))</f>
        <v/>
      </c>
      <c r="AA13" s="129">
        <f>IF($G$7="",0,IFERROR($J$7+SUMPRODUCT((INDIRECT("'"&amp;$G$7&amp;"'!$C$37:$C$52")&lt;='General Information'!$D$33)*INDIRECT("'"&amp;$G$7&amp;"'!$D$37:$D$52")/(1+$W13/100)^INDIRECT("'"&amp;$G$7&amp;"'!$C$37:$C$52")),0))</f>
        <v/>
      </c>
    </row>
    <row r="14">
      <c r="W14" s="132" t="n">
        <v>2.5</v>
      </c>
      <c r="X14" s="129">
        <f>IF($G$4="",0,IFERROR($J$4+SUMPRODUCT((INDIRECT("'"&amp;$G$4&amp;"'!$C$37:$C$52")&lt;='General Information'!$D$33)*INDIRECT("'"&amp;$G$4&amp;"'!$D$37:$D$52")/(1+$W14/100)^INDIRECT("'"&amp;$G$4&amp;"'!$C$37:$C$52")),0))</f>
        <v/>
      </c>
      <c r="Y14" s="129">
        <f>IF($G$5="",0,IFERROR($J$5+SUMPRODUCT((INDIRECT("'"&amp;$G$5&amp;"'!$C$37:$C$52")&lt;='General Information'!$D$33)*INDIRECT("'"&amp;$G$5&amp;"'!$D$37:$D$52")/(1+$W14/100)^INDIRECT("'"&amp;$G$5&amp;"'!$C$37:$C$52")),0))</f>
        <v/>
      </c>
      <c r="Z14" s="129">
        <f>IF($G$6="",0,IFERROR($J$6+SUMPRODUCT((INDIRECT("'"&amp;$G$6&amp;"'!$C$37:$C$52")&lt;='General Information'!$D$33)*INDIRECT("'"&amp;$G$6&amp;"'!$D$37:$D$52")/(1+$W14/100)^INDIRECT("'"&amp;$G$6&amp;"'!$C$37:$C$52")),0))</f>
        <v/>
      </c>
      <c r="AA14" s="129">
        <f>IF($G$7="",0,IFERROR($J$7+SUMPRODUCT((INDIRECT("'"&amp;$G$7&amp;"'!$C$37:$C$52")&lt;='General Information'!$D$33)*INDIRECT("'"&amp;$G$7&amp;"'!$D$37:$D$52")/(1+$W14/100)^INDIRECT("'"&amp;$G$7&amp;"'!$C$37:$C$52")),0))</f>
        <v/>
      </c>
    </row>
    <row r="15">
      <c r="W15" s="132" t="n">
        <v>2.75</v>
      </c>
      <c r="X15" s="129">
        <f>IF($G$4="",0,IFERROR($J$4+SUMPRODUCT((INDIRECT("'"&amp;$G$4&amp;"'!$C$37:$C$52")&lt;='General Information'!$D$33)*INDIRECT("'"&amp;$G$4&amp;"'!$D$37:$D$52")/(1+$W15/100)^INDIRECT("'"&amp;$G$4&amp;"'!$C$37:$C$52")),0))</f>
        <v/>
      </c>
      <c r="Y15" s="129">
        <f>IF($G$5="",0,IFERROR($J$5+SUMPRODUCT((INDIRECT("'"&amp;$G$5&amp;"'!$C$37:$C$52")&lt;='General Information'!$D$33)*INDIRECT("'"&amp;$G$5&amp;"'!$D$37:$D$52")/(1+$W15/100)^INDIRECT("'"&amp;$G$5&amp;"'!$C$37:$C$52")),0))</f>
        <v/>
      </c>
      <c r="Z15" s="129">
        <f>IF($G$6="",0,IFERROR($J$6+SUMPRODUCT((INDIRECT("'"&amp;$G$6&amp;"'!$C$37:$C$52")&lt;='General Information'!$D$33)*INDIRECT("'"&amp;$G$6&amp;"'!$D$37:$D$52")/(1+$W15/100)^INDIRECT("'"&amp;$G$6&amp;"'!$C$37:$C$52")),0))</f>
        <v/>
      </c>
      <c r="AA15" s="129">
        <f>IF($G$7="",0,IFERROR($J$7+SUMPRODUCT((INDIRECT("'"&amp;$G$7&amp;"'!$C$37:$C$52")&lt;='General Information'!$D$33)*INDIRECT("'"&amp;$G$7&amp;"'!$D$37:$D$52")/(1+$W15/100)^INDIRECT("'"&amp;$G$7&amp;"'!$C$37:$C$52")),0))</f>
        <v/>
      </c>
    </row>
    <row r="16">
      <c r="W16" s="132" t="n">
        <v>3</v>
      </c>
      <c r="X16" s="129">
        <f>IF($G$4="",0,IFERROR($J$4+SUMPRODUCT((INDIRECT("'"&amp;$G$4&amp;"'!$C$37:$C$52")&lt;='General Information'!$D$33)*INDIRECT("'"&amp;$G$4&amp;"'!$D$37:$D$52")/(1+$W16/100)^INDIRECT("'"&amp;$G$4&amp;"'!$C$37:$C$52")),0))</f>
        <v/>
      </c>
      <c r="Y16" s="129">
        <f>IF($G$5="",0,IFERROR($J$5+SUMPRODUCT((INDIRECT("'"&amp;$G$5&amp;"'!$C$37:$C$52")&lt;='General Information'!$D$33)*INDIRECT("'"&amp;$G$5&amp;"'!$D$37:$D$52")/(1+$W16/100)^INDIRECT("'"&amp;$G$5&amp;"'!$C$37:$C$52")),0))</f>
        <v/>
      </c>
      <c r="Z16" s="129">
        <f>IF($G$6="",0,IFERROR($J$6+SUMPRODUCT((INDIRECT("'"&amp;$G$6&amp;"'!$C$37:$C$52")&lt;='General Information'!$D$33)*INDIRECT("'"&amp;$G$6&amp;"'!$D$37:$D$52")/(1+$W16/100)^INDIRECT("'"&amp;$G$6&amp;"'!$C$37:$C$52")),0))</f>
        <v/>
      </c>
      <c r="AA16" s="129">
        <f>IF($G$7="",0,IFERROR($J$7+SUMPRODUCT((INDIRECT("'"&amp;$G$7&amp;"'!$C$37:$C$52")&lt;='General Information'!$D$33)*INDIRECT("'"&amp;$G$7&amp;"'!$D$37:$D$52")/(1+$W16/100)^INDIRECT("'"&amp;$G$7&amp;"'!$C$37:$C$52")),0))</f>
        <v/>
      </c>
    </row>
    <row r="17">
      <c r="W17" s="132" t="n">
        <v>3.25</v>
      </c>
      <c r="X17" s="129">
        <f>IF($G$4="",0,IFERROR($J$4+SUMPRODUCT((INDIRECT("'"&amp;$G$4&amp;"'!$C$37:$C$52")&lt;='General Information'!$D$33)*INDIRECT("'"&amp;$G$4&amp;"'!$D$37:$D$52")/(1+$W17/100)^INDIRECT("'"&amp;$G$4&amp;"'!$C$37:$C$52")),0))</f>
        <v/>
      </c>
      <c r="Y17" s="129">
        <f>IF($G$5="",0,IFERROR($J$5+SUMPRODUCT((INDIRECT("'"&amp;$G$5&amp;"'!$C$37:$C$52")&lt;='General Information'!$D$33)*INDIRECT("'"&amp;$G$5&amp;"'!$D$37:$D$52")/(1+$W17/100)^INDIRECT("'"&amp;$G$5&amp;"'!$C$37:$C$52")),0))</f>
        <v/>
      </c>
      <c r="Z17" s="129">
        <f>IF($G$6="",0,IFERROR($J$6+SUMPRODUCT((INDIRECT("'"&amp;$G$6&amp;"'!$C$37:$C$52")&lt;='General Information'!$D$33)*INDIRECT("'"&amp;$G$6&amp;"'!$D$37:$D$52")/(1+$W17/100)^INDIRECT("'"&amp;$G$6&amp;"'!$C$37:$C$52")),0))</f>
        <v/>
      </c>
      <c r="AA17" s="129">
        <f>IF($G$7="",0,IFERROR($J$7+SUMPRODUCT((INDIRECT("'"&amp;$G$7&amp;"'!$C$37:$C$52")&lt;='General Information'!$D$33)*INDIRECT("'"&amp;$G$7&amp;"'!$D$37:$D$52")/(1+$W17/100)^INDIRECT("'"&amp;$G$7&amp;"'!$C$37:$C$52")),0))</f>
        <v/>
      </c>
    </row>
    <row r="18">
      <c r="W18" s="132" t="n">
        <v>3.5</v>
      </c>
      <c r="X18" s="129">
        <f>IF($G$4="",0,IFERROR($J$4+SUMPRODUCT((INDIRECT("'"&amp;$G$4&amp;"'!$C$37:$C$52")&lt;='General Information'!$D$33)*INDIRECT("'"&amp;$G$4&amp;"'!$D$37:$D$52")/(1+$W18/100)^INDIRECT("'"&amp;$G$4&amp;"'!$C$37:$C$52")),0))</f>
        <v/>
      </c>
      <c r="Y18" s="129">
        <f>IF($G$5="",0,IFERROR($J$5+SUMPRODUCT((INDIRECT("'"&amp;$G$5&amp;"'!$C$37:$C$52")&lt;='General Information'!$D$33)*INDIRECT("'"&amp;$G$5&amp;"'!$D$37:$D$52")/(1+$W18/100)^INDIRECT("'"&amp;$G$5&amp;"'!$C$37:$C$52")),0))</f>
        <v/>
      </c>
      <c r="Z18" s="129">
        <f>IF($G$6="",0,IFERROR($J$6+SUMPRODUCT((INDIRECT("'"&amp;$G$6&amp;"'!$C$37:$C$52")&lt;='General Information'!$D$33)*INDIRECT("'"&amp;$G$6&amp;"'!$D$37:$D$52")/(1+$W18/100)^INDIRECT("'"&amp;$G$6&amp;"'!$C$37:$C$52")),0))</f>
        <v/>
      </c>
      <c r="AA18" s="129">
        <f>IF($G$7="",0,IFERROR($J$7+SUMPRODUCT((INDIRECT("'"&amp;$G$7&amp;"'!$C$37:$C$52")&lt;='General Information'!$D$33)*INDIRECT("'"&amp;$G$7&amp;"'!$D$37:$D$52")/(1+$W18/100)^INDIRECT("'"&amp;$G$7&amp;"'!$C$37:$C$52")),0))</f>
        <v/>
      </c>
    </row>
    <row r="19">
      <c r="W19" s="132" t="n">
        <v>3.75</v>
      </c>
      <c r="X19" s="129">
        <f>IF($G$4="",0,IFERROR($J$4+SUMPRODUCT((INDIRECT("'"&amp;$G$4&amp;"'!$C$37:$C$52")&lt;='General Information'!$D$33)*INDIRECT("'"&amp;$G$4&amp;"'!$D$37:$D$52")/(1+$W19/100)^INDIRECT("'"&amp;$G$4&amp;"'!$C$37:$C$52")),0))</f>
        <v/>
      </c>
      <c r="Y19" s="129">
        <f>IF($G$5="",0,IFERROR($J$5+SUMPRODUCT((INDIRECT("'"&amp;$G$5&amp;"'!$C$37:$C$52")&lt;='General Information'!$D$33)*INDIRECT("'"&amp;$G$5&amp;"'!$D$37:$D$52")/(1+$W19/100)^INDIRECT("'"&amp;$G$5&amp;"'!$C$37:$C$52")),0))</f>
        <v/>
      </c>
      <c r="Z19" s="129">
        <f>IF($G$6="",0,IFERROR($J$6+SUMPRODUCT((INDIRECT("'"&amp;$G$6&amp;"'!$C$37:$C$52")&lt;='General Information'!$D$33)*INDIRECT("'"&amp;$G$6&amp;"'!$D$37:$D$52")/(1+$W19/100)^INDIRECT("'"&amp;$G$6&amp;"'!$C$37:$C$52")),0))</f>
        <v/>
      </c>
      <c r="AA19" s="129">
        <f>IF($G$7="",0,IFERROR($J$7+SUMPRODUCT((INDIRECT("'"&amp;$G$7&amp;"'!$C$37:$C$52")&lt;='General Information'!$D$33)*INDIRECT("'"&amp;$G$7&amp;"'!$D$37:$D$52")/(1+$W19/100)^INDIRECT("'"&amp;$G$7&amp;"'!$C$37:$C$52")),0))</f>
        <v/>
      </c>
    </row>
    <row r="20">
      <c r="W20" s="132" t="n">
        <v>4</v>
      </c>
      <c r="X20" s="129">
        <f>IF($G$4="",0,IFERROR($J$4+SUMPRODUCT((INDIRECT("'"&amp;$G$4&amp;"'!$C$37:$C$52")&lt;='General Information'!$D$33)*INDIRECT("'"&amp;$G$4&amp;"'!$D$37:$D$52")/(1+$W20/100)^INDIRECT("'"&amp;$G$4&amp;"'!$C$37:$C$52")),0))</f>
        <v/>
      </c>
      <c r="Y20" s="129">
        <f>IF($G$5="",0,IFERROR($J$5+SUMPRODUCT((INDIRECT("'"&amp;$G$5&amp;"'!$C$37:$C$52")&lt;='General Information'!$D$33)*INDIRECT("'"&amp;$G$5&amp;"'!$D$37:$D$52")/(1+$W20/100)^INDIRECT("'"&amp;$G$5&amp;"'!$C$37:$C$52")),0))</f>
        <v/>
      </c>
      <c r="Z20" s="129">
        <f>IF($G$6="",0,IFERROR($J$6+SUMPRODUCT((INDIRECT("'"&amp;$G$6&amp;"'!$C$37:$C$52")&lt;='General Information'!$D$33)*INDIRECT("'"&amp;$G$6&amp;"'!$D$37:$D$52")/(1+$W20/100)^INDIRECT("'"&amp;$G$6&amp;"'!$C$37:$C$52")),0))</f>
        <v/>
      </c>
      <c r="AA20" s="129">
        <f>IF($G$7="",0,IFERROR($J$7+SUMPRODUCT((INDIRECT("'"&amp;$G$7&amp;"'!$C$37:$C$52")&lt;='General Information'!$D$33)*INDIRECT("'"&amp;$G$7&amp;"'!$D$37:$D$52")/(1+$W20/100)^INDIRECT("'"&amp;$G$7&amp;"'!$C$37:$C$52")),0))</f>
        <v/>
      </c>
    </row>
    <row r="21">
      <c r="W21" s="132" t="n">
        <v>4.25</v>
      </c>
      <c r="X21" s="129">
        <f>IF($G$4="",0,IFERROR($J$4+SUMPRODUCT((INDIRECT("'"&amp;$G$4&amp;"'!$C$37:$C$52")&lt;='General Information'!$D$33)*INDIRECT("'"&amp;$G$4&amp;"'!$D$37:$D$52")/(1+$W21/100)^INDIRECT("'"&amp;$G$4&amp;"'!$C$37:$C$52")),0))</f>
        <v/>
      </c>
      <c r="Y21" s="129">
        <f>IF($G$5="",0,IFERROR($J$5+SUMPRODUCT((INDIRECT("'"&amp;$G$5&amp;"'!$C$37:$C$52")&lt;='General Information'!$D$33)*INDIRECT("'"&amp;$G$5&amp;"'!$D$37:$D$52")/(1+$W21/100)^INDIRECT("'"&amp;$G$5&amp;"'!$C$37:$C$52")),0))</f>
        <v/>
      </c>
      <c r="Z21" s="129">
        <f>IF($G$6="",0,IFERROR($J$6+SUMPRODUCT((INDIRECT("'"&amp;$G$6&amp;"'!$C$37:$C$52")&lt;='General Information'!$D$33)*INDIRECT("'"&amp;$G$6&amp;"'!$D$37:$D$52")/(1+$W21/100)^INDIRECT("'"&amp;$G$6&amp;"'!$C$37:$C$52")),0))</f>
        <v/>
      </c>
      <c r="AA21" s="129">
        <f>IF($G$7="",0,IFERROR($J$7+SUMPRODUCT((INDIRECT("'"&amp;$G$7&amp;"'!$C$37:$C$52")&lt;='General Information'!$D$33)*INDIRECT("'"&amp;$G$7&amp;"'!$D$37:$D$52")/(1+$W21/100)^INDIRECT("'"&amp;$G$7&amp;"'!$C$37:$C$52")),0))</f>
        <v/>
      </c>
    </row>
    <row r="22">
      <c r="W22" s="132" t="n">
        <v>4.5</v>
      </c>
      <c r="X22" s="129">
        <f>IF($G$4="",0,IFERROR($J$4+SUMPRODUCT((INDIRECT("'"&amp;$G$4&amp;"'!$C$37:$C$52")&lt;='General Information'!$D$33)*INDIRECT("'"&amp;$G$4&amp;"'!$D$37:$D$52")/(1+$W22/100)^INDIRECT("'"&amp;$G$4&amp;"'!$C$37:$C$52")),0))</f>
        <v/>
      </c>
      <c r="Y22" s="129">
        <f>IF($G$5="",0,IFERROR($J$5+SUMPRODUCT((INDIRECT("'"&amp;$G$5&amp;"'!$C$37:$C$52")&lt;='General Information'!$D$33)*INDIRECT("'"&amp;$G$5&amp;"'!$D$37:$D$52")/(1+$W22/100)^INDIRECT("'"&amp;$G$5&amp;"'!$C$37:$C$52")),0))</f>
        <v/>
      </c>
      <c r="Z22" s="129">
        <f>IF($G$6="",0,IFERROR($J$6+SUMPRODUCT((INDIRECT("'"&amp;$G$6&amp;"'!$C$37:$C$52")&lt;='General Information'!$D$33)*INDIRECT("'"&amp;$G$6&amp;"'!$D$37:$D$52")/(1+$W22/100)^INDIRECT("'"&amp;$G$6&amp;"'!$C$37:$C$52")),0))</f>
        <v/>
      </c>
      <c r="AA22" s="129">
        <f>IF($G$7="",0,IFERROR($J$7+SUMPRODUCT((INDIRECT("'"&amp;$G$7&amp;"'!$C$37:$C$52")&lt;='General Information'!$D$33)*INDIRECT("'"&amp;$G$7&amp;"'!$D$37:$D$52")/(1+$W22/100)^INDIRECT("'"&amp;$G$7&amp;"'!$C$37:$C$52")),0))</f>
        <v/>
      </c>
    </row>
    <row r="23">
      <c r="W23" s="132" t="n">
        <v>4.75</v>
      </c>
      <c r="X23" s="129">
        <f>IF($G$4="",0,IFERROR($J$4+SUMPRODUCT((INDIRECT("'"&amp;$G$4&amp;"'!$C$37:$C$52")&lt;='General Information'!$D$33)*INDIRECT("'"&amp;$G$4&amp;"'!$D$37:$D$52")/(1+$W23/100)^INDIRECT("'"&amp;$G$4&amp;"'!$C$37:$C$52")),0))</f>
        <v/>
      </c>
      <c r="Y23" s="129">
        <f>IF($G$5="",0,IFERROR($J$5+SUMPRODUCT((INDIRECT("'"&amp;$G$5&amp;"'!$C$37:$C$52")&lt;='General Information'!$D$33)*INDIRECT("'"&amp;$G$5&amp;"'!$D$37:$D$52")/(1+$W23/100)^INDIRECT("'"&amp;$G$5&amp;"'!$C$37:$C$52")),0))</f>
        <v/>
      </c>
      <c r="Z23" s="129">
        <f>IF($G$6="",0,IFERROR($J$6+SUMPRODUCT((INDIRECT("'"&amp;$G$6&amp;"'!$C$37:$C$52")&lt;='General Information'!$D$33)*INDIRECT("'"&amp;$G$6&amp;"'!$D$37:$D$52")/(1+$W23/100)^INDIRECT("'"&amp;$G$6&amp;"'!$C$37:$C$52")),0))</f>
        <v/>
      </c>
      <c r="AA23" s="129">
        <f>IF($G$7="",0,IFERROR($J$7+SUMPRODUCT((INDIRECT("'"&amp;$G$7&amp;"'!$C$37:$C$52")&lt;='General Information'!$D$33)*INDIRECT("'"&amp;$G$7&amp;"'!$D$37:$D$52")/(1+$W23/100)^INDIRECT("'"&amp;$G$7&amp;"'!$C$37:$C$52")),0))</f>
        <v/>
      </c>
    </row>
    <row r="24">
      <c r="W24" s="132" t="n">
        <v>5</v>
      </c>
      <c r="X24" s="129">
        <f>IF($G$4="",0,IFERROR($J$4+SUMPRODUCT((INDIRECT("'"&amp;$G$4&amp;"'!$C$37:$C$52")&lt;='General Information'!$D$33)*INDIRECT("'"&amp;$G$4&amp;"'!$D$37:$D$52")/(1+$W24/100)^INDIRECT("'"&amp;$G$4&amp;"'!$C$37:$C$52")),0))</f>
        <v/>
      </c>
      <c r="Y24" s="129">
        <f>IF($G$5="",0,IFERROR($J$5+SUMPRODUCT((INDIRECT("'"&amp;$G$5&amp;"'!$C$37:$C$52")&lt;='General Information'!$D$33)*INDIRECT("'"&amp;$G$5&amp;"'!$D$37:$D$52")/(1+$W24/100)^INDIRECT("'"&amp;$G$5&amp;"'!$C$37:$C$52")),0))</f>
        <v/>
      </c>
      <c r="Z24" s="129">
        <f>IF($G$6="",0,IFERROR($J$6+SUMPRODUCT((INDIRECT("'"&amp;$G$6&amp;"'!$C$37:$C$52")&lt;='General Information'!$D$33)*INDIRECT("'"&amp;$G$6&amp;"'!$D$37:$D$52")/(1+$W24/100)^INDIRECT("'"&amp;$G$6&amp;"'!$C$37:$C$52")),0))</f>
        <v/>
      </c>
      <c r="AA24" s="129">
        <f>IF($G$7="",0,IFERROR($J$7+SUMPRODUCT((INDIRECT("'"&amp;$G$7&amp;"'!$C$37:$C$52")&lt;='General Information'!$D$33)*INDIRECT("'"&amp;$G$7&amp;"'!$D$37:$D$52")/(1+$W24/100)^INDIRECT("'"&amp;$G$7&amp;"'!$C$37:$C$52")),0))</f>
        <v/>
      </c>
    </row>
    <row r="25">
      <c r="W25" s="132" t="n">
        <v>5.25</v>
      </c>
      <c r="X25" s="129">
        <f>IF($G$4="",0,IFERROR($J$4+SUMPRODUCT((INDIRECT("'"&amp;$G$4&amp;"'!$C$37:$C$52")&lt;='General Information'!$D$33)*INDIRECT("'"&amp;$G$4&amp;"'!$D$37:$D$52")/(1+$W25/100)^INDIRECT("'"&amp;$G$4&amp;"'!$C$37:$C$52")),0))</f>
        <v/>
      </c>
      <c r="Y25" s="129">
        <f>IF($G$5="",0,IFERROR($J$5+SUMPRODUCT((INDIRECT("'"&amp;$G$5&amp;"'!$C$37:$C$52")&lt;='General Information'!$D$33)*INDIRECT("'"&amp;$G$5&amp;"'!$D$37:$D$52")/(1+$W25/100)^INDIRECT("'"&amp;$G$5&amp;"'!$C$37:$C$52")),0))</f>
        <v/>
      </c>
      <c r="Z25" s="129">
        <f>IF($G$6="",0,IFERROR($J$6+SUMPRODUCT((INDIRECT("'"&amp;$G$6&amp;"'!$C$37:$C$52")&lt;='General Information'!$D$33)*INDIRECT("'"&amp;$G$6&amp;"'!$D$37:$D$52")/(1+$W25/100)^INDIRECT("'"&amp;$G$6&amp;"'!$C$37:$C$52")),0))</f>
        <v/>
      </c>
      <c r="AA25" s="129">
        <f>IF($G$7="",0,IFERROR($J$7+SUMPRODUCT((INDIRECT("'"&amp;$G$7&amp;"'!$C$37:$C$52")&lt;='General Information'!$D$33)*INDIRECT("'"&amp;$G$7&amp;"'!$D$37:$D$52")/(1+$W25/100)^INDIRECT("'"&amp;$G$7&amp;"'!$C$37:$C$52")),0))</f>
        <v/>
      </c>
    </row>
    <row r="26">
      <c r="W26" s="132" t="n">
        <v>5.5</v>
      </c>
      <c r="X26" s="129">
        <f>IF($G$4="",0,IFERROR($J$4+SUMPRODUCT((INDIRECT("'"&amp;$G$4&amp;"'!$C$37:$C$52")&lt;='General Information'!$D$33)*INDIRECT("'"&amp;$G$4&amp;"'!$D$37:$D$52")/(1+$W26/100)^INDIRECT("'"&amp;$G$4&amp;"'!$C$37:$C$52")),0))</f>
        <v/>
      </c>
      <c r="Y26" s="129">
        <f>IF($G$5="",0,IFERROR($J$5+SUMPRODUCT((INDIRECT("'"&amp;$G$5&amp;"'!$C$37:$C$52")&lt;='General Information'!$D$33)*INDIRECT("'"&amp;$G$5&amp;"'!$D$37:$D$52")/(1+$W26/100)^INDIRECT("'"&amp;$G$5&amp;"'!$C$37:$C$52")),0))</f>
        <v/>
      </c>
      <c r="Z26" s="129">
        <f>IF($G$6="",0,IFERROR($J$6+SUMPRODUCT((INDIRECT("'"&amp;$G$6&amp;"'!$C$37:$C$52")&lt;='General Information'!$D$33)*INDIRECT("'"&amp;$G$6&amp;"'!$D$37:$D$52")/(1+$W26/100)^INDIRECT("'"&amp;$G$6&amp;"'!$C$37:$C$52")),0))</f>
        <v/>
      </c>
      <c r="AA26" s="129">
        <f>IF($G$7="",0,IFERROR($J$7+SUMPRODUCT((INDIRECT("'"&amp;$G$7&amp;"'!$C$37:$C$52")&lt;='General Information'!$D$33)*INDIRECT("'"&amp;$G$7&amp;"'!$D$37:$D$52")/(1+$W26/100)^INDIRECT("'"&amp;$G$7&amp;"'!$C$37:$C$52")),0))</f>
        <v/>
      </c>
    </row>
    <row r="27">
      <c r="W27" s="132" t="n">
        <v>5.75</v>
      </c>
      <c r="X27" s="129">
        <f>IF($G$4="",0,IFERROR($J$4+SUMPRODUCT((INDIRECT("'"&amp;$G$4&amp;"'!$C$37:$C$52")&lt;='General Information'!$D$33)*INDIRECT("'"&amp;$G$4&amp;"'!$D$37:$D$52")/(1+$W27/100)^INDIRECT("'"&amp;$G$4&amp;"'!$C$37:$C$52")),0))</f>
        <v/>
      </c>
      <c r="Y27" s="129">
        <f>IF($G$5="",0,IFERROR($J$5+SUMPRODUCT((INDIRECT("'"&amp;$G$5&amp;"'!$C$37:$C$52")&lt;='General Information'!$D$33)*INDIRECT("'"&amp;$G$5&amp;"'!$D$37:$D$52")/(1+$W27/100)^INDIRECT("'"&amp;$G$5&amp;"'!$C$37:$C$52")),0))</f>
        <v/>
      </c>
      <c r="Z27" s="129">
        <f>IF($G$6="",0,IFERROR($J$6+SUMPRODUCT((INDIRECT("'"&amp;$G$6&amp;"'!$C$37:$C$52")&lt;='General Information'!$D$33)*INDIRECT("'"&amp;$G$6&amp;"'!$D$37:$D$52")/(1+$W27/100)^INDIRECT("'"&amp;$G$6&amp;"'!$C$37:$C$52")),0))</f>
        <v/>
      </c>
      <c r="AA27" s="129">
        <f>IF($G$7="",0,IFERROR($J$7+SUMPRODUCT((INDIRECT("'"&amp;$G$7&amp;"'!$C$37:$C$52")&lt;='General Information'!$D$33)*INDIRECT("'"&amp;$G$7&amp;"'!$D$37:$D$52")/(1+$W27/100)^INDIRECT("'"&amp;$G$7&amp;"'!$C$37:$C$52")),0))</f>
        <v/>
      </c>
    </row>
    <row r="28">
      <c r="W28" s="132" t="n">
        <v>6</v>
      </c>
      <c r="X28" s="129">
        <f>IF($G$4="",0,IFERROR($J$4+SUMPRODUCT((INDIRECT("'"&amp;$G$4&amp;"'!$C$37:$C$52")&lt;='General Information'!$D$33)*INDIRECT("'"&amp;$G$4&amp;"'!$D$37:$D$52")/(1+$W28/100)^INDIRECT("'"&amp;$G$4&amp;"'!$C$37:$C$52")),0))</f>
        <v/>
      </c>
      <c r="Y28" s="129">
        <f>IF($G$5="",0,IFERROR($J$5+SUMPRODUCT((INDIRECT("'"&amp;$G$5&amp;"'!$C$37:$C$52")&lt;='General Information'!$D$33)*INDIRECT("'"&amp;$G$5&amp;"'!$D$37:$D$52")/(1+$W28/100)^INDIRECT("'"&amp;$G$5&amp;"'!$C$37:$C$52")),0))</f>
        <v/>
      </c>
      <c r="Z28" s="129">
        <f>IF($G$6="",0,IFERROR($J$6+SUMPRODUCT((INDIRECT("'"&amp;$G$6&amp;"'!$C$37:$C$52")&lt;='General Information'!$D$33)*INDIRECT("'"&amp;$G$6&amp;"'!$D$37:$D$52")/(1+$W28/100)^INDIRECT("'"&amp;$G$6&amp;"'!$C$37:$C$52")),0))</f>
        <v/>
      </c>
      <c r="AA28" s="129">
        <f>IF($G$7="",0,IFERROR($J$7+SUMPRODUCT((INDIRECT("'"&amp;$G$7&amp;"'!$C$37:$C$52")&lt;='General Information'!$D$33)*INDIRECT("'"&amp;$G$7&amp;"'!$D$37:$D$52")/(1+$W28/100)^INDIRECT("'"&amp;$G$7&amp;"'!$C$37:$C$52")),0))</f>
        <v/>
      </c>
    </row>
    <row r="29">
      <c r="W29" s="132" t="n">
        <v>6.25</v>
      </c>
      <c r="X29" s="129">
        <f>IF($G$4="",0,IFERROR($J$4+SUMPRODUCT((INDIRECT("'"&amp;$G$4&amp;"'!$C$37:$C$52")&lt;='General Information'!$D$33)*INDIRECT("'"&amp;$G$4&amp;"'!$D$37:$D$52")/(1+$W29/100)^INDIRECT("'"&amp;$G$4&amp;"'!$C$37:$C$52")),0))</f>
        <v/>
      </c>
      <c r="Y29" s="129">
        <f>IF($G$5="",0,IFERROR($J$5+SUMPRODUCT((INDIRECT("'"&amp;$G$5&amp;"'!$C$37:$C$52")&lt;='General Information'!$D$33)*INDIRECT("'"&amp;$G$5&amp;"'!$D$37:$D$52")/(1+$W29/100)^INDIRECT("'"&amp;$G$5&amp;"'!$C$37:$C$52")),0))</f>
        <v/>
      </c>
      <c r="Z29" s="129">
        <f>IF($G$6="",0,IFERROR($J$6+SUMPRODUCT((INDIRECT("'"&amp;$G$6&amp;"'!$C$37:$C$52")&lt;='General Information'!$D$33)*INDIRECT("'"&amp;$G$6&amp;"'!$D$37:$D$52")/(1+$W29/100)^INDIRECT("'"&amp;$G$6&amp;"'!$C$37:$C$52")),0))</f>
        <v/>
      </c>
      <c r="AA29" s="129">
        <f>IF($G$7="",0,IFERROR($J$7+SUMPRODUCT((INDIRECT("'"&amp;$G$7&amp;"'!$C$37:$C$52")&lt;='General Information'!$D$33)*INDIRECT("'"&amp;$G$7&amp;"'!$D$37:$D$52")/(1+$W29/100)^INDIRECT("'"&amp;$G$7&amp;"'!$C$37:$C$52")),0))</f>
        <v/>
      </c>
    </row>
    <row r="30">
      <c r="W30" s="132" t="n">
        <v>6.5</v>
      </c>
      <c r="X30" s="129">
        <f>IF($G$4="",0,IFERROR($J$4+SUMPRODUCT((INDIRECT("'"&amp;$G$4&amp;"'!$C$37:$C$52")&lt;='General Information'!$D$33)*INDIRECT("'"&amp;$G$4&amp;"'!$D$37:$D$52")/(1+$W30/100)^INDIRECT("'"&amp;$G$4&amp;"'!$C$37:$C$52")),0))</f>
        <v/>
      </c>
      <c r="Y30" s="129">
        <f>IF($G$5="",0,IFERROR($J$5+SUMPRODUCT((INDIRECT("'"&amp;$G$5&amp;"'!$C$37:$C$52")&lt;='General Information'!$D$33)*INDIRECT("'"&amp;$G$5&amp;"'!$D$37:$D$52")/(1+$W30/100)^INDIRECT("'"&amp;$G$5&amp;"'!$C$37:$C$52")),0))</f>
        <v/>
      </c>
      <c r="Z30" s="129">
        <f>IF($G$6="",0,IFERROR($J$6+SUMPRODUCT((INDIRECT("'"&amp;$G$6&amp;"'!$C$37:$C$52")&lt;='General Information'!$D$33)*INDIRECT("'"&amp;$G$6&amp;"'!$D$37:$D$52")/(1+$W30/100)^INDIRECT("'"&amp;$G$6&amp;"'!$C$37:$C$52")),0))</f>
        <v/>
      </c>
      <c r="AA30" s="129">
        <f>IF($G$7="",0,IFERROR($J$7+SUMPRODUCT((INDIRECT("'"&amp;$G$7&amp;"'!$C$37:$C$52")&lt;='General Information'!$D$33)*INDIRECT("'"&amp;$G$7&amp;"'!$D$37:$D$52")/(1+$W30/100)^INDIRECT("'"&amp;$G$7&amp;"'!$C$37:$C$52")),0))</f>
        <v/>
      </c>
    </row>
    <row r="31">
      <c r="W31" s="132" t="n">
        <v>6.75</v>
      </c>
      <c r="X31" s="129">
        <f>IF($G$4="",0,IFERROR($J$4+SUMPRODUCT((INDIRECT("'"&amp;$G$4&amp;"'!$C$37:$C$52")&lt;='General Information'!$D$33)*INDIRECT("'"&amp;$G$4&amp;"'!$D$37:$D$52")/(1+$W31/100)^INDIRECT("'"&amp;$G$4&amp;"'!$C$37:$C$52")),0))</f>
        <v/>
      </c>
      <c r="Y31" s="129">
        <f>IF($G$5="",0,IFERROR($J$5+SUMPRODUCT((INDIRECT("'"&amp;$G$5&amp;"'!$C$37:$C$52")&lt;='General Information'!$D$33)*INDIRECT("'"&amp;$G$5&amp;"'!$D$37:$D$52")/(1+$W31/100)^INDIRECT("'"&amp;$G$5&amp;"'!$C$37:$C$52")),0))</f>
        <v/>
      </c>
      <c r="Z31" s="129">
        <f>IF($G$6="",0,IFERROR($J$6+SUMPRODUCT((INDIRECT("'"&amp;$G$6&amp;"'!$C$37:$C$52")&lt;='General Information'!$D$33)*INDIRECT("'"&amp;$G$6&amp;"'!$D$37:$D$52")/(1+$W31/100)^INDIRECT("'"&amp;$G$6&amp;"'!$C$37:$C$52")),0))</f>
        <v/>
      </c>
      <c r="AA31" s="129">
        <f>IF($G$7="",0,IFERROR($J$7+SUMPRODUCT((INDIRECT("'"&amp;$G$7&amp;"'!$C$37:$C$52")&lt;='General Information'!$D$33)*INDIRECT("'"&amp;$G$7&amp;"'!$D$37:$D$52")/(1+$W31/100)^INDIRECT("'"&amp;$G$7&amp;"'!$C$37:$C$52")),0))</f>
        <v/>
      </c>
    </row>
    <row r="32">
      <c r="W32" s="132" t="n">
        <v>7</v>
      </c>
      <c r="X32" s="129">
        <f>IF($G$4="",0,IFERROR($J$4+SUMPRODUCT((INDIRECT("'"&amp;$G$4&amp;"'!$C$37:$C$52")&lt;='General Information'!$D$33)*INDIRECT("'"&amp;$G$4&amp;"'!$D$37:$D$52")/(1+$W32/100)^INDIRECT("'"&amp;$G$4&amp;"'!$C$37:$C$52")),0))</f>
        <v/>
      </c>
      <c r="Y32" s="129">
        <f>IF($G$5="",0,IFERROR($J$5+SUMPRODUCT((INDIRECT("'"&amp;$G$5&amp;"'!$C$37:$C$52")&lt;='General Information'!$D$33)*INDIRECT("'"&amp;$G$5&amp;"'!$D$37:$D$52")/(1+$W32/100)^INDIRECT("'"&amp;$G$5&amp;"'!$C$37:$C$52")),0))</f>
        <v/>
      </c>
      <c r="Z32" s="129">
        <f>IF($G$6="",0,IFERROR($J$6+SUMPRODUCT((INDIRECT("'"&amp;$G$6&amp;"'!$C$37:$C$52")&lt;='General Information'!$D$33)*INDIRECT("'"&amp;$G$6&amp;"'!$D$37:$D$52")/(1+$W32/100)^INDIRECT("'"&amp;$G$6&amp;"'!$C$37:$C$52")),0))</f>
        <v/>
      </c>
      <c r="AA32" s="129">
        <f>IF($G$7="",0,IFERROR($J$7+SUMPRODUCT((INDIRECT("'"&amp;$G$7&amp;"'!$C$37:$C$52")&lt;='General Information'!$D$33)*INDIRECT("'"&amp;$G$7&amp;"'!$D$37:$D$52")/(1+$W32/100)^INDIRECT("'"&amp;$G$7&amp;"'!$C$37:$C$52")),0))</f>
        <v/>
      </c>
    </row>
    <row r="33">
      <c r="W33" s="132" t="n">
        <v>7.25</v>
      </c>
      <c r="X33" s="129">
        <f>IF($G$4="",0,IFERROR($J$4+SUMPRODUCT((INDIRECT("'"&amp;$G$4&amp;"'!$C$37:$C$52")&lt;='General Information'!$D$33)*INDIRECT("'"&amp;$G$4&amp;"'!$D$37:$D$52")/(1+$W33/100)^INDIRECT("'"&amp;$G$4&amp;"'!$C$37:$C$52")),0))</f>
        <v/>
      </c>
      <c r="Y33" s="129">
        <f>IF($G$5="",0,IFERROR($J$5+SUMPRODUCT((INDIRECT("'"&amp;$G$5&amp;"'!$C$37:$C$52")&lt;='General Information'!$D$33)*INDIRECT("'"&amp;$G$5&amp;"'!$D$37:$D$52")/(1+$W33/100)^INDIRECT("'"&amp;$G$5&amp;"'!$C$37:$C$52")),0))</f>
        <v/>
      </c>
      <c r="Z33" s="129">
        <f>IF($G$6="",0,IFERROR($J$6+SUMPRODUCT((INDIRECT("'"&amp;$G$6&amp;"'!$C$37:$C$52")&lt;='General Information'!$D$33)*INDIRECT("'"&amp;$G$6&amp;"'!$D$37:$D$52")/(1+$W33/100)^INDIRECT("'"&amp;$G$6&amp;"'!$C$37:$C$52")),0))</f>
        <v/>
      </c>
      <c r="AA33" s="129">
        <f>IF($G$7="",0,IFERROR($J$7+SUMPRODUCT((INDIRECT("'"&amp;$G$7&amp;"'!$C$37:$C$52")&lt;='General Information'!$D$33)*INDIRECT("'"&amp;$G$7&amp;"'!$D$37:$D$52")/(1+$W33/100)^INDIRECT("'"&amp;$G$7&amp;"'!$C$37:$C$52")),0))</f>
        <v/>
      </c>
    </row>
    <row r="34">
      <c r="W34" s="132" t="n">
        <v>7.5</v>
      </c>
      <c r="X34" s="129">
        <f>IF($G$4="",0,IFERROR($J$4+SUMPRODUCT((INDIRECT("'"&amp;$G$4&amp;"'!$C$37:$C$52")&lt;='General Information'!$D$33)*INDIRECT("'"&amp;$G$4&amp;"'!$D$37:$D$52")/(1+$W34/100)^INDIRECT("'"&amp;$G$4&amp;"'!$C$37:$C$52")),0))</f>
        <v/>
      </c>
      <c r="Y34" s="129">
        <f>IF($G$5="",0,IFERROR($J$5+SUMPRODUCT((INDIRECT("'"&amp;$G$5&amp;"'!$C$37:$C$52")&lt;='General Information'!$D$33)*INDIRECT("'"&amp;$G$5&amp;"'!$D$37:$D$52")/(1+$W34/100)^INDIRECT("'"&amp;$G$5&amp;"'!$C$37:$C$52")),0))</f>
        <v/>
      </c>
      <c r="Z34" s="129">
        <f>IF($G$6="",0,IFERROR($J$6+SUMPRODUCT((INDIRECT("'"&amp;$G$6&amp;"'!$C$37:$C$52")&lt;='General Information'!$D$33)*INDIRECT("'"&amp;$G$6&amp;"'!$D$37:$D$52")/(1+$W34/100)^INDIRECT("'"&amp;$G$6&amp;"'!$C$37:$C$52")),0))</f>
        <v/>
      </c>
      <c r="AA34" s="129">
        <f>IF($G$7="",0,IFERROR($J$7+SUMPRODUCT((INDIRECT("'"&amp;$G$7&amp;"'!$C$37:$C$52")&lt;='General Information'!$D$33)*INDIRECT("'"&amp;$G$7&amp;"'!$D$37:$D$52")/(1+$W34/100)^INDIRECT("'"&amp;$G$7&amp;"'!$C$37:$C$52")),0))</f>
        <v/>
      </c>
    </row>
    <row r="35">
      <c r="W35" s="132" t="n">
        <v>7.75</v>
      </c>
      <c r="X35" s="129">
        <f>IF($G$4="",0,IFERROR($J$4+SUMPRODUCT((INDIRECT("'"&amp;$G$4&amp;"'!$C$37:$C$52")&lt;='General Information'!$D$33)*INDIRECT("'"&amp;$G$4&amp;"'!$D$37:$D$52")/(1+$W35/100)^INDIRECT("'"&amp;$G$4&amp;"'!$C$37:$C$52")),0))</f>
        <v/>
      </c>
      <c r="Y35" s="129">
        <f>IF($G$5="",0,IFERROR($J$5+SUMPRODUCT((INDIRECT("'"&amp;$G$5&amp;"'!$C$37:$C$52")&lt;='General Information'!$D$33)*INDIRECT("'"&amp;$G$5&amp;"'!$D$37:$D$52")/(1+$W35/100)^INDIRECT("'"&amp;$G$5&amp;"'!$C$37:$C$52")),0))</f>
        <v/>
      </c>
      <c r="Z35" s="129">
        <f>IF($G$6="",0,IFERROR($J$6+SUMPRODUCT((INDIRECT("'"&amp;$G$6&amp;"'!$C$37:$C$52")&lt;='General Information'!$D$33)*INDIRECT("'"&amp;$G$6&amp;"'!$D$37:$D$52")/(1+$W35/100)^INDIRECT("'"&amp;$G$6&amp;"'!$C$37:$C$52")),0))</f>
        <v/>
      </c>
      <c r="AA35" s="129">
        <f>IF($G$7="",0,IFERROR($J$7+SUMPRODUCT((INDIRECT("'"&amp;$G$7&amp;"'!$C$37:$C$52")&lt;='General Information'!$D$33)*INDIRECT("'"&amp;$G$7&amp;"'!$D$37:$D$52")/(1+$W35/100)^INDIRECT("'"&amp;$G$7&amp;"'!$C$37:$C$52")),0))</f>
        <v/>
      </c>
    </row>
    <row r="36">
      <c r="W36" s="132" t="n">
        <v>8</v>
      </c>
      <c r="X36" s="129">
        <f>IF($G$4="",0,IFERROR($J$4+SUMPRODUCT((INDIRECT("'"&amp;$G$4&amp;"'!$C$37:$C$52")&lt;='General Information'!$D$33)*INDIRECT("'"&amp;$G$4&amp;"'!$D$37:$D$52")/(1+$W36/100)^INDIRECT("'"&amp;$G$4&amp;"'!$C$37:$C$52")),0))</f>
        <v/>
      </c>
      <c r="Y36" s="129">
        <f>IF($G$5="",0,IFERROR($J$5+SUMPRODUCT((INDIRECT("'"&amp;$G$5&amp;"'!$C$37:$C$52")&lt;='General Information'!$D$33)*INDIRECT("'"&amp;$G$5&amp;"'!$D$37:$D$52")/(1+$W36/100)^INDIRECT("'"&amp;$G$5&amp;"'!$C$37:$C$52")),0))</f>
        <v/>
      </c>
      <c r="Z36" s="129">
        <f>IF($G$6="",0,IFERROR($J$6+SUMPRODUCT((INDIRECT("'"&amp;$G$6&amp;"'!$C$37:$C$52")&lt;='General Information'!$D$33)*INDIRECT("'"&amp;$G$6&amp;"'!$D$37:$D$52")/(1+$W36/100)^INDIRECT("'"&amp;$G$6&amp;"'!$C$37:$C$52")),0))</f>
        <v/>
      </c>
      <c r="AA36" s="129">
        <f>IF($G$7="",0,IFERROR($J$7+SUMPRODUCT((INDIRECT("'"&amp;$G$7&amp;"'!$C$37:$C$52")&lt;='General Information'!$D$33)*INDIRECT("'"&amp;$G$7&amp;"'!$D$37:$D$52")/(1+$W36/100)^INDIRECT("'"&amp;$G$7&amp;"'!$C$37:$C$52")),0))</f>
        <v/>
      </c>
    </row>
    <row r="39">
      <c r="W39" s="122" t="inlineStr">
        <is>
          <t>By calendar year: spend (undiscounted), cumulative discounted cost, closure days</t>
        </is>
      </c>
    </row>
    <row r="40">
      <c r="W40" s="124" t="inlineStr">
        <is>
          <t>Year</t>
        </is>
      </c>
      <c r="X40" s="124" t="inlineStr">
        <is>
          <t>Calendar year</t>
        </is>
      </c>
      <c r="Y40" s="124">
        <f>X$4&amp;" spend"</f>
        <v/>
      </c>
      <c r="Z40" s="124">
        <f>Y$4&amp;" spend"</f>
        <v/>
      </c>
      <c r="AA40" s="124">
        <f>Z$4&amp;" spend"</f>
        <v/>
      </c>
      <c r="AB40" s="124">
        <f>AA$4&amp;" spend"</f>
        <v/>
      </c>
      <c r="AC40" s="124">
        <f>X$4&amp;" cumulative PW"</f>
        <v/>
      </c>
      <c r="AD40" s="124">
        <f>Y$4&amp;" cumulative PW"</f>
        <v/>
      </c>
      <c r="AE40" s="124">
        <f>Z$4&amp;" cumulative PW"</f>
        <v/>
      </c>
      <c r="AF40" s="124">
        <f>AA$4&amp;" cumulative PW"</f>
        <v/>
      </c>
      <c r="AG40" s="124">
        <f>X$4&amp;" closure days"</f>
        <v/>
      </c>
      <c r="AH40" s="124">
        <f>Y$4&amp;" closure days"</f>
        <v/>
      </c>
      <c r="AI40" s="124">
        <f>Z$4&amp;" closure days"</f>
        <v/>
      </c>
      <c r="AJ40" s="124">
        <f>AA$4&amp;" closure days"</f>
        <v/>
      </c>
    </row>
    <row r="41">
      <c r="W41" s="128" t="n">
        <v>0</v>
      </c>
      <c r="X41" s="128">
        <f>'General Information'!$D$25+W41</f>
        <v/>
      </c>
      <c r="Y41" s="129">
        <f>IF($G$4="",0,IF(W41&gt;'General Information'!$D$33,0,IF(W41=0,$J$4,IFERROR(SUMIF(INDIRECT("'"&amp;$G$4&amp;"'!$C$37:$C$52"),W41,INDIRECT("'"&amp;$G$4&amp;"'!$D$37:$D$52")),0))))</f>
        <v/>
      </c>
      <c r="Z41" s="129">
        <f>IF($G$5="",0,IF(W41&gt;'General Information'!$D$33,0,IF(W41=0,$J$5,IFERROR(SUMIF(INDIRECT("'"&amp;$G$5&amp;"'!$C$37:$C$52"),W41,INDIRECT("'"&amp;$G$5&amp;"'!$D$37:$D$52")),0))))</f>
        <v/>
      </c>
      <c r="AA41" s="129">
        <f>IF($G$6="",0,IF(W41&gt;'General Information'!$D$33,0,IF(W41=0,$J$6,IFERROR(SUMIF(INDIRECT("'"&amp;$G$6&amp;"'!$C$37:$C$52"),W41,INDIRECT("'"&amp;$G$6&amp;"'!$D$37:$D$52")),0))))</f>
        <v/>
      </c>
      <c r="AB41" s="129">
        <f>IF($G$7="",0,IF(W41&gt;'General Information'!$D$33,0,IF(W41=0,$J$7,IFERROR(SUMIF(INDIRECT("'"&amp;$G$7&amp;"'!$C$37:$C$52"),W41,INDIRECT("'"&amp;$G$7&amp;"'!$D$37:$D$52")),0))))</f>
        <v/>
      </c>
      <c r="AC41" s="129">
        <f>IF($G$4="",0,IF(W41&gt;'General Information'!$D$33,0,IF(W41=0,$J$4,IFERROR(SUMIF(INDIRECT("'"&amp;$G$4&amp;"'!$C$37:$C$52"),W41,INDIRECT("'"&amp;$G$4&amp;"'!$E$37:$E$52")),0))))</f>
        <v/>
      </c>
      <c r="AD41" s="129">
        <f>IF($G$5="",0,IF(W41&gt;'General Information'!$D$33,0,IF(W41=0,$J$5,IFERROR(SUMIF(INDIRECT("'"&amp;$G$5&amp;"'!$C$37:$C$52"),W41,INDIRECT("'"&amp;$G$5&amp;"'!$E$37:$E$52")),0))))</f>
        <v/>
      </c>
      <c r="AE41" s="129">
        <f>IF($G$6="",0,IF(W41&gt;'General Information'!$D$33,0,IF(W41=0,$J$6,IFERROR(SUMIF(INDIRECT("'"&amp;$G$6&amp;"'!$C$37:$C$52"),W41,INDIRECT("'"&amp;$G$6&amp;"'!$E$37:$E$52")),0))))</f>
        <v/>
      </c>
      <c r="AF41" s="129">
        <f>IF($G$7="",0,IF(W41&gt;'General Information'!$D$33,0,IF(W41=0,$J$7,IFERROR(SUMIF(INDIRECT("'"&amp;$G$7&amp;"'!$C$37:$C$52"),W41,INDIRECT("'"&amp;$G$7&amp;"'!$E$37:$E$52")),0))))</f>
        <v/>
      </c>
      <c r="AG41" s="133">
        <f>IF($G$4="",0,IF(W41&gt;'General Information'!$D$33,0,IFERROR(SUMIFS(INDIRECT("'"&amp;$G$4&amp;"'!$D$37:$D$52"),INDIRECT("'"&amp;$G$4&amp;"'!$C$37:$C$52"),W41,INDIRECT("'"&amp;$G$4&amp;"'!$B$37:$B$52"),"*Indirect*")/INDIRECT("'"&amp;$G$4&amp;"'!$F$2"),0)))</f>
        <v/>
      </c>
      <c r="AH41" s="133">
        <f>IF($G$5="",0,IF(W41&gt;'General Information'!$D$33,0,IFERROR(SUMIFS(INDIRECT("'"&amp;$G$5&amp;"'!$D$37:$D$52"),INDIRECT("'"&amp;$G$5&amp;"'!$C$37:$C$52"),W41,INDIRECT("'"&amp;$G$5&amp;"'!$B$37:$B$52"),"*Indirect*")/INDIRECT("'"&amp;$G$5&amp;"'!$F$2"),0)))</f>
        <v/>
      </c>
      <c r="AI41" s="133">
        <f>IF($G$6="",0,IF(W41&gt;'General Information'!$D$33,0,IFERROR(SUMIFS(INDIRECT("'"&amp;$G$6&amp;"'!$D$37:$D$52"),INDIRECT("'"&amp;$G$6&amp;"'!$C$37:$C$52"),W41,INDIRECT("'"&amp;$G$6&amp;"'!$B$37:$B$52"),"*Indirect*")/INDIRECT("'"&amp;$G$6&amp;"'!$F$2"),0)))</f>
        <v/>
      </c>
      <c r="AJ41" s="133">
        <f>IF($G$7="",0,IF(W41&gt;'General Information'!$D$33,0,IFERROR(SUMIFS(INDIRECT("'"&amp;$G$7&amp;"'!$D$37:$D$52"),INDIRECT("'"&amp;$G$7&amp;"'!$C$37:$C$52"),W41,INDIRECT("'"&amp;$G$7&amp;"'!$B$37:$B$52"),"*Indirect*")/INDIRECT("'"&amp;$G$7&amp;"'!$F$2"),0)))</f>
        <v/>
      </c>
    </row>
    <row r="42">
      <c r="W42" s="128" t="n">
        <v>1</v>
      </c>
      <c r="X42" s="128">
        <f>'General Information'!$D$25+W42</f>
        <v/>
      </c>
      <c r="Y42" s="129">
        <f>IF($G$4="",0,IF(W42&gt;'General Information'!$D$33,0,IF(W42=0,$J$4,IFERROR(SUMIF(INDIRECT("'"&amp;$G$4&amp;"'!$C$37:$C$52"),W42,INDIRECT("'"&amp;$G$4&amp;"'!$D$37:$D$52")),0))))</f>
        <v/>
      </c>
      <c r="Z42" s="129">
        <f>IF($G$5="",0,IF(W42&gt;'General Information'!$D$33,0,IF(W42=0,$J$5,IFERROR(SUMIF(INDIRECT("'"&amp;$G$5&amp;"'!$C$37:$C$52"),W42,INDIRECT("'"&amp;$G$5&amp;"'!$D$37:$D$52")),0))))</f>
        <v/>
      </c>
      <c r="AA42" s="129">
        <f>IF($G$6="",0,IF(W42&gt;'General Information'!$D$33,0,IF(W42=0,$J$6,IFERROR(SUMIF(INDIRECT("'"&amp;$G$6&amp;"'!$C$37:$C$52"),W42,INDIRECT("'"&amp;$G$6&amp;"'!$D$37:$D$52")),0))))</f>
        <v/>
      </c>
      <c r="AB42" s="129">
        <f>IF($G$7="",0,IF(W42&gt;'General Information'!$D$33,0,IF(W42=0,$J$7,IFERROR(SUMIF(INDIRECT("'"&amp;$G$7&amp;"'!$C$37:$C$52"),W42,INDIRECT("'"&amp;$G$7&amp;"'!$D$37:$D$52")),0))))</f>
        <v/>
      </c>
      <c r="AC42" s="129">
        <f>IF($G$4="",0,AC41+IF(W42&gt;'General Information'!$D$33,0,IF(W42=0,$J$4,IFERROR(SUMIF(INDIRECT("'"&amp;$G$4&amp;"'!$C$37:$C$52"),W42,INDIRECT("'"&amp;$G$4&amp;"'!$E$37:$E$52")),0))))</f>
        <v/>
      </c>
      <c r="AD42" s="129">
        <f>IF($G$5="",0,AD41+IF(W42&gt;'General Information'!$D$33,0,IF(W42=0,$J$5,IFERROR(SUMIF(INDIRECT("'"&amp;$G$5&amp;"'!$C$37:$C$52"),W42,INDIRECT("'"&amp;$G$5&amp;"'!$E$37:$E$52")),0))))</f>
        <v/>
      </c>
      <c r="AE42" s="129">
        <f>IF($G$6="",0,AE41+IF(W42&gt;'General Information'!$D$33,0,IF(W42=0,$J$6,IFERROR(SUMIF(INDIRECT("'"&amp;$G$6&amp;"'!$C$37:$C$52"),W42,INDIRECT("'"&amp;$G$6&amp;"'!$E$37:$E$52")),0))))</f>
        <v/>
      </c>
      <c r="AF42" s="129">
        <f>IF($G$7="",0,AF41+IF(W42&gt;'General Information'!$D$33,0,IF(W42=0,$J$7,IFERROR(SUMIF(INDIRECT("'"&amp;$G$7&amp;"'!$C$37:$C$52"),W42,INDIRECT("'"&amp;$G$7&amp;"'!$E$37:$E$52")),0))))</f>
        <v/>
      </c>
      <c r="AG42" s="133">
        <f>IF($G$4="",0,IF(W42&gt;'General Information'!$D$33,0,IFERROR(SUMIFS(INDIRECT("'"&amp;$G$4&amp;"'!$D$37:$D$52"),INDIRECT("'"&amp;$G$4&amp;"'!$C$37:$C$52"),W42,INDIRECT("'"&amp;$G$4&amp;"'!$B$37:$B$52"),"*Indirect*")/INDIRECT("'"&amp;$G$4&amp;"'!$F$2"),0)))</f>
        <v/>
      </c>
      <c r="AH42" s="133">
        <f>IF($G$5="",0,IF(W42&gt;'General Information'!$D$33,0,IFERROR(SUMIFS(INDIRECT("'"&amp;$G$5&amp;"'!$D$37:$D$52"),INDIRECT("'"&amp;$G$5&amp;"'!$C$37:$C$52"),W42,INDIRECT("'"&amp;$G$5&amp;"'!$B$37:$B$52"),"*Indirect*")/INDIRECT("'"&amp;$G$5&amp;"'!$F$2"),0)))</f>
        <v/>
      </c>
      <c r="AI42" s="133">
        <f>IF($G$6="",0,IF(W42&gt;'General Information'!$D$33,0,IFERROR(SUMIFS(INDIRECT("'"&amp;$G$6&amp;"'!$D$37:$D$52"),INDIRECT("'"&amp;$G$6&amp;"'!$C$37:$C$52"),W42,INDIRECT("'"&amp;$G$6&amp;"'!$B$37:$B$52"),"*Indirect*")/INDIRECT("'"&amp;$G$6&amp;"'!$F$2"),0)))</f>
        <v/>
      </c>
      <c r="AJ42" s="133">
        <f>IF($G$7="",0,IF(W42&gt;'General Information'!$D$33,0,IFERROR(SUMIFS(INDIRECT("'"&amp;$G$7&amp;"'!$D$37:$D$52"),INDIRECT("'"&amp;$G$7&amp;"'!$C$37:$C$52"),W42,INDIRECT("'"&amp;$G$7&amp;"'!$B$37:$B$52"),"*Indirect*")/INDIRECT("'"&amp;$G$7&amp;"'!$F$2"),0)))</f>
        <v/>
      </c>
    </row>
    <row r="43">
      <c r="W43" s="128" t="n">
        <v>2</v>
      </c>
      <c r="X43" s="128">
        <f>'General Information'!$D$25+W43</f>
        <v/>
      </c>
      <c r="Y43" s="129">
        <f>IF($G$4="",0,IF(W43&gt;'General Information'!$D$33,0,IF(W43=0,$J$4,IFERROR(SUMIF(INDIRECT("'"&amp;$G$4&amp;"'!$C$37:$C$52"),W43,INDIRECT("'"&amp;$G$4&amp;"'!$D$37:$D$52")),0))))</f>
        <v/>
      </c>
      <c r="Z43" s="129">
        <f>IF($G$5="",0,IF(W43&gt;'General Information'!$D$33,0,IF(W43=0,$J$5,IFERROR(SUMIF(INDIRECT("'"&amp;$G$5&amp;"'!$C$37:$C$52"),W43,INDIRECT("'"&amp;$G$5&amp;"'!$D$37:$D$52")),0))))</f>
        <v/>
      </c>
      <c r="AA43" s="129">
        <f>IF($G$6="",0,IF(W43&gt;'General Information'!$D$33,0,IF(W43=0,$J$6,IFERROR(SUMIF(INDIRECT("'"&amp;$G$6&amp;"'!$C$37:$C$52"),W43,INDIRECT("'"&amp;$G$6&amp;"'!$D$37:$D$52")),0))))</f>
        <v/>
      </c>
      <c r="AB43" s="129">
        <f>IF($G$7="",0,IF(W43&gt;'General Information'!$D$33,0,IF(W43=0,$J$7,IFERROR(SUMIF(INDIRECT("'"&amp;$G$7&amp;"'!$C$37:$C$52"),W43,INDIRECT("'"&amp;$G$7&amp;"'!$D$37:$D$52")),0))))</f>
        <v/>
      </c>
      <c r="AC43" s="129">
        <f>IF($G$4="",0,AC42+IF(W43&gt;'General Information'!$D$33,0,IF(W43=0,$J$4,IFERROR(SUMIF(INDIRECT("'"&amp;$G$4&amp;"'!$C$37:$C$52"),W43,INDIRECT("'"&amp;$G$4&amp;"'!$E$37:$E$52")),0))))</f>
        <v/>
      </c>
      <c r="AD43" s="129">
        <f>IF($G$5="",0,AD42+IF(W43&gt;'General Information'!$D$33,0,IF(W43=0,$J$5,IFERROR(SUMIF(INDIRECT("'"&amp;$G$5&amp;"'!$C$37:$C$52"),W43,INDIRECT("'"&amp;$G$5&amp;"'!$E$37:$E$52")),0))))</f>
        <v/>
      </c>
      <c r="AE43" s="129">
        <f>IF($G$6="",0,AE42+IF(W43&gt;'General Information'!$D$33,0,IF(W43=0,$J$6,IFERROR(SUMIF(INDIRECT("'"&amp;$G$6&amp;"'!$C$37:$C$52"),W43,INDIRECT("'"&amp;$G$6&amp;"'!$E$37:$E$52")),0))))</f>
        <v/>
      </c>
      <c r="AF43" s="129">
        <f>IF($G$7="",0,AF42+IF(W43&gt;'General Information'!$D$33,0,IF(W43=0,$J$7,IFERROR(SUMIF(INDIRECT("'"&amp;$G$7&amp;"'!$C$37:$C$52"),W43,INDIRECT("'"&amp;$G$7&amp;"'!$E$37:$E$52")),0))))</f>
        <v/>
      </c>
      <c r="AG43" s="133">
        <f>IF($G$4="",0,IF(W43&gt;'General Information'!$D$33,0,IFERROR(SUMIFS(INDIRECT("'"&amp;$G$4&amp;"'!$D$37:$D$52"),INDIRECT("'"&amp;$G$4&amp;"'!$C$37:$C$52"),W43,INDIRECT("'"&amp;$G$4&amp;"'!$B$37:$B$52"),"*Indirect*")/INDIRECT("'"&amp;$G$4&amp;"'!$F$2"),0)))</f>
        <v/>
      </c>
      <c r="AH43" s="133">
        <f>IF($G$5="",0,IF(W43&gt;'General Information'!$D$33,0,IFERROR(SUMIFS(INDIRECT("'"&amp;$G$5&amp;"'!$D$37:$D$52"),INDIRECT("'"&amp;$G$5&amp;"'!$C$37:$C$52"),W43,INDIRECT("'"&amp;$G$5&amp;"'!$B$37:$B$52"),"*Indirect*")/INDIRECT("'"&amp;$G$5&amp;"'!$F$2"),0)))</f>
        <v/>
      </c>
      <c r="AI43" s="133">
        <f>IF($G$6="",0,IF(W43&gt;'General Information'!$D$33,0,IFERROR(SUMIFS(INDIRECT("'"&amp;$G$6&amp;"'!$D$37:$D$52"),INDIRECT("'"&amp;$G$6&amp;"'!$C$37:$C$52"),W43,INDIRECT("'"&amp;$G$6&amp;"'!$B$37:$B$52"),"*Indirect*")/INDIRECT("'"&amp;$G$6&amp;"'!$F$2"),0)))</f>
        <v/>
      </c>
      <c r="AJ43" s="133">
        <f>IF($G$7="",0,IF(W43&gt;'General Information'!$D$33,0,IFERROR(SUMIFS(INDIRECT("'"&amp;$G$7&amp;"'!$D$37:$D$52"),INDIRECT("'"&amp;$G$7&amp;"'!$C$37:$C$52"),W43,INDIRECT("'"&amp;$G$7&amp;"'!$B$37:$B$52"),"*Indirect*")/INDIRECT("'"&amp;$G$7&amp;"'!$F$2"),0)))</f>
        <v/>
      </c>
    </row>
    <row r="44">
      <c r="W44" s="128" t="n">
        <v>3</v>
      </c>
      <c r="X44" s="128">
        <f>'General Information'!$D$25+W44</f>
        <v/>
      </c>
      <c r="Y44" s="129">
        <f>IF($G$4="",0,IF(W44&gt;'General Information'!$D$33,0,IF(W44=0,$J$4,IFERROR(SUMIF(INDIRECT("'"&amp;$G$4&amp;"'!$C$37:$C$52"),W44,INDIRECT("'"&amp;$G$4&amp;"'!$D$37:$D$52")),0))))</f>
        <v/>
      </c>
      <c r="Z44" s="129">
        <f>IF($G$5="",0,IF(W44&gt;'General Information'!$D$33,0,IF(W44=0,$J$5,IFERROR(SUMIF(INDIRECT("'"&amp;$G$5&amp;"'!$C$37:$C$52"),W44,INDIRECT("'"&amp;$G$5&amp;"'!$D$37:$D$52")),0))))</f>
        <v/>
      </c>
      <c r="AA44" s="129">
        <f>IF($G$6="",0,IF(W44&gt;'General Information'!$D$33,0,IF(W44=0,$J$6,IFERROR(SUMIF(INDIRECT("'"&amp;$G$6&amp;"'!$C$37:$C$52"),W44,INDIRECT("'"&amp;$G$6&amp;"'!$D$37:$D$52")),0))))</f>
        <v/>
      </c>
      <c r="AB44" s="129">
        <f>IF($G$7="",0,IF(W44&gt;'General Information'!$D$33,0,IF(W44=0,$J$7,IFERROR(SUMIF(INDIRECT("'"&amp;$G$7&amp;"'!$C$37:$C$52"),W44,INDIRECT("'"&amp;$G$7&amp;"'!$D$37:$D$52")),0))))</f>
        <v/>
      </c>
      <c r="AC44" s="129">
        <f>IF($G$4="",0,AC43+IF(W44&gt;'General Information'!$D$33,0,IF(W44=0,$J$4,IFERROR(SUMIF(INDIRECT("'"&amp;$G$4&amp;"'!$C$37:$C$52"),W44,INDIRECT("'"&amp;$G$4&amp;"'!$E$37:$E$52")),0))))</f>
        <v/>
      </c>
      <c r="AD44" s="129">
        <f>IF($G$5="",0,AD43+IF(W44&gt;'General Information'!$D$33,0,IF(W44=0,$J$5,IFERROR(SUMIF(INDIRECT("'"&amp;$G$5&amp;"'!$C$37:$C$52"),W44,INDIRECT("'"&amp;$G$5&amp;"'!$E$37:$E$52")),0))))</f>
        <v/>
      </c>
      <c r="AE44" s="129">
        <f>IF($G$6="",0,AE43+IF(W44&gt;'General Information'!$D$33,0,IF(W44=0,$J$6,IFERROR(SUMIF(INDIRECT("'"&amp;$G$6&amp;"'!$C$37:$C$52"),W44,INDIRECT("'"&amp;$G$6&amp;"'!$E$37:$E$52")),0))))</f>
        <v/>
      </c>
      <c r="AF44" s="129">
        <f>IF($G$7="",0,AF43+IF(W44&gt;'General Information'!$D$33,0,IF(W44=0,$J$7,IFERROR(SUMIF(INDIRECT("'"&amp;$G$7&amp;"'!$C$37:$C$52"),W44,INDIRECT("'"&amp;$G$7&amp;"'!$E$37:$E$52")),0))))</f>
        <v/>
      </c>
      <c r="AG44" s="133">
        <f>IF($G$4="",0,IF(W44&gt;'General Information'!$D$33,0,IFERROR(SUMIFS(INDIRECT("'"&amp;$G$4&amp;"'!$D$37:$D$52"),INDIRECT("'"&amp;$G$4&amp;"'!$C$37:$C$52"),W44,INDIRECT("'"&amp;$G$4&amp;"'!$B$37:$B$52"),"*Indirect*")/INDIRECT("'"&amp;$G$4&amp;"'!$F$2"),0)))</f>
        <v/>
      </c>
      <c r="AH44" s="133">
        <f>IF($G$5="",0,IF(W44&gt;'General Information'!$D$33,0,IFERROR(SUMIFS(INDIRECT("'"&amp;$G$5&amp;"'!$D$37:$D$52"),INDIRECT("'"&amp;$G$5&amp;"'!$C$37:$C$52"),W44,INDIRECT("'"&amp;$G$5&amp;"'!$B$37:$B$52"),"*Indirect*")/INDIRECT("'"&amp;$G$5&amp;"'!$F$2"),0)))</f>
        <v/>
      </c>
      <c r="AI44" s="133">
        <f>IF($G$6="",0,IF(W44&gt;'General Information'!$D$33,0,IFERROR(SUMIFS(INDIRECT("'"&amp;$G$6&amp;"'!$D$37:$D$52"),INDIRECT("'"&amp;$G$6&amp;"'!$C$37:$C$52"),W44,INDIRECT("'"&amp;$G$6&amp;"'!$B$37:$B$52"),"*Indirect*")/INDIRECT("'"&amp;$G$6&amp;"'!$F$2"),0)))</f>
        <v/>
      </c>
      <c r="AJ44" s="133">
        <f>IF($G$7="",0,IF(W44&gt;'General Information'!$D$33,0,IFERROR(SUMIFS(INDIRECT("'"&amp;$G$7&amp;"'!$D$37:$D$52"),INDIRECT("'"&amp;$G$7&amp;"'!$C$37:$C$52"),W44,INDIRECT("'"&amp;$G$7&amp;"'!$B$37:$B$52"),"*Indirect*")/INDIRECT("'"&amp;$G$7&amp;"'!$F$2"),0)))</f>
        <v/>
      </c>
    </row>
    <row r="45">
      <c r="W45" s="128" t="n">
        <v>4</v>
      </c>
      <c r="X45" s="128">
        <f>'General Information'!$D$25+W45</f>
        <v/>
      </c>
      <c r="Y45" s="129">
        <f>IF($G$4="",0,IF(W45&gt;'General Information'!$D$33,0,IF(W45=0,$J$4,IFERROR(SUMIF(INDIRECT("'"&amp;$G$4&amp;"'!$C$37:$C$52"),W45,INDIRECT("'"&amp;$G$4&amp;"'!$D$37:$D$52")),0))))</f>
        <v/>
      </c>
      <c r="Z45" s="129">
        <f>IF($G$5="",0,IF(W45&gt;'General Information'!$D$33,0,IF(W45=0,$J$5,IFERROR(SUMIF(INDIRECT("'"&amp;$G$5&amp;"'!$C$37:$C$52"),W45,INDIRECT("'"&amp;$G$5&amp;"'!$D$37:$D$52")),0))))</f>
        <v/>
      </c>
      <c r="AA45" s="129">
        <f>IF($G$6="",0,IF(W45&gt;'General Information'!$D$33,0,IF(W45=0,$J$6,IFERROR(SUMIF(INDIRECT("'"&amp;$G$6&amp;"'!$C$37:$C$52"),W45,INDIRECT("'"&amp;$G$6&amp;"'!$D$37:$D$52")),0))))</f>
        <v/>
      </c>
      <c r="AB45" s="129">
        <f>IF($G$7="",0,IF(W45&gt;'General Information'!$D$33,0,IF(W45=0,$J$7,IFERROR(SUMIF(INDIRECT("'"&amp;$G$7&amp;"'!$C$37:$C$52"),W45,INDIRECT("'"&amp;$G$7&amp;"'!$D$37:$D$52")),0))))</f>
        <v/>
      </c>
      <c r="AC45" s="129">
        <f>IF($G$4="",0,AC44+IF(W45&gt;'General Information'!$D$33,0,IF(W45=0,$J$4,IFERROR(SUMIF(INDIRECT("'"&amp;$G$4&amp;"'!$C$37:$C$52"),W45,INDIRECT("'"&amp;$G$4&amp;"'!$E$37:$E$52")),0))))</f>
        <v/>
      </c>
      <c r="AD45" s="129">
        <f>IF($G$5="",0,AD44+IF(W45&gt;'General Information'!$D$33,0,IF(W45=0,$J$5,IFERROR(SUMIF(INDIRECT("'"&amp;$G$5&amp;"'!$C$37:$C$52"),W45,INDIRECT("'"&amp;$G$5&amp;"'!$E$37:$E$52")),0))))</f>
        <v/>
      </c>
      <c r="AE45" s="129">
        <f>IF($G$6="",0,AE44+IF(W45&gt;'General Information'!$D$33,0,IF(W45=0,$J$6,IFERROR(SUMIF(INDIRECT("'"&amp;$G$6&amp;"'!$C$37:$C$52"),W45,INDIRECT("'"&amp;$G$6&amp;"'!$E$37:$E$52")),0))))</f>
        <v/>
      </c>
      <c r="AF45" s="129">
        <f>IF($G$7="",0,AF44+IF(W45&gt;'General Information'!$D$33,0,IF(W45=0,$J$7,IFERROR(SUMIF(INDIRECT("'"&amp;$G$7&amp;"'!$C$37:$C$52"),W45,INDIRECT("'"&amp;$G$7&amp;"'!$E$37:$E$52")),0))))</f>
        <v/>
      </c>
      <c r="AG45" s="133">
        <f>IF($G$4="",0,IF(W45&gt;'General Information'!$D$33,0,IFERROR(SUMIFS(INDIRECT("'"&amp;$G$4&amp;"'!$D$37:$D$52"),INDIRECT("'"&amp;$G$4&amp;"'!$C$37:$C$52"),W45,INDIRECT("'"&amp;$G$4&amp;"'!$B$37:$B$52"),"*Indirect*")/INDIRECT("'"&amp;$G$4&amp;"'!$F$2"),0)))</f>
        <v/>
      </c>
      <c r="AH45" s="133">
        <f>IF($G$5="",0,IF(W45&gt;'General Information'!$D$33,0,IFERROR(SUMIFS(INDIRECT("'"&amp;$G$5&amp;"'!$D$37:$D$52"),INDIRECT("'"&amp;$G$5&amp;"'!$C$37:$C$52"),W45,INDIRECT("'"&amp;$G$5&amp;"'!$B$37:$B$52"),"*Indirect*")/INDIRECT("'"&amp;$G$5&amp;"'!$F$2"),0)))</f>
        <v/>
      </c>
      <c r="AI45" s="133">
        <f>IF($G$6="",0,IF(W45&gt;'General Information'!$D$33,0,IFERROR(SUMIFS(INDIRECT("'"&amp;$G$6&amp;"'!$D$37:$D$52"),INDIRECT("'"&amp;$G$6&amp;"'!$C$37:$C$52"),W45,INDIRECT("'"&amp;$G$6&amp;"'!$B$37:$B$52"),"*Indirect*")/INDIRECT("'"&amp;$G$6&amp;"'!$F$2"),0)))</f>
        <v/>
      </c>
      <c r="AJ45" s="133">
        <f>IF($G$7="",0,IF(W45&gt;'General Information'!$D$33,0,IFERROR(SUMIFS(INDIRECT("'"&amp;$G$7&amp;"'!$D$37:$D$52"),INDIRECT("'"&amp;$G$7&amp;"'!$C$37:$C$52"),W45,INDIRECT("'"&amp;$G$7&amp;"'!$B$37:$B$52"),"*Indirect*")/INDIRECT("'"&amp;$G$7&amp;"'!$F$2"),0)))</f>
        <v/>
      </c>
    </row>
    <row r="46">
      <c r="W46" s="128" t="n">
        <v>5</v>
      </c>
      <c r="X46" s="128">
        <f>'General Information'!$D$25+W46</f>
        <v/>
      </c>
      <c r="Y46" s="129">
        <f>IF($G$4="",0,IF(W46&gt;'General Information'!$D$33,0,IF(W46=0,$J$4,IFERROR(SUMIF(INDIRECT("'"&amp;$G$4&amp;"'!$C$37:$C$52"),W46,INDIRECT("'"&amp;$G$4&amp;"'!$D$37:$D$52")),0))))</f>
        <v/>
      </c>
      <c r="Z46" s="129">
        <f>IF($G$5="",0,IF(W46&gt;'General Information'!$D$33,0,IF(W46=0,$J$5,IFERROR(SUMIF(INDIRECT("'"&amp;$G$5&amp;"'!$C$37:$C$52"),W46,INDIRECT("'"&amp;$G$5&amp;"'!$D$37:$D$52")),0))))</f>
        <v/>
      </c>
      <c r="AA46" s="129">
        <f>IF($G$6="",0,IF(W46&gt;'General Information'!$D$33,0,IF(W46=0,$J$6,IFERROR(SUMIF(INDIRECT("'"&amp;$G$6&amp;"'!$C$37:$C$52"),W46,INDIRECT("'"&amp;$G$6&amp;"'!$D$37:$D$52")),0))))</f>
        <v/>
      </c>
      <c r="AB46" s="129">
        <f>IF($G$7="",0,IF(W46&gt;'General Information'!$D$33,0,IF(W46=0,$J$7,IFERROR(SUMIF(INDIRECT("'"&amp;$G$7&amp;"'!$C$37:$C$52"),W46,INDIRECT("'"&amp;$G$7&amp;"'!$D$37:$D$52")),0))))</f>
        <v/>
      </c>
      <c r="AC46" s="129">
        <f>IF($G$4="",0,AC45+IF(W46&gt;'General Information'!$D$33,0,IF(W46=0,$J$4,IFERROR(SUMIF(INDIRECT("'"&amp;$G$4&amp;"'!$C$37:$C$52"),W46,INDIRECT("'"&amp;$G$4&amp;"'!$E$37:$E$52")),0))))</f>
        <v/>
      </c>
      <c r="AD46" s="129">
        <f>IF($G$5="",0,AD45+IF(W46&gt;'General Information'!$D$33,0,IF(W46=0,$J$5,IFERROR(SUMIF(INDIRECT("'"&amp;$G$5&amp;"'!$C$37:$C$52"),W46,INDIRECT("'"&amp;$G$5&amp;"'!$E$37:$E$52")),0))))</f>
        <v/>
      </c>
      <c r="AE46" s="129">
        <f>IF($G$6="",0,AE45+IF(W46&gt;'General Information'!$D$33,0,IF(W46=0,$J$6,IFERROR(SUMIF(INDIRECT("'"&amp;$G$6&amp;"'!$C$37:$C$52"),W46,INDIRECT("'"&amp;$G$6&amp;"'!$E$37:$E$52")),0))))</f>
        <v/>
      </c>
      <c r="AF46" s="129">
        <f>IF($G$7="",0,AF45+IF(W46&gt;'General Information'!$D$33,0,IF(W46=0,$J$7,IFERROR(SUMIF(INDIRECT("'"&amp;$G$7&amp;"'!$C$37:$C$52"),W46,INDIRECT("'"&amp;$G$7&amp;"'!$E$37:$E$52")),0))))</f>
        <v/>
      </c>
      <c r="AG46" s="133">
        <f>IF($G$4="",0,IF(W46&gt;'General Information'!$D$33,0,IFERROR(SUMIFS(INDIRECT("'"&amp;$G$4&amp;"'!$D$37:$D$52"),INDIRECT("'"&amp;$G$4&amp;"'!$C$37:$C$52"),W46,INDIRECT("'"&amp;$G$4&amp;"'!$B$37:$B$52"),"*Indirect*")/INDIRECT("'"&amp;$G$4&amp;"'!$F$2"),0)))</f>
        <v/>
      </c>
      <c r="AH46" s="133">
        <f>IF($G$5="",0,IF(W46&gt;'General Information'!$D$33,0,IFERROR(SUMIFS(INDIRECT("'"&amp;$G$5&amp;"'!$D$37:$D$52"),INDIRECT("'"&amp;$G$5&amp;"'!$C$37:$C$52"),W46,INDIRECT("'"&amp;$G$5&amp;"'!$B$37:$B$52"),"*Indirect*")/INDIRECT("'"&amp;$G$5&amp;"'!$F$2"),0)))</f>
        <v/>
      </c>
      <c r="AI46" s="133">
        <f>IF($G$6="",0,IF(W46&gt;'General Information'!$D$33,0,IFERROR(SUMIFS(INDIRECT("'"&amp;$G$6&amp;"'!$D$37:$D$52"),INDIRECT("'"&amp;$G$6&amp;"'!$C$37:$C$52"),W46,INDIRECT("'"&amp;$G$6&amp;"'!$B$37:$B$52"),"*Indirect*")/INDIRECT("'"&amp;$G$6&amp;"'!$F$2"),0)))</f>
        <v/>
      </c>
      <c r="AJ46" s="133">
        <f>IF($G$7="",0,IF(W46&gt;'General Information'!$D$33,0,IFERROR(SUMIFS(INDIRECT("'"&amp;$G$7&amp;"'!$D$37:$D$52"),INDIRECT("'"&amp;$G$7&amp;"'!$C$37:$C$52"),W46,INDIRECT("'"&amp;$G$7&amp;"'!$B$37:$B$52"),"*Indirect*")/INDIRECT("'"&amp;$G$7&amp;"'!$F$2"),0)))</f>
        <v/>
      </c>
    </row>
    <row r="47">
      <c r="W47" s="128" t="n">
        <v>6</v>
      </c>
      <c r="X47" s="128">
        <f>'General Information'!$D$25+W47</f>
        <v/>
      </c>
      <c r="Y47" s="129">
        <f>IF($G$4="",0,IF(W47&gt;'General Information'!$D$33,0,IF(W47=0,$J$4,IFERROR(SUMIF(INDIRECT("'"&amp;$G$4&amp;"'!$C$37:$C$52"),W47,INDIRECT("'"&amp;$G$4&amp;"'!$D$37:$D$52")),0))))</f>
        <v/>
      </c>
      <c r="Z47" s="129">
        <f>IF($G$5="",0,IF(W47&gt;'General Information'!$D$33,0,IF(W47=0,$J$5,IFERROR(SUMIF(INDIRECT("'"&amp;$G$5&amp;"'!$C$37:$C$52"),W47,INDIRECT("'"&amp;$G$5&amp;"'!$D$37:$D$52")),0))))</f>
        <v/>
      </c>
      <c r="AA47" s="129">
        <f>IF($G$6="",0,IF(W47&gt;'General Information'!$D$33,0,IF(W47=0,$J$6,IFERROR(SUMIF(INDIRECT("'"&amp;$G$6&amp;"'!$C$37:$C$52"),W47,INDIRECT("'"&amp;$G$6&amp;"'!$D$37:$D$52")),0))))</f>
        <v/>
      </c>
      <c r="AB47" s="129">
        <f>IF($G$7="",0,IF(W47&gt;'General Information'!$D$33,0,IF(W47=0,$J$7,IFERROR(SUMIF(INDIRECT("'"&amp;$G$7&amp;"'!$C$37:$C$52"),W47,INDIRECT("'"&amp;$G$7&amp;"'!$D$37:$D$52")),0))))</f>
        <v/>
      </c>
      <c r="AC47" s="129">
        <f>IF($G$4="",0,AC46+IF(W47&gt;'General Information'!$D$33,0,IF(W47=0,$J$4,IFERROR(SUMIF(INDIRECT("'"&amp;$G$4&amp;"'!$C$37:$C$52"),W47,INDIRECT("'"&amp;$G$4&amp;"'!$E$37:$E$52")),0))))</f>
        <v/>
      </c>
      <c r="AD47" s="129">
        <f>IF($G$5="",0,AD46+IF(W47&gt;'General Information'!$D$33,0,IF(W47=0,$J$5,IFERROR(SUMIF(INDIRECT("'"&amp;$G$5&amp;"'!$C$37:$C$52"),W47,INDIRECT("'"&amp;$G$5&amp;"'!$E$37:$E$52")),0))))</f>
        <v/>
      </c>
      <c r="AE47" s="129">
        <f>IF($G$6="",0,AE46+IF(W47&gt;'General Information'!$D$33,0,IF(W47=0,$J$6,IFERROR(SUMIF(INDIRECT("'"&amp;$G$6&amp;"'!$C$37:$C$52"),W47,INDIRECT("'"&amp;$G$6&amp;"'!$E$37:$E$52")),0))))</f>
        <v/>
      </c>
      <c r="AF47" s="129">
        <f>IF($G$7="",0,AF46+IF(W47&gt;'General Information'!$D$33,0,IF(W47=0,$J$7,IFERROR(SUMIF(INDIRECT("'"&amp;$G$7&amp;"'!$C$37:$C$52"),W47,INDIRECT("'"&amp;$G$7&amp;"'!$E$37:$E$52")),0))))</f>
        <v/>
      </c>
      <c r="AG47" s="133">
        <f>IF($G$4="",0,IF(W47&gt;'General Information'!$D$33,0,IFERROR(SUMIFS(INDIRECT("'"&amp;$G$4&amp;"'!$D$37:$D$52"),INDIRECT("'"&amp;$G$4&amp;"'!$C$37:$C$52"),W47,INDIRECT("'"&amp;$G$4&amp;"'!$B$37:$B$52"),"*Indirect*")/INDIRECT("'"&amp;$G$4&amp;"'!$F$2"),0)))</f>
        <v/>
      </c>
      <c r="AH47" s="133">
        <f>IF($G$5="",0,IF(W47&gt;'General Information'!$D$33,0,IFERROR(SUMIFS(INDIRECT("'"&amp;$G$5&amp;"'!$D$37:$D$52"),INDIRECT("'"&amp;$G$5&amp;"'!$C$37:$C$52"),W47,INDIRECT("'"&amp;$G$5&amp;"'!$B$37:$B$52"),"*Indirect*")/INDIRECT("'"&amp;$G$5&amp;"'!$F$2"),0)))</f>
        <v/>
      </c>
      <c r="AI47" s="133">
        <f>IF($G$6="",0,IF(W47&gt;'General Information'!$D$33,0,IFERROR(SUMIFS(INDIRECT("'"&amp;$G$6&amp;"'!$D$37:$D$52"),INDIRECT("'"&amp;$G$6&amp;"'!$C$37:$C$52"),W47,INDIRECT("'"&amp;$G$6&amp;"'!$B$37:$B$52"),"*Indirect*")/INDIRECT("'"&amp;$G$6&amp;"'!$F$2"),0)))</f>
        <v/>
      </c>
      <c r="AJ47" s="133">
        <f>IF($G$7="",0,IF(W47&gt;'General Information'!$D$33,0,IFERROR(SUMIFS(INDIRECT("'"&amp;$G$7&amp;"'!$D$37:$D$52"),INDIRECT("'"&amp;$G$7&amp;"'!$C$37:$C$52"),W47,INDIRECT("'"&amp;$G$7&amp;"'!$B$37:$B$52"),"*Indirect*")/INDIRECT("'"&amp;$G$7&amp;"'!$F$2"),0)))</f>
        <v/>
      </c>
    </row>
    <row r="48">
      <c r="W48" s="128" t="n">
        <v>7</v>
      </c>
      <c r="X48" s="128">
        <f>'General Information'!$D$25+W48</f>
        <v/>
      </c>
      <c r="Y48" s="129">
        <f>IF($G$4="",0,IF(W48&gt;'General Information'!$D$33,0,IF(W48=0,$J$4,IFERROR(SUMIF(INDIRECT("'"&amp;$G$4&amp;"'!$C$37:$C$52"),W48,INDIRECT("'"&amp;$G$4&amp;"'!$D$37:$D$52")),0))))</f>
        <v/>
      </c>
      <c r="Z48" s="129">
        <f>IF($G$5="",0,IF(W48&gt;'General Information'!$D$33,0,IF(W48=0,$J$5,IFERROR(SUMIF(INDIRECT("'"&amp;$G$5&amp;"'!$C$37:$C$52"),W48,INDIRECT("'"&amp;$G$5&amp;"'!$D$37:$D$52")),0))))</f>
        <v/>
      </c>
      <c r="AA48" s="129">
        <f>IF($G$6="",0,IF(W48&gt;'General Information'!$D$33,0,IF(W48=0,$J$6,IFERROR(SUMIF(INDIRECT("'"&amp;$G$6&amp;"'!$C$37:$C$52"),W48,INDIRECT("'"&amp;$G$6&amp;"'!$D$37:$D$52")),0))))</f>
        <v/>
      </c>
      <c r="AB48" s="129">
        <f>IF($G$7="",0,IF(W48&gt;'General Information'!$D$33,0,IF(W48=0,$J$7,IFERROR(SUMIF(INDIRECT("'"&amp;$G$7&amp;"'!$C$37:$C$52"),W48,INDIRECT("'"&amp;$G$7&amp;"'!$D$37:$D$52")),0))))</f>
        <v/>
      </c>
      <c r="AC48" s="129">
        <f>IF($G$4="",0,AC47+IF(W48&gt;'General Information'!$D$33,0,IF(W48=0,$J$4,IFERROR(SUMIF(INDIRECT("'"&amp;$G$4&amp;"'!$C$37:$C$52"),W48,INDIRECT("'"&amp;$G$4&amp;"'!$E$37:$E$52")),0))))</f>
        <v/>
      </c>
      <c r="AD48" s="129">
        <f>IF($G$5="",0,AD47+IF(W48&gt;'General Information'!$D$33,0,IF(W48=0,$J$5,IFERROR(SUMIF(INDIRECT("'"&amp;$G$5&amp;"'!$C$37:$C$52"),W48,INDIRECT("'"&amp;$G$5&amp;"'!$E$37:$E$52")),0))))</f>
        <v/>
      </c>
      <c r="AE48" s="129">
        <f>IF($G$6="",0,AE47+IF(W48&gt;'General Information'!$D$33,0,IF(W48=0,$J$6,IFERROR(SUMIF(INDIRECT("'"&amp;$G$6&amp;"'!$C$37:$C$52"),W48,INDIRECT("'"&amp;$G$6&amp;"'!$E$37:$E$52")),0))))</f>
        <v/>
      </c>
      <c r="AF48" s="129">
        <f>IF($G$7="",0,AF47+IF(W48&gt;'General Information'!$D$33,0,IF(W48=0,$J$7,IFERROR(SUMIF(INDIRECT("'"&amp;$G$7&amp;"'!$C$37:$C$52"),W48,INDIRECT("'"&amp;$G$7&amp;"'!$E$37:$E$52")),0))))</f>
        <v/>
      </c>
      <c r="AG48" s="133">
        <f>IF($G$4="",0,IF(W48&gt;'General Information'!$D$33,0,IFERROR(SUMIFS(INDIRECT("'"&amp;$G$4&amp;"'!$D$37:$D$52"),INDIRECT("'"&amp;$G$4&amp;"'!$C$37:$C$52"),W48,INDIRECT("'"&amp;$G$4&amp;"'!$B$37:$B$52"),"*Indirect*")/INDIRECT("'"&amp;$G$4&amp;"'!$F$2"),0)))</f>
        <v/>
      </c>
      <c r="AH48" s="133">
        <f>IF($G$5="",0,IF(W48&gt;'General Information'!$D$33,0,IFERROR(SUMIFS(INDIRECT("'"&amp;$G$5&amp;"'!$D$37:$D$52"),INDIRECT("'"&amp;$G$5&amp;"'!$C$37:$C$52"),W48,INDIRECT("'"&amp;$G$5&amp;"'!$B$37:$B$52"),"*Indirect*")/INDIRECT("'"&amp;$G$5&amp;"'!$F$2"),0)))</f>
        <v/>
      </c>
      <c r="AI48" s="133">
        <f>IF($G$6="",0,IF(W48&gt;'General Information'!$D$33,0,IFERROR(SUMIFS(INDIRECT("'"&amp;$G$6&amp;"'!$D$37:$D$52"),INDIRECT("'"&amp;$G$6&amp;"'!$C$37:$C$52"),W48,INDIRECT("'"&amp;$G$6&amp;"'!$B$37:$B$52"),"*Indirect*")/INDIRECT("'"&amp;$G$6&amp;"'!$F$2"),0)))</f>
        <v/>
      </c>
      <c r="AJ48" s="133">
        <f>IF($G$7="",0,IF(W48&gt;'General Information'!$D$33,0,IFERROR(SUMIFS(INDIRECT("'"&amp;$G$7&amp;"'!$D$37:$D$52"),INDIRECT("'"&amp;$G$7&amp;"'!$C$37:$C$52"),W48,INDIRECT("'"&amp;$G$7&amp;"'!$B$37:$B$52"),"*Indirect*")/INDIRECT("'"&amp;$G$7&amp;"'!$F$2"),0)))</f>
        <v/>
      </c>
    </row>
    <row r="49">
      <c r="W49" s="128" t="n">
        <v>8</v>
      </c>
      <c r="X49" s="128">
        <f>'General Information'!$D$25+W49</f>
        <v/>
      </c>
      <c r="Y49" s="129">
        <f>IF($G$4="",0,IF(W49&gt;'General Information'!$D$33,0,IF(W49=0,$J$4,IFERROR(SUMIF(INDIRECT("'"&amp;$G$4&amp;"'!$C$37:$C$52"),W49,INDIRECT("'"&amp;$G$4&amp;"'!$D$37:$D$52")),0))))</f>
        <v/>
      </c>
      <c r="Z49" s="129">
        <f>IF($G$5="",0,IF(W49&gt;'General Information'!$D$33,0,IF(W49=0,$J$5,IFERROR(SUMIF(INDIRECT("'"&amp;$G$5&amp;"'!$C$37:$C$52"),W49,INDIRECT("'"&amp;$G$5&amp;"'!$D$37:$D$52")),0))))</f>
        <v/>
      </c>
      <c r="AA49" s="129">
        <f>IF($G$6="",0,IF(W49&gt;'General Information'!$D$33,0,IF(W49=0,$J$6,IFERROR(SUMIF(INDIRECT("'"&amp;$G$6&amp;"'!$C$37:$C$52"),W49,INDIRECT("'"&amp;$G$6&amp;"'!$D$37:$D$52")),0))))</f>
        <v/>
      </c>
      <c r="AB49" s="129">
        <f>IF($G$7="",0,IF(W49&gt;'General Information'!$D$33,0,IF(W49=0,$J$7,IFERROR(SUMIF(INDIRECT("'"&amp;$G$7&amp;"'!$C$37:$C$52"),W49,INDIRECT("'"&amp;$G$7&amp;"'!$D$37:$D$52")),0))))</f>
        <v/>
      </c>
      <c r="AC49" s="129">
        <f>IF($G$4="",0,AC48+IF(W49&gt;'General Information'!$D$33,0,IF(W49=0,$J$4,IFERROR(SUMIF(INDIRECT("'"&amp;$G$4&amp;"'!$C$37:$C$52"),W49,INDIRECT("'"&amp;$G$4&amp;"'!$E$37:$E$52")),0))))</f>
        <v/>
      </c>
      <c r="AD49" s="129">
        <f>IF($G$5="",0,AD48+IF(W49&gt;'General Information'!$D$33,0,IF(W49=0,$J$5,IFERROR(SUMIF(INDIRECT("'"&amp;$G$5&amp;"'!$C$37:$C$52"),W49,INDIRECT("'"&amp;$G$5&amp;"'!$E$37:$E$52")),0))))</f>
        <v/>
      </c>
      <c r="AE49" s="129">
        <f>IF($G$6="",0,AE48+IF(W49&gt;'General Information'!$D$33,0,IF(W49=0,$J$6,IFERROR(SUMIF(INDIRECT("'"&amp;$G$6&amp;"'!$C$37:$C$52"),W49,INDIRECT("'"&amp;$G$6&amp;"'!$E$37:$E$52")),0))))</f>
        <v/>
      </c>
      <c r="AF49" s="129">
        <f>IF($G$7="",0,AF48+IF(W49&gt;'General Information'!$D$33,0,IF(W49=0,$J$7,IFERROR(SUMIF(INDIRECT("'"&amp;$G$7&amp;"'!$C$37:$C$52"),W49,INDIRECT("'"&amp;$G$7&amp;"'!$E$37:$E$52")),0))))</f>
        <v/>
      </c>
      <c r="AG49" s="133">
        <f>IF($G$4="",0,IF(W49&gt;'General Information'!$D$33,0,IFERROR(SUMIFS(INDIRECT("'"&amp;$G$4&amp;"'!$D$37:$D$52"),INDIRECT("'"&amp;$G$4&amp;"'!$C$37:$C$52"),W49,INDIRECT("'"&amp;$G$4&amp;"'!$B$37:$B$52"),"*Indirect*")/INDIRECT("'"&amp;$G$4&amp;"'!$F$2"),0)))</f>
        <v/>
      </c>
      <c r="AH49" s="133">
        <f>IF($G$5="",0,IF(W49&gt;'General Information'!$D$33,0,IFERROR(SUMIFS(INDIRECT("'"&amp;$G$5&amp;"'!$D$37:$D$52"),INDIRECT("'"&amp;$G$5&amp;"'!$C$37:$C$52"),W49,INDIRECT("'"&amp;$G$5&amp;"'!$B$37:$B$52"),"*Indirect*")/INDIRECT("'"&amp;$G$5&amp;"'!$F$2"),0)))</f>
        <v/>
      </c>
      <c r="AI49" s="133">
        <f>IF($G$6="",0,IF(W49&gt;'General Information'!$D$33,0,IFERROR(SUMIFS(INDIRECT("'"&amp;$G$6&amp;"'!$D$37:$D$52"),INDIRECT("'"&amp;$G$6&amp;"'!$C$37:$C$52"),W49,INDIRECT("'"&amp;$G$6&amp;"'!$B$37:$B$52"),"*Indirect*")/INDIRECT("'"&amp;$G$6&amp;"'!$F$2"),0)))</f>
        <v/>
      </c>
      <c r="AJ49" s="133">
        <f>IF($G$7="",0,IF(W49&gt;'General Information'!$D$33,0,IFERROR(SUMIFS(INDIRECT("'"&amp;$G$7&amp;"'!$D$37:$D$52"),INDIRECT("'"&amp;$G$7&amp;"'!$C$37:$C$52"),W49,INDIRECT("'"&amp;$G$7&amp;"'!$B$37:$B$52"),"*Indirect*")/INDIRECT("'"&amp;$G$7&amp;"'!$F$2"),0)))</f>
        <v/>
      </c>
    </row>
    <row r="50">
      <c r="W50" s="128" t="n">
        <v>9</v>
      </c>
      <c r="X50" s="128">
        <f>'General Information'!$D$25+W50</f>
        <v/>
      </c>
      <c r="Y50" s="129">
        <f>IF($G$4="",0,IF(W50&gt;'General Information'!$D$33,0,IF(W50=0,$J$4,IFERROR(SUMIF(INDIRECT("'"&amp;$G$4&amp;"'!$C$37:$C$52"),W50,INDIRECT("'"&amp;$G$4&amp;"'!$D$37:$D$52")),0))))</f>
        <v/>
      </c>
      <c r="Z50" s="129">
        <f>IF($G$5="",0,IF(W50&gt;'General Information'!$D$33,0,IF(W50=0,$J$5,IFERROR(SUMIF(INDIRECT("'"&amp;$G$5&amp;"'!$C$37:$C$52"),W50,INDIRECT("'"&amp;$G$5&amp;"'!$D$37:$D$52")),0))))</f>
        <v/>
      </c>
      <c r="AA50" s="129">
        <f>IF($G$6="",0,IF(W50&gt;'General Information'!$D$33,0,IF(W50=0,$J$6,IFERROR(SUMIF(INDIRECT("'"&amp;$G$6&amp;"'!$C$37:$C$52"),W50,INDIRECT("'"&amp;$G$6&amp;"'!$D$37:$D$52")),0))))</f>
        <v/>
      </c>
      <c r="AB50" s="129">
        <f>IF($G$7="",0,IF(W50&gt;'General Information'!$D$33,0,IF(W50=0,$J$7,IFERROR(SUMIF(INDIRECT("'"&amp;$G$7&amp;"'!$C$37:$C$52"),W50,INDIRECT("'"&amp;$G$7&amp;"'!$D$37:$D$52")),0))))</f>
        <v/>
      </c>
      <c r="AC50" s="129">
        <f>IF($G$4="",0,AC49+IF(W50&gt;'General Information'!$D$33,0,IF(W50=0,$J$4,IFERROR(SUMIF(INDIRECT("'"&amp;$G$4&amp;"'!$C$37:$C$52"),W50,INDIRECT("'"&amp;$G$4&amp;"'!$E$37:$E$52")),0))))</f>
        <v/>
      </c>
      <c r="AD50" s="129">
        <f>IF($G$5="",0,AD49+IF(W50&gt;'General Information'!$D$33,0,IF(W50=0,$J$5,IFERROR(SUMIF(INDIRECT("'"&amp;$G$5&amp;"'!$C$37:$C$52"),W50,INDIRECT("'"&amp;$G$5&amp;"'!$E$37:$E$52")),0))))</f>
        <v/>
      </c>
      <c r="AE50" s="129">
        <f>IF($G$6="",0,AE49+IF(W50&gt;'General Information'!$D$33,0,IF(W50=0,$J$6,IFERROR(SUMIF(INDIRECT("'"&amp;$G$6&amp;"'!$C$37:$C$52"),W50,INDIRECT("'"&amp;$G$6&amp;"'!$E$37:$E$52")),0))))</f>
        <v/>
      </c>
      <c r="AF50" s="129">
        <f>IF($G$7="",0,AF49+IF(W50&gt;'General Information'!$D$33,0,IF(W50=0,$J$7,IFERROR(SUMIF(INDIRECT("'"&amp;$G$7&amp;"'!$C$37:$C$52"),W50,INDIRECT("'"&amp;$G$7&amp;"'!$E$37:$E$52")),0))))</f>
        <v/>
      </c>
      <c r="AG50" s="133">
        <f>IF($G$4="",0,IF(W50&gt;'General Information'!$D$33,0,IFERROR(SUMIFS(INDIRECT("'"&amp;$G$4&amp;"'!$D$37:$D$52"),INDIRECT("'"&amp;$G$4&amp;"'!$C$37:$C$52"),W50,INDIRECT("'"&amp;$G$4&amp;"'!$B$37:$B$52"),"*Indirect*")/INDIRECT("'"&amp;$G$4&amp;"'!$F$2"),0)))</f>
        <v/>
      </c>
      <c r="AH50" s="133">
        <f>IF($G$5="",0,IF(W50&gt;'General Information'!$D$33,0,IFERROR(SUMIFS(INDIRECT("'"&amp;$G$5&amp;"'!$D$37:$D$52"),INDIRECT("'"&amp;$G$5&amp;"'!$C$37:$C$52"),W50,INDIRECT("'"&amp;$G$5&amp;"'!$B$37:$B$52"),"*Indirect*")/INDIRECT("'"&amp;$G$5&amp;"'!$F$2"),0)))</f>
        <v/>
      </c>
      <c r="AI50" s="133">
        <f>IF($G$6="",0,IF(W50&gt;'General Information'!$D$33,0,IFERROR(SUMIFS(INDIRECT("'"&amp;$G$6&amp;"'!$D$37:$D$52"),INDIRECT("'"&amp;$G$6&amp;"'!$C$37:$C$52"),W50,INDIRECT("'"&amp;$G$6&amp;"'!$B$37:$B$52"),"*Indirect*")/INDIRECT("'"&amp;$G$6&amp;"'!$F$2"),0)))</f>
        <v/>
      </c>
      <c r="AJ50" s="133">
        <f>IF($G$7="",0,IF(W50&gt;'General Information'!$D$33,0,IFERROR(SUMIFS(INDIRECT("'"&amp;$G$7&amp;"'!$D$37:$D$52"),INDIRECT("'"&amp;$G$7&amp;"'!$C$37:$C$52"),W50,INDIRECT("'"&amp;$G$7&amp;"'!$B$37:$B$52"),"*Indirect*")/INDIRECT("'"&amp;$G$7&amp;"'!$F$2"),0)))</f>
        <v/>
      </c>
    </row>
    <row r="51">
      <c r="W51" s="128" t="n">
        <v>10</v>
      </c>
      <c r="X51" s="128">
        <f>'General Information'!$D$25+W51</f>
        <v/>
      </c>
      <c r="Y51" s="129">
        <f>IF($G$4="",0,IF(W51&gt;'General Information'!$D$33,0,IF(W51=0,$J$4,IFERROR(SUMIF(INDIRECT("'"&amp;$G$4&amp;"'!$C$37:$C$52"),W51,INDIRECT("'"&amp;$G$4&amp;"'!$D$37:$D$52")),0))))</f>
        <v/>
      </c>
      <c r="Z51" s="129">
        <f>IF($G$5="",0,IF(W51&gt;'General Information'!$D$33,0,IF(W51=0,$J$5,IFERROR(SUMIF(INDIRECT("'"&amp;$G$5&amp;"'!$C$37:$C$52"),W51,INDIRECT("'"&amp;$G$5&amp;"'!$D$37:$D$52")),0))))</f>
        <v/>
      </c>
      <c r="AA51" s="129">
        <f>IF($G$6="",0,IF(W51&gt;'General Information'!$D$33,0,IF(W51=0,$J$6,IFERROR(SUMIF(INDIRECT("'"&amp;$G$6&amp;"'!$C$37:$C$52"),W51,INDIRECT("'"&amp;$G$6&amp;"'!$D$37:$D$52")),0))))</f>
        <v/>
      </c>
      <c r="AB51" s="129">
        <f>IF($G$7="",0,IF(W51&gt;'General Information'!$D$33,0,IF(W51=0,$J$7,IFERROR(SUMIF(INDIRECT("'"&amp;$G$7&amp;"'!$C$37:$C$52"),W51,INDIRECT("'"&amp;$G$7&amp;"'!$D$37:$D$52")),0))))</f>
        <v/>
      </c>
      <c r="AC51" s="129">
        <f>IF($G$4="",0,AC50+IF(W51&gt;'General Information'!$D$33,0,IF(W51=0,$J$4,IFERROR(SUMIF(INDIRECT("'"&amp;$G$4&amp;"'!$C$37:$C$52"),W51,INDIRECT("'"&amp;$G$4&amp;"'!$E$37:$E$52")),0))))</f>
        <v/>
      </c>
      <c r="AD51" s="129">
        <f>IF($G$5="",0,AD50+IF(W51&gt;'General Information'!$D$33,0,IF(W51=0,$J$5,IFERROR(SUMIF(INDIRECT("'"&amp;$G$5&amp;"'!$C$37:$C$52"),W51,INDIRECT("'"&amp;$G$5&amp;"'!$E$37:$E$52")),0))))</f>
        <v/>
      </c>
      <c r="AE51" s="129">
        <f>IF($G$6="",0,AE50+IF(W51&gt;'General Information'!$D$33,0,IF(W51=0,$J$6,IFERROR(SUMIF(INDIRECT("'"&amp;$G$6&amp;"'!$C$37:$C$52"),W51,INDIRECT("'"&amp;$G$6&amp;"'!$E$37:$E$52")),0))))</f>
        <v/>
      </c>
      <c r="AF51" s="129">
        <f>IF($G$7="",0,AF50+IF(W51&gt;'General Information'!$D$33,0,IF(W51=0,$J$7,IFERROR(SUMIF(INDIRECT("'"&amp;$G$7&amp;"'!$C$37:$C$52"),W51,INDIRECT("'"&amp;$G$7&amp;"'!$E$37:$E$52")),0))))</f>
        <v/>
      </c>
      <c r="AG51" s="133">
        <f>IF($G$4="",0,IF(W51&gt;'General Information'!$D$33,0,IFERROR(SUMIFS(INDIRECT("'"&amp;$G$4&amp;"'!$D$37:$D$52"),INDIRECT("'"&amp;$G$4&amp;"'!$C$37:$C$52"),W51,INDIRECT("'"&amp;$G$4&amp;"'!$B$37:$B$52"),"*Indirect*")/INDIRECT("'"&amp;$G$4&amp;"'!$F$2"),0)))</f>
        <v/>
      </c>
      <c r="AH51" s="133">
        <f>IF($G$5="",0,IF(W51&gt;'General Information'!$D$33,0,IFERROR(SUMIFS(INDIRECT("'"&amp;$G$5&amp;"'!$D$37:$D$52"),INDIRECT("'"&amp;$G$5&amp;"'!$C$37:$C$52"),W51,INDIRECT("'"&amp;$G$5&amp;"'!$B$37:$B$52"),"*Indirect*")/INDIRECT("'"&amp;$G$5&amp;"'!$F$2"),0)))</f>
        <v/>
      </c>
      <c r="AI51" s="133">
        <f>IF($G$6="",0,IF(W51&gt;'General Information'!$D$33,0,IFERROR(SUMIFS(INDIRECT("'"&amp;$G$6&amp;"'!$D$37:$D$52"),INDIRECT("'"&amp;$G$6&amp;"'!$C$37:$C$52"),W51,INDIRECT("'"&amp;$G$6&amp;"'!$B$37:$B$52"),"*Indirect*")/INDIRECT("'"&amp;$G$6&amp;"'!$F$2"),0)))</f>
        <v/>
      </c>
      <c r="AJ51" s="133">
        <f>IF($G$7="",0,IF(W51&gt;'General Information'!$D$33,0,IFERROR(SUMIFS(INDIRECT("'"&amp;$G$7&amp;"'!$D$37:$D$52"),INDIRECT("'"&amp;$G$7&amp;"'!$C$37:$C$52"),W51,INDIRECT("'"&amp;$G$7&amp;"'!$B$37:$B$52"),"*Indirect*")/INDIRECT("'"&amp;$G$7&amp;"'!$F$2"),0)))</f>
        <v/>
      </c>
    </row>
    <row r="52">
      <c r="W52" s="128" t="n">
        <v>11</v>
      </c>
      <c r="X52" s="128">
        <f>'General Information'!$D$25+W52</f>
        <v/>
      </c>
      <c r="Y52" s="129">
        <f>IF($G$4="",0,IF(W52&gt;'General Information'!$D$33,0,IF(W52=0,$J$4,IFERROR(SUMIF(INDIRECT("'"&amp;$G$4&amp;"'!$C$37:$C$52"),W52,INDIRECT("'"&amp;$G$4&amp;"'!$D$37:$D$52")),0))))</f>
        <v/>
      </c>
      <c r="Z52" s="129">
        <f>IF($G$5="",0,IF(W52&gt;'General Information'!$D$33,0,IF(W52=0,$J$5,IFERROR(SUMIF(INDIRECT("'"&amp;$G$5&amp;"'!$C$37:$C$52"),W52,INDIRECT("'"&amp;$G$5&amp;"'!$D$37:$D$52")),0))))</f>
        <v/>
      </c>
      <c r="AA52" s="129">
        <f>IF($G$6="",0,IF(W52&gt;'General Information'!$D$33,0,IF(W52=0,$J$6,IFERROR(SUMIF(INDIRECT("'"&amp;$G$6&amp;"'!$C$37:$C$52"),W52,INDIRECT("'"&amp;$G$6&amp;"'!$D$37:$D$52")),0))))</f>
        <v/>
      </c>
      <c r="AB52" s="129">
        <f>IF($G$7="",0,IF(W52&gt;'General Information'!$D$33,0,IF(W52=0,$J$7,IFERROR(SUMIF(INDIRECT("'"&amp;$G$7&amp;"'!$C$37:$C$52"),W52,INDIRECT("'"&amp;$G$7&amp;"'!$D$37:$D$52")),0))))</f>
        <v/>
      </c>
      <c r="AC52" s="129">
        <f>IF($G$4="",0,AC51+IF(W52&gt;'General Information'!$D$33,0,IF(W52=0,$J$4,IFERROR(SUMIF(INDIRECT("'"&amp;$G$4&amp;"'!$C$37:$C$52"),W52,INDIRECT("'"&amp;$G$4&amp;"'!$E$37:$E$52")),0))))</f>
        <v/>
      </c>
      <c r="AD52" s="129">
        <f>IF($G$5="",0,AD51+IF(W52&gt;'General Information'!$D$33,0,IF(W52=0,$J$5,IFERROR(SUMIF(INDIRECT("'"&amp;$G$5&amp;"'!$C$37:$C$52"),W52,INDIRECT("'"&amp;$G$5&amp;"'!$E$37:$E$52")),0))))</f>
        <v/>
      </c>
      <c r="AE52" s="129">
        <f>IF($G$6="",0,AE51+IF(W52&gt;'General Information'!$D$33,0,IF(W52=0,$J$6,IFERROR(SUMIF(INDIRECT("'"&amp;$G$6&amp;"'!$C$37:$C$52"),W52,INDIRECT("'"&amp;$G$6&amp;"'!$E$37:$E$52")),0))))</f>
        <v/>
      </c>
      <c r="AF52" s="129">
        <f>IF($G$7="",0,AF51+IF(W52&gt;'General Information'!$D$33,0,IF(W52=0,$J$7,IFERROR(SUMIF(INDIRECT("'"&amp;$G$7&amp;"'!$C$37:$C$52"),W52,INDIRECT("'"&amp;$G$7&amp;"'!$E$37:$E$52")),0))))</f>
        <v/>
      </c>
      <c r="AG52" s="133">
        <f>IF($G$4="",0,IF(W52&gt;'General Information'!$D$33,0,IFERROR(SUMIFS(INDIRECT("'"&amp;$G$4&amp;"'!$D$37:$D$52"),INDIRECT("'"&amp;$G$4&amp;"'!$C$37:$C$52"),W52,INDIRECT("'"&amp;$G$4&amp;"'!$B$37:$B$52"),"*Indirect*")/INDIRECT("'"&amp;$G$4&amp;"'!$F$2"),0)))</f>
        <v/>
      </c>
      <c r="AH52" s="133">
        <f>IF($G$5="",0,IF(W52&gt;'General Information'!$D$33,0,IFERROR(SUMIFS(INDIRECT("'"&amp;$G$5&amp;"'!$D$37:$D$52"),INDIRECT("'"&amp;$G$5&amp;"'!$C$37:$C$52"),W52,INDIRECT("'"&amp;$G$5&amp;"'!$B$37:$B$52"),"*Indirect*")/INDIRECT("'"&amp;$G$5&amp;"'!$F$2"),0)))</f>
        <v/>
      </c>
      <c r="AI52" s="133">
        <f>IF($G$6="",0,IF(W52&gt;'General Information'!$D$33,0,IFERROR(SUMIFS(INDIRECT("'"&amp;$G$6&amp;"'!$D$37:$D$52"),INDIRECT("'"&amp;$G$6&amp;"'!$C$37:$C$52"),W52,INDIRECT("'"&amp;$G$6&amp;"'!$B$37:$B$52"),"*Indirect*")/INDIRECT("'"&amp;$G$6&amp;"'!$F$2"),0)))</f>
        <v/>
      </c>
      <c r="AJ52" s="133">
        <f>IF($G$7="",0,IF(W52&gt;'General Information'!$D$33,0,IFERROR(SUMIFS(INDIRECT("'"&amp;$G$7&amp;"'!$D$37:$D$52"),INDIRECT("'"&amp;$G$7&amp;"'!$C$37:$C$52"),W52,INDIRECT("'"&amp;$G$7&amp;"'!$B$37:$B$52"),"*Indirect*")/INDIRECT("'"&amp;$G$7&amp;"'!$F$2"),0)))</f>
        <v/>
      </c>
    </row>
    <row r="53">
      <c r="W53" s="128" t="n">
        <v>12</v>
      </c>
      <c r="X53" s="128">
        <f>'General Information'!$D$25+W53</f>
        <v/>
      </c>
      <c r="Y53" s="129">
        <f>IF($G$4="",0,IF(W53&gt;'General Information'!$D$33,0,IF(W53=0,$J$4,IFERROR(SUMIF(INDIRECT("'"&amp;$G$4&amp;"'!$C$37:$C$52"),W53,INDIRECT("'"&amp;$G$4&amp;"'!$D$37:$D$52")),0))))</f>
        <v/>
      </c>
      <c r="Z53" s="129">
        <f>IF($G$5="",0,IF(W53&gt;'General Information'!$D$33,0,IF(W53=0,$J$5,IFERROR(SUMIF(INDIRECT("'"&amp;$G$5&amp;"'!$C$37:$C$52"),W53,INDIRECT("'"&amp;$G$5&amp;"'!$D$37:$D$52")),0))))</f>
        <v/>
      </c>
      <c r="AA53" s="129">
        <f>IF($G$6="",0,IF(W53&gt;'General Information'!$D$33,0,IF(W53=0,$J$6,IFERROR(SUMIF(INDIRECT("'"&amp;$G$6&amp;"'!$C$37:$C$52"),W53,INDIRECT("'"&amp;$G$6&amp;"'!$D$37:$D$52")),0))))</f>
        <v/>
      </c>
      <c r="AB53" s="129">
        <f>IF($G$7="",0,IF(W53&gt;'General Information'!$D$33,0,IF(W53=0,$J$7,IFERROR(SUMIF(INDIRECT("'"&amp;$G$7&amp;"'!$C$37:$C$52"),W53,INDIRECT("'"&amp;$G$7&amp;"'!$D$37:$D$52")),0))))</f>
        <v/>
      </c>
      <c r="AC53" s="129">
        <f>IF($G$4="",0,AC52+IF(W53&gt;'General Information'!$D$33,0,IF(W53=0,$J$4,IFERROR(SUMIF(INDIRECT("'"&amp;$G$4&amp;"'!$C$37:$C$52"),W53,INDIRECT("'"&amp;$G$4&amp;"'!$E$37:$E$52")),0))))</f>
        <v/>
      </c>
      <c r="AD53" s="129">
        <f>IF($G$5="",0,AD52+IF(W53&gt;'General Information'!$D$33,0,IF(W53=0,$J$5,IFERROR(SUMIF(INDIRECT("'"&amp;$G$5&amp;"'!$C$37:$C$52"),W53,INDIRECT("'"&amp;$G$5&amp;"'!$E$37:$E$52")),0))))</f>
        <v/>
      </c>
      <c r="AE53" s="129">
        <f>IF($G$6="",0,AE52+IF(W53&gt;'General Information'!$D$33,0,IF(W53=0,$J$6,IFERROR(SUMIF(INDIRECT("'"&amp;$G$6&amp;"'!$C$37:$C$52"),W53,INDIRECT("'"&amp;$G$6&amp;"'!$E$37:$E$52")),0))))</f>
        <v/>
      </c>
      <c r="AF53" s="129">
        <f>IF($G$7="",0,AF52+IF(W53&gt;'General Information'!$D$33,0,IF(W53=0,$J$7,IFERROR(SUMIF(INDIRECT("'"&amp;$G$7&amp;"'!$C$37:$C$52"),W53,INDIRECT("'"&amp;$G$7&amp;"'!$E$37:$E$52")),0))))</f>
        <v/>
      </c>
      <c r="AG53" s="133">
        <f>IF($G$4="",0,IF(W53&gt;'General Information'!$D$33,0,IFERROR(SUMIFS(INDIRECT("'"&amp;$G$4&amp;"'!$D$37:$D$52"),INDIRECT("'"&amp;$G$4&amp;"'!$C$37:$C$52"),W53,INDIRECT("'"&amp;$G$4&amp;"'!$B$37:$B$52"),"*Indirect*")/INDIRECT("'"&amp;$G$4&amp;"'!$F$2"),0)))</f>
        <v/>
      </c>
      <c r="AH53" s="133">
        <f>IF($G$5="",0,IF(W53&gt;'General Information'!$D$33,0,IFERROR(SUMIFS(INDIRECT("'"&amp;$G$5&amp;"'!$D$37:$D$52"),INDIRECT("'"&amp;$G$5&amp;"'!$C$37:$C$52"),W53,INDIRECT("'"&amp;$G$5&amp;"'!$B$37:$B$52"),"*Indirect*")/INDIRECT("'"&amp;$G$5&amp;"'!$F$2"),0)))</f>
        <v/>
      </c>
      <c r="AI53" s="133">
        <f>IF($G$6="",0,IF(W53&gt;'General Information'!$D$33,0,IFERROR(SUMIFS(INDIRECT("'"&amp;$G$6&amp;"'!$D$37:$D$52"),INDIRECT("'"&amp;$G$6&amp;"'!$C$37:$C$52"),W53,INDIRECT("'"&amp;$G$6&amp;"'!$B$37:$B$52"),"*Indirect*")/INDIRECT("'"&amp;$G$6&amp;"'!$F$2"),0)))</f>
        <v/>
      </c>
      <c r="AJ53" s="133">
        <f>IF($G$7="",0,IF(W53&gt;'General Information'!$D$33,0,IFERROR(SUMIFS(INDIRECT("'"&amp;$G$7&amp;"'!$D$37:$D$52"),INDIRECT("'"&amp;$G$7&amp;"'!$C$37:$C$52"),W53,INDIRECT("'"&amp;$G$7&amp;"'!$B$37:$B$52"),"*Indirect*")/INDIRECT("'"&amp;$G$7&amp;"'!$F$2"),0)))</f>
        <v/>
      </c>
    </row>
    <row r="54">
      <c r="W54" s="128" t="n">
        <v>13</v>
      </c>
      <c r="X54" s="128">
        <f>'General Information'!$D$25+W54</f>
        <v/>
      </c>
      <c r="Y54" s="129">
        <f>IF($G$4="",0,IF(W54&gt;'General Information'!$D$33,0,IF(W54=0,$J$4,IFERROR(SUMIF(INDIRECT("'"&amp;$G$4&amp;"'!$C$37:$C$52"),W54,INDIRECT("'"&amp;$G$4&amp;"'!$D$37:$D$52")),0))))</f>
        <v/>
      </c>
      <c r="Z54" s="129">
        <f>IF($G$5="",0,IF(W54&gt;'General Information'!$D$33,0,IF(W54=0,$J$5,IFERROR(SUMIF(INDIRECT("'"&amp;$G$5&amp;"'!$C$37:$C$52"),W54,INDIRECT("'"&amp;$G$5&amp;"'!$D$37:$D$52")),0))))</f>
        <v/>
      </c>
      <c r="AA54" s="129">
        <f>IF($G$6="",0,IF(W54&gt;'General Information'!$D$33,0,IF(W54=0,$J$6,IFERROR(SUMIF(INDIRECT("'"&amp;$G$6&amp;"'!$C$37:$C$52"),W54,INDIRECT("'"&amp;$G$6&amp;"'!$D$37:$D$52")),0))))</f>
        <v/>
      </c>
      <c r="AB54" s="129">
        <f>IF($G$7="",0,IF(W54&gt;'General Information'!$D$33,0,IF(W54=0,$J$7,IFERROR(SUMIF(INDIRECT("'"&amp;$G$7&amp;"'!$C$37:$C$52"),W54,INDIRECT("'"&amp;$G$7&amp;"'!$D$37:$D$52")),0))))</f>
        <v/>
      </c>
      <c r="AC54" s="129">
        <f>IF($G$4="",0,AC53+IF(W54&gt;'General Information'!$D$33,0,IF(W54=0,$J$4,IFERROR(SUMIF(INDIRECT("'"&amp;$G$4&amp;"'!$C$37:$C$52"),W54,INDIRECT("'"&amp;$G$4&amp;"'!$E$37:$E$52")),0))))</f>
        <v/>
      </c>
      <c r="AD54" s="129">
        <f>IF($G$5="",0,AD53+IF(W54&gt;'General Information'!$D$33,0,IF(W54=0,$J$5,IFERROR(SUMIF(INDIRECT("'"&amp;$G$5&amp;"'!$C$37:$C$52"),W54,INDIRECT("'"&amp;$G$5&amp;"'!$E$37:$E$52")),0))))</f>
        <v/>
      </c>
      <c r="AE54" s="129">
        <f>IF($G$6="",0,AE53+IF(W54&gt;'General Information'!$D$33,0,IF(W54=0,$J$6,IFERROR(SUMIF(INDIRECT("'"&amp;$G$6&amp;"'!$C$37:$C$52"),W54,INDIRECT("'"&amp;$G$6&amp;"'!$E$37:$E$52")),0))))</f>
        <v/>
      </c>
      <c r="AF54" s="129">
        <f>IF($G$7="",0,AF53+IF(W54&gt;'General Information'!$D$33,0,IF(W54=0,$J$7,IFERROR(SUMIF(INDIRECT("'"&amp;$G$7&amp;"'!$C$37:$C$52"),W54,INDIRECT("'"&amp;$G$7&amp;"'!$E$37:$E$52")),0))))</f>
        <v/>
      </c>
      <c r="AG54" s="133">
        <f>IF($G$4="",0,IF(W54&gt;'General Information'!$D$33,0,IFERROR(SUMIFS(INDIRECT("'"&amp;$G$4&amp;"'!$D$37:$D$52"),INDIRECT("'"&amp;$G$4&amp;"'!$C$37:$C$52"),W54,INDIRECT("'"&amp;$G$4&amp;"'!$B$37:$B$52"),"*Indirect*")/INDIRECT("'"&amp;$G$4&amp;"'!$F$2"),0)))</f>
        <v/>
      </c>
      <c r="AH54" s="133">
        <f>IF($G$5="",0,IF(W54&gt;'General Information'!$D$33,0,IFERROR(SUMIFS(INDIRECT("'"&amp;$G$5&amp;"'!$D$37:$D$52"),INDIRECT("'"&amp;$G$5&amp;"'!$C$37:$C$52"),W54,INDIRECT("'"&amp;$G$5&amp;"'!$B$37:$B$52"),"*Indirect*")/INDIRECT("'"&amp;$G$5&amp;"'!$F$2"),0)))</f>
        <v/>
      </c>
      <c r="AI54" s="133">
        <f>IF($G$6="",0,IF(W54&gt;'General Information'!$D$33,0,IFERROR(SUMIFS(INDIRECT("'"&amp;$G$6&amp;"'!$D$37:$D$52"),INDIRECT("'"&amp;$G$6&amp;"'!$C$37:$C$52"),W54,INDIRECT("'"&amp;$G$6&amp;"'!$B$37:$B$52"),"*Indirect*")/INDIRECT("'"&amp;$G$6&amp;"'!$F$2"),0)))</f>
        <v/>
      </c>
      <c r="AJ54" s="133">
        <f>IF($G$7="",0,IF(W54&gt;'General Information'!$D$33,0,IFERROR(SUMIFS(INDIRECT("'"&amp;$G$7&amp;"'!$D$37:$D$52"),INDIRECT("'"&amp;$G$7&amp;"'!$C$37:$C$52"),W54,INDIRECT("'"&amp;$G$7&amp;"'!$B$37:$B$52"),"*Indirect*")/INDIRECT("'"&amp;$G$7&amp;"'!$F$2"),0)))</f>
        <v/>
      </c>
    </row>
    <row r="55">
      <c r="W55" s="128" t="n">
        <v>14</v>
      </c>
      <c r="X55" s="128">
        <f>'General Information'!$D$25+W55</f>
        <v/>
      </c>
      <c r="Y55" s="129">
        <f>IF($G$4="",0,IF(W55&gt;'General Information'!$D$33,0,IF(W55=0,$J$4,IFERROR(SUMIF(INDIRECT("'"&amp;$G$4&amp;"'!$C$37:$C$52"),W55,INDIRECT("'"&amp;$G$4&amp;"'!$D$37:$D$52")),0))))</f>
        <v/>
      </c>
      <c r="Z55" s="129">
        <f>IF($G$5="",0,IF(W55&gt;'General Information'!$D$33,0,IF(W55=0,$J$5,IFERROR(SUMIF(INDIRECT("'"&amp;$G$5&amp;"'!$C$37:$C$52"),W55,INDIRECT("'"&amp;$G$5&amp;"'!$D$37:$D$52")),0))))</f>
        <v/>
      </c>
      <c r="AA55" s="129">
        <f>IF($G$6="",0,IF(W55&gt;'General Information'!$D$33,0,IF(W55=0,$J$6,IFERROR(SUMIF(INDIRECT("'"&amp;$G$6&amp;"'!$C$37:$C$52"),W55,INDIRECT("'"&amp;$G$6&amp;"'!$D$37:$D$52")),0))))</f>
        <v/>
      </c>
      <c r="AB55" s="129">
        <f>IF($G$7="",0,IF(W55&gt;'General Information'!$D$33,0,IF(W55=0,$J$7,IFERROR(SUMIF(INDIRECT("'"&amp;$G$7&amp;"'!$C$37:$C$52"),W55,INDIRECT("'"&amp;$G$7&amp;"'!$D$37:$D$52")),0))))</f>
        <v/>
      </c>
      <c r="AC55" s="129">
        <f>IF($G$4="",0,AC54+IF(W55&gt;'General Information'!$D$33,0,IF(W55=0,$J$4,IFERROR(SUMIF(INDIRECT("'"&amp;$G$4&amp;"'!$C$37:$C$52"),W55,INDIRECT("'"&amp;$G$4&amp;"'!$E$37:$E$52")),0))))</f>
        <v/>
      </c>
      <c r="AD55" s="129">
        <f>IF($G$5="",0,AD54+IF(W55&gt;'General Information'!$D$33,0,IF(W55=0,$J$5,IFERROR(SUMIF(INDIRECT("'"&amp;$G$5&amp;"'!$C$37:$C$52"),W55,INDIRECT("'"&amp;$G$5&amp;"'!$E$37:$E$52")),0))))</f>
        <v/>
      </c>
      <c r="AE55" s="129">
        <f>IF($G$6="",0,AE54+IF(W55&gt;'General Information'!$D$33,0,IF(W55=0,$J$6,IFERROR(SUMIF(INDIRECT("'"&amp;$G$6&amp;"'!$C$37:$C$52"),W55,INDIRECT("'"&amp;$G$6&amp;"'!$E$37:$E$52")),0))))</f>
        <v/>
      </c>
      <c r="AF55" s="129">
        <f>IF($G$7="",0,AF54+IF(W55&gt;'General Information'!$D$33,0,IF(W55=0,$J$7,IFERROR(SUMIF(INDIRECT("'"&amp;$G$7&amp;"'!$C$37:$C$52"),W55,INDIRECT("'"&amp;$G$7&amp;"'!$E$37:$E$52")),0))))</f>
        <v/>
      </c>
      <c r="AG55" s="133">
        <f>IF($G$4="",0,IF(W55&gt;'General Information'!$D$33,0,IFERROR(SUMIFS(INDIRECT("'"&amp;$G$4&amp;"'!$D$37:$D$52"),INDIRECT("'"&amp;$G$4&amp;"'!$C$37:$C$52"),W55,INDIRECT("'"&amp;$G$4&amp;"'!$B$37:$B$52"),"*Indirect*")/INDIRECT("'"&amp;$G$4&amp;"'!$F$2"),0)))</f>
        <v/>
      </c>
      <c r="AH55" s="133">
        <f>IF($G$5="",0,IF(W55&gt;'General Information'!$D$33,0,IFERROR(SUMIFS(INDIRECT("'"&amp;$G$5&amp;"'!$D$37:$D$52"),INDIRECT("'"&amp;$G$5&amp;"'!$C$37:$C$52"),W55,INDIRECT("'"&amp;$G$5&amp;"'!$B$37:$B$52"),"*Indirect*")/INDIRECT("'"&amp;$G$5&amp;"'!$F$2"),0)))</f>
        <v/>
      </c>
      <c r="AI55" s="133">
        <f>IF($G$6="",0,IF(W55&gt;'General Information'!$D$33,0,IFERROR(SUMIFS(INDIRECT("'"&amp;$G$6&amp;"'!$D$37:$D$52"),INDIRECT("'"&amp;$G$6&amp;"'!$C$37:$C$52"),W55,INDIRECT("'"&amp;$G$6&amp;"'!$B$37:$B$52"),"*Indirect*")/INDIRECT("'"&amp;$G$6&amp;"'!$F$2"),0)))</f>
        <v/>
      </c>
      <c r="AJ55" s="133">
        <f>IF($G$7="",0,IF(W55&gt;'General Information'!$D$33,0,IFERROR(SUMIFS(INDIRECT("'"&amp;$G$7&amp;"'!$D$37:$D$52"),INDIRECT("'"&amp;$G$7&amp;"'!$C$37:$C$52"),W55,INDIRECT("'"&amp;$G$7&amp;"'!$B$37:$B$52"),"*Indirect*")/INDIRECT("'"&amp;$G$7&amp;"'!$F$2"),0)))</f>
        <v/>
      </c>
    </row>
    <row r="56">
      <c r="W56" s="128" t="n">
        <v>15</v>
      </c>
      <c r="X56" s="128">
        <f>'General Information'!$D$25+W56</f>
        <v/>
      </c>
      <c r="Y56" s="129">
        <f>IF($G$4="",0,IF(W56&gt;'General Information'!$D$33,0,IF(W56=0,$J$4,IFERROR(SUMIF(INDIRECT("'"&amp;$G$4&amp;"'!$C$37:$C$52"),W56,INDIRECT("'"&amp;$G$4&amp;"'!$D$37:$D$52")),0))))</f>
        <v/>
      </c>
      <c r="Z56" s="129">
        <f>IF($G$5="",0,IF(W56&gt;'General Information'!$D$33,0,IF(W56=0,$J$5,IFERROR(SUMIF(INDIRECT("'"&amp;$G$5&amp;"'!$C$37:$C$52"),W56,INDIRECT("'"&amp;$G$5&amp;"'!$D$37:$D$52")),0))))</f>
        <v/>
      </c>
      <c r="AA56" s="129">
        <f>IF($G$6="",0,IF(W56&gt;'General Information'!$D$33,0,IF(W56=0,$J$6,IFERROR(SUMIF(INDIRECT("'"&amp;$G$6&amp;"'!$C$37:$C$52"),W56,INDIRECT("'"&amp;$G$6&amp;"'!$D$37:$D$52")),0))))</f>
        <v/>
      </c>
      <c r="AB56" s="129">
        <f>IF($G$7="",0,IF(W56&gt;'General Information'!$D$33,0,IF(W56=0,$J$7,IFERROR(SUMIF(INDIRECT("'"&amp;$G$7&amp;"'!$C$37:$C$52"),W56,INDIRECT("'"&amp;$G$7&amp;"'!$D$37:$D$52")),0))))</f>
        <v/>
      </c>
      <c r="AC56" s="129">
        <f>IF($G$4="",0,AC55+IF(W56&gt;'General Information'!$D$33,0,IF(W56=0,$J$4,IFERROR(SUMIF(INDIRECT("'"&amp;$G$4&amp;"'!$C$37:$C$52"),W56,INDIRECT("'"&amp;$G$4&amp;"'!$E$37:$E$52")),0))))</f>
        <v/>
      </c>
      <c r="AD56" s="129">
        <f>IF($G$5="",0,AD55+IF(W56&gt;'General Information'!$D$33,0,IF(W56=0,$J$5,IFERROR(SUMIF(INDIRECT("'"&amp;$G$5&amp;"'!$C$37:$C$52"),W56,INDIRECT("'"&amp;$G$5&amp;"'!$E$37:$E$52")),0))))</f>
        <v/>
      </c>
      <c r="AE56" s="129">
        <f>IF($G$6="",0,AE55+IF(W56&gt;'General Information'!$D$33,0,IF(W56=0,$J$6,IFERROR(SUMIF(INDIRECT("'"&amp;$G$6&amp;"'!$C$37:$C$52"),W56,INDIRECT("'"&amp;$G$6&amp;"'!$E$37:$E$52")),0))))</f>
        <v/>
      </c>
      <c r="AF56" s="129">
        <f>IF($G$7="",0,AF55+IF(W56&gt;'General Information'!$D$33,0,IF(W56=0,$J$7,IFERROR(SUMIF(INDIRECT("'"&amp;$G$7&amp;"'!$C$37:$C$52"),W56,INDIRECT("'"&amp;$G$7&amp;"'!$E$37:$E$52")),0))))</f>
        <v/>
      </c>
      <c r="AG56" s="133">
        <f>IF($G$4="",0,IF(W56&gt;'General Information'!$D$33,0,IFERROR(SUMIFS(INDIRECT("'"&amp;$G$4&amp;"'!$D$37:$D$52"),INDIRECT("'"&amp;$G$4&amp;"'!$C$37:$C$52"),W56,INDIRECT("'"&amp;$G$4&amp;"'!$B$37:$B$52"),"*Indirect*")/INDIRECT("'"&amp;$G$4&amp;"'!$F$2"),0)))</f>
        <v/>
      </c>
      <c r="AH56" s="133">
        <f>IF($G$5="",0,IF(W56&gt;'General Information'!$D$33,0,IFERROR(SUMIFS(INDIRECT("'"&amp;$G$5&amp;"'!$D$37:$D$52"),INDIRECT("'"&amp;$G$5&amp;"'!$C$37:$C$52"),W56,INDIRECT("'"&amp;$G$5&amp;"'!$B$37:$B$52"),"*Indirect*")/INDIRECT("'"&amp;$G$5&amp;"'!$F$2"),0)))</f>
        <v/>
      </c>
      <c r="AI56" s="133">
        <f>IF($G$6="",0,IF(W56&gt;'General Information'!$D$33,0,IFERROR(SUMIFS(INDIRECT("'"&amp;$G$6&amp;"'!$D$37:$D$52"),INDIRECT("'"&amp;$G$6&amp;"'!$C$37:$C$52"),W56,INDIRECT("'"&amp;$G$6&amp;"'!$B$37:$B$52"),"*Indirect*")/INDIRECT("'"&amp;$G$6&amp;"'!$F$2"),0)))</f>
        <v/>
      </c>
      <c r="AJ56" s="133">
        <f>IF($G$7="",0,IF(W56&gt;'General Information'!$D$33,0,IFERROR(SUMIFS(INDIRECT("'"&amp;$G$7&amp;"'!$D$37:$D$52"),INDIRECT("'"&amp;$G$7&amp;"'!$C$37:$C$52"),W56,INDIRECT("'"&amp;$G$7&amp;"'!$B$37:$B$52"),"*Indirect*")/INDIRECT("'"&amp;$G$7&amp;"'!$F$2"),0)))</f>
        <v/>
      </c>
    </row>
    <row r="57">
      <c r="W57" s="128" t="n">
        <v>16</v>
      </c>
      <c r="X57" s="128">
        <f>'General Information'!$D$25+W57</f>
        <v/>
      </c>
      <c r="Y57" s="129">
        <f>IF($G$4="",0,IF(W57&gt;'General Information'!$D$33,0,IF(W57=0,$J$4,IFERROR(SUMIF(INDIRECT("'"&amp;$G$4&amp;"'!$C$37:$C$52"),W57,INDIRECT("'"&amp;$G$4&amp;"'!$D$37:$D$52")),0))))</f>
        <v/>
      </c>
      <c r="Z57" s="129">
        <f>IF($G$5="",0,IF(W57&gt;'General Information'!$D$33,0,IF(W57=0,$J$5,IFERROR(SUMIF(INDIRECT("'"&amp;$G$5&amp;"'!$C$37:$C$52"),W57,INDIRECT("'"&amp;$G$5&amp;"'!$D$37:$D$52")),0))))</f>
        <v/>
      </c>
      <c r="AA57" s="129">
        <f>IF($G$6="",0,IF(W57&gt;'General Information'!$D$33,0,IF(W57=0,$J$6,IFERROR(SUMIF(INDIRECT("'"&amp;$G$6&amp;"'!$C$37:$C$52"),W57,INDIRECT("'"&amp;$G$6&amp;"'!$D$37:$D$52")),0))))</f>
        <v/>
      </c>
      <c r="AB57" s="129">
        <f>IF($G$7="",0,IF(W57&gt;'General Information'!$D$33,0,IF(W57=0,$J$7,IFERROR(SUMIF(INDIRECT("'"&amp;$G$7&amp;"'!$C$37:$C$52"),W57,INDIRECT("'"&amp;$G$7&amp;"'!$D$37:$D$52")),0))))</f>
        <v/>
      </c>
      <c r="AC57" s="129">
        <f>IF($G$4="",0,AC56+IF(W57&gt;'General Information'!$D$33,0,IF(W57=0,$J$4,IFERROR(SUMIF(INDIRECT("'"&amp;$G$4&amp;"'!$C$37:$C$52"),W57,INDIRECT("'"&amp;$G$4&amp;"'!$E$37:$E$52")),0))))</f>
        <v/>
      </c>
      <c r="AD57" s="129">
        <f>IF($G$5="",0,AD56+IF(W57&gt;'General Information'!$D$33,0,IF(W57=0,$J$5,IFERROR(SUMIF(INDIRECT("'"&amp;$G$5&amp;"'!$C$37:$C$52"),W57,INDIRECT("'"&amp;$G$5&amp;"'!$E$37:$E$52")),0))))</f>
        <v/>
      </c>
      <c r="AE57" s="129">
        <f>IF($G$6="",0,AE56+IF(W57&gt;'General Information'!$D$33,0,IF(W57=0,$J$6,IFERROR(SUMIF(INDIRECT("'"&amp;$G$6&amp;"'!$C$37:$C$52"),W57,INDIRECT("'"&amp;$G$6&amp;"'!$E$37:$E$52")),0))))</f>
        <v/>
      </c>
      <c r="AF57" s="129">
        <f>IF($G$7="",0,AF56+IF(W57&gt;'General Information'!$D$33,0,IF(W57=0,$J$7,IFERROR(SUMIF(INDIRECT("'"&amp;$G$7&amp;"'!$C$37:$C$52"),W57,INDIRECT("'"&amp;$G$7&amp;"'!$E$37:$E$52")),0))))</f>
        <v/>
      </c>
      <c r="AG57" s="133">
        <f>IF($G$4="",0,IF(W57&gt;'General Information'!$D$33,0,IFERROR(SUMIFS(INDIRECT("'"&amp;$G$4&amp;"'!$D$37:$D$52"),INDIRECT("'"&amp;$G$4&amp;"'!$C$37:$C$52"),W57,INDIRECT("'"&amp;$G$4&amp;"'!$B$37:$B$52"),"*Indirect*")/INDIRECT("'"&amp;$G$4&amp;"'!$F$2"),0)))</f>
        <v/>
      </c>
      <c r="AH57" s="133">
        <f>IF($G$5="",0,IF(W57&gt;'General Information'!$D$33,0,IFERROR(SUMIFS(INDIRECT("'"&amp;$G$5&amp;"'!$D$37:$D$52"),INDIRECT("'"&amp;$G$5&amp;"'!$C$37:$C$52"),W57,INDIRECT("'"&amp;$G$5&amp;"'!$B$37:$B$52"),"*Indirect*")/INDIRECT("'"&amp;$G$5&amp;"'!$F$2"),0)))</f>
        <v/>
      </c>
      <c r="AI57" s="133">
        <f>IF($G$6="",0,IF(W57&gt;'General Information'!$D$33,0,IFERROR(SUMIFS(INDIRECT("'"&amp;$G$6&amp;"'!$D$37:$D$52"),INDIRECT("'"&amp;$G$6&amp;"'!$C$37:$C$52"),W57,INDIRECT("'"&amp;$G$6&amp;"'!$B$37:$B$52"),"*Indirect*")/INDIRECT("'"&amp;$G$6&amp;"'!$F$2"),0)))</f>
        <v/>
      </c>
      <c r="AJ57" s="133">
        <f>IF($G$7="",0,IF(W57&gt;'General Information'!$D$33,0,IFERROR(SUMIFS(INDIRECT("'"&amp;$G$7&amp;"'!$D$37:$D$52"),INDIRECT("'"&amp;$G$7&amp;"'!$C$37:$C$52"),W57,INDIRECT("'"&amp;$G$7&amp;"'!$B$37:$B$52"),"*Indirect*")/INDIRECT("'"&amp;$G$7&amp;"'!$F$2"),0)))</f>
        <v/>
      </c>
    </row>
    <row r="58">
      <c r="W58" s="128" t="n">
        <v>17</v>
      </c>
      <c r="X58" s="128">
        <f>'General Information'!$D$25+W58</f>
        <v/>
      </c>
      <c r="Y58" s="129">
        <f>IF($G$4="",0,IF(W58&gt;'General Information'!$D$33,0,IF(W58=0,$J$4,IFERROR(SUMIF(INDIRECT("'"&amp;$G$4&amp;"'!$C$37:$C$52"),W58,INDIRECT("'"&amp;$G$4&amp;"'!$D$37:$D$52")),0))))</f>
        <v/>
      </c>
      <c r="Z58" s="129">
        <f>IF($G$5="",0,IF(W58&gt;'General Information'!$D$33,0,IF(W58=0,$J$5,IFERROR(SUMIF(INDIRECT("'"&amp;$G$5&amp;"'!$C$37:$C$52"),W58,INDIRECT("'"&amp;$G$5&amp;"'!$D$37:$D$52")),0))))</f>
        <v/>
      </c>
      <c r="AA58" s="129">
        <f>IF($G$6="",0,IF(W58&gt;'General Information'!$D$33,0,IF(W58=0,$J$6,IFERROR(SUMIF(INDIRECT("'"&amp;$G$6&amp;"'!$C$37:$C$52"),W58,INDIRECT("'"&amp;$G$6&amp;"'!$D$37:$D$52")),0))))</f>
        <v/>
      </c>
      <c r="AB58" s="129">
        <f>IF($G$7="",0,IF(W58&gt;'General Information'!$D$33,0,IF(W58=0,$J$7,IFERROR(SUMIF(INDIRECT("'"&amp;$G$7&amp;"'!$C$37:$C$52"),W58,INDIRECT("'"&amp;$G$7&amp;"'!$D$37:$D$52")),0))))</f>
        <v/>
      </c>
      <c r="AC58" s="129">
        <f>IF($G$4="",0,AC57+IF(W58&gt;'General Information'!$D$33,0,IF(W58=0,$J$4,IFERROR(SUMIF(INDIRECT("'"&amp;$G$4&amp;"'!$C$37:$C$52"),W58,INDIRECT("'"&amp;$G$4&amp;"'!$E$37:$E$52")),0))))</f>
        <v/>
      </c>
      <c r="AD58" s="129">
        <f>IF($G$5="",0,AD57+IF(W58&gt;'General Information'!$D$33,0,IF(W58=0,$J$5,IFERROR(SUMIF(INDIRECT("'"&amp;$G$5&amp;"'!$C$37:$C$52"),W58,INDIRECT("'"&amp;$G$5&amp;"'!$E$37:$E$52")),0))))</f>
        <v/>
      </c>
      <c r="AE58" s="129">
        <f>IF($G$6="",0,AE57+IF(W58&gt;'General Information'!$D$33,0,IF(W58=0,$J$6,IFERROR(SUMIF(INDIRECT("'"&amp;$G$6&amp;"'!$C$37:$C$52"),W58,INDIRECT("'"&amp;$G$6&amp;"'!$E$37:$E$52")),0))))</f>
        <v/>
      </c>
      <c r="AF58" s="129">
        <f>IF($G$7="",0,AF57+IF(W58&gt;'General Information'!$D$33,0,IF(W58=0,$J$7,IFERROR(SUMIF(INDIRECT("'"&amp;$G$7&amp;"'!$C$37:$C$52"),W58,INDIRECT("'"&amp;$G$7&amp;"'!$E$37:$E$52")),0))))</f>
        <v/>
      </c>
      <c r="AG58" s="133">
        <f>IF($G$4="",0,IF(W58&gt;'General Information'!$D$33,0,IFERROR(SUMIFS(INDIRECT("'"&amp;$G$4&amp;"'!$D$37:$D$52"),INDIRECT("'"&amp;$G$4&amp;"'!$C$37:$C$52"),W58,INDIRECT("'"&amp;$G$4&amp;"'!$B$37:$B$52"),"*Indirect*")/INDIRECT("'"&amp;$G$4&amp;"'!$F$2"),0)))</f>
        <v/>
      </c>
      <c r="AH58" s="133">
        <f>IF($G$5="",0,IF(W58&gt;'General Information'!$D$33,0,IFERROR(SUMIFS(INDIRECT("'"&amp;$G$5&amp;"'!$D$37:$D$52"),INDIRECT("'"&amp;$G$5&amp;"'!$C$37:$C$52"),W58,INDIRECT("'"&amp;$G$5&amp;"'!$B$37:$B$52"),"*Indirect*")/INDIRECT("'"&amp;$G$5&amp;"'!$F$2"),0)))</f>
        <v/>
      </c>
      <c r="AI58" s="133">
        <f>IF($G$6="",0,IF(W58&gt;'General Information'!$D$33,0,IFERROR(SUMIFS(INDIRECT("'"&amp;$G$6&amp;"'!$D$37:$D$52"),INDIRECT("'"&amp;$G$6&amp;"'!$C$37:$C$52"),W58,INDIRECT("'"&amp;$G$6&amp;"'!$B$37:$B$52"),"*Indirect*")/INDIRECT("'"&amp;$G$6&amp;"'!$F$2"),0)))</f>
        <v/>
      </c>
      <c r="AJ58" s="133">
        <f>IF($G$7="",0,IF(W58&gt;'General Information'!$D$33,0,IFERROR(SUMIFS(INDIRECT("'"&amp;$G$7&amp;"'!$D$37:$D$52"),INDIRECT("'"&amp;$G$7&amp;"'!$C$37:$C$52"),W58,INDIRECT("'"&amp;$G$7&amp;"'!$B$37:$B$52"),"*Indirect*")/INDIRECT("'"&amp;$G$7&amp;"'!$F$2"),0)))</f>
        <v/>
      </c>
    </row>
    <row r="59">
      <c r="W59" s="128" t="n">
        <v>18</v>
      </c>
      <c r="X59" s="128">
        <f>'General Information'!$D$25+W59</f>
        <v/>
      </c>
      <c r="Y59" s="129">
        <f>IF($G$4="",0,IF(W59&gt;'General Information'!$D$33,0,IF(W59=0,$J$4,IFERROR(SUMIF(INDIRECT("'"&amp;$G$4&amp;"'!$C$37:$C$52"),W59,INDIRECT("'"&amp;$G$4&amp;"'!$D$37:$D$52")),0))))</f>
        <v/>
      </c>
      <c r="Z59" s="129">
        <f>IF($G$5="",0,IF(W59&gt;'General Information'!$D$33,0,IF(W59=0,$J$5,IFERROR(SUMIF(INDIRECT("'"&amp;$G$5&amp;"'!$C$37:$C$52"),W59,INDIRECT("'"&amp;$G$5&amp;"'!$D$37:$D$52")),0))))</f>
        <v/>
      </c>
      <c r="AA59" s="129">
        <f>IF($G$6="",0,IF(W59&gt;'General Information'!$D$33,0,IF(W59=0,$J$6,IFERROR(SUMIF(INDIRECT("'"&amp;$G$6&amp;"'!$C$37:$C$52"),W59,INDIRECT("'"&amp;$G$6&amp;"'!$D$37:$D$52")),0))))</f>
        <v/>
      </c>
      <c r="AB59" s="129">
        <f>IF($G$7="",0,IF(W59&gt;'General Information'!$D$33,0,IF(W59=0,$J$7,IFERROR(SUMIF(INDIRECT("'"&amp;$G$7&amp;"'!$C$37:$C$52"),W59,INDIRECT("'"&amp;$G$7&amp;"'!$D$37:$D$52")),0))))</f>
        <v/>
      </c>
      <c r="AC59" s="129">
        <f>IF($G$4="",0,AC58+IF(W59&gt;'General Information'!$D$33,0,IF(W59=0,$J$4,IFERROR(SUMIF(INDIRECT("'"&amp;$G$4&amp;"'!$C$37:$C$52"),W59,INDIRECT("'"&amp;$G$4&amp;"'!$E$37:$E$52")),0))))</f>
        <v/>
      </c>
      <c r="AD59" s="129">
        <f>IF($G$5="",0,AD58+IF(W59&gt;'General Information'!$D$33,0,IF(W59=0,$J$5,IFERROR(SUMIF(INDIRECT("'"&amp;$G$5&amp;"'!$C$37:$C$52"),W59,INDIRECT("'"&amp;$G$5&amp;"'!$E$37:$E$52")),0))))</f>
        <v/>
      </c>
      <c r="AE59" s="129">
        <f>IF($G$6="",0,AE58+IF(W59&gt;'General Information'!$D$33,0,IF(W59=0,$J$6,IFERROR(SUMIF(INDIRECT("'"&amp;$G$6&amp;"'!$C$37:$C$52"),W59,INDIRECT("'"&amp;$G$6&amp;"'!$E$37:$E$52")),0))))</f>
        <v/>
      </c>
      <c r="AF59" s="129">
        <f>IF($G$7="",0,AF58+IF(W59&gt;'General Information'!$D$33,0,IF(W59=0,$J$7,IFERROR(SUMIF(INDIRECT("'"&amp;$G$7&amp;"'!$C$37:$C$52"),W59,INDIRECT("'"&amp;$G$7&amp;"'!$E$37:$E$52")),0))))</f>
        <v/>
      </c>
      <c r="AG59" s="133">
        <f>IF($G$4="",0,IF(W59&gt;'General Information'!$D$33,0,IFERROR(SUMIFS(INDIRECT("'"&amp;$G$4&amp;"'!$D$37:$D$52"),INDIRECT("'"&amp;$G$4&amp;"'!$C$37:$C$52"),W59,INDIRECT("'"&amp;$G$4&amp;"'!$B$37:$B$52"),"*Indirect*")/INDIRECT("'"&amp;$G$4&amp;"'!$F$2"),0)))</f>
        <v/>
      </c>
      <c r="AH59" s="133">
        <f>IF($G$5="",0,IF(W59&gt;'General Information'!$D$33,0,IFERROR(SUMIFS(INDIRECT("'"&amp;$G$5&amp;"'!$D$37:$D$52"),INDIRECT("'"&amp;$G$5&amp;"'!$C$37:$C$52"),W59,INDIRECT("'"&amp;$G$5&amp;"'!$B$37:$B$52"),"*Indirect*")/INDIRECT("'"&amp;$G$5&amp;"'!$F$2"),0)))</f>
        <v/>
      </c>
      <c r="AI59" s="133">
        <f>IF($G$6="",0,IF(W59&gt;'General Information'!$D$33,0,IFERROR(SUMIFS(INDIRECT("'"&amp;$G$6&amp;"'!$D$37:$D$52"),INDIRECT("'"&amp;$G$6&amp;"'!$C$37:$C$52"),W59,INDIRECT("'"&amp;$G$6&amp;"'!$B$37:$B$52"),"*Indirect*")/INDIRECT("'"&amp;$G$6&amp;"'!$F$2"),0)))</f>
        <v/>
      </c>
      <c r="AJ59" s="133">
        <f>IF($G$7="",0,IF(W59&gt;'General Information'!$D$33,0,IFERROR(SUMIFS(INDIRECT("'"&amp;$G$7&amp;"'!$D$37:$D$52"),INDIRECT("'"&amp;$G$7&amp;"'!$C$37:$C$52"),W59,INDIRECT("'"&amp;$G$7&amp;"'!$B$37:$B$52"),"*Indirect*")/INDIRECT("'"&amp;$G$7&amp;"'!$F$2"),0)))</f>
        <v/>
      </c>
    </row>
    <row r="60">
      <c r="W60" s="128" t="n">
        <v>19</v>
      </c>
      <c r="X60" s="128">
        <f>'General Information'!$D$25+W60</f>
        <v/>
      </c>
      <c r="Y60" s="129">
        <f>IF($G$4="",0,IF(W60&gt;'General Information'!$D$33,0,IF(W60=0,$J$4,IFERROR(SUMIF(INDIRECT("'"&amp;$G$4&amp;"'!$C$37:$C$52"),W60,INDIRECT("'"&amp;$G$4&amp;"'!$D$37:$D$52")),0))))</f>
        <v/>
      </c>
      <c r="Z60" s="129">
        <f>IF($G$5="",0,IF(W60&gt;'General Information'!$D$33,0,IF(W60=0,$J$5,IFERROR(SUMIF(INDIRECT("'"&amp;$G$5&amp;"'!$C$37:$C$52"),W60,INDIRECT("'"&amp;$G$5&amp;"'!$D$37:$D$52")),0))))</f>
        <v/>
      </c>
      <c r="AA60" s="129">
        <f>IF($G$6="",0,IF(W60&gt;'General Information'!$D$33,0,IF(W60=0,$J$6,IFERROR(SUMIF(INDIRECT("'"&amp;$G$6&amp;"'!$C$37:$C$52"),W60,INDIRECT("'"&amp;$G$6&amp;"'!$D$37:$D$52")),0))))</f>
        <v/>
      </c>
      <c r="AB60" s="129">
        <f>IF($G$7="",0,IF(W60&gt;'General Information'!$D$33,0,IF(W60=0,$J$7,IFERROR(SUMIF(INDIRECT("'"&amp;$G$7&amp;"'!$C$37:$C$52"),W60,INDIRECT("'"&amp;$G$7&amp;"'!$D$37:$D$52")),0))))</f>
        <v/>
      </c>
      <c r="AC60" s="129">
        <f>IF($G$4="",0,AC59+IF(W60&gt;'General Information'!$D$33,0,IF(W60=0,$J$4,IFERROR(SUMIF(INDIRECT("'"&amp;$G$4&amp;"'!$C$37:$C$52"),W60,INDIRECT("'"&amp;$G$4&amp;"'!$E$37:$E$52")),0))))</f>
        <v/>
      </c>
      <c r="AD60" s="129">
        <f>IF($G$5="",0,AD59+IF(W60&gt;'General Information'!$D$33,0,IF(W60=0,$J$5,IFERROR(SUMIF(INDIRECT("'"&amp;$G$5&amp;"'!$C$37:$C$52"),W60,INDIRECT("'"&amp;$G$5&amp;"'!$E$37:$E$52")),0))))</f>
        <v/>
      </c>
      <c r="AE60" s="129">
        <f>IF($G$6="",0,AE59+IF(W60&gt;'General Information'!$D$33,0,IF(W60=0,$J$6,IFERROR(SUMIF(INDIRECT("'"&amp;$G$6&amp;"'!$C$37:$C$52"),W60,INDIRECT("'"&amp;$G$6&amp;"'!$E$37:$E$52")),0))))</f>
        <v/>
      </c>
      <c r="AF60" s="129">
        <f>IF($G$7="",0,AF59+IF(W60&gt;'General Information'!$D$33,0,IF(W60=0,$J$7,IFERROR(SUMIF(INDIRECT("'"&amp;$G$7&amp;"'!$C$37:$C$52"),W60,INDIRECT("'"&amp;$G$7&amp;"'!$E$37:$E$52")),0))))</f>
        <v/>
      </c>
      <c r="AG60" s="133">
        <f>IF($G$4="",0,IF(W60&gt;'General Information'!$D$33,0,IFERROR(SUMIFS(INDIRECT("'"&amp;$G$4&amp;"'!$D$37:$D$52"),INDIRECT("'"&amp;$G$4&amp;"'!$C$37:$C$52"),W60,INDIRECT("'"&amp;$G$4&amp;"'!$B$37:$B$52"),"*Indirect*")/INDIRECT("'"&amp;$G$4&amp;"'!$F$2"),0)))</f>
        <v/>
      </c>
      <c r="AH60" s="133">
        <f>IF($G$5="",0,IF(W60&gt;'General Information'!$D$33,0,IFERROR(SUMIFS(INDIRECT("'"&amp;$G$5&amp;"'!$D$37:$D$52"),INDIRECT("'"&amp;$G$5&amp;"'!$C$37:$C$52"),W60,INDIRECT("'"&amp;$G$5&amp;"'!$B$37:$B$52"),"*Indirect*")/INDIRECT("'"&amp;$G$5&amp;"'!$F$2"),0)))</f>
        <v/>
      </c>
      <c r="AI60" s="133">
        <f>IF($G$6="",0,IF(W60&gt;'General Information'!$D$33,0,IFERROR(SUMIFS(INDIRECT("'"&amp;$G$6&amp;"'!$D$37:$D$52"),INDIRECT("'"&amp;$G$6&amp;"'!$C$37:$C$52"),W60,INDIRECT("'"&amp;$G$6&amp;"'!$B$37:$B$52"),"*Indirect*")/INDIRECT("'"&amp;$G$6&amp;"'!$F$2"),0)))</f>
        <v/>
      </c>
      <c r="AJ60" s="133">
        <f>IF($G$7="",0,IF(W60&gt;'General Information'!$D$33,0,IFERROR(SUMIFS(INDIRECT("'"&amp;$G$7&amp;"'!$D$37:$D$52"),INDIRECT("'"&amp;$G$7&amp;"'!$C$37:$C$52"),W60,INDIRECT("'"&amp;$G$7&amp;"'!$B$37:$B$52"),"*Indirect*")/INDIRECT("'"&amp;$G$7&amp;"'!$F$2"),0)))</f>
        <v/>
      </c>
    </row>
    <row r="61">
      <c r="W61" s="128" t="n">
        <v>20</v>
      </c>
      <c r="X61" s="128">
        <f>'General Information'!$D$25+W61</f>
        <v/>
      </c>
      <c r="Y61" s="129">
        <f>IF($G$4="",0,IF(W61&gt;'General Information'!$D$33,0,IF(W61=0,$J$4,IFERROR(SUMIF(INDIRECT("'"&amp;$G$4&amp;"'!$C$37:$C$52"),W61,INDIRECT("'"&amp;$G$4&amp;"'!$D$37:$D$52")),0))))</f>
        <v/>
      </c>
      <c r="Z61" s="129">
        <f>IF($G$5="",0,IF(W61&gt;'General Information'!$D$33,0,IF(W61=0,$J$5,IFERROR(SUMIF(INDIRECT("'"&amp;$G$5&amp;"'!$C$37:$C$52"),W61,INDIRECT("'"&amp;$G$5&amp;"'!$D$37:$D$52")),0))))</f>
        <v/>
      </c>
      <c r="AA61" s="129">
        <f>IF($G$6="",0,IF(W61&gt;'General Information'!$D$33,0,IF(W61=0,$J$6,IFERROR(SUMIF(INDIRECT("'"&amp;$G$6&amp;"'!$C$37:$C$52"),W61,INDIRECT("'"&amp;$G$6&amp;"'!$D$37:$D$52")),0))))</f>
        <v/>
      </c>
      <c r="AB61" s="129">
        <f>IF($G$7="",0,IF(W61&gt;'General Information'!$D$33,0,IF(W61=0,$J$7,IFERROR(SUMIF(INDIRECT("'"&amp;$G$7&amp;"'!$C$37:$C$52"),W61,INDIRECT("'"&amp;$G$7&amp;"'!$D$37:$D$52")),0))))</f>
        <v/>
      </c>
      <c r="AC61" s="129">
        <f>IF($G$4="",0,AC60+IF(W61&gt;'General Information'!$D$33,0,IF(W61=0,$J$4,IFERROR(SUMIF(INDIRECT("'"&amp;$G$4&amp;"'!$C$37:$C$52"),W61,INDIRECT("'"&amp;$G$4&amp;"'!$E$37:$E$52")),0))))</f>
        <v/>
      </c>
      <c r="AD61" s="129">
        <f>IF($G$5="",0,AD60+IF(W61&gt;'General Information'!$D$33,0,IF(W61=0,$J$5,IFERROR(SUMIF(INDIRECT("'"&amp;$G$5&amp;"'!$C$37:$C$52"),W61,INDIRECT("'"&amp;$G$5&amp;"'!$E$37:$E$52")),0))))</f>
        <v/>
      </c>
      <c r="AE61" s="129">
        <f>IF($G$6="",0,AE60+IF(W61&gt;'General Information'!$D$33,0,IF(W61=0,$J$6,IFERROR(SUMIF(INDIRECT("'"&amp;$G$6&amp;"'!$C$37:$C$52"),W61,INDIRECT("'"&amp;$G$6&amp;"'!$E$37:$E$52")),0))))</f>
        <v/>
      </c>
      <c r="AF61" s="129">
        <f>IF($G$7="",0,AF60+IF(W61&gt;'General Information'!$D$33,0,IF(W61=0,$J$7,IFERROR(SUMIF(INDIRECT("'"&amp;$G$7&amp;"'!$C$37:$C$52"),W61,INDIRECT("'"&amp;$G$7&amp;"'!$E$37:$E$52")),0))))</f>
        <v/>
      </c>
      <c r="AG61" s="133">
        <f>IF($G$4="",0,IF(W61&gt;'General Information'!$D$33,0,IFERROR(SUMIFS(INDIRECT("'"&amp;$G$4&amp;"'!$D$37:$D$52"),INDIRECT("'"&amp;$G$4&amp;"'!$C$37:$C$52"),W61,INDIRECT("'"&amp;$G$4&amp;"'!$B$37:$B$52"),"*Indirect*")/INDIRECT("'"&amp;$G$4&amp;"'!$F$2"),0)))</f>
        <v/>
      </c>
      <c r="AH61" s="133">
        <f>IF($G$5="",0,IF(W61&gt;'General Information'!$D$33,0,IFERROR(SUMIFS(INDIRECT("'"&amp;$G$5&amp;"'!$D$37:$D$52"),INDIRECT("'"&amp;$G$5&amp;"'!$C$37:$C$52"),W61,INDIRECT("'"&amp;$G$5&amp;"'!$B$37:$B$52"),"*Indirect*")/INDIRECT("'"&amp;$G$5&amp;"'!$F$2"),0)))</f>
        <v/>
      </c>
      <c r="AI61" s="133">
        <f>IF($G$6="",0,IF(W61&gt;'General Information'!$D$33,0,IFERROR(SUMIFS(INDIRECT("'"&amp;$G$6&amp;"'!$D$37:$D$52"),INDIRECT("'"&amp;$G$6&amp;"'!$C$37:$C$52"),W61,INDIRECT("'"&amp;$G$6&amp;"'!$B$37:$B$52"),"*Indirect*")/INDIRECT("'"&amp;$G$6&amp;"'!$F$2"),0)))</f>
        <v/>
      </c>
      <c r="AJ61" s="133">
        <f>IF($G$7="",0,IF(W61&gt;'General Information'!$D$33,0,IFERROR(SUMIFS(INDIRECT("'"&amp;$G$7&amp;"'!$D$37:$D$52"),INDIRECT("'"&amp;$G$7&amp;"'!$C$37:$C$52"),W61,INDIRECT("'"&amp;$G$7&amp;"'!$B$37:$B$52"),"*Indirect*")/INDIRECT("'"&amp;$G$7&amp;"'!$F$2"),0)))</f>
        <v/>
      </c>
    </row>
    <row r="62">
      <c r="W62" s="128" t="n">
        <v>21</v>
      </c>
      <c r="X62" s="128">
        <f>'General Information'!$D$25+W62</f>
        <v/>
      </c>
      <c r="Y62" s="129">
        <f>IF($G$4="",0,IF(W62&gt;'General Information'!$D$33,0,IF(W62=0,$J$4,IFERROR(SUMIF(INDIRECT("'"&amp;$G$4&amp;"'!$C$37:$C$52"),W62,INDIRECT("'"&amp;$G$4&amp;"'!$D$37:$D$52")),0))))</f>
        <v/>
      </c>
      <c r="Z62" s="129">
        <f>IF($G$5="",0,IF(W62&gt;'General Information'!$D$33,0,IF(W62=0,$J$5,IFERROR(SUMIF(INDIRECT("'"&amp;$G$5&amp;"'!$C$37:$C$52"),W62,INDIRECT("'"&amp;$G$5&amp;"'!$D$37:$D$52")),0))))</f>
        <v/>
      </c>
      <c r="AA62" s="129">
        <f>IF($G$6="",0,IF(W62&gt;'General Information'!$D$33,0,IF(W62=0,$J$6,IFERROR(SUMIF(INDIRECT("'"&amp;$G$6&amp;"'!$C$37:$C$52"),W62,INDIRECT("'"&amp;$G$6&amp;"'!$D$37:$D$52")),0))))</f>
        <v/>
      </c>
      <c r="AB62" s="129">
        <f>IF($G$7="",0,IF(W62&gt;'General Information'!$D$33,0,IF(W62=0,$J$7,IFERROR(SUMIF(INDIRECT("'"&amp;$G$7&amp;"'!$C$37:$C$52"),W62,INDIRECT("'"&amp;$G$7&amp;"'!$D$37:$D$52")),0))))</f>
        <v/>
      </c>
      <c r="AC62" s="129">
        <f>IF($G$4="",0,AC61+IF(W62&gt;'General Information'!$D$33,0,IF(W62=0,$J$4,IFERROR(SUMIF(INDIRECT("'"&amp;$G$4&amp;"'!$C$37:$C$52"),W62,INDIRECT("'"&amp;$G$4&amp;"'!$E$37:$E$52")),0))))</f>
        <v/>
      </c>
      <c r="AD62" s="129">
        <f>IF($G$5="",0,AD61+IF(W62&gt;'General Information'!$D$33,0,IF(W62=0,$J$5,IFERROR(SUMIF(INDIRECT("'"&amp;$G$5&amp;"'!$C$37:$C$52"),W62,INDIRECT("'"&amp;$G$5&amp;"'!$E$37:$E$52")),0))))</f>
        <v/>
      </c>
      <c r="AE62" s="129">
        <f>IF($G$6="",0,AE61+IF(W62&gt;'General Information'!$D$33,0,IF(W62=0,$J$6,IFERROR(SUMIF(INDIRECT("'"&amp;$G$6&amp;"'!$C$37:$C$52"),W62,INDIRECT("'"&amp;$G$6&amp;"'!$E$37:$E$52")),0))))</f>
        <v/>
      </c>
      <c r="AF62" s="129">
        <f>IF($G$7="",0,AF61+IF(W62&gt;'General Information'!$D$33,0,IF(W62=0,$J$7,IFERROR(SUMIF(INDIRECT("'"&amp;$G$7&amp;"'!$C$37:$C$52"),W62,INDIRECT("'"&amp;$G$7&amp;"'!$E$37:$E$52")),0))))</f>
        <v/>
      </c>
      <c r="AG62" s="133">
        <f>IF($G$4="",0,IF(W62&gt;'General Information'!$D$33,0,IFERROR(SUMIFS(INDIRECT("'"&amp;$G$4&amp;"'!$D$37:$D$52"),INDIRECT("'"&amp;$G$4&amp;"'!$C$37:$C$52"),W62,INDIRECT("'"&amp;$G$4&amp;"'!$B$37:$B$52"),"*Indirect*")/INDIRECT("'"&amp;$G$4&amp;"'!$F$2"),0)))</f>
        <v/>
      </c>
      <c r="AH62" s="133">
        <f>IF($G$5="",0,IF(W62&gt;'General Information'!$D$33,0,IFERROR(SUMIFS(INDIRECT("'"&amp;$G$5&amp;"'!$D$37:$D$52"),INDIRECT("'"&amp;$G$5&amp;"'!$C$37:$C$52"),W62,INDIRECT("'"&amp;$G$5&amp;"'!$B$37:$B$52"),"*Indirect*")/INDIRECT("'"&amp;$G$5&amp;"'!$F$2"),0)))</f>
        <v/>
      </c>
      <c r="AI62" s="133">
        <f>IF($G$6="",0,IF(W62&gt;'General Information'!$D$33,0,IFERROR(SUMIFS(INDIRECT("'"&amp;$G$6&amp;"'!$D$37:$D$52"),INDIRECT("'"&amp;$G$6&amp;"'!$C$37:$C$52"),W62,INDIRECT("'"&amp;$G$6&amp;"'!$B$37:$B$52"),"*Indirect*")/INDIRECT("'"&amp;$G$6&amp;"'!$F$2"),0)))</f>
        <v/>
      </c>
      <c r="AJ62" s="133">
        <f>IF($G$7="",0,IF(W62&gt;'General Information'!$D$33,0,IFERROR(SUMIFS(INDIRECT("'"&amp;$G$7&amp;"'!$D$37:$D$52"),INDIRECT("'"&amp;$G$7&amp;"'!$C$37:$C$52"),W62,INDIRECT("'"&amp;$G$7&amp;"'!$B$37:$B$52"),"*Indirect*")/INDIRECT("'"&amp;$G$7&amp;"'!$F$2"),0)))</f>
        <v/>
      </c>
    </row>
    <row r="63">
      <c r="W63" s="128" t="n">
        <v>22</v>
      </c>
      <c r="X63" s="128">
        <f>'General Information'!$D$25+W63</f>
        <v/>
      </c>
      <c r="Y63" s="129">
        <f>IF($G$4="",0,IF(W63&gt;'General Information'!$D$33,0,IF(W63=0,$J$4,IFERROR(SUMIF(INDIRECT("'"&amp;$G$4&amp;"'!$C$37:$C$52"),W63,INDIRECT("'"&amp;$G$4&amp;"'!$D$37:$D$52")),0))))</f>
        <v/>
      </c>
      <c r="Z63" s="129">
        <f>IF($G$5="",0,IF(W63&gt;'General Information'!$D$33,0,IF(W63=0,$J$5,IFERROR(SUMIF(INDIRECT("'"&amp;$G$5&amp;"'!$C$37:$C$52"),W63,INDIRECT("'"&amp;$G$5&amp;"'!$D$37:$D$52")),0))))</f>
        <v/>
      </c>
      <c r="AA63" s="129">
        <f>IF($G$6="",0,IF(W63&gt;'General Information'!$D$33,0,IF(W63=0,$J$6,IFERROR(SUMIF(INDIRECT("'"&amp;$G$6&amp;"'!$C$37:$C$52"),W63,INDIRECT("'"&amp;$G$6&amp;"'!$D$37:$D$52")),0))))</f>
        <v/>
      </c>
      <c r="AB63" s="129">
        <f>IF($G$7="",0,IF(W63&gt;'General Information'!$D$33,0,IF(W63=0,$J$7,IFERROR(SUMIF(INDIRECT("'"&amp;$G$7&amp;"'!$C$37:$C$52"),W63,INDIRECT("'"&amp;$G$7&amp;"'!$D$37:$D$52")),0))))</f>
        <v/>
      </c>
      <c r="AC63" s="129">
        <f>IF($G$4="",0,AC62+IF(W63&gt;'General Information'!$D$33,0,IF(W63=0,$J$4,IFERROR(SUMIF(INDIRECT("'"&amp;$G$4&amp;"'!$C$37:$C$52"),W63,INDIRECT("'"&amp;$G$4&amp;"'!$E$37:$E$52")),0))))</f>
        <v/>
      </c>
      <c r="AD63" s="129">
        <f>IF($G$5="",0,AD62+IF(W63&gt;'General Information'!$D$33,0,IF(W63=0,$J$5,IFERROR(SUMIF(INDIRECT("'"&amp;$G$5&amp;"'!$C$37:$C$52"),W63,INDIRECT("'"&amp;$G$5&amp;"'!$E$37:$E$52")),0))))</f>
        <v/>
      </c>
      <c r="AE63" s="129">
        <f>IF($G$6="",0,AE62+IF(W63&gt;'General Information'!$D$33,0,IF(W63=0,$J$6,IFERROR(SUMIF(INDIRECT("'"&amp;$G$6&amp;"'!$C$37:$C$52"),W63,INDIRECT("'"&amp;$G$6&amp;"'!$E$37:$E$52")),0))))</f>
        <v/>
      </c>
      <c r="AF63" s="129">
        <f>IF($G$7="",0,AF62+IF(W63&gt;'General Information'!$D$33,0,IF(W63=0,$J$7,IFERROR(SUMIF(INDIRECT("'"&amp;$G$7&amp;"'!$C$37:$C$52"),W63,INDIRECT("'"&amp;$G$7&amp;"'!$E$37:$E$52")),0))))</f>
        <v/>
      </c>
      <c r="AG63" s="133">
        <f>IF($G$4="",0,IF(W63&gt;'General Information'!$D$33,0,IFERROR(SUMIFS(INDIRECT("'"&amp;$G$4&amp;"'!$D$37:$D$52"),INDIRECT("'"&amp;$G$4&amp;"'!$C$37:$C$52"),W63,INDIRECT("'"&amp;$G$4&amp;"'!$B$37:$B$52"),"*Indirect*")/INDIRECT("'"&amp;$G$4&amp;"'!$F$2"),0)))</f>
        <v/>
      </c>
      <c r="AH63" s="133">
        <f>IF($G$5="",0,IF(W63&gt;'General Information'!$D$33,0,IFERROR(SUMIFS(INDIRECT("'"&amp;$G$5&amp;"'!$D$37:$D$52"),INDIRECT("'"&amp;$G$5&amp;"'!$C$37:$C$52"),W63,INDIRECT("'"&amp;$G$5&amp;"'!$B$37:$B$52"),"*Indirect*")/INDIRECT("'"&amp;$G$5&amp;"'!$F$2"),0)))</f>
        <v/>
      </c>
      <c r="AI63" s="133">
        <f>IF($G$6="",0,IF(W63&gt;'General Information'!$D$33,0,IFERROR(SUMIFS(INDIRECT("'"&amp;$G$6&amp;"'!$D$37:$D$52"),INDIRECT("'"&amp;$G$6&amp;"'!$C$37:$C$52"),W63,INDIRECT("'"&amp;$G$6&amp;"'!$B$37:$B$52"),"*Indirect*")/INDIRECT("'"&amp;$G$6&amp;"'!$F$2"),0)))</f>
        <v/>
      </c>
      <c r="AJ63" s="133">
        <f>IF($G$7="",0,IF(W63&gt;'General Information'!$D$33,0,IFERROR(SUMIFS(INDIRECT("'"&amp;$G$7&amp;"'!$D$37:$D$52"),INDIRECT("'"&amp;$G$7&amp;"'!$C$37:$C$52"),W63,INDIRECT("'"&amp;$G$7&amp;"'!$B$37:$B$52"),"*Indirect*")/INDIRECT("'"&amp;$G$7&amp;"'!$F$2"),0)))</f>
        <v/>
      </c>
    </row>
    <row r="64">
      <c r="W64" s="128" t="n">
        <v>23</v>
      </c>
      <c r="X64" s="128">
        <f>'General Information'!$D$25+W64</f>
        <v/>
      </c>
      <c r="Y64" s="129">
        <f>IF($G$4="",0,IF(W64&gt;'General Information'!$D$33,0,IF(W64=0,$J$4,IFERROR(SUMIF(INDIRECT("'"&amp;$G$4&amp;"'!$C$37:$C$52"),W64,INDIRECT("'"&amp;$G$4&amp;"'!$D$37:$D$52")),0))))</f>
        <v/>
      </c>
      <c r="Z64" s="129">
        <f>IF($G$5="",0,IF(W64&gt;'General Information'!$D$33,0,IF(W64=0,$J$5,IFERROR(SUMIF(INDIRECT("'"&amp;$G$5&amp;"'!$C$37:$C$52"),W64,INDIRECT("'"&amp;$G$5&amp;"'!$D$37:$D$52")),0))))</f>
        <v/>
      </c>
      <c r="AA64" s="129">
        <f>IF($G$6="",0,IF(W64&gt;'General Information'!$D$33,0,IF(W64=0,$J$6,IFERROR(SUMIF(INDIRECT("'"&amp;$G$6&amp;"'!$C$37:$C$52"),W64,INDIRECT("'"&amp;$G$6&amp;"'!$D$37:$D$52")),0))))</f>
        <v/>
      </c>
      <c r="AB64" s="129">
        <f>IF($G$7="",0,IF(W64&gt;'General Information'!$D$33,0,IF(W64=0,$J$7,IFERROR(SUMIF(INDIRECT("'"&amp;$G$7&amp;"'!$C$37:$C$52"),W64,INDIRECT("'"&amp;$G$7&amp;"'!$D$37:$D$52")),0))))</f>
        <v/>
      </c>
      <c r="AC64" s="129">
        <f>IF($G$4="",0,AC63+IF(W64&gt;'General Information'!$D$33,0,IF(W64=0,$J$4,IFERROR(SUMIF(INDIRECT("'"&amp;$G$4&amp;"'!$C$37:$C$52"),W64,INDIRECT("'"&amp;$G$4&amp;"'!$E$37:$E$52")),0))))</f>
        <v/>
      </c>
      <c r="AD64" s="129">
        <f>IF($G$5="",0,AD63+IF(W64&gt;'General Information'!$D$33,0,IF(W64=0,$J$5,IFERROR(SUMIF(INDIRECT("'"&amp;$G$5&amp;"'!$C$37:$C$52"),W64,INDIRECT("'"&amp;$G$5&amp;"'!$E$37:$E$52")),0))))</f>
        <v/>
      </c>
      <c r="AE64" s="129">
        <f>IF($G$6="",0,AE63+IF(W64&gt;'General Information'!$D$33,0,IF(W64=0,$J$6,IFERROR(SUMIF(INDIRECT("'"&amp;$G$6&amp;"'!$C$37:$C$52"),W64,INDIRECT("'"&amp;$G$6&amp;"'!$E$37:$E$52")),0))))</f>
        <v/>
      </c>
      <c r="AF64" s="129">
        <f>IF($G$7="",0,AF63+IF(W64&gt;'General Information'!$D$33,0,IF(W64=0,$J$7,IFERROR(SUMIF(INDIRECT("'"&amp;$G$7&amp;"'!$C$37:$C$52"),W64,INDIRECT("'"&amp;$G$7&amp;"'!$E$37:$E$52")),0))))</f>
        <v/>
      </c>
      <c r="AG64" s="133">
        <f>IF($G$4="",0,IF(W64&gt;'General Information'!$D$33,0,IFERROR(SUMIFS(INDIRECT("'"&amp;$G$4&amp;"'!$D$37:$D$52"),INDIRECT("'"&amp;$G$4&amp;"'!$C$37:$C$52"),W64,INDIRECT("'"&amp;$G$4&amp;"'!$B$37:$B$52"),"*Indirect*")/INDIRECT("'"&amp;$G$4&amp;"'!$F$2"),0)))</f>
        <v/>
      </c>
      <c r="AH64" s="133">
        <f>IF($G$5="",0,IF(W64&gt;'General Information'!$D$33,0,IFERROR(SUMIFS(INDIRECT("'"&amp;$G$5&amp;"'!$D$37:$D$52"),INDIRECT("'"&amp;$G$5&amp;"'!$C$37:$C$52"),W64,INDIRECT("'"&amp;$G$5&amp;"'!$B$37:$B$52"),"*Indirect*")/INDIRECT("'"&amp;$G$5&amp;"'!$F$2"),0)))</f>
        <v/>
      </c>
      <c r="AI64" s="133">
        <f>IF($G$6="",0,IF(W64&gt;'General Information'!$D$33,0,IFERROR(SUMIFS(INDIRECT("'"&amp;$G$6&amp;"'!$D$37:$D$52"),INDIRECT("'"&amp;$G$6&amp;"'!$C$37:$C$52"),W64,INDIRECT("'"&amp;$G$6&amp;"'!$B$37:$B$52"),"*Indirect*")/INDIRECT("'"&amp;$G$6&amp;"'!$F$2"),0)))</f>
        <v/>
      </c>
      <c r="AJ64" s="133">
        <f>IF($G$7="",0,IF(W64&gt;'General Information'!$D$33,0,IFERROR(SUMIFS(INDIRECT("'"&amp;$G$7&amp;"'!$D$37:$D$52"),INDIRECT("'"&amp;$G$7&amp;"'!$C$37:$C$52"),W64,INDIRECT("'"&amp;$G$7&amp;"'!$B$37:$B$52"),"*Indirect*")/INDIRECT("'"&amp;$G$7&amp;"'!$F$2"),0)))</f>
        <v/>
      </c>
    </row>
    <row r="65">
      <c r="W65" s="128" t="n">
        <v>24</v>
      </c>
      <c r="X65" s="128">
        <f>'General Information'!$D$25+W65</f>
        <v/>
      </c>
      <c r="Y65" s="129">
        <f>IF($G$4="",0,IF(W65&gt;'General Information'!$D$33,0,IF(W65=0,$J$4,IFERROR(SUMIF(INDIRECT("'"&amp;$G$4&amp;"'!$C$37:$C$52"),W65,INDIRECT("'"&amp;$G$4&amp;"'!$D$37:$D$52")),0))))</f>
        <v/>
      </c>
      <c r="Z65" s="129">
        <f>IF($G$5="",0,IF(W65&gt;'General Information'!$D$33,0,IF(W65=0,$J$5,IFERROR(SUMIF(INDIRECT("'"&amp;$G$5&amp;"'!$C$37:$C$52"),W65,INDIRECT("'"&amp;$G$5&amp;"'!$D$37:$D$52")),0))))</f>
        <v/>
      </c>
      <c r="AA65" s="129">
        <f>IF($G$6="",0,IF(W65&gt;'General Information'!$D$33,0,IF(W65=0,$J$6,IFERROR(SUMIF(INDIRECT("'"&amp;$G$6&amp;"'!$C$37:$C$52"),W65,INDIRECT("'"&amp;$G$6&amp;"'!$D$37:$D$52")),0))))</f>
        <v/>
      </c>
      <c r="AB65" s="129">
        <f>IF($G$7="",0,IF(W65&gt;'General Information'!$D$33,0,IF(W65=0,$J$7,IFERROR(SUMIF(INDIRECT("'"&amp;$G$7&amp;"'!$C$37:$C$52"),W65,INDIRECT("'"&amp;$G$7&amp;"'!$D$37:$D$52")),0))))</f>
        <v/>
      </c>
      <c r="AC65" s="129">
        <f>IF($G$4="",0,AC64+IF(W65&gt;'General Information'!$D$33,0,IF(W65=0,$J$4,IFERROR(SUMIF(INDIRECT("'"&amp;$G$4&amp;"'!$C$37:$C$52"),W65,INDIRECT("'"&amp;$G$4&amp;"'!$E$37:$E$52")),0))))</f>
        <v/>
      </c>
      <c r="AD65" s="129">
        <f>IF($G$5="",0,AD64+IF(W65&gt;'General Information'!$D$33,0,IF(W65=0,$J$5,IFERROR(SUMIF(INDIRECT("'"&amp;$G$5&amp;"'!$C$37:$C$52"),W65,INDIRECT("'"&amp;$G$5&amp;"'!$E$37:$E$52")),0))))</f>
        <v/>
      </c>
      <c r="AE65" s="129">
        <f>IF($G$6="",0,AE64+IF(W65&gt;'General Information'!$D$33,0,IF(W65=0,$J$6,IFERROR(SUMIF(INDIRECT("'"&amp;$G$6&amp;"'!$C$37:$C$52"),W65,INDIRECT("'"&amp;$G$6&amp;"'!$E$37:$E$52")),0))))</f>
        <v/>
      </c>
      <c r="AF65" s="129">
        <f>IF($G$7="",0,AF64+IF(W65&gt;'General Information'!$D$33,0,IF(W65=0,$J$7,IFERROR(SUMIF(INDIRECT("'"&amp;$G$7&amp;"'!$C$37:$C$52"),W65,INDIRECT("'"&amp;$G$7&amp;"'!$E$37:$E$52")),0))))</f>
        <v/>
      </c>
      <c r="AG65" s="133">
        <f>IF($G$4="",0,IF(W65&gt;'General Information'!$D$33,0,IFERROR(SUMIFS(INDIRECT("'"&amp;$G$4&amp;"'!$D$37:$D$52"),INDIRECT("'"&amp;$G$4&amp;"'!$C$37:$C$52"),W65,INDIRECT("'"&amp;$G$4&amp;"'!$B$37:$B$52"),"*Indirect*")/INDIRECT("'"&amp;$G$4&amp;"'!$F$2"),0)))</f>
        <v/>
      </c>
      <c r="AH65" s="133">
        <f>IF($G$5="",0,IF(W65&gt;'General Information'!$D$33,0,IFERROR(SUMIFS(INDIRECT("'"&amp;$G$5&amp;"'!$D$37:$D$52"),INDIRECT("'"&amp;$G$5&amp;"'!$C$37:$C$52"),W65,INDIRECT("'"&amp;$G$5&amp;"'!$B$37:$B$52"),"*Indirect*")/INDIRECT("'"&amp;$G$5&amp;"'!$F$2"),0)))</f>
        <v/>
      </c>
      <c r="AI65" s="133">
        <f>IF($G$6="",0,IF(W65&gt;'General Information'!$D$33,0,IFERROR(SUMIFS(INDIRECT("'"&amp;$G$6&amp;"'!$D$37:$D$52"),INDIRECT("'"&amp;$G$6&amp;"'!$C$37:$C$52"),W65,INDIRECT("'"&amp;$G$6&amp;"'!$B$37:$B$52"),"*Indirect*")/INDIRECT("'"&amp;$G$6&amp;"'!$F$2"),0)))</f>
        <v/>
      </c>
      <c r="AJ65" s="133">
        <f>IF($G$7="",0,IF(W65&gt;'General Information'!$D$33,0,IFERROR(SUMIFS(INDIRECT("'"&amp;$G$7&amp;"'!$D$37:$D$52"),INDIRECT("'"&amp;$G$7&amp;"'!$C$37:$C$52"),W65,INDIRECT("'"&amp;$G$7&amp;"'!$B$37:$B$52"),"*Indirect*")/INDIRECT("'"&amp;$G$7&amp;"'!$F$2"),0)))</f>
        <v/>
      </c>
    </row>
    <row r="66">
      <c r="W66" s="128" t="n">
        <v>25</v>
      </c>
      <c r="X66" s="128">
        <f>'General Information'!$D$25+W66</f>
        <v/>
      </c>
      <c r="Y66" s="129">
        <f>IF($G$4="",0,IF(W66&gt;'General Information'!$D$33,0,IF(W66=0,$J$4,IFERROR(SUMIF(INDIRECT("'"&amp;$G$4&amp;"'!$C$37:$C$52"),W66,INDIRECT("'"&amp;$G$4&amp;"'!$D$37:$D$52")),0))))</f>
        <v/>
      </c>
      <c r="Z66" s="129">
        <f>IF($G$5="",0,IF(W66&gt;'General Information'!$D$33,0,IF(W66=0,$J$5,IFERROR(SUMIF(INDIRECT("'"&amp;$G$5&amp;"'!$C$37:$C$52"),W66,INDIRECT("'"&amp;$G$5&amp;"'!$D$37:$D$52")),0))))</f>
        <v/>
      </c>
      <c r="AA66" s="129">
        <f>IF($G$6="",0,IF(W66&gt;'General Information'!$D$33,0,IF(W66=0,$J$6,IFERROR(SUMIF(INDIRECT("'"&amp;$G$6&amp;"'!$C$37:$C$52"),W66,INDIRECT("'"&amp;$G$6&amp;"'!$D$37:$D$52")),0))))</f>
        <v/>
      </c>
      <c r="AB66" s="129">
        <f>IF($G$7="",0,IF(W66&gt;'General Information'!$D$33,0,IF(W66=0,$J$7,IFERROR(SUMIF(INDIRECT("'"&amp;$G$7&amp;"'!$C$37:$C$52"),W66,INDIRECT("'"&amp;$G$7&amp;"'!$D$37:$D$52")),0))))</f>
        <v/>
      </c>
      <c r="AC66" s="129">
        <f>IF($G$4="",0,AC65+IF(W66&gt;'General Information'!$D$33,0,IF(W66=0,$J$4,IFERROR(SUMIF(INDIRECT("'"&amp;$G$4&amp;"'!$C$37:$C$52"),W66,INDIRECT("'"&amp;$G$4&amp;"'!$E$37:$E$52")),0))))</f>
        <v/>
      </c>
      <c r="AD66" s="129">
        <f>IF($G$5="",0,AD65+IF(W66&gt;'General Information'!$D$33,0,IF(W66=0,$J$5,IFERROR(SUMIF(INDIRECT("'"&amp;$G$5&amp;"'!$C$37:$C$52"),W66,INDIRECT("'"&amp;$G$5&amp;"'!$E$37:$E$52")),0))))</f>
        <v/>
      </c>
      <c r="AE66" s="129">
        <f>IF($G$6="",0,AE65+IF(W66&gt;'General Information'!$D$33,0,IF(W66=0,$J$6,IFERROR(SUMIF(INDIRECT("'"&amp;$G$6&amp;"'!$C$37:$C$52"),W66,INDIRECT("'"&amp;$G$6&amp;"'!$E$37:$E$52")),0))))</f>
        <v/>
      </c>
      <c r="AF66" s="129">
        <f>IF($G$7="",0,AF65+IF(W66&gt;'General Information'!$D$33,0,IF(W66=0,$J$7,IFERROR(SUMIF(INDIRECT("'"&amp;$G$7&amp;"'!$C$37:$C$52"),W66,INDIRECT("'"&amp;$G$7&amp;"'!$E$37:$E$52")),0))))</f>
        <v/>
      </c>
      <c r="AG66" s="133">
        <f>IF($G$4="",0,IF(W66&gt;'General Information'!$D$33,0,IFERROR(SUMIFS(INDIRECT("'"&amp;$G$4&amp;"'!$D$37:$D$52"),INDIRECT("'"&amp;$G$4&amp;"'!$C$37:$C$52"),W66,INDIRECT("'"&amp;$G$4&amp;"'!$B$37:$B$52"),"*Indirect*")/INDIRECT("'"&amp;$G$4&amp;"'!$F$2"),0)))</f>
        <v/>
      </c>
      <c r="AH66" s="133">
        <f>IF($G$5="",0,IF(W66&gt;'General Information'!$D$33,0,IFERROR(SUMIFS(INDIRECT("'"&amp;$G$5&amp;"'!$D$37:$D$52"),INDIRECT("'"&amp;$G$5&amp;"'!$C$37:$C$52"),W66,INDIRECT("'"&amp;$G$5&amp;"'!$B$37:$B$52"),"*Indirect*")/INDIRECT("'"&amp;$G$5&amp;"'!$F$2"),0)))</f>
        <v/>
      </c>
      <c r="AI66" s="133">
        <f>IF($G$6="",0,IF(W66&gt;'General Information'!$D$33,0,IFERROR(SUMIFS(INDIRECT("'"&amp;$G$6&amp;"'!$D$37:$D$52"),INDIRECT("'"&amp;$G$6&amp;"'!$C$37:$C$52"),W66,INDIRECT("'"&amp;$G$6&amp;"'!$B$37:$B$52"),"*Indirect*")/INDIRECT("'"&amp;$G$6&amp;"'!$F$2"),0)))</f>
        <v/>
      </c>
      <c r="AJ66" s="133">
        <f>IF($G$7="",0,IF(W66&gt;'General Information'!$D$33,0,IFERROR(SUMIFS(INDIRECT("'"&amp;$G$7&amp;"'!$D$37:$D$52"),INDIRECT("'"&amp;$G$7&amp;"'!$C$37:$C$52"),W66,INDIRECT("'"&amp;$G$7&amp;"'!$B$37:$B$52"),"*Indirect*")/INDIRECT("'"&amp;$G$7&amp;"'!$F$2"),0)))</f>
        <v/>
      </c>
    </row>
    <row r="67">
      <c r="W67" s="128" t="n">
        <v>26</v>
      </c>
      <c r="X67" s="128">
        <f>'General Information'!$D$25+W67</f>
        <v/>
      </c>
      <c r="Y67" s="129">
        <f>IF($G$4="",0,IF(W67&gt;'General Information'!$D$33,0,IF(W67=0,$J$4,IFERROR(SUMIF(INDIRECT("'"&amp;$G$4&amp;"'!$C$37:$C$52"),W67,INDIRECT("'"&amp;$G$4&amp;"'!$D$37:$D$52")),0))))</f>
        <v/>
      </c>
      <c r="Z67" s="129">
        <f>IF($G$5="",0,IF(W67&gt;'General Information'!$D$33,0,IF(W67=0,$J$5,IFERROR(SUMIF(INDIRECT("'"&amp;$G$5&amp;"'!$C$37:$C$52"),W67,INDIRECT("'"&amp;$G$5&amp;"'!$D$37:$D$52")),0))))</f>
        <v/>
      </c>
      <c r="AA67" s="129">
        <f>IF($G$6="",0,IF(W67&gt;'General Information'!$D$33,0,IF(W67=0,$J$6,IFERROR(SUMIF(INDIRECT("'"&amp;$G$6&amp;"'!$C$37:$C$52"),W67,INDIRECT("'"&amp;$G$6&amp;"'!$D$37:$D$52")),0))))</f>
        <v/>
      </c>
      <c r="AB67" s="129">
        <f>IF($G$7="",0,IF(W67&gt;'General Information'!$D$33,0,IF(W67=0,$J$7,IFERROR(SUMIF(INDIRECT("'"&amp;$G$7&amp;"'!$C$37:$C$52"),W67,INDIRECT("'"&amp;$G$7&amp;"'!$D$37:$D$52")),0))))</f>
        <v/>
      </c>
      <c r="AC67" s="129">
        <f>IF($G$4="",0,AC66+IF(W67&gt;'General Information'!$D$33,0,IF(W67=0,$J$4,IFERROR(SUMIF(INDIRECT("'"&amp;$G$4&amp;"'!$C$37:$C$52"),W67,INDIRECT("'"&amp;$G$4&amp;"'!$E$37:$E$52")),0))))</f>
        <v/>
      </c>
      <c r="AD67" s="129">
        <f>IF($G$5="",0,AD66+IF(W67&gt;'General Information'!$D$33,0,IF(W67=0,$J$5,IFERROR(SUMIF(INDIRECT("'"&amp;$G$5&amp;"'!$C$37:$C$52"),W67,INDIRECT("'"&amp;$G$5&amp;"'!$E$37:$E$52")),0))))</f>
        <v/>
      </c>
      <c r="AE67" s="129">
        <f>IF($G$6="",0,AE66+IF(W67&gt;'General Information'!$D$33,0,IF(W67=0,$J$6,IFERROR(SUMIF(INDIRECT("'"&amp;$G$6&amp;"'!$C$37:$C$52"),W67,INDIRECT("'"&amp;$G$6&amp;"'!$E$37:$E$52")),0))))</f>
        <v/>
      </c>
      <c r="AF67" s="129">
        <f>IF($G$7="",0,AF66+IF(W67&gt;'General Information'!$D$33,0,IF(W67=0,$J$7,IFERROR(SUMIF(INDIRECT("'"&amp;$G$7&amp;"'!$C$37:$C$52"),W67,INDIRECT("'"&amp;$G$7&amp;"'!$E$37:$E$52")),0))))</f>
        <v/>
      </c>
      <c r="AG67" s="133">
        <f>IF($G$4="",0,IF(W67&gt;'General Information'!$D$33,0,IFERROR(SUMIFS(INDIRECT("'"&amp;$G$4&amp;"'!$D$37:$D$52"),INDIRECT("'"&amp;$G$4&amp;"'!$C$37:$C$52"),W67,INDIRECT("'"&amp;$G$4&amp;"'!$B$37:$B$52"),"*Indirect*")/INDIRECT("'"&amp;$G$4&amp;"'!$F$2"),0)))</f>
        <v/>
      </c>
      <c r="AH67" s="133">
        <f>IF($G$5="",0,IF(W67&gt;'General Information'!$D$33,0,IFERROR(SUMIFS(INDIRECT("'"&amp;$G$5&amp;"'!$D$37:$D$52"),INDIRECT("'"&amp;$G$5&amp;"'!$C$37:$C$52"),W67,INDIRECT("'"&amp;$G$5&amp;"'!$B$37:$B$52"),"*Indirect*")/INDIRECT("'"&amp;$G$5&amp;"'!$F$2"),0)))</f>
        <v/>
      </c>
      <c r="AI67" s="133">
        <f>IF($G$6="",0,IF(W67&gt;'General Information'!$D$33,0,IFERROR(SUMIFS(INDIRECT("'"&amp;$G$6&amp;"'!$D$37:$D$52"),INDIRECT("'"&amp;$G$6&amp;"'!$C$37:$C$52"),W67,INDIRECT("'"&amp;$G$6&amp;"'!$B$37:$B$52"),"*Indirect*")/INDIRECT("'"&amp;$G$6&amp;"'!$F$2"),0)))</f>
        <v/>
      </c>
      <c r="AJ67" s="133">
        <f>IF($G$7="",0,IF(W67&gt;'General Information'!$D$33,0,IFERROR(SUMIFS(INDIRECT("'"&amp;$G$7&amp;"'!$D$37:$D$52"),INDIRECT("'"&amp;$G$7&amp;"'!$C$37:$C$52"),W67,INDIRECT("'"&amp;$G$7&amp;"'!$B$37:$B$52"),"*Indirect*")/INDIRECT("'"&amp;$G$7&amp;"'!$F$2"),0)))</f>
        <v/>
      </c>
    </row>
    <row r="68">
      <c r="W68" s="128" t="n">
        <v>27</v>
      </c>
      <c r="X68" s="128">
        <f>'General Information'!$D$25+W68</f>
        <v/>
      </c>
      <c r="Y68" s="129">
        <f>IF($G$4="",0,IF(W68&gt;'General Information'!$D$33,0,IF(W68=0,$J$4,IFERROR(SUMIF(INDIRECT("'"&amp;$G$4&amp;"'!$C$37:$C$52"),W68,INDIRECT("'"&amp;$G$4&amp;"'!$D$37:$D$52")),0))))</f>
        <v/>
      </c>
      <c r="Z68" s="129">
        <f>IF($G$5="",0,IF(W68&gt;'General Information'!$D$33,0,IF(W68=0,$J$5,IFERROR(SUMIF(INDIRECT("'"&amp;$G$5&amp;"'!$C$37:$C$52"),W68,INDIRECT("'"&amp;$G$5&amp;"'!$D$37:$D$52")),0))))</f>
        <v/>
      </c>
      <c r="AA68" s="129">
        <f>IF($G$6="",0,IF(W68&gt;'General Information'!$D$33,0,IF(W68=0,$J$6,IFERROR(SUMIF(INDIRECT("'"&amp;$G$6&amp;"'!$C$37:$C$52"),W68,INDIRECT("'"&amp;$G$6&amp;"'!$D$37:$D$52")),0))))</f>
        <v/>
      </c>
      <c r="AB68" s="129">
        <f>IF($G$7="",0,IF(W68&gt;'General Information'!$D$33,0,IF(W68=0,$J$7,IFERROR(SUMIF(INDIRECT("'"&amp;$G$7&amp;"'!$C$37:$C$52"),W68,INDIRECT("'"&amp;$G$7&amp;"'!$D$37:$D$52")),0))))</f>
        <v/>
      </c>
      <c r="AC68" s="129">
        <f>IF($G$4="",0,AC67+IF(W68&gt;'General Information'!$D$33,0,IF(W68=0,$J$4,IFERROR(SUMIF(INDIRECT("'"&amp;$G$4&amp;"'!$C$37:$C$52"),W68,INDIRECT("'"&amp;$G$4&amp;"'!$E$37:$E$52")),0))))</f>
        <v/>
      </c>
      <c r="AD68" s="129">
        <f>IF($G$5="",0,AD67+IF(W68&gt;'General Information'!$D$33,0,IF(W68=0,$J$5,IFERROR(SUMIF(INDIRECT("'"&amp;$G$5&amp;"'!$C$37:$C$52"),W68,INDIRECT("'"&amp;$G$5&amp;"'!$E$37:$E$52")),0))))</f>
        <v/>
      </c>
      <c r="AE68" s="129">
        <f>IF($G$6="",0,AE67+IF(W68&gt;'General Information'!$D$33,0,IF(W68=0,$J$6,IFERROR(SUMIF(INDIRECT("'"&amp;$G$6&amp;"'!$C$37:$C$52"),W68,INDIRECT("'"&amp;$G$6&amp;"'!$E$37:$E$52")),0))))</f>
        <v/>
      </c>
      <c r="AF68" s="129">
        <f>IF($G$7="",0,AF67+IF(W68&gt;'General Information'!$D$33,0,IF(W68=0,$J$7,IFERROR(SUMIF(INDIRECT("'"&amp;$G$7&amp;"'!$C$37:$C$52"),W68,INDIRECT("'"&amp;$G$7&amp;"'!$E$37:$E$52")),0))))</f>
        <v/>
      </c>
      <c r="AG68" s="133">
        <f>IF($G$4="",0,IF(W68&gt;'General Information'!$D$33,0,IFERROR(SUMIFS(INDIRECT("'"&amp;$G$4&amp;"'!$D$37:$D$52"),INDIRECT("'"&amp;$G$4&amp;"'!$C$37:$C$52"),W68,INDIRECT("'"&amp;$G$4&amp;"'!$B$37:$B$52"),"*Indirect*")/INDIRECT("'"&amp;$G$4&amp;"'!$F$2"),0)))</f>
        <v/>
      </c>
      <c r="AH68" s="133">
        <f>IF($G$5="",0,IF(W68&gt;'General Information'!$D$33,0,IFERROR(SUMIFS(INDIRECT("'"&amp;$G$5&amp;"'!$D$37:$D$52"),INDIRECT("'"&amp;$G$5&amp;"'!$C$37:$C$52"),W68,INDIRECT("'"&amp;$G$5&amp;"'!$B$37:$B$52"),"*Indirect*")/INDIRECT("'"&amp;$G$5&amp;"'!$F$2"),0)))</f>
        <v/>
      </c>
      <c r="AI68" s="133">
        <f>IF($G$6="",0,IF(W68&gt;'General Information'!$D$33,0,IFERROR(SUMIFS(INDIRECT("'"&amp;$G$6&amp;"'!$D$37:$D$52"),INDIRECT("'"&amp;$G$6&amp;"'!$C$37:$C$52"),W68,INDIRECT("'"&amp;$G$6&amp;"'!$B$37:$B$52"),"*Indirect*")/INDIRECT("'"&amp;$G$6&amp;"'!$F$2"),0)))</f>
        <v/>
      </c>
      <c r="AJ68" s="133">
        <f>IF($G$7="",0,IF(W68&gt;'General Information'!$D$33,0,IFERROR(SUMIFS(INDIRECT("'"&amp;$G$7&amp;"'!$D$37:$D$52"),INDIRECT("'"&amp;$G$7&amp;"'!$C$37:$C$52"),W68,INDIRECT("'"&amp;$G$7&amp;"'!$B$37:$B$52"),"*Indirect*")/INDIRECT("'"&amp;$G$7&amp;"'!$F$2"),0)))</f>
        <v/>
      </c>
    </row>
    <row r="69">
      <c r="G69" s="123" t="inlineStr">
        <is>
          <t>How to read: 1 shows where each alternative's cost sits; 2 whether the lowest-cost alternative holds at other discount rates (FAA AIP uses 7%); 3 and 4 when the money is spent and when the higher first cost is paid back; 5 how often and how long the runway closes.</t>
        </is>
      </c>
      <c r="W69" s="128" t="n">
        <v>28</v>
      </c>
      <c r="X69" s="128">
        <f>'General Information'!$D$25+W69</f>
        <v/>
      </c>
      <c r="Y69" s="129">
        <f>IF($G$4="",0,IF(W69&gt;'General Information'!$D$33,0,IF(W69=0,$J$4,IFERROR(SUMIF(INDIRECT("'"&amp;$G$4&amp;"'!$C$37:$C$52"),W69,INDIRECT("'"&amp;$G$4&amp;"'!$D$37:$D$52")),0))))</f>
        <v/>
      </c>
      <c r="Z69" s="129">
        <f>IF($G$5="",0,IF(W69&gt;'General Information'!$D$33,0,IF(W69=0,$J$5,IFERROR(SUMIF(INDIRECT("'"&amp;$G$5&amp;"'!$C$37:$C$52"),W69,INDIRECT("'"&amp;$G$5&amp;"'!$D$37:$D$52")),0))))</f>
        <v/>
      </c>
      <c r="AA69" s="129">
        <f>IF($G$6="",0,IF(W69&gt;'General Information'!$D$33,0,IF(W69=0,$J$6,IFERROR(SUMIF(INDIRECT("'"&amp;$G$6&amp;"'!$C$37:$C$52"),W69,INDIRECT("'"&amp;$G$6&amp;"'!$D$37:$D$52")),0))))</f>
        <v/>
      </c>
      <c r="AB69" s="129">
        <f>IF($G$7="",0,IF(W69&gt;'General Information'!$D$33,0,IF(W69=0,$J$7,IFERROR(SUMIF(INDIRECT("'"&amp;$G$7&amp;"'!$C$37:$C$52"),W69,INDIRECT("'"&amp;$G$7&amp;"'!$D$37:$D$52")),0))))</f>
        <v/>
      </c>
      <c r="AC69" s="129">
        <f>IF($G$4="",0,AC68+IF(W69&gt;'General Information'!$D$33,0,IF(W69=0,$J$4,IFERROR(SUMIF(INDIRECT("'"&amp;$G$4&amp;"'!$C$37:$C$52"),W69,INDIRECT("'"&amp;$G$4&amp;"'!$E$37:$E$52")),0))))</f>
        <v/>
      </c>
      <c r="AD69" s="129">
        <f>IF($G$5="",0,AD68+IF(W69&gt;'General Information'!$D$33,0,IF(W69=0,$J$5,IFERROR(SUMIF(INDIRECT("'"&amp;$G$5&amp;"'!$C$37:$C$52"),W69,INDIRECT("'"&amp;$G$5&amp;"'!$E$37:$E$52")),0))))</f>
        <v/>
      </c>
      <c r="AE69" s="129">
        <f>IF($G$6="",0,AE68+IF(W69&gt;'General Information'!$D$33,0,IF(W69=0,$J$6,IFERROR(SUMIF(INDIRECT("'"&amp;$G$6&amp;"'!$C$37:$C$52"),W69,INDIRECT("'"&amp;$G$6&amp;"'!$E$37:$E$52")),0))))</f>
        <v/>
      </c>
      <c r="AF69" s="129">
        <f>IF($G$7="",0,AF68+IF(W69&gt;'General Information'!$D$33,0,IF(W69=0,$J$7,IFERROR(SUMIF(INDIRECT("'"&amp;$G$7&amp;"'!$C$37:$C$52"),W69,INDIRECT("'"&amp;$G$7&amp;"'!$E$37:$E$52")),0))))</f>
        <v/>
      </c>
      <c r="AG69" s="133">
        <f>IF($G$4="",0,IF(W69&gt;'General Information'!$D$33,0,IFERROR(SUMIFS(INDIRECT("'"&amp;$G$4&amp;"'!$D$37:$D$52"),INDIRECT("'"&amp;$G$4&amp;"'!$C$37:$C$52"),W69,INDIRECT("'"&amp;$G$4&amp;"'!$B$37:$B$52"),"*Indirect*")/INDIRECT("'"&amp;$G$4&amp;"'!$F$2"),0)))</f>
        <v/>
      </c>
      <c r="AH69" s="133">
        <f>IF($G$5="",0,IF(W69&gt;'General Information'!$D$33,0,IFERROR(SUMIFS(INDIRECT("'"&amp;$G$5&amp;"'!$D$37:$D$52"),INDIRECT("'"&amp;$G$5&amp;"'!$C$37:$C$52"),W69,INDIRECT("'"&amp;$G$5&amp;"'!$B$37:$B$52"),"*Indirect*")/INDIRECT("'"&amp;$G$5&amp;"'!$F$2"),0)))</f>
        <v/>
      </c>
      <c r="AI69" s="133">
        <f>IF($G$6="",0,IF(W69&gt;'General Information'!$D$33,0,IFERROR(SUMIFS(INDIRECT("'"&amp;$G$6&amp;"'!$D$37:$D$52"),INDIRECT("'"&amp;$G$6&amp;"'!$C$37:$C$52"),W69,INDIRECT("'"&amp;$G$6&amp;"'!$B$37:$B$52"),"*Indirect*")/INDIRECT("'"&amp;$G$6&amp;"'!$F$2"),0)))</f>
        <v/>
      </c>
      <c r="AJ69" s="133">
        <f>IF($G$7="",0,IF(W69&gt;'General Information'!$D$33,0,IFERROR(SUMIFS(INDIRECT("'"&amp;$G$7&amp;"'!$D$37:$D$52"),INDIRECT("'"&amp;$G$7&amp;"'!$C$37:$C$52"),W69,INDIRECT("'"&amp;$G$7&amp;"'!$B$37:$B$52"),"*Indirect*")/INDIRECT("'"&amp;$G$7&amp;"'!$F$2"),0)))</f>
        <v/>
      </c>
    </row>
    <row r="70">
      <c r="W70" s="128" t="n">
        <v>29</v>
      </c>
      <c r="X70" s="128">
        <f>'General Information'!$D$25+W70</f>
        <v/>
      </c>
      <c r="Y70" s="129">
        <f>IF($G$4="",0,IF(W70&gt;'General Information'!$D$33,0,IF(W70=0,$J$4,IFERROR(SUMIF(INDIRECT("'"&amp;$G$4&amp;"'!$C$37:$C$52"),W70,INDIRECT("'"&amp;$G$4&amp;"'!$D$37:$D$52")),0))))</f>
        <v/>
      </c>
      <c r="Z70" s="129">
        <f>IF($G$5="",0,IF(W70&gt;'General Information'!$D$33,0,IF(W70=0,$J$5,IFERROR(SUMIF(INDIRECT("'"&amp;$G$5&amp;"'!$C$37:$C$52"),W70,INDIRECT("'"&amp;$G$5&amp;"'!$D$37:$D$52")),0))))</f>
        <v/>
      </c>
      <c r="AA70" s="129">
        <f>IF($G$6="",0,IF(W70&gt;'General Information'!$D$33,0,IF(W70=0,$J$6,IFERROR(SUMIF(INDIRECT("'"&amp;$G$6&amp;"'!$C$37:$C$52"),W70,INDIRECT("'"&amp;$G$6&amp;"'!$D$37:$D$52")),0))))</f>
        <v/>
      </c>
      <c r="AB70" s="129">
        <f>IF($G$7="",0,IF(W70&gt;'General Information'!$D$33,0,IF(W70=0,$J$7,IFERROR(SUMIF(INDIRECT("'"&amp;$G$7&amp;"'!$C$37:$C$52"),W70,INDIRECT("'"&amp;$G$7&amp;"'!$D$37:$D$52")),0))))</f>
        <v/>
      </c>
      <c r="AC70" s="129">
        <f>IF($G$4="",0,AC69+IF(W70&gt;'General Information'!$D$33,0,IF(W70=0,$J$4,IFERROR(SUMIF(INDIRECT("'"&amp;$G$4&amp;"'!$C$37:$C$52"),W70,INDIRECT("'"&amp;$G$4&amp;"'!$E$37:$E$52")),0))))</f>
        <v/>
      </c>
      <c r="AD70" s="129">
        <f>IF($G$5="",0,AD69+IF(W70&gt;'General Information'!$D$33,0,IF(W70=0,$J$5,IFERROR(SUMIF(INDIRECT("'"&amp;$G$5&amp;"'!$C$37:$C$52"),W70,INDIRECT("'"&amp;$G$5&amp;"'!$E$37:$E$52")),0))))</f>
        <v/>
      </c>
      <c r="AE70" s="129">
        <f>IF($G$6="",0,AE69+IF(W70&gt;'General Information'!$D$33,0,IF(W70=0,$J$6,IFERROR(SUMIF(INDIRECT("'"&amp;$G$6&amp;"'!$C$37:$C$52"),W70,INDIRECT("'"&amp;$G$6&amp;"'!$E$37:$E$52")),0))))</f>
        <v/>
      </c>
      <c r="AF70" s="129">
        <f>IF($G$7="",0,AF69+IF(W70&gt;'General Information'!$D$33,0,IF(W70=0,$J$7,IFERROR(SUMIF(INDIRECT("'"&amp;$G$7&amp;"'!$C$37:$C$52"),W70,INDIRECT("'"&amp;$G$7&amp;"'!$E$37:$E$52")),0))))</f>
        <v/>
      </c>
      <c r="AG70" s="133">
        <f>IF($G$4="",0,IF(W70&gt;'General Information'!$D$33,0,IFERROR(SUMIFS(INDIRECT("'"&amp;$G$4&amp;"'!$D$37:$D$52"),INDIRECT("'"&amp;$G$4&amp;"'!$C$37:$C$52"),W70,INDIRECT("'"&amp;$G$4&amp;"'!$B$37:$B$52"),"*Indirect*")/INDIRECT("'"&amp;$G$4&amp;"'!$F$2"),0)))</f>
        <v/>
      </c>
      <c r="AH70" s="133">
        <f>IF($G$5="",0,IF(W70&gt;'General Information'!$D$33,0,IFERROR(SUMIFS(INDIRECT("'"&amp;$G$5&amp;"'!$D$37:$D$52"),INDIRECT("'"&amp;$G$5&amp;"'!$C$37:$C$52"),W70,INDIRECT("'"&amp;$G$5&amp;"'!$B$37:$B$52"),"*Indirect*")/INDIRECT("'"&amp;$G$5&amp;"'!$F$2"),0)))</f>
        <v/>
      </c>
      <c r="AI70" s="133">
        <f>IF($G$6="",0,IF(W70&gt;'General Information'!$D$33,0,IFERROR(SUMIFS(INDIRECT("'"&amp;$G$6&amp;"'!$D$37:$D$52"),INDIRECT("'"&amp;$G$6&amp;"'!$C$37:$C$52"),W70,INDIRECT("'"&amp;$G$6&amp;"'!$B$37:$B$52"),"*Indirect*")/INDIRECT("'"&amp;$G$6&amp;"'!$F$2"),0)))</f>
        <v/>
      </c>
      <c r="AJ70" s="133">
        <f>IF($G$7="",0,IF(W70&gt;'General Information'!$D$33,0,IFERROR(SUMIFS(INDIRECT("'"&amp;$G$7&amp;"'!$D$37:$D$52"),INDIRECT("'"&amp;$G$7&amp;"'!$C$37:$C$52"),W70,INDIRECT("'"&amp;$G$7&amp;"'!$B$37:$B$52"),"*Indirect*")/INDIRECT("'"&amp;$G$7&amp;"'!$F$2"),0)))</f>
        <v/>
      </c>
    </row>
    <row r="71">
      <c r="W71" s="128" t="n">
        <v>30</v>
      </c>
      <c r="X71" s="128">
        <f>'General Information'!$D$25+W71</f>
        <v/>
      </c>
      <c r="Y71" s="129">
        <f>IF($G$4="",0,IF(W71&gt;'General Information'!$D$33,0,IF(W71=0,$J$4,IFERROR(SUMIF(INDIRECT("'"&amp;$G$4&amp;"'!$C$37:$C$52"),W71,INDIRECT("'"&amp;$G$4&amp;"'!$D$37:$D$52")),0))))</f>
        <v/>
      </c>
      <c r="Z71" s="129">
        <f>IF($G$5="",0,IF(W71&gt;'General Information'!$D$33,0,IF(W71=0,$J$5,IFERROR(SUMIF(INDIRECT("'"&amp;$G$5&amp;"'!$C$37:$C$52"),W71,INDIRECT("'"&amp;$G$5&amp;"'!$D$37:$D$52")),0))))</f>
        <v/>
      </c>
      <c r="AA71" s="129">
        <f>IF($G$6="",0,IF(W71&gt;'General Information'!$D$33,0,IF(W71=0,$J$6,IFERROR(SUMIF(INDIRECT("'"&amp;$G$6&amp;"'!$C$37:$C$52"),W71,INDIRECT("'"&amp;$G$6&amp;"'!$D$37:$D$52")),0))))</f>
        <v/>
      </c>
      <c r="AB71" s="129">
        <f>IF($G$7="",0,IF(W71&gt;'General Information'!$D$33,0,IF(W71=0,$J$7,IFERROR(SUMIF(INDIRECT("'"&amp;$G$7&amp;"'!$C$37:$C$52"),W71,INDIRECT("'"&amp;$G$7&amp;"'!$D$37:$D$52")),0))))</f>
        <v/>
      </c>
      <c r="AC71" s="129">
        <f>IF($G$4="",0,AC70+IF(W71&gt;'General Information'!$D$33,0,IF(W71=0,$J$4,IFERROR(SUMIF(INDIRECT("'"&amp;$G$4&amp;"'!$C$37:$C$52"),W71,INDIRECT("'"&amp;$G$4&amp;"'!$E$37:$E$52")),0))))</f>
        <v/>
      </c>
      <c r="AD71" s="129">
        <f>IF($G$5="",0,AD70+IF(W71&gt;'General Information'!$D$33,0,IF(W71=0,$J$5,IFERROR(SUMIF(INDIRECT("'"&amp;$G$5&amp;"'!$C$37:$C$52"),W71,INDIRECT("'"&amp;$G$5&amp;"'!$E$37:$E$52")),0))))</f>
        <v/>
      </c>
      <c r="AE71" s="129">
        <f>IF($G$6="",0,AE70+IF(W71&gt;'General Information'!$D$33,0,IF(W71=0,$J$6,IFERROR(SUMIF(INDIRECT("'"&amp;$G$6&amp;"'!$C$37:$C$52"),W71,INDIRECT("'"&amp;$G$6&amp;"'!$E$37:$E$52")),0))))</f>
        <v/>
      </c>
      <c r="AF71" s="129">
        <f>IF($G$7="",0,AF70+IF(W71&gt;'General Information'!$D$33,0,IF(W71=0,$J$7,IFERROR(SUMIF(INDIRECT("'"&amp;$G$7&amp;"'!$C$37:$C$52"),W71,INDIRECT("'"&amp;$G$7&amp;"'!$E$37:$E$52")),0))))</f>
        <v/>
      </c>
      <c r="AG71" s="133">
        <f>IF($G$4="",0,IF(W71&gt;'General Information'!$D$33,0,IFERROR(SUMIFS(INDIRECT("'"&amp;$G$4&amp;"'!$D$37:$D$52"),INDIRECT("'"&amp;$G$4&amp;"'!$C$37:$C$52"),W71,INDIRECT("'"&amp;$G$4&amp;"'!$B$37:$B$52"),"*Indirect*")/INDIRECT("'"&amp;$G$4&amp;"'!$F$2"),0)))</f>
        <v/>
      </c>
      <c r="AH71" s="133">
        <f>IF($G$5="",0,IF(W71&gt;'General Information'!$D$33,0,IFERROR(SUMIFS(INDIRECT("'"&amp;$G$5&amp;"'!$D$37:$D$52"),INDIRECT("'"&amp;$G$5&amp;"'!$C$37:$C$52"),W71,INDIRECT("'"&amp;$G$5&amp;"'!$B$37:$B$52"),"*Indirect*")/INDIRECT("'"&amp;$G$5&amp;"'!$F$2"),0)))</f>
        <v/>
      </c>
      <c r="AI71" s="133">
        <f>IF($G$6="",0,IF(W71&gt;'General Information'!$D$33,0,IFERROR(SUMIFS(INDIRECT("'"&amp;$G$6&amp;"'!$D$37:$D$52"),INDIRECT("'"&amp;$G$6&amp;"'!$C$37:$C$52"),W71,INDIRECT("'"&amp;$G$6&amp;"'!$B$37:$B$52"),"*Indirect*")/INDIRECT("'"&amp;$G$6&amp;"'!$F$2"),0)))</f>
        <v/>
      </c>
      <c r="AJ71" s="133">
        <f>IF($G$7="",0,IF(W71&gt;'General Information'!$D$33,0,IFERROR(SUMIFS(INDIRECT("'"&amp;$G$7&amp;"'!$D$37:$D$52"),INDIRECT("'"&amp;$G$7&amp;"'!$C$37:$C$52"),W71,INDIRECT("'"&amp;$G$7&amp;"'!$B$37:$B$52"),"*Indirect*")/INDIRECT("'"&amp;$G$7&amp;"'!$F$2"),0)))</f>
        <v/>
      </c>
    </row>
  </sheetData>
  <pageMargins left="0.75" right="0.75" top="1" bottom="1" header="0.5" footer="0.5"/>
  <pageSetup orientation="landscape" fitToWidth="1" fitToHeight="0"/>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4B88566-E933-4244-856C-A2F9DB71596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6</vt:i4>
      </vt:variant>
    </vt:vector>
  </HeadingPairs>
  <TitlesOfParts>
    <vt:vector size="18" baseType="lpstr">
      <vt:lpstr>TMP(NewPCC)_IndirectCost</vt:lpstr>
      <vt:lpstr>Overview</vt:lpstr>
      <vt:lpstr>Instructions</vt:lpstr>
      <vt:lpstr>General Information</vt:lpstr>
      <vt:lpstr>Pay_Items</vt:lpstr>
      <vt:lpstr>Database</vt:lpstr>
      <vt:lpstr>Maintenance Policies</vt:lpstr>
      <vt:lpstr>TMP(NewHMA)_IndirectCost</vt:lpstr>
      <vt:lpstr>RevenueData</vt:lpstr>
      <vt:lpstr>TMP(NewHMA)</vt:lpstr>
      <vt:lpstr>TMP(NewPCC)</vt:lpstr>
      <vt:lpstr>Summary</vt:lpstr>
      <vt:lpstr>Airport_Name</vt:lpstr>
      <vt:lpstr>Pay_Item_List</vt:lpstr>
      <vt:lpstr>Pay_Item_List_Desc</vt:lpstr>
      <vt:lpstr>Pay_Item_List_No</vt:lpstr>
      <vt:lpstr>Pay_Item_List2</vt:lpstr>
      <vt:lpstr>Pay_Items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Jim Bruinsma</dc:creator>
  <cp:lastModifiedBy>Marti Denis</cp:lastModifiedBy>
  <dcterms:created xsi:type="dcterms:W3CDTF">2021-03-15T15:18:27Z</dcterms:created>
  <dcterms:modified xsi:type="dcterms:W3CDTF">2026-08-18T19:02:43Z</dcterms:modified>
</cp:coreProperties>
</file>
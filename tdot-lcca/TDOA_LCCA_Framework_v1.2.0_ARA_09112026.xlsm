
<file path=[Content_Types].xml><?xml version="1.0" encoding="utf-8"?>
<Types xmlns="http://schemas.openxmlformats.org/package/2006/content-type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worksheets/sheet15.xml" ContentType="application/vnd.openxmlformats-officedocument.spreadsheetml.worksheet+xml"/>
  <Override PartName="/xl/worksheets/sheet16.xml" ContentType="application/vnd.openxmlformats-officedocument.spreadsheetml.workshee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state="hidden" r:id="rId10"/>
    <sheet name="TMP(NewPCC)" sheetId="25" state="hidden" r:id="rId11"/>
    <sheet name="TMP(HMARehab)" sheetId="28" state="veryHidden" r:id="rId12"/>
    <sheet name="TMP(PCCRehab)" sheetId="29" state="veryHidden" r:id="rId13"/>
    <sheet name="Summary" sheetId="11" r:id="rId14"/>
    <sheet name="Typical Values" sheetId="37" r:id="rId24"/>
    <sheet name="Method" sheetId="38" r:id="rId25"/>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Summary!$A$1:$V$141</definedName>
    <definedName name="_xlnm.Print_Area" localSheetId="3">'General Information'!$A$1:$J$52</definedName>
    <definedName name="_xlnm.Print_Area" localSheetId="7">'TMP(NewHMA)_IndirectCost'!$A$1:$G$56</definedName>
    <definedName name="_xlnm.Print_Area" localSheetId="9">'TMP(NewHMA)'!$A$1:$G$56</definedName>
    <definedName name="_xlnm.Print_Area" localSheetId="0">'TMP(NewPCC)_IndirectCost'!$A$1:$G$56</definedName>
    <definedName name="_xlnm.Print_Area" localSheetId="10">'TMP(NewPCC)'!$A$1:$G$56</definedName>
    <definedName name="_xlnm.Print_Area" localSheetId="11">'TMP(HMARehab)'!$A$1:$G$56</definedName>
    <definedName name="PriceSources">{"Regular","Middle","West","East"}</definedName>
    <definedName name="UnitCostGrid">Table2[[Unit Cost]:[East]]</definedName>
    <definedName name="PayItemKeys">Table2[Pay Item Description]</definedName>
    <definedName name="_xlnm.Print_Titles" localSheetId="1">Overview!$1:$1</definedName>
    <definedName name="_xlnm.Print_Titles" localSheetId="2">Instructions!$1:$1</definedName>
    <definedName name="_xlnm.Print_Titles" localSheetId="3">'General Information'!$1:$1</definedName>
    <definedName name="_xlnm.Print_Titles" localSheetId="4">Pay_Items!$1:$2</definedName>
    <definedName name="_xlnm.Print_Titles" localSheetId="6">'Maintenance Policies'!$1:$1</definedName>
    <definedName name="_xlnm.Print_Titles" localSheetId="0">'TMP(NewPCC)_IndirectCost'!$1:$1</definedName>
    <definedName name="_xlnm.Print_Titles" localSheetId="7">'TMP(NewHMA)_IndirectCost'!$1:$1</definedName>
    <definedName name="_xlnm.Print_Titles" localSheetId="9">'TMP(NewHMA)'!$1:$1</definedName>
    <definedName name="_xlnm.Print_Titles" localSheetId="10">'TMP(NewPCC)'!$1:$1</definedName>
    <definedName name="_xlnm.Print_Titles" localSheetId="11">'TMP(HMARehab)'!$1:$1</definedName>
    <definedName name="_xlnm.Print_Titles" localSheetId="13">Summary!$1:$1</definedName>
    <definedName name="_xlnm.Print_Titles" localSheetId="14">'Typical Values'!$1:$1</definedName>
    <definedName name="_xlnm.Print_Titles" localSheetId="15">Method!$1:$1</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<sst xmlns="http://schemas.openxmlformats.org/spreadsheetml/2006/main" count="1480" uniqueCount="637">
  <si>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</si>
  <si>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</si>
  <si>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</si>
  <si>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</si>
  <si>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</si>
  <si>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</si>
  <si>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</si>
  <si>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</si>
  <si>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</si>
  <si>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</si>
  <si>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</si>
  <si>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</si>
  <si>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</si>
  <si>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</si>
  <si>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</si>
  <si>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</si>
  <si>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</si>
  <si>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</si>
  <si>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</si>
  <si>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</si>
  <si>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</si>
  <si>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</si>
  <si>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</si>
  <si>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</si>
  <si>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</si>
  <si>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</si>
  <si>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</si>
  <si>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</si>
  <si>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</si>
  <si>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</si>
  <si>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</si>
  <si>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</si>
  <si>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</si>
  <si>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</si>
  <si>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</si>
  <si>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</si>
  <si>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</si>
  <si>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</si>
  <si>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</si>
  <si>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</si>
  <si>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</si>
  <si>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</si>
  <si>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</si>
  <si>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</si>
  <si>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</si>
  <si>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</si>
  <si>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</si>
  <si>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</si>
  <si>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</si>
  <si>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</si>
  <si>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</si>
  <si>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</si>
  <si>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</si>
  <si>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</si>
  <si>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</si>
  <si>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</si>
  <si>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</si>
  <si>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</si>
  <si>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</si>
  <si>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</si>
  <si>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</si>
  <si>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</si>
  <si>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</si>
  <si>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</si>
  <si>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</si>
  <si>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</si>
  <si>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</si>
  <si>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</si>
  <si>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</si>
  <si>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</si>
  <si>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</si>
  <si>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</si>
  <si>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</si>
  <si>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</si>
  <si>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</si>
  <si>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</si>
  <si>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</si>
  <si>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</si>
  <si>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</si>
  <si>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</si>
  <si>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</si>
  <si>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</si>
  <si>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</si>
  <si>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</si>
  <si>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</si>
  <si>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</si>
  <si>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</si>
  <si>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</si>
  <si>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</si>
  <si>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</si>
  <si>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</si>
  <si>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</si>
  <si>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</si>
  <si>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</si>
  <si>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</si>
  <si>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</si>
  <si>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</si>
  <si>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</si>
  <si>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</si>
  <si>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</si>
  <si>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</si>
  <si>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</si>
  <si>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</si>
  <si>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</si>
  <si>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</si>
  <si>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</si>
  <si>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</si>
  <si>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</si>
  <si>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</si>
  <si>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</si>
  <si>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</si>
  <si>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</si>
  <si>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</si>
  <si>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</si>
  <si>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</si>
  <si>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</si>
  <si>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</si>
  <si>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</si>
  <si>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</si>
  <si>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</si>
  <si>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</si>
  <si>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</si>
  <si>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</si>
  <si>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</si>
  <si>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</si>
  <si>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</si>
  <si>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</si>
  <si>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</si>
  <si>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</si>
  <si>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</si>
  <si>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</si>
  <si>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</si>
  <si>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</si>
  <si>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</si>
  <si>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</si>
  <si>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</si>
  <si>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</si>
  <si>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</si>
  <si>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</si>
  <si>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</si>
  <si>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</si>
  <si>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</si>
  <si>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</si>
  <si>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</si>
  <si>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</si>
  <si>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</si>
  <si>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</si>
  <si>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</si>
  <si>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</si>
  <si>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</si>
  <si>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</si>
  <si>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</si>
  <si>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</si>
  <si>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</si>
  <si>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</si>
  <si>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</si>
  <si>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</si>
  <si>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</si>
  <si>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</si>
  <si>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</si>
  <si>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</si>
  <si>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</si>
  <si>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</si>
  <si>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</si>
  <si>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</si>
  <si>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</si>
  <si>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</si>
  <si>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</si>
  <si>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</si>
  <si>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</si>
  <si>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</si>
  <si>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</si>
  <si>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</si>
  <si>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</si>
  <si>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</si>
  <si>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</si>
  <si>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</si>
  <si>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</si>
  <si>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</si>
  <si>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</si>
  <si>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</si>
  <si>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</si>
  <si>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</si>
  <si>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</si>
  <si>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</si>
  <si>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</si>
  <si>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</si>
  <si>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</si>
  <si>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</si>
  <si>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</si>
  <si>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</si>
  <si>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</si>
  <si>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</si>
  <si>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</si>
  <si>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</si>
  <si>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</si>
  <si>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</si>
  <si>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</si>
  <si>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</si>
  <si>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</si>
  <si>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</si>
  <si>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</si>
  <si>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</si>
  <si>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</si>
  <si>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</si>
  <si>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</si>
  <si>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</si>
  <si>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</si>
  <si>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</si>
  <si>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</si>
  <si>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</si>
  <si>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</si>
  <si>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</si>
  <si>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</si>
  <si>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</si>
  <si>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</si>
  <si>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</si>
  <si>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</si>
  <si>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</si>
  <si>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</si>
  <si>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</si>
  <si>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</si>
  <si>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</si>
  <si>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</si>
  <si>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</si>
  <si>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</si>
  <si>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</si>
  <si>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</si>
  <si>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</si>
  <si>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</si>
  <si>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</si>
  <si>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</si>
  <si>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</si>
  <si>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</si>
  <si>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</si>
  <si>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</si>
  <si>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</si>
  <si>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</si>
  <si>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</si>
  <si>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</si>
  <si>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</si>
  <si>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</si>
  <si>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</si>
  <si>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</si>
  <si>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</si>
  <si>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</si>
  <si>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</si>
  <si>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</si>
  <si>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</si>
  <si>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</si>
  <si>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</si>
  <si>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</si>
  <si>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</si>
  <si>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</si>
  <si>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</si>
  <si>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Initial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</si>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</sst>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 numFmtId="169" formatCode="0.00&quot;%&quot;"/>
    <numFmt numFmtId="170" formatCode="0.0%"/>
    <numFmt numFmtId="171" formatCode="$#,##0"/>
    <numFmt numFmtId="172" formatCode="0.00000"/>
    <numFmt numFmtId="173" formatCode="0.0000"/>
    <numFmt numFmtId="174" formatCode="&quot;$&quot;#,##0.00"/>
    <numFmt numFmtId="175" formatCode="&quot;$&quot;#,##0.00"/>
  </numFmts>
  <fonts count="73"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b val="1"/>
      <color rgb="00595959"/>
      <sz val="8"/>
    </font>
    <font>
      <name val="Arial"/>
      <b val="1"/>
      <color rgb="001D2733"/>
      <sz val="16"/>
    </font>
    <font>
      <name val="Arial"/>
      <color rgb="00595959"/>
      <sz val="9"/>
    </font>
    <font>
      <name val="Arial"/>
      <color rgb="007F7F7F"/>
      <sz val="9"/>
    </font>
    <font>
      <name val="Arial"/>
      <b val="1"/>
      <color rgb="007FA8CF"/>
      <sz val="9"/>
    </font>
    <font>
      <name val="Arial"/>
      <b val="1"/>
      <color rgb="002A78D6"/>
      <sz val="9"/>
    </font>
    <font>
      <name val="Arial"/>
      <b val="1"/>
      <color rgb="001D3F6E"/>
      <sz val="9"/>
    </font>
    <font>
      <name val="Arial"/>
      <b val="1"/>
      <color rgb="00C1440E"/>
      <sz val="9"/>
    </font>
    <font>
      <name val="Arial"/>
      <color rgb="007F6000"/>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Arial"/>
      <color rgb="00595959"/>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Courier New"/>
      <sz val="9"/>
    </font>
    <font>
      <b/>
      <sz val="10"/>
      <color rgb="FFFFFFFF"/>
      <name val="Arial"/>
      <family val="2"/>
    </font>
    <font>
      <sz val="9"/>
      <color rgb="FF1D2733"/>
      <name val="Arial"/>
      <family val="2"/>
    </font>
    <font>
      <b/>
      <sz val="10"/>
      <color rgb="FF1D2733"/>
      <name val="Arial"/>
      <family val="2"/>
    </font>
    <font>
      <b/>
      <sz val="10"/>
      <color rgb="FF1D2733"/>
      <name val="Arial"/>
      <family val="2"/>
    </font>
    <font>
      <i/>
      <sz val="9"/>
      <color rgb="FF595959"/>
      <name val="Arial"/>
      <family val="2"/>
    </font>
    <font>
      <i/>
      <sz val="9"/>
      <color rgb="FF595959"/>
      <name val="Arial"/>
      <family val="2"/>
    </font>
    <font>
      <b/>
      <sz val="9"/>
      <color rgb="FF595959"/>
      <name val="Arial"/>
      <family val="2"/>
    </font>
    <font>
      <sz val="10"/>
      <color rgb="FF1D2733"/>
      <name val="Arial"/>
      <family val="2"/>
    </font>
    <font>
      <i/>
      <sz val="9"/>
      <color rgb="FF595959"/>
      <name val="Arial"/>
      <family val="2"/>
    </font>
    <font>
      <i/>
      <sz val="9"/>
      <color rgb="FF595959"/>
      <name val="Arial"/>
      <family val="2"/>
    </font>
    <font>
      <sz val="8"/>
      <color rgb="FF595959"/>
      <name val="Arial"/>
      <family val="2"/>
    </font>
    <font>
      <sz val="10"/>
      <color rgb="FF1D2733"/>
      <name val="Arial"/>
      <family val="2"/>
    </font>
    <font>
      <i/>
      <sz val="9"/>
      <color rgb="FF595959"/>
      <name val="Arial"/>
      <family val="2"/>
    </font>
    <font>
      <b/>
      <sz val="12"/>
      <color rgb="FF1D2733"/>
      <name val="Arial"/>
      <family val="2"/>
    </font>
    <font>
      <b/>
      <sz val="10"/>
      <color rgb="FF1D2733"/>
      <name val="Arial"/>
      <family val="2"/>
    </font>
    <font>
      <b/>
      <sz val="10"/>
      <color rgb="FFFFFFFF"/>
      <name val="Arial"/>
      <family val="2"/>
    </font>
    <font>
      <sz val="10"/>
      <color rgb="FF1D2733"/>
      <name val="Arial"/>
      <family val="2"/>
    </font>
    <font>
      <sz val="9"/>
      <color rgb="FF7F6000"/>
      <name val="Arial"/>
      <family val="2"/>
    </font>
    <font>
      <sz val="9"/>
      <color rgb="FF595959"/>
      <name val="Arial"/>
      <family val="2"/>
    </font>
    <font>
      <i/>
      <sz val="9"/>
      <color rgb="FF595959"/>
      <name val="Arial"/>
      <family val="2"/>
    </font>
    <font>
      <i/>
      <sz val="9"/>
      <color rgb="FF595959"/>
      <name val="Arial"/>
      <family val="2"/>
    </font>
    <font>
      <sz val="10"/>
      <color rgb="FF1D2733"/>
      <name val="Arial"/>
      <family val="2"/>
    </font>
    <font>
      <b/>
      <sz val="11"/>
      <color rgb="FF0B5C3B"/>
      <name val="Arial"/>
      <family val="2"/>
    </font>
    <font>
      <b/>
      <sz val="10"/>
      <color rgb="FFFFFFFF"/>
      <name val="Arial"/>
      <family val="2"/>
    </font>
    <font>
      <b/>
      <sz val="10"/>
      <color rgb="FF5B6675"/>
      <name val="Arial"/>
      <family val="2"/>
    </font>
    <font>
      <name val="Arial"/>
      <b val="1"/>
      <color rgb="001D2733"/>
      <sz val="16"/>
    </font>
    <font>
      <name val="Calibri"/>
      <family val="2"/>
      <color theme="1"/>
      <sz val="16"/>
      <scheme val="minor"/>
    </font>
    <font>
      <name val="Calibri"/>
      <family val="2"/>
      <color theme="1"/>
      <sz val="16"/>
      <scheme val="minor"/>
    </font>
    <font>
      <i/>
      <sz val="9"/>
      <color rgb="FF5B6675"/>
      <name val="Arial"/>
      <family val="2"/>
    </font>
  </fonts>
  <fills count="44">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F5F7FA"/>
      </patternFill>
    </fill>
    <fill>
      <patternFill patternType="solid">
        <fgColor rgb="00EAF2FB"/>
      </patternFill>
    </fill>
    <fill>
      <patternFill patternType="solid">
        <fgColor rgb="00FFF3CD"/>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patternType="solid">
        <fgColor rgb="00FFF3CD"/>
      </patternFill>
    </fill>
    <fill>
      <patternFill patternType="solid">
        <fgColor rgb="FF1D2733"/>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D9D9D9"/>
        <bgColor indexed="64"/>
      </patternFill>
    </fill>
    <fill>
      <patternFill patternType="solid">
        <fgColor rgb="FFEDEDED"/>
        <bgColor indexed="64"/>
      </patternFill>
    </fill>
    <fill>
      <patternFill patternType="solid">
        <fgColor rgb="FFEAF2FB"/>
        <bgColor indexed="64"/>
      </patternFill>
    </fill>
    <fill>
      <patternFill patternType="solid">
        <fgColor rgb="FF1D2733"/>
        <bgColor indexed="64"/>
      </patternFill>
    </fill>
    <fill>
      <patternFill patternType="solid">
        <fgColor rgb="FFD9D9D9"/>
        <bgColor indexed="64"/>
      </patternFill>
    </fill>
    <fill>
      <patternFill patternType="solid">
        <fgColor rgb="FFFFF3CD"/>
        <bgColor indexed="64"/>
      </patternFill>
    </fill>
    <fill>
      <patternFill patternType="solid">
        <fgColor rgb="FFD9D9D9"/>
        <bgColor indexed="64"/>
      </patternFill>
    </fill>
    <fill>
      <patternFill patternType="solid">
        <fgColor rgb="FFE4F2EA"/>
        <bgColor indexed="64"/>
      </patternFill>
    </fill>
    <fill>
      <patternFill patternType="solid">
        <fgColor rgb="FF1C2634"/>
        <bgColor indexed="64"/>
      </patternFill>
    </fill>
    <fill>
      <patternFill patternType="solid">
        <fgColor rgb="FFEEF1F4"/>
        <bgColor indexed="64"/>
      </patternFill>
    </fill>
  </fills>
  <borders count="57">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
      <left style="thin">
        <color rgb="00BFC7D1"/>
      </left>
      <top style="thin">
        <color rgb="00BFC7D1"/>
      </top>
    </border>
    <border>
      <top style="thin">
        <color rgb="00BFC7D1"/>
      </top>
    </border>
    <border>
      <right style="thin">
        <color rgb="00BFC7D1"/>
      </right>
      <top style="thin">
        <color rgb="00BFC7D1"/>
      </top>
    </border>
    <border>
      <left style="thin">
        <color rgb="00BFC7D1"/>
      </left>
    </border>
    <border/>
    <border>
      <right style="thin">
        <color rgb="00BFC7D1"/>
      </right>
    </border>
    <border>
      <left style="thin">
        <color rgb="00BFC7D1"/>
      </left>
      <bottom style="thin">
        <color rgb="00BFC7D1"/>
      </bottom>
    </border>
    <border>
      <bottom style="thin">
        <color rgb="00BFC7D1"/>
      </bottom>
    </border>
    <border>
      <right style="thin">
        <color rgb="00BFC7D1"/>
      </right>
      <bottom style="thin">
        <color rgb="00BFC7D1"/>
      </bottom>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style="thin">
        <color rgb="FF2A78D6"/>
      </bottom>
      <diagonal/>
    </border>
    <border>
      <left/>
      <right/>
      <top/>
      <bottom style="thin">
        <color rgb="FF2A78D6"/>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212">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6" fillId="11" borderId="36" pivotButton="0" quotePrefix="0" xfId="0"/>
    <xf numFmtId="0" fontId="17" fillId="13" borderId="37" applyAlignment="1" pivotButton="0" quotePrefix="0" xfId="0">
      <alignment vertical="center" wrapText="1"/>
    </xf>
    <xf numFmtId="0" fontId="21" fillId="14" borderId="38" applyAlignment="1" pivotButton="0" quotePrefix="0" xfId="0">
      <alignment vertical="center"/>
    </xf>
    <xf numFmtId="0" fontId="15" fillId="14" borderId="39" pivotButton="0" quotePrefix="0" xfId="0"/>
    <xf numFmtId="0" fontId="15" fillId="14" borderId="40" pivotButton="0" quotePrefix="0" xfId="0"/>
    <xf numFmtId="0" fontId="69" fillId="14" borderId="41" applyAlignment="1" pivotButton="0" quotePrefix="0" xfId="0">
      <alignment vertical="center"/>
    </xf>
    <xf numFmtId="0" fontId="70" fillId="14" borderId="42" pivotButton="0" quotePrefix="0" xfId="0"/>
    <xf numFmtId="0" fontId="71" fillId="14" borderId="43" pivotButton="0" quotePrefix="0" xfId="0"/>
    <xf numFmtId="0" fontId="23" fillId="14" borderId="44" applyAlignment="1" pivotButton="0" quotePrefix="0" xfId="0">
      <alignment vertical="center" wrapText="1"/>
    </xf>
    <xf numFmtId="0" fontId="15" fillId="14" borderId="45" pivotButton="0" quotePrefix="0" xfId="0"/>
    <xf numFmtId="0" fontId="15" fillId="14" borderId="46" pivotButton="0" quotePrefix="0" xfId="0"/>
    <xf numFmtId="0" fontId="24" fillId="9" borderId="36" pivotButton="0" quotePrefix="0" xfId="0"/>
    <xf numFmtId="168" fontId="24" fillId="9" borderId="36" pivotButton="0" quotePrefix="0" xfId="0"/>
    <xf numFmtId="0" fontId="19" fillId="9" borderId="36" pivotButton="0" quotePrefix="0" xfId="0"/>
    <xf numFmtId="0" fontId="20" fillId="9" borderId="37" pivotButton="0" quotePrefix="0" xfId="0"/>
    <xf numFmtId="168" fontId="20" fillId="9" borderId="37" pivotButton="0" quotePrefix="0" xfId="0"/>
    <xf numFmtId="10" fontId="20" fillId="9" borderId="37" pivotButton="0" quotePrefix="0" xfId="0"/>
    <xf numFmtId="169" fontId="24" fillId="9" borderId="36" pivotButton="0" quotePrefix="0" xfId="0"/>
    <xf numFmtId="0" fontId="17" fillId="15" borderId="36" pivotButton="0" quotePrefix="0" xfId="0"/>
    <xf numFmtId="0" fontId="15" fillId="15" borderId="36" pivotButton="0" quotePrefix="0" xfId="0"/>
    <xf numFmtId="0" fontId="25" fillId="9" borderId="36" pivotButton="0" quotePrefix="0" xfId="0"/>
    <xf numFmtId="0" fontId="26" fillId="9" borderId="36" pivotButton="0" quotePrefix="0" xfId="0"/>
    <xf numFmtId="0" fontId="27" fillId="9" borderId="36" pivotButton="0" quotePrefix="0" xfId="0"/>
    <xf numFmtId="0" fontId="28" fillId="9" borderId="36" pivotButton="0" quotePrefix="0" xfId="0"/>
    <xf numFmtId="0" fontId="20" fillId="9" borderId="36" pivotButton="0" quotePrefix="0" xfId="0"/>
    <xf numFmtId="170" fontId="20" fillId="9" borderId="37" pivotButton="0" quotePrefix="0" xfId="0"/>
    <xf numFmtId="1" fontId="20" fillId="13" borderId="37" pivotButton="0" quotePrefix="0" xfId="0"/>
    <xf numFmtId="0" fontId="29" fillId="16" borderId="36" applyAlignment="1" pivotButton="0" quotePrefix="0" xfId="0">
      <alignment vertical="top" wrapText="1"/>
    </xf>
    <xf numFmtId="0" fontId="19" fillId="9" borderId="36" applyAlignment="1" pivotButton="0" quotePrefix="0" xfId="0">
      <alignment vertical="top" wrapText="1"/>
    </xf>
    <xf numFmtId="1" fontId="24" fillId="9" borderId="36" pivotButton="0" quotePrefix="0" xfId="0"/>
    <xf numFmtId="2" fontId="24" fillId="9" borderId="36" pivotButton="0" quotePrefix="0" xfId="0"/>
    <xf numFmtId="171" fontId="24" fillId="9" borderId="36" pivotButton="0" quotePrefix="0" xfId="0"/>
    <xf numFmtId="2" fontId="20" fillId="9" borderId="37" pivotButton="0" quotePrefix="0" xfId="0"/>
    <xf numFmtId="172" fontId="24" fillId="9" borderId="36" pivotButton="0" quotePrefix="0" xfId="0"/>
    <xf numFmtId="0" fontId="30" fillId="17" borderId="47" pivotButton="0" quotePrefix="0" xfId="0"/>
    <xf numFmtId="0" fontId="31" fillId="19" borderId="48" applyAlignment="1" pivotButton="0" quotePrefix="0" xfId="0">
      <alignment horizontal="center" vertical="center"/>
    </xf>
    <xf numFmtId="0" fontId="31" fillId="20" borderId="48" applyAlignment="1" pivotButton="0" quotePrefix="0" xfId="0">
      <alignment horizontal="center" vertical="center"/>
    </xf>
    <xf numFmtId="0" fontId="32" fillId="17" borderId="47" pivotButton="0" quotePrefix="0" xfId="0"/>
    <xf numFmtId="0" fontId="33" fillId="17" borderId="47" pivotButton="0" quotePrefix="0" xfId="0"/>
    <xf numFmtId="0" fontId="32" fillId="17" borderId="47" applyAlignment="1" pivotButton="0" quotePrefix="0" xfId="0">
      <alignment vertical="top" wrapText="1"/>
    </xf>
    <xf numFmtId="0" fontId="34" fillId="21" borderId="47" pivotButton="0" quotePrefix="0" xfId="0"/>
    <xf numFmtId="0" fontId="30" fillId="21" borderId="47" pivotButton="0" quotePrefix="0" xfId="0"/>
    <xf numFmtId="0" fontId="34" fillId="22" borderId="48" applyAlignment="1" pivotButton="0" quotePrefix="0" xfId="0">
      <alignment vertical="center" wrapText="1"/>
    </xf>
    <xf numFmtId="0" fontId="35" fillId="17" borderId="48" applyAlignment="1" pivotButton="0" quotePrefix="0" xfId="0">
      <alignment vertical="top" wrapText="1"/>
    </xf>
    <xf numFmtId="3" fontId="35" fillId="17" borderId="48" applyAlignment="1" pivotButton="0" quotePrefix="0" xfId="0">
      <alignment vertical="top" wrapText="1"/>
    </xf>
    <xf numFmtId="1" fontId="35" fillId="17" borderId="48" applyAlignment="1" pivotButton="0" quotePrefix="0" xfId="0">
      <alignment vertical="top" wrapText="1"/>
    </xf>
    <xf numFmtId="0" fontId="36" fillId="17" borderId="48" applyAlignment="1" pivotButton="0" quotePrefix="0" xfId="0">
      <alignment vertical="top" wrapText="1"/>
    </xf>
    <xf numFmtId="4" fontId="35" fillId="17" borderId="48" applyAlignment="1" pivotButton="0" quotePrefix="0" xfId="0">
      <alignment vertical="top" wrapText="1"/>
    </xf>
    <xf numFmtId="0" fontId="37" fillId="23" borderId="49" pivotButton="0" quotePrefix="0" xfId="0"/>
    <xf numFmtId="0" fontId="38" fillId="25" borderId="50" applyAlignment="1" pivotButton="0" quotePrefix="0" xfId="0">
      <alignment horizontal="center" vertical="center"/>
    </xf>
    <xf numFmtId="0" fontId="38" fillId="26" borderId="50" applyAlignment="1" pivotButton="0" quotePrefix="0" xfId="0">
      <alignment horizontal="center" vertical="center"/>
    </xf>
    <xf numFmtId="0" fontId="39" fillId="23" borderId="49" pivotButton="0" quotePrefix="0" xfId="0"/>
    <xf numFmtId="0" fontId="40" fillId="23" borderId="49" pivotButton="0" quotePrefix="0" xfId="0"/>
    <xf numFmtId="0" fontId="39" fillId="23" borderId="49" applyAlignment="1" pivotButton="0" quotePrefix="0" xfId="0">
      <alignment vertical="top" wrapText="1"/>
    </xf>
    <xf numFmtId="0" fontId="41" fillId="27" borderId="49" pivotButton="0" quotePrefix="0" xfId="0"/>
    <xf numFmtId="0" fontId="37" fillId="27" borderId="49" pivotButton="0" quotePrefix="0" xfId="0"/>
    <xf numFmtId="0" fontId="41" fillId="28" borderId="50" applyAlignment="1" pivotButton="0" quotePrefix="0" xfId="0">
      <alignment vertical="center" wrapText="1"/>
    </xf>
    <xf numFmtId="0" fontId="42" fillId="23" borderId="50" applyAlignment="1" pivotButton="0" quotePrefix="0" xfId="0">
      <alignment vertical="top" wrapText="1"/>
    </xf>
    <xf numFmtId="0" fontId="43" fillId="23" borderId="50" applyAlignment="1" pivotButton="0" quotePrefix="0" xfId="0">
      <alignment vertical="top" wrapText="1"/>
    </xf>
    <xf numFmtId="1" fontId="43" fillId="23" borderId="50" applyAlignment="1" pivotButton="0" quotePrefix="0" xfId="0">
      <alignment vertical="top" wrapText="1"/>
    </xf>
    <xf numFmtId="2" fontId="43" fillId="23" borderId="50" applyAlignment="1" pivotButton="0" quotePrefix="0" xfId="0">
      <alignment vertical="top" wrapText="1"/>
    </xf>
    <xf numFmtId="173" fontId="43" fillId="23" borderId="50" applyAlignment="1" pivotButton="0" quotePrefix="0" xfId="0">
      <alignment vertical="top" wrapText="1"/>
    </xf>
    <xf numFmtId="0" fontId="42" fillId="29" borderId="50" applyAlignment="1" pivotButton="0" quotePrefix="0" xfId="0">
      <alignment vertical="top" wrapText="1"/>
    </xf>
    <xf numFmtId="0" xfId="0" fontId="44" applyFont="1" fillId="30" applyFill="1" applyAlignment="1">
      <alignment horizontal="left" vertical="center" indent="1"/>
    </xf>
    <xf numFmtId="0" xfId="0" fontId="45" applyFont="1" fillId="31" applyFill="1" applyAlignment="1">
      <alignment horizontal="left" vertical="top" wrapText="1" indent="1"/>
    </xf>
    <xf numFmtId="0" xfId="0" fontId="46" applyFont="1" fillId="32" applyFill="1" borderId="51" applyBorder="1" applyAlignment="1">
      <alignment horizontal="left" vertical="center" wrapText="1" indent="1"/>
    </xf>
    <xf numFmtId="0" xfId="0" fontId="47" applyFont="1" fillId="33" applyFill="1" borderId="52" applyBorder="1" applyAlignment="1">
      <alignment horizontal="left" vertical="center"/>
    </xf>
    <xf numFmtId="0" xfId="0" fontId="48" applyFont="1" applyAlignment="1">
      <alignment horizontal="left" vertical="center"/>
    </xf>
    <xf numFmtId="0" xfId="0" fontId="49" applyFont="1" applyAlignment="1">
      <alignment horizontal="left" vertical="center" wrapText="1"/>
    </xf>
    <xf numFmtId="0" xfId="0" fontId="50" applyFont="1" applyAlignment="1">
      <alignment horizontal="right" vertical="center"/>
    </xf>
    <xf numFmtId="0" xfId="0" fontId="51" applyFont="1" fillId="34" applyFill="1" borderId="53" applyBorder="1" applyAlignment="1">
      <alignment horizontal="left" vertical="center" indent="1"/>
    </xf>
    <xf numFmtId="0" xfId="0" fontId="52" applyFont="1" applyAlignment="1">
      <alignment horizontal="left" vertical="center"/>
    </xf>
    <xf numFmtId="0" xfId="0" fontId="53" applyFont="1" applyAlignment="1">
      <alignment horizontal="left" vertical="center" wrapText="1"/>
    </xf>
    <xf numFmtId="0" xfId="0" fontId="54" applyFont="1" applyAlignment="1">
      <alignment horizontal="left"/>
    </xf>
    <xf numFmtId="174" xfId="0" applyNumberFormat="1" fontId="55" applyFont="1" fillId="35" applyFill="1" borderId="54" applyBorder="1" applyAlignment="1">
      <alignment horizontal="right" vertical="center"/>
    </xf>
    <xf numFmtId="0" xfId="0" fontId="56" applyFont="1" applyAlignment="1">
      <alignment horizontal="left" vertical="center" wrapText="1"/>
    </xf>
    <xf numFmtId="0" xfId="0" fontId="57" applyFont="1"/>
    <xf numFmtId="0" xfId="0" fontId="58" applyFont="1" fillId="36" applyFill="1" applyAlignment="1">
      <alignment horizontal="left" vertical="center" wrapText="1"/>
    </xf>
    <xf numFmtId="0" xfId="0" fontId="59" applyFont="1" fillId="37" applyFill="1" applyAlignment="1">
      <alignment horizontal="left" vertical="center" wrapText="1"/>
    </xf>
    <xf numFmtId="175" xfId="0" applyNumberFormat="1" fontId="60" applyFont="1" fillId="38" applyFill="1" borderId="55" applyBorder="1" applyAlignment="1">
      <alignment horizontal="right" vertical="center"/>
    </xf>
    <xf numFmtId="0" xfId="0" fontId="61" applyFont="1" fillId="39" applyFill="1" applyAlignment="1">
      <alignment horizontal="left" vertical="center" wrapText="1"/>
    </xf>
    <xf numFmtId="0" xfId="0" fontId="62" applyFont="1" applyAlignment="1">
      <alignment horizontal="left" vertical="center"/>
    </xf>
    <xf numFmtId="0" xfId="0" fontId="63" applyFont="1" applyAlignment="1">
      <alignment horizontal="left" vertical="center"/>
    </xf>
    <xf numFmtId="0" xfId="0" fontId="64" applyFont="1" applyAlignment="1">
      <alignment horizontal="left" vertical="center"/>
    </xf>
    <xf numFmtId="0" xfId="0" fontId="65" applyFont="1" fillId="40" applyFill="1" borderId="56" applyBorder="1" applyAlignment="1">
      <alignment horizontal="left" vertical="center" indent="1"/>
    </xf>
    <xf numFmtId="0" xfId="0" fontId="66" applyFont="1" fillId="41" applyFill="1" applyAlignment="1">
      <alignment vertical="center" indent="1"/>
    </xf>
    <xf numFmtId="0" xfId="0" fontId="67" applyFont="1" fillId="42" applyFill="1" applyAlignment="1">
      <alignment vertical="center" wrapText="1"/>
    </xf>
    <xf numFmtId="0" xfId="0" fontId="68" applyFont="1" fillId="43" applyFill="1" applyAlignment="1">
      <alignment vertical="center" indent="1"/>
    </xf>
    <xf numFmtId="0" xfId="0" fontId="72" applyFont="1" applyAlignment="1">
      <alignment vertical="center"/>
    </xf>
  </cellXfs>
  <cellStyles count="3">
    <cellStyle name="Currency" xfId="2" builtinId="4"/>
    <cellStyle name="Hyperlink" xfId="1" builtinId="8"/>
    <cellStyle name="Normal" xfId="0" builtinId="0"/>
  </cellStyles>
  <dxfs count="32">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1"/>
        <color rgb="FF7F6000"/>
      </font>
      <fill>
        <patternFill>
          <bgColor rgb="FFFFF3CD"/>
        </patternFill>
      </fill>
    </dxf>
    <dxf>
      <font>
        <b val="1"/>
        <color rgb="FF2E8B1F"/>
      </font>
    </dxf>
    <dxf>
      <font>
        <b val="1"/>
        <color rgb="FF0B5C3B"/>
      </font>
      <fill>
        <patternFill>
          <bgColor rgb="FFE4F2EA"/>
        </patternFill>
      </fill>
    </dxf>
    <dxf>
      <font>
        <color rgb="FF186A3B"/>
      </font>
      <fill>
        <patternFill>
          <bgColor rgb="FFE8F6EC"/>
        </patternFill>
      </fill>
    </dxf>
    <dxf>
      <font>
        <color rgb="FF7F6000"/>
      </font>
      <fill>
        <patternFill>
          <bgColor rgb="FFFFF3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4" Type="http://schemas.openxmlformats.org/officeDocument/2006/relationships/worksheet" Target="worksheets/sheet15.xml"/><Relationship Id="rId25" Type="http://schemas.openxmlformats.org/officeDocument/2006/relationships/worksheet" Target="worksheets/sheet1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title>
          <c:tx>
            <c:rich>
              <a:bodyPr/>
              <a:lstStyle/>
              <a:p>
                <a:pPr>
                  <a:defRPr sz="900" b="0"/>
                </a:pPr>
                <a:r>
                  <a:rPr lang="en-US" sz="900" b="0"/>
                  <a:t>Alternative</a:t>
                </a:r>
              </a:p>
            </c:rich>
          </c:tx>
          <c:overlay val="0"/>
        </c:title>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0.0,,&quot;M&quot;"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sz="1100" b="0"/>
            </a:pPr>
            <a:r>
              <a:t>1. Present worth by category (salvage below zero)</a:t>
            </a:r>
          </a:p>
        </rich>
      </tx>
    </title>
    <plotArea>
      <layout>
        <manualLayout>
          <xMode val="edge"/>
          <yMode val="edge"/>
          <wMode val="factor"/>
          <hMode val="factor"/>
          <x val="0.11"/>
          <y val="0.13"/>
          <w val="0.6899999999999999"/>
          <h val="0.68"/>
        </manualLayout>
      </layout>
      <barChart>
        <barDir val="col"/>
        <grouping val="stacked"/>
        <ser>
          <idx val="0"/>
          <order val="0"/>
          <tx>
            <strRef>
              <f>'Summary'!W5</f>
            </strRef>
          </tx>
          <spPr>
            <a:solidFill xmlns:a="http://schemas.openxmlformats.org/drawingml/2006/main">
              <a:srgbClr val="3E4C59"/>
            </a:solidFill>
            <a:ln xmlns:a="http://schemas.openxmlformats.org/drawingml/2006/main">
              <a:solidFill>
                <a:srgbClr val="3E4C59"/>
              </a:solidFill>
              <a:prstDash val="solid"/>
            </a:ln>
          </spPr>
          <cat>
            <numRef>
              <f>'Summary'!$X$4:$AA$4</f>
            </numRef>
          </cat>
          <val>
            <numRef>
              <f>'Summary'!$X$5:$AA$5</f>
            </numRef>
          </val>
        </ser>
        <ser>
          <idx val="1"/>
          <order val="1"/>
          <tx>
            <strRef>
              <f>'Summary'!W6</f>
            </strRef>
          </tx>
          <spPr>
            <a:solidFill xmlns:a="http://schemas.openxmlformats.org/drawingml/2006/main">
              <a:srgbClr val="6B7A88"/>
            </a:solidFill>
            <a:ln xmlns:a="http://schemas.openxmlformats.org/drawingml/2006/main">
              <a:solidFill>
                <a:srgbClr val="6B7A88"/>
              </a:solidFill>
              <a:prstDash val="solid"/>
            </a:ln>
          </spPr>
          <cat>
            <numRef>
              <f>'Summary'!$X$4:$AA$4</f>
            </numRef>
          </cat>
          <val>
            <numRef>
              <f>'Summary'!$X$6:$AA$6</f>
            </numRef>
          </val>
        </ser>
        <ser>
          <idx val="2"/>
          <order val="2"/>
          <tx>
            <strRef>
              <f>'Summary'!W7</f>
            </strRef>
          </tx>
          <spPr>
            <a:solidFill xmlns:a="http://schemas.openxmlformats.org/drawingml/2006/main">
              <a:srgbClr val="98A4AF"/>
            </a:solidFill>
            <a:ln xmlns:a="http://schemas.openxmlformats.org/drawingml/2006/main">
              <a:solidFill>
                <a:srgbClr val="98A4AF"/>
              </a:solidFill>
              <a:prstDash val="solid"/>
            </a:ln>
          </spPr>
          <cat>
            <numRef>
              <f>'Summary'!$X$4:$AA$4</f>
            </numRef>
          </cat>
          <val>
            <numRef>
              <f>'Summary'!$X$7:$AA$7</f>
            </numRef>
          </val>
        </ser>
        <ser>
          <idx val="3"/>
          <order val="3"/>
          <tx>
            <strRef>
              <f>'Summary'!W8</f>
            </strRef>
          </tx>
          <spPr>
            <a:solidFill xmlns:a="http://schemas.openxmlformats.org/drawingml/2006/main">
              <a:srgbClr val="C4CDD5"/>
            </a:solidFill>
            <a:ln xmlns:a="http://schemas.openxmlformats.org/drawingml/2006/main">
              <a:solidFill>
                <a:srgbClr val="C4CDD5"/>
              </a:solidFill>
              <a:prstDash val="solid"/>
            </a:ln>
          </spPr>
          <cat>
            <numRef>
              <f>'Summary'!$X$4:$AA$4</f>
            </numRef>
          </cat>
          <val>
            <numRef>
              <f>'Summary'!$X$8:$AA$8</f>
            </numRef>
          </val>
        </ser>
        <ser>
          <idx val="4"/>
          <order val="4"/>
          <tx>
            <strRef>
              <f>'Summary'!W9</f>
            </strRef>
          </tx>
          <spPr>
            <a:solidFill xmlns:a="http://schemas.openxmlformats.org/drawingml/2006/main">
              <a:srgbClr val="E4E9ED"/>
            </a:solidFill>
            <a:ln xmlns:a="http://schemas.openxmlformats.org/drawingml/2006/main">
              <a:solidFill>
                <a:srgbClr val="E4E9ED"/>
              </a:solidFill>
              <a:prstDash val="solid"/>
            </a:ln>
          </spPr>
          <cat>
            <numRef>
              <f>'Summary'!$X$4:$AA$4</f>
            </numRef>
          </cat>
          <val>
            <numRef>
              <f>'Summary'!$X$9:$AA$9</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sz="900" b="0"/>
                </a:pPr>
                <a:r>
                  <a:t>Alternative</a:t>
                </a:r>
              </a:p>
            </rich>
          </tx>
        </title>
        <majorTickMark val="none"/>
        <minorTickMark val="none"/>
        <tickLblPos val="low"/>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title>
          <tx>
            <rich>
              <a:bodyPr xmlns:a="http://schemas.openxmlformats.org/drawingml/2006/main"/>
              <a:p xmlns:a="http://schemas.openxmlformats.org/drawingml/2006/main">
                <a:pPr>
                  <a:defRPr sz="900" b="0"/>
                </a:pPr>
                <a:r>
                  <a:t>Present worth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spPr>
    <a:ln xmlns:a="http://schemas.openxmlformats.org/drawingml/2006/main" w="28575">
      <a:solidFill>
        <a:srgbClr val="0F7B4F"/>
      </a:solidFill>
    </a:ln>
  </spPr>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sz="1100" b="0"/>
            </a:pPr>
            <a:r>
              <a:t>2. Net present worth vs. discount rate (TDOT 3%, FAA 2%, pre-2022 rule 7%)</a:t>
            </a:r>
          </a:p>
        </rich>
      </tx>
    </title>
    <plotArea>
      <layout>
        <manualLayout>
          <xMode val="edge"/>
          <yMode val="edge"/>
          <wMode val="factor"/>
          <hMode val="factor"/>
          <x val="0.11"/>
          <y val="0.13"/>
          <w val="0.6899999999999999"/>
          <h val="0.68"/>
        </manualLayout>
      </layout>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'Summary'!$W$12:$W$36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'Summary'!$W$12:$W$36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'Summary'!$W$12:$W$36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'Summary'!$W$12:$W$36</f>
            </numRef>
          </cat>
          <val>
            <numRef>
              <f>'Summary'!$AA$12:$AA$36</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sz="900" b="0"/>
                </a:pPr>
                <a:r>
                  <a:t>Discount rate (%)</a:t>
                </a:r>
              </a:p>
            </rich>
          </tx>
        </title>
        <numFmt formatCode="0.00&quot;%&quot;" sourceLinked="0"/>
        <majorTickMark val="none"/>
        <minorTickMark val="none"/>
        <txPr>
          <a:bodyPr xmlns:a="http://schemas.openxmlformats.org/drawingml/2006/main"/>
          <a:p xmlns:a="http://schemas.openxmlformats.org/drawingml/2006/main">
            <a:pPr>
              <a:defRPr sz="800"/>
            </a:pPr>
            <a:r>
              <a:t/>
            </a:r>
            <a:endParaRPr sz="800"/>
          </a:p>
        </txPr>
        <crossAx val="100"/>
        <lblOffset val="100"/>
        <tickLblSkip val="4"/>
      </catAx>
      <valAx>
        <axId val="100"/>
        <scaling>
          <orientation val="minMax"/>
        </scaling>
        <delete val="0"/>
        <axPos val="l"/>
        <title>
          <tx>
            <rich>
              <a:bodyPr xmlns:a="http://schemas.openxmlformats.org/drawingml/2006/main"/>
              <a:p xmlns:a="http://schemas.openxmlformats.org/drawingml/2006/main">
                <a:pPr>
                  <a:defRPr sz="900" b="0"/>
                </a:pPr>
                <a:r>
                  <a:t>Net present worth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spPr>
    <a:ln xmlns:a="http://schemas.openxmlformats.org/drawingml/2006/main" w="28575">
      <a:solidFill>
        <a:srgbClr val="0F7B4F"/>
      </a:solidFill>
    </a:ln>
  </spPr>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sz="1100" b="0"/>
            </a:pPr>
            <a:r>
              <a:t>3. Expenditure stream by calendar year (undiscounted)</a:t>
            </a:r>
          </a:p>
        </rich>
      </tx>
    </title>
    <plotArea>
      <layout>
        <manualLayout>
          <xMode val="edge"/>
          <yMode val="edge"/>
          <wMode val="factor"/>
          <hMode val="factor"/>
          <x val="0.11"/>
          <y val="0.13"/>
          <w val="0.6899999999999999"/>
          <h val="0.68"/>
        </manualLayout>
      </layout>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sz="900" b="0"/>
                </a:pPr>
                <a:r>
                  <a:t>Calendar year</a:t>
                </a:r>
              </a:p>
            </rich>
          </tx>
        </title>
        <majorTickMark val="none"/>
        <minorTickMark val="none"/>
        <tickLblPos val="low"/>
        <txPr>
          <a:bodyPr xmlns:a="http://schemas.openxmlformats.org/drawingml/2006/main"/>
          <a:p xmlns:a="http://schemas.openxmlformats.org/drawingml/2006/main">
            <a:pPr>
              <a:defRPr sz="800"/>
            </a:pPr>
            <a:r>
              <a:t/>
            </a:r>
            <a:endParaRPr sz="800"/>
          </a:p>
        </txPr>
        <crossAx val="100"/>
        <lblOffset val="100"/>
        <tickLblSkip val="5"/>
      </catAx>
      <valAx>
        <axId val="100"/>
        <scaling>
          <orientation val="minMax"/>
        </scaling>
        <delete val="0"/>
        <axPos val="l"/>
        <title>
          <tx>
            <rich>
              <a:bodyPr xmlns:a="http://schemas.openxmlformats.org/drawingml/2006/main"/>
              <a:p xmlns:a="http://schemas.openxmlformats.org/drawingml/2006/main">
                <a:pPr>
                  <a:defRPr sz="900" b="0"/>
                </a:pPr>
                <a:r>
                  <a:t>Spend, undiscounted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sz="1100" b="0"/>
            </a:pPr>
            <a:r>
              <a:t>4. Cumulative discounted cost</a:t>
            </a:r>
          </a:p>
        </rich>
      </tx>
    </title>
    <plotArea>
      <layout>
        <manualLayout>
          <xMode val="edge"/>
          <yMode val="edge"/>
          <wMode val="factor"/>
          <hMode val="factor"/>
          <x val="0.11"/>
          <y val="0.13"/>
          <w val="0.6899999999999999"/>
          <h val="0.68"/>
        </manualLayout>
      </layout>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sz="900" b="0"/>
                </a:pPr>
                <a:r>
                  <a:t>Calendar year</a:t>
                </a:r>
              </a:p>
            </rich>
          </tx>
        </title>
        <majorTickMark val="none"/>
        <minorTickMark val="none"/>
        <txPr>
          <a:bodyPr xmlns:a="http://schemas.openxmlformats.org/drawingml/2006/main"/>
          <a:p xmlns:a="http://schemas.openxmlformats.org/drawingml/2006/main">
            <a:pPr>
              <a:defRPr sz="800"/>
            </a:pPr>
            <a:r>
              <a:t/>
            </a:r>
            <a:endParaRPr sz="800"/>
          </a:p>
        </txPr>
        <crossAx val="100"/>
        <lblOffset val="100"/>
        <tickLblSkip val="5"/>
      </catAx>
      <valAx>
        <axId val="100"/>
        <scaling>
          <orientation val="minMax"/>
        </scaling>
        <delete val="0"/>
        <axPos val="l"/>
        <title>
          <tx>
            <rich>
              <a:bodyPr xmlns:a="http://schemas.openxmlformats.org/drawingml/2006/main"/>
              <a:p xmlns:a="http://schemas.openxmlformats.org/drawingml/2006/main">
                <a:pPr>
                  <a:defRPr sz="900" b="0"/>
                </a:pPr>
                <a:r>
                  <a:t>Cumulative discounted cost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11.xml><?xml version="1.0" encoding="utf-8"?>
<chartSpace xmlns="http://schemas.openxmlformats.org/drawingml/2006/chart">
  <chart>
    <title>
      <tx>
        <rich>
          <a:bodyPr xmlns:a="http://schemas.openxmlformats.org/drawingml/2006/main"/>
          <a:p xmlns:a="http://schemas.openxmlformats.org/drawingml/2006/main">
            <a:pPr>
              <a:defRPr sz="1100" b="0"/>
            </a:pPr>
            <a:r>
              <a:t>5. Runway closure days by calendar year</a:t>
            </a:r>
          </a:p>
        </rich>
      </tx>
    </title>
    <plotArea>
      <layout>
        <manualLayout>
          <xMode val="edge"/>
          <yMode val="edge"/>
          <wMode val="factor"/>
          <hMode val="factor"/>
          <x val="0.11"/>
          <y val="0.13"/>
          <w val="0.6899999999999999"/>
          <h val="0.68"/>
        </manualLayout>
      </layout>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sz="900" b="0"/>
                </a:pPr>
                <a:r>
                  <a:t>Calendar year</a:t>
                </a:r>
              </a:p>
            </rich>
          </tx>
        </title>
        <majorTickMark val="none"/>
        <minorTickMark val="none"/>
        <txPr>
          <a:bodyPr xmlns:a="http://schemas.openxmlformats.org/drawingml/2006/main"/>
          <a:p xmlns:a="http://schemas.openxmlformats.org/drawingml/2006/main">
            <a:pPr>
              <a:defRPr sz="800"/>
            </a:pPr>
            <a:r>
              <a:t/>
            </a:r>
            <a:endParaRPr sz="800"/>
          </a:p>
        </txPr>
        <crossAx val="100"/>
        <lblOffset val="100"/>
        <tickLblSkip val="5"/>
      </catAx>
      <valAx>
        <axId val="100"/>
        <scaling>
          <orientation val="minMax"/>
        </scaling>
        <delete val="0"/>
        <axPos val="l"/>
        <title>
          <tx>
            <rich>
              <a:bodyPr xmlns:a="http://schemas.openxmlformats.org/drawingml/2006/main"/>
              <a:p xmlns:a="http://schemas.openxmlformats.org/drawingml/2006/main">
                <a:pPr>
                  <a:defRPr sz="900" b="0"/>
                </a:pPr>
                <a:r>
                  <a:t>Closure days</a:t>
                </a:r>
              </a:p>
            </rich>
          </tx>
        </title>
        <numFmt formatCode="0"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12.xml><?xml version="1.0" encoding="utf-8"?>
<chartSpace xmlns="http://schemas.openxmlformats.org/drawingml/2006/chart">
  <chart>
    <title>
      <tx>
        <rich>
          <a:bodyPr xmlns:a="http://schemas.openxmlformats.org/drawingml/2006/main"/>
          <a:p xmlns:a="http://schemas.openxmlformats.org/drawingml/2006/main">
            <a:pPr>
              <a:defRPr sz="1100" b="0"/>
            </a:pPr>
            <a:r>
              <a:t>6. Pavement section, mainline (inches, surface on top)</a:t>
            </a:r>
          </a:p>
        </rich>
      </tx>
    </title>
    <plotArea>
      <layout>
        <manualLayout>
          <xMode val="edge"/>
          <yMode val="edge"/>
          <wMode val="factor"/>
          <hMode val="factor"/>
          <x val="0.11"/>
          <y val="0.13"/>
          <w val="0.6899999999999999"/>
          <h val="0.68"/>
        </manualLayout>
      </layout>
      <barChart>
        <barDir val="col"/>
        <grouping val="stacked"/>
        <ser>
          <idx val="0"/>
          <order val="0"/>
          <tx>
            <strRef>
              <f>'Summary'!W76</f>
            </strRef>
          </tx>
          <spPr>
            <a:solidFill xmlns:a="http://schemas.openxmlformats.org/drawingml/2006/main">
              <a:srgbClr val="DCCBA0"/>
            </a:solidFill>
            <a:ln xmlns:a="http://schemas.openxmlformats.org/drawingml/2006/main">
              <a:solidFill>
                <a:srgbClr val="DCCBA0"/>
              </a:solidFill>
              <a:prstDash val="solid"/>
            </a:ln>
          </spPr>
          <cat>
            <numRef>
              <f>'Summary'!$X$75:$AA$75</f>
            </numRef>
          </cat>
          <val>
            <numRef>
              <f>'Summary'!$X$76:$AA$76</f>
            </numRef>
          </val>
        </ser>
        <ser>
          <idx val="1"/>
          <order val="1"/>
          <tx>
            <strRef>
              <f>'Summary'!W77</f>
            </strRef>
          </tx>
          <spPr>
            <a:solidFill xmlns:a="http://schemas.openxmlformats.org/drawingml/2006/main">
              <a:srgbClr val="C8A96E"/>
            </a:solidFill>
            <a:ln xmlns:a="http://schemas.openxmlformats.org/drawingml/2006/main">
              <a:solidFill>
                <a:srgbClr val="C8A96E"/>
              </a:solidFill>
              <a:prstDash val="solid"/>
            </a:ln>
          </spPr>
          <cat>
            <numRef>
              <f>'Summary'!$X$75:$AA$75</f>
            </numRef>
          </cat>
          <val>
            <numRef>
              <f>'Summary'!$X$77:$AA$77</f>
            </numRef>
          </val>
        </ser>
        <ser>
          <idx val="2"/>
          <order val="2"/>
          <tx>
            <strRef>
              <f>'Summary'!W78</f>
            </strRef>
          </tx>
          <spPr>
            <a:solidFill xmlns:a="http://schemas.openxmlformats.org/drawingml/2006/main">
              <a:srgbClr val="3A3A3A"/>
            </a:solidFill>
            <a:ln xmlns:a="http://schemas.openxmlformats.org/drawingml/2006/main">
              <a:solidFill>
                <a:srgbClr val="3A3A3A"/>
              </a:solidFill>
              <a:prstDash val="solid"/>
            </a:ln>
          </spPr>
          <cat>
            <numRef>
              <f>'Summary'!$X$75:$AA$75</f>
            </numRef>
          </cat>
          <val>
            <numRef>
              <f>'Summary'!$X$78:$AA$78</f>
            </numRef>
          </val>
        </ser>
        <ser>
          <idx val="3"/>
          <order val="3"/>
          <tx>
            <strRef>
              <f>'Summary'!W79</f>
            </strRef>
          </tx>
          <spPr>
            <a:solidFill xmlns:a="http://schemas.openxmlformats.org/drawingml/2006/main">
              <a:srgbClr val="C6CBD0"/>
            </a:solidFill>
            <a:ln xmlns:a="http://schemas.openxmlformats.org/drawingml/2006/main">
              <a:solidFill>
                <a:srgbClr val="C6CBD0"/>
              </a:solidFill>
              <a:prstDash val="solid"/>
            </a:ln>
          </spPr>
          <cat>
            <numRef>
              <f>'Summary'!$X$75:$AA$75</f>
            </numRef>
          </cat>
          <val>
            <numRef>
              <f>'Summary'!$X$79:$AA$79</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sz="900" b="0"/>
                </a:pPr>
                <a:r>
                  <a:t>Alternative</a:t>
                </a:r>
              </a:p>
            </rich>
          </tx>
        </title>
        <majorTickMark val="none"/>
        <minorTickMark val="none"/>
        <tickLblPos val="low"/>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title>
          <tx>
            <rich>
              <a:bodyPr xmlns:a="http://schemas.openxmlformats.org/drawingml/2006/main"/>
              <a:p xmlns:a="http://schemas.openxmlformats.org/drawingml/2006/main">
                <a:pPr>
                  <a:defRPr sz="900" b="0"/>
                </a:pPr>
                <a:r>
                  <a:t>Thickness (inches)</a:t>
                </a:r>
              </a:p>
            </rich>
          </tx>
        </title>
        <numFmt formatCode="0"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13.xml><?xml version="1.0" encoding="utf-8"?>
<chartSpace xmlns="http://schemas.openxmlformats.org/drawingml/2006/chart">
  <chart>
    <title>
      <tx>
        <rich>
          <a:bodyPr xmlns:a="http://schemas.openxmlformats.org/drawingml/2006/main"/>
          <a:p xmlns:a="http://schemas.openxmlformats.org/drawingml/2006/main">
            <a:pPr>
              <a:defRPr sz="1100" b="0"/>
            </a:pPr>
            <a:r>
              <a:t>7. Pavement section with the shoulder (empty unless a shoulder area is entered)</a:t>
            </a:r>
          </a:p>
        </rich>
      </tx>
    </title>
    <plotArea>
      <layout>
        <manualLayout>
          <xMode val="edge"/>
          <yMode val="edge"/>
          <wMode val="factor"/>
          <hMode val="factor"/>
          <x val="0.11"/>
          <y val="0.13"/>
          <w val="0.6899999999999999"/>
          <h val="0.68"/>
        </manualLayout>
      </layout>
      <barChart>
        <barDir val="col"/>
        <grouping val="stacked"/>
        <ser>
          <idx val="0"/>
          <order val="0"/>
          <tx>
            <strRef>
              <f>'Summary'!W83</f>
            </strRef>
          </tx>
          <spPr>
            <a:solidFill xmlns:a="http://schemas.openxmlformats.org/drawingml/2006/main">
              <a:srgbClr val="DCCBA0"/>
            </a:solidFill>
            <a:ln xmlns:a="http://schemas.openxmlformats.org/drawingml/2006/main">
              <a:solidFill>
                <a:srgbClr val="DCCBA0"/>
              </a:solidFill>
              <a:prstDash val="solid"/>
            </a:ln>
          </spPr>
          <cat>
            <numRef>
              <f>'Summary'!$X$82:$AA$82</f>
            </numRef>
          </cat>
          <val>
            <numRef>
              <f>'Summary'!$X$83:$AA$83</f>
            </numRef>
          </val>
        </ser>
        <ser>
          <idx val="1"/>
          <order val="1"/>
          <tx>
            <strRef>
              <f>'Summary'!W84</f>
            </strRef>
          </tx>
          <spPr>
            <a:solidFill xmlns:a="http://schemas.openxmlformats.org/drawingml/2006/main">
              <a:srgbClr val="C8A96E"/>
            </a:solidFill>
            <a:ln xmlns:a="http://schemas.openxmlformats.org/drawingml/2006/main">
              <a:solidFill>
                <a:srgbClr val="C8A96E"/>
              </a:solidFill>
              <a:prstDash val="solid"/>
            </a:ln>
          </spPr>
          <cat>
            <numRef>
              <f>'Summary'!$X$82:$AA$82</f>
            </numRef>
          </cat>
          <val>
            <numRef>
              <f>'Summary'!$X$84:$AA$84</f>
            </numRef>
          </val>
        </ser>
        <ser>
          <idx val="2"/>
          <order val="2"/>
          <tx>
            <strRef>
              <f>'Summary'!W85</f>
            </strRef>
          </tx>
          <spPr>
            <a:solidFill xmlns:a="http://schemas.openxmlformats.org/drawingml/2006/main">
              <a:srgbClr val="3A3A3A"/>
            </a:solidFill>
            <a:ln xmlns:a="http://schemas.openxmlformats.org/drawingml/2006/main">
              <a:solidFill>
                <a:srgbClr val="3A3A3A"/>
              </a:solidFill>
              <a:prstDash val="solid"/>
            </a:ln>
          </spPr>
          <cat>
            <numRef>
              <f>'Summary'!$X$82:$AA$82</f>
            </numRef>
          </cat>
          <val>
            <numRef>
              <f>'Summary'!$X$85:$AA$85</f>
            </numRef>
          </val>
        </ser>
        <ser>
          <idx val="3"/>
          <order val="3"/>
          <tx>
            <strRef>
              <f>'Summary'!W86</f>
            </strRef>
          </tx>
          <spPr>
            <a:solidFill xmlns:a="http://schemas.openxmlformats.org/drawingml/2006/main">
              <a:srgbClr val="C6CBD0"/>
            </a:solidFill>
            <a:ln xmlns:a="http://schemas.openxmlformats.org/drawingml/2006/main">
              <a:solidFill>
                <a:srgbClr val="C6CBD0"/>
              </a:solidFill>
              <a:prstDash val="solid"/>
            </a:ln>
          </spPr>
          <cat>
            <numRef>
              <f>'Summary'!$X$82:$AA$82</f>
            </numRef>
          </cat>
          <val>
            <numRef>
              <f>'Summary'!$X$86:$AA$86</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sz="900" b="0"/>
                </a:pPr>
                <a:r>
                  <a:t>Alternative</a:t>
                </a:r>
              </a:p>
            </rich>
          </tx>
        </title>
        <majorTickMark val="none"/>
        <minorTickMark val="none"/>
        <tickLblPos val="low"/>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title>
          <tx>
            <rich>
              <a:bodyPr xmlns:a="http://schemas.openxmlformats.org/drawingml/2006/main"/>
              <a:p xmlns:a="http://schemas.openxmlformats.org/drawingml/2006/main">
                <a:pPr>
                  <a:defRPr sz="900" b="0"/>
                </a:pPr>
                <a:r>
                  <a:t>Thickness (inches)</a:t>
                </a:r>
              </a:p>
            </rich>
          </tx>
        </title>
        <numFmt formatCode="0"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14.xml><?xml version="1.0" encoding="utf-8"?>
<chartSpace xmlns="http://schemas.openxmlformats.org/drawingml/2006/chart">
  <chart>
    <title>
      <tx>
        <rich>
          <a:bodyPr xmlns:a="http://schemas.openxmlformats.org/drawingml/2006/main"/>
          <a:p xmlns:a="http://schemas.openxmlformats.org/drawingml/2006/main">
            <a:pPr>
              <a:defRPr sz="1100" b="0"/>
            </a:pPr>
            <a:r>
              <a:t>8. Unit cost against published Tennessee runway work</a:t>
            </a:r>
          </a:p>
        </rich>
      </tx>
    </title>
    <plotArea>
      <layout>
        <manualLayout>
          <xMode val="edge"/>
          <yMode val="edge"/>
          <wMode val="factor"/>
          <hMode val="factor"/>
          <x val="0.17"/>
          <y val="0.16"/>
          <w val="0.78"/>
          <h val="0.66"/>
        </manualLayout>
      </layout>
      <barChart>
        <barDir val="bar"/>
        <grouping val="stacked"/>
        <ser>
          <idx val="0"/>
          <order val="0"/>
          <tx>
            <strRef>
              <f>'Summary'!W91</f>
            </strRef>
          </tx>
          <spPr>
            <a:noFill xmlns:a="http://schemas.openxmlformats.org/drawingml/2006/main"/>
            <a:ln xmlns:a="http://schemas.openxmlformats.org/drawingml/2006/main">
              <a:noFill/>
              <a:prstDash val="solid"/>
            </a:ln>
          </spPr>
          <cat>
            <numRef>
              <f>'Summary'!$X$90:$AB$90</f>
            </numRef>
          </cat>
          <val>
            <numRef>
              <f>'Summary'!$X$91:$AB$91</f>
            </numRef>
          </val>
        </ser>
        <ser>
          <idx val="1"/>
          <order val="1"/>
          <tx>
            <strRef>
              <f>'Summary'!W92</f>
            </strRef>
          </tx>
          <spPr>
            <a:solidFill xmlns:a="http://schemas.openxmlformats.org/drawingml/2006/main">
              <a:srgbClr val="BBD4EE"/>
            </a:solidFill>
            <a:ln xmlns:a="http://schemas.openxmlformats.org/drawingml/2006/main">
              <a:solidFill>
                <a:srgbClr val="BBD4EE"/>
              </a:solidFill>
              <a:prstDash val="solid"/>
            </a:ln>
          </spPr>
          <dPt>
            <idx val="4"/>
            <spPr>
              <a:solidFill xmlns:a="http://schemas.openxmlformats.org/drawingml/2006/main">
                <a:srgbClr val="CBD5DF"/>
              </a:solidFill>
              <a:ln xmlns:a="http://schemas.openxmlformats.org/drawingml/2006/main">
                <a:prstDash val="solid"/>
              </a:ln>
            </spPr>
          </dPt>
          <dLbls>
            <dLblPos val="inEnd"/>
            <showLegendKey val="0"/>
            <showVal val="1"/>
            <showCatName val="0"/>
            <showSerName val="0"/>
            <showPercent val="0"/>
            <showBubbleSize val="0"/>
          </dLbls>
          <cat>
            <numRef>
              <f>'Summary'!$X$90:$AB$90</f>
            </numRef>
          </cat>
          <val>
            <numRef>
              <f>'Summary'!$X$92:$AB$92</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sz="900" b="0"/>
                </a:pPr>
                <a:r>
                  <a:t>Alternative</a:t>
                </a:r>
              </a:p>
            </rich>
          </tx>
        </title>
        <majorTickMark val="none"/>
        <minorTickMark val="none"/>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title>
          <tx>
            <rich>
              <a:bodyPr xmlns:a="http://schemas.openxmlformats.org/drawingml/2006/main"/>
              <a:p xmlns:a="http://schemas.openxmlformats.org/drawingml/2006/main">
                <a:pPr>
                  <a:defRPr sz="900" b="0"/>
                </a:pPr>
                <a:r>
                  <a:t>Initial construction / mainline S.Y.</a:t>
                </a:r>
              </a:p>
            </rich>
          </tx>
        </title>
        <numFmt formatCode="$#,##0" sourceLinked="0"/>
        <majorTickMark val="none"/>
        <minorTickMark val="none"/>
        <txPr>
          <a:bodyPr xmlns:a="http://schemas.openxmlformats.org/drawingml/2006/main"/>
          <a:p xmlns:a="http://schemas.openxmlformats.org/drawingml/2006/main">
            <a:pPr>
              <a:defRPr sz="800"/>
            </a:pPr>
            <a:r>
              <a:t/>
            </a:r>
            <a:endParaRPr sz="800"/>
          </a:p>
        </txPr>
        <crossAx val="10"/>
      </valAx>
    </plotArea>
    <plotVisOnly val="1"/>
    <dispBlanksAs val="gap"/>
  </chart>
</chartSpace>
</file>

<file path=xl/charts/chart15.xml><?xml version="1.0" encoding="utf-8"?>
<chartSpace xmlns="http://schemas.openxmlformats.org/drawingml/2006/chart">
  <chart>
    <plotArea>
      <scatterChart>
        <ser>
          <idx val="0"/>
          <order val="0"/>
          <tx>
            <v>Tennessee</v>
          </tx>
          <spPr>
            <a:ln xmlns:a="http://schemas.openxmlformats.org/drawingml/2006/main" w="9525">
              <a:solidFill>
                <a:srgbClr val="9AA0A6"/>
              </a:solidFill>
              <a:prstDash val="solid"/>
            </a:ln>
          </spPr>
          <marker>
            <symbol val="none"/>
            <spPr>
              <a:ln xmlns:a="http://schemas.openxmlformats.org/drawingml/2006/main">
                <a:prstDash val="solid"/>
              </a:ln>
            </spPr>
          </marker>
          <xVal>
            <numRef>
              <f>'Summary'!$AH$132:$AH$322</f>
            </numRef>
          </xVal>
          <yVal>
            <numRef>
              <f>'Summary'!$AI$132:$AI$322</f>
            </numRef>
          </yVal>
        </ser>
        <ser>
          <idx val="1"/>
          <order val="1"/>
          <tx>
            <v>West</v>
          </tx>
          <spPr>
            <a:ln xmlns:a="http://schemas.openxmlformats.org/drawingml/2006/main">
              <a:noFill/>
              <a:prstDash val="solid"/>
            </a:ln>
          </spPr>
          <marker>
            <symbol val="circle"/>
            <size val="4"/>
            <spPr>
              <a:solidFill xmlns:a="http://schemas.openxmlformats.org/drawingml/2006/main">
                <a:srgbClr val="7FA8CF"/>
              </a:solidFill>
              <a:ln xmlns:a="http://schemas.openxmlformats.org/drawingml/2006/main">
                <a:solidFill>
                  <a:srgbClr val="7FA8CF"/>
                </a:solidFill>
                <a:prstDash val="solid"/>
              </a:ln>
            </spPr>
          </marker>
          <xVal>
            <numRef>
              <f>'Summary'!$Y$132:$Y$152</f>
            </numRef>
          </xVal>
          <yVal>
            <numRef>
              <f>'Summary'!$Z$132:$Z$152</f>
            </numRef>
          </yVal>
        </ser>
        <ser>
          <idx val="2"/>
          <order val="2"/>
          <tx>
            <v>Middle</v>
          </tx>
          <spPr>
            <a:ln xmlns:a="http://schemas.openxmlformats.org/drawingml/2006/main">
              <a:noFill/>
              <a:prstDash val="solid"/>
            </a:ln>
          </spPr>
          <marker>
            <symbol val="circle"/>
            <size val="4"/>
            <spPr>
              <a:solidFill xmlns:a="http://schemas.openxmlformats.org/drawingml/2006/main">
                <a:srgbClr val="2A78D6"/>
              </a:solidFill>
              <a:ln xmlns:a="http://schemas.openxmlformats.org/drawingml/2006/main">
                <a:solidFill>
                  <a:srgbClr val="2A78D6"/>
                </a:solidFill>
                <a:prstDash val="solid"/>
              </a:ln>
            </spPr>
          </marker>
          <xVal>
            <numRef>
              <f>'Summary'!$Y$153:$Y$185</f>
            </numRef>
          </xVal>
          <yVal>
            <numRef>
              <f>'Summary'!$Z$153:$Z$185</f>
            </numRef>
          </yVal>
        </ser>
        <ser>
          <idx val="3"/>
          <order val="3"/>
          <tx>
            <v>East</v>
          </tx>
          <spPr>
            <a:ln xmlns:a="http://schemas.openxmlformats.org/drawingml/2006/main">
              <a:noFill/>
              <a:prstDash val="solid"/>
            </a:ln>
          </spPr>
          <marker>
            <symbol val="circle"/>
            <size val="4"/>
            <spPr>
              <a:solidFill xmlns:a="http://schemas.openxmlformats.org/drawingml/2006/main">
                <a:srgbClr val="1D3F6E"/>
              </a:solidFill>
              <a:ln xmlns:a="http://schemas.openxmlformats.org/drawingml/2006/main">
                <a:solidFill>
                  <a:srgbClr val="1D3F6E"/>
                </a:solidFill>
                <a:prstDash val="solid"/>
              </a:ln>
            </spPr>
          </marker>
          <xVal>
            <numRef>
              <f>'Summary'!$Y$186:$Y$210</f>
            </numRef>
          </xVal>
          <yVal>
            <numRef>
              <f>'Summary'!$Z$186:$Z$210</f>
            </numRef>
          </yVal>
        </ser>
        <ser>
          <idx val="4"/>
          <order val="4"/>
          <tx>
            <strRef>
              <f>Summary!$AF$132</f>
            </strRef>
          </tx>
          <spPr>
            <a:ln xmlns:a="http://schemas.openxmlformats.org/drawingml/2006/main">
              <a:noFill/>
              <a:prstDash val="solid"/>
            </a:ln>
          </spPr>
          <marker>
            <symbol val="circle"/>
            <size val="9"/>
            <spPr>
              <a:solidFill xmlns:a="http://schemas.openxmlformats.org/drawingml/2006/main">
                <a:srgbClr val="C1440E"/>
              </a:solidFill>
              <a:ln xmlns:a="http://schemas.openxmlformats.org/drawingml/2006/main">
                <a:solidFill>
                  <a:srgbClr val="7F2D09"/>
                </a:solidFill>
                <a:prstDash val="solid"/>
              </a:ln>
            </spPr>
          </marker>
          <dLbls>
            <dLblPos val="r"/>
            <showLegendKey val="0"/>
            <showVal val="0"/>
            <showCatName val="0"/>
            <showSerName val="1"/>
          </dLbls>
          <xVal>
            <numRef>
              <f>'Summary'!$AD$132</f>
            </numRef>
          </xVal>
          <yVal>
            <numRef>
              <f>'Summary'!$AE$132</f>
            </numRef>
          </yVal>
        </ser>
        <axId val="10"/>
        <axId val="20"/>
      </scatterChart>
      <valAx>
        <axId val="10"/>
        <scaling>
          <orientation val="minMax"/>
          <max val="-81.40000000000001"/>
          <min val="-90.59999999999999"/>
        </scaling>
        <delete val="0"/>
        <axPos val="l"/>
        <title>
          <tx>
            <rich>
              <a:bodyPr xmlns:a="http://schemas.openxmlformats.org/drawingml/2006/main"/>
              <a:p xmlns:a="http://schemas.openxmlformats.org/drawingml/2006/main">
                <a:pPr>
                  <a:defRPr/>
                </a:pPr>
                <a:r>
                  <a:t>Longitude</a:t>
                </a:r>
              </a:p>
            </rich>
          </tx>
        </title>
        <numFmt formatCode=";;;" sourceLinked="0"/>
        <majorTickMark val="none"/>
        <minorTickMark val="none"/>
        <crossAx val="20"/>
      </valAx>
      <valAx>
        <axId val="20"/>
        <scaling>
          <orientation val="minMax"/>
          <max val="36.9"/>
          <min val="34.8"/>
        </scaling>
        <delete val="0"/>
        <axPos val="l"/>
        <title>
          <tx>
            <rich>
              <a:bodyPr xmlns:a="http://schemas.openxmlformats.org/drawingml/2006/main"/>
              <a:p xmlns:a="http://schemas.openxmlformats.org/drawingml/2006/main">
                <a:pPr>
                  <a:defRPr/>
                </a:pPr>
                <a:r>
                  <a:t>Latitude</a:t>
                </a:r>
              </a:p>
            </rich>
          </tx>
        </title>
        <numFmt formatCode=";;;" sourceLinked="0"/>
        <majorTickMark val="none"/>
        <minorTickMark val="none"/>
        <crossAx val="10"/>
      </valAx>
    </plotArea>
    <plotVisOnly val="1"/>
    <dispBlanksAs val="gap"/>
  </chart>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 Id="rId2"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 Id="rId2"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 Id="rId2"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 Id="rId7" Type="http://schemas.openxmlformats.org/officeDocument/2006/relationships/chart" Target="../charts/chart12.xml"/><Relationship Id="rId8" Type="http://schemas.openxmlformats.org/officeDocument/2006/relationships/chart" Target="../charts/chart13.xml"/><Relationship Id="rId9" Type="http://schemas.openxmlformats.org/officeDocument/2006/relationships/chart" Target="../charts/chart14.xml"/><Relationship Id="rId10" Type="http://schemas.openxmlformats.org/officeDocument/2006/relationships/chart" Target="../charts/chart15.xml"/><Relationship Id="rId1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6</xdr:col>
      <xdr:colOff>439838</xdr:colOff>
      <xdr:row>0</xdr:row>
      <xdr:rowOff>25400</xdr:rowOff>
    </xdr:from>
    <xdr:ext cx="1046062" cy="457200"/>
    <xdr:pic>
      <xdr:nvPicPr>
        <xdr:cNvPr id="905"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1</xdr:col>
      <xdr:colOff>6350</xdr:colOff>
      <xdr:row>9</xdr:row>
      <xdr:rowOff>12699</xdr:rowOff>
    </xdr:from>
    <xdr:to>
      <xdr:col>13</xdr:col>
      <xdr:colOff>6350</xdr:colOff>
      <xdr:row>49</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associated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oneCellAnchor>
    <xdr:from>
      <xdr:col>8</xdr:col>
      <xdr:colOff>211238</xdr:colOff>
      <xdr:row>0</xdr:row>
      <xdr:rowOff>25400</xdr:rowOff>
    </xdr:from>
    <xdr:ext cx="1046062" cy="457200"/>
    <xdr:pic>
      <xdr:nvPicPr>
        <xdr:cNvPr id="900"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1</xdr:col>
      <xdr:colOff>0</xdr:colOff>
      <xdr:row>9</xdr:row>
      <xdr:rowOff>0</xdr:rowOff>
    </xdr:from>
    <xdr:to>
      <xdr:col>13</xdr:col>
      <xdr:colOff>361950</xdr:colOff>
      <xdr:row>76</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10963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shows a results table for each alternative (initial construction, maintenance, rehabilitation, lost revenue and salvage present worth, net present worth, closure days), a line naming the lowest-cost alternative and whether it still wins at the FAA AIP rate of 7%, and five charts. It updates by itself whenever an input changes. Use the "View Summary" button under Alternative Setup to open it and the buttons at the top of the Summary to return.</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oneCellAnchor>
    <xdr:from>
      <xdr:col>8</xdr:col>
      <xdr:colOff>211238</xdr:colOff>
      <xdr:row>0</xdr:row>
      <xdr:rowOff>25400</xdr:rowOff>
    </xdr:from>
    <xdr:ext cx="1046062" cy="457200"/>
    <xdr:pic>
      <xdr:nvPicPr>
        <xdr:cNvPr id="90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38100</xdr:colOff>
      <xdr:row>0</xdr:row>
      <xdr:rowOff>38100</xdr:rowOff>
    </xdr:from>
    <xdr:ext cx="1085850" cy="304800"/>
    <xdr:sp macro="NewStudy" textlink="">
      <xdr:nvSpPr>
        <xdr:cNvPr id="2050" name="btnNewStudy"/>
        <xdr:cNvSpPr/>
      </xdr:nvSpPr>
      <xdr:spPr>
        <a:xfrm>
          <a:off x="0" y="0"/>
          <a:ext cx="1085850" cy="304800"/>
        </a:xfrm>
        <a:prstGeom prst="roundRect">
          <a:avLst>
            <a:gd name="adj" fmla="val 14000"/>
          </a:avLst>
        </a:prstGeom>
        <a:solidFill>
          <a:srgbClr val="0F7B4F"/>
        </a:solidFill>
        <a:ln w="9525">
          <a:solidFill>
            <a:srgbClr val="0B5C3B"/>
          </a:solidFill>
        </a:ln>
      </xdr:spPr>
      <xdr:txBody>
        <a:bodyPr vertOverflow="clip" horzOverflow="clip" rtlCol="0" anchor="ctr"/>
        <a:lstStyle/>
        <a:p>
          <a:pPr algn="ctr"/>
          <a:r>
            <a:rPr lang="en-US" sz="900" b="1">
              <a:solidFill>
                <a:srgbClr val="FFFFFF"/>
              </a:solidFill>
              <a:latin typeface="Calibri"/>
            </a:rPr>
            <a:t>+ New Study</a:t>
          </a:r>
        </a:p>
      </xdr:txBody>
    </xdr:sp>
    <xdr:clientData fPrintsWithSheet="0"/>
  </xdr:oneCellAnchor>
  <xdr:oneCellAnchor>
    <xdr:from>
      <xdr:col>8</xdr:col>
      <xdr:colOff>782738</xdr:colOff>
      <xdr:row>0</xdr:row>
      <xdr:rowOff>25400</xdr:rowOff>
    </xdr:from>
    <xdr:ext cx="1046062" cy="457200"/>
    <xdr:pic>
      <xdr:nvPicPr>
        <xdr:cNvPr id="90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3</xdr:col>
      <xdr:colOff>544613</xdr:colOff>
      <xdr:row>0</xdr:row>
      <xdr:rowOff>25400</xdr:rowOff>
    </xdr:from>
    <xdr:ext cx="1046062" cy="457200"/>
    <xdr:pic>
      <xdr:nvPicPr>
        <xdr:cNvPr id="904"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658913</xdr:colOff>
      <xdr:row>0</xdr:row>
      <xdr:rowOff>25400</xdr:rowOff>
    </xdr:from>
    <xdr:ext cx="1046062" cy="457200"/>
    <xdr:pic>
      <xdr:nvPicPr>
        <xdr:cNvPr id="906"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611288</xdr:colOff>
      <xdr:row>0</xdr:row>
      <xdr:rowOff>25400</xdr:rowOff>
    </xdr:from>
    <xdr:ext cx="1046062" cy="457200"/>
    <xdr:pic>
      <xdr:nvPicPr>
        <xdr:cNvPr id="907"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8"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9"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0.xml><?xml version="1.0" encoding="utf-8"?>
<xdr:wsDr xmlns:xdr="http://schemas.openxmlformats.org/drawingml/2006/spreadsheetDrawing" xmlns:a="http://schemas.openxmlformats.org/drawingml/2006/main">
  <xdr:twoCellAnchor>
    <xdr:from>
      <xdr:col>6</xdr:col>
      <xdr:colOff>0</xdr:colOff>
      <xdr:row>122</xdr:row>
      <xdr:rowOff>0</xdr:rowOff>
    </xdr:from>
    <xdr:to>
      <xdr:col>13</xdr:col>
      <xdr:colOff>0</xdr:colOff>
      <xdr:row>139</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29</xdr:row>
      <xdr:rowOff>0</xdr:rowOff>
    </xdr:from>
    <xdr:ext cx="5934075" cy="3000000"/>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12</xdr:col>
      <xdr:colOff>266700</xdr:colOff>
      <xdr:row>29</xdr:row>
      <xdr:rowOff>0</xdr:rowOff>
    </xdr:from>
    <xdr:ext cx="5934075" cy="3000000"/>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6</xdr:col>
      <xdr:colOff>0</xdr:colOff>
      <xdr:row>47</xdr:row>
      <xdr:rowOff>0</xdr:rowOff>
    </xdr:from>
    <xdr:ext cx="2924175" cy="1800000"/>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8</xdr:col>
      <xdr:colOff>619125</xdr:colOff>
      <xdr:row>47</xdr:row>
      <xdr:rowOff>0</xdr:rowOff>
    </xdr:from>
    <xdr:ext cx="2924175" cy="1800000"/>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12</xdr:col>
      <xdr:colOff>238125</xdr:colOff>
      <xdr:row>47</xdr:row>
      <xdr:rowOff>0</xdr:rowOff>
    </xdr:from>
    <xdr:ext cx="2924175" cy="1800000"/>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oneCellAnchor>
  <xdr:oneCellAnchor>
    <xdr:from>
      <xdr:col>6</xdr:col>
      <xdr:colOff>0</xdr:colOff>
      <xdr:row>58</xdr:row>
      <xdr:rowOff>0</xdr:rowOff>
    </xdr:from>
    <xdr:ext cx="2924175" cy="1800000"/>
    <xdr:graphicFrame>
      <xdr:nvGraphicFramePr>
        <xdr:cNvPr id="106" name="Summary Chart 6"/>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xdr:graphicFrame>
    <xdr:clientData/>
  </xdr:oneCellAnchor>
  <xdr:oneCellAnchor>
    <xdr:from>
      <xdr:col>8</xdr:col>
      <xdr:colOff>619125</xdr:colOff>
      <xdr:row>58</xdr:row>
      <xdr:rowOff>0</xdr:rowOff>
    </xdr:from>
    <xdr:ext cx="2924175" cy="1800000"/>
    <xdr:graphicFrame>
      <xdr:nvGraphicFramePr>
        <xdr:cNvPr id="107" name="Summary Chart 7"/>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xdr:graphicFrame>
    <xdr:clientData/>
  </xdr:oneCellAnchor>
  <xdr:oneCellAnchor>
    <xdr:from>
      <xdr:col>15</xdr:col>
      <xdr:colOff>657225</xdr:colOff>
      <xdr:row>47</xdr:row>
      <xdr:rowOff>0</xdr:rowOff>
    </xdr:from>
    <xdr:ext cx="2924175" cy="1800000"/>
    <xdr:graphicFrame>
      <xdr:nvGraphicFramePr>
        <xdr:cNvPr id="108" name="Summary Chart 8"/>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xdr:graphicFrame>
    <xdr:clientData/>
  </xdr:oneCellAnchor>
  <xdr:oneCellAnchor>
    <xdr:from>
      <xdr:col>18</xdr:col>
      <xdr:colOff>0</xdr:colOff>
      <xdr:row>2</xdr:row>
      <xdr:rowOff>0</xdr:rowOff>
    </xdr:from>
    <xdr:ext cx="3700000" cy="1872000"/>
    <xdr:graphicFrame>
      <xdr:nvGraphicFramePr>
        <xdr:cNvPr id="109" name="Summary Chart 9"/>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xdr:graphicFrame>
    <xdr:clientData/>
  </xdr:oneCellAnchor>
  <xdr:oneCellAnchor>
    <xdr:from>
      <xdr:col>20</xdr:col>
      <xdr:colOff>916088</xdr:colOff>
      <xdr:row>0</xdr:row>
      <xdr:rowOff>25400</xdr:rowOff>
    </xdr:from>
    <xdr:ext cx="1046062" cy="457200"/>
    <xdr:pic>
      <xdr:nvPicPr>
        <xdr:cNvPr id="910" name="TDOT logo"/>
        <xdr:cNvPicPr>
          <a:picLocks xmlns:a="http://schemas.openxmlformats.org/drawingml/2006/main" noChangeAspect="1"/>
        </xdr:cNvPicPr>
      </xdr:nvPicPr>
      <xdr:blipFill>
        <a:blip xmlns:a="http://schemas.openxmlformats.org/drawingml/2006/main" xmlns:r="http://schemas.openxmlformats.org/officeDocument/2006/relationships" r:embed="rId1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1.xml><?xml version="1.0" encoding="utf-8"?>
<xdr:wsDr xmlns:xdr="http://schemas.openxmlformats.org/drawingml/2006/spreadsheetDrawing" xmlns:a="http://schemas.openxmlformats.org/drawingml/2006/main">
  <xdr:oneCellAnchor>
    <xdr:from>
      <xdr:col>10</xdr:col>
      <xdr:colOff>211238</xdr:colOff>
      <xdr:row>0</xdr:row>
      <xdr:rowOff>25400</xdr:rowOff>
    </xdr:from>
    <xdr:ext cx="1046062" cy="457200"/>
    <xdr:pic>
      <xdr:nvPicPr>
        <xdr:cNvPr id="903"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2.xml><?xml version="1.0" encoding="utf-8"?>
<xdr:wsDr xmlns:xdr="http://schemas.openxmlformats.org/drawingml/2006/spreadsheetDrawing" xmlns:a="http://schemas.openxmlformats.org/drawingml/2006/main">
  <xdr:oneCellAnchor>
    <xdr:from>
      <xdr:col>6</xdr:col>
      <xdr:colOff>2468663</xdr:colOff>
      <xdr:row>0</xdr:row>
      <xdr:rowOff>25400</xdr:rowOff>
    </xdr:from>
    <xdr:ext cx="1046062" cy="457200"/>
    <xdr:pic>
      <xdr:nvPicPr>
        <xdr:cNvPr id="91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3.xml><?xml version="1.0" encoding="utf-8"?>
<xdr:wsDr xmlns:xdr="http://schemas.openxmlformats.org/drawingml/2006/spreadsheetDrawing" xmlns:a="http://schemas.openxmlformats.org/drawingml/2006/main">
  <xdr:oneCellAnchor>
    <xdr:from>
      <xdr:col>4</xdr:col>
      <xdr:colOff>1001813</xdr:colOff>
      <xdr:row>0</xdr:row>
      <xdr:rowOff>25400</xdr:rowOff>
    </xdr:from>
    <xdr:ext cx="1046062" cy="457200"/>
    <xdr:pic>
      <xdr:nvPicPr>
        <xdr:cNvPr id="91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 Id="rId2"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rgb="FF8EA9DB"/>
    <pageSetUpPr fitToPage="1"/>
  </sheetPr>
  <dimension ref="A1:X68"/>
  <sheetViews>
    <sheetView zoomScale="80" zoomScaleNormal="80" workbookViewId="0">
      <selection activeCell="B42" sqref="B42"/>
    </sheetView>
  </sheetViews>
  <sheetFormatPr defaultRowHeight="15" x14ac:dyDescent="0.25"/>
  <cols>
    <col min="1" max="1" width="12.28515625" customWidth="1"/>
    <col min="2" max="2" width="19.7109375" customWidth="1"/>
    <col min="3" max="3" width="53.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ht="40" customHeight="1" spans="1:24" x14ac:dyDescent="0.25">
      <c r="A1" s="119" t="str">
        <f>HYPERLINK("#'General Information'!D9","◄ General Information")</f>
        <v>◄ General Information</v>
      </c>
      <c r="B1" s="119"/>
      <c r="C1" s="120" t="str">
        <f>HYPERLINK("#Summary!G1","Summary")</f>
        <v>Summary</v>
      </c>
      <c r="D1" s="190" t="inlineStr">
        <is>
          <t xml:space="preserve">  STEP 4 of 5</t>
        </is>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ht="26" customHeight="1">
      <c r="A3" s="191" t="inlineStr">
        <is>
          <t xml:space="preserve">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c r="E3" s="97"/>
      <c r="F3" s="98"/>
    </row>
    <row r="4" spans="1:24" x14ac:dyDescent="0.25">
      <c r="A4" t="s">
        <v>263</v>
      </c>
      <c r="C4" s="45" t="s">
        <v>487</v>
      </c>
      <c r="E4" s="97" t="s">
        <v>600</v>
      </c>
      <c r="F4" s="112">
        <f>ROUNDUP(C5*550/(50*100/9)/10000,0)+ROUNDUP(C5*'Maintenance Policies'!D38/10000,0)+ROUNDUP(C5*'Maintenance Policies'!D39/5000,0)+ROUNDUP(C5*'Maintenance Policies'!D40/5000,0)</f>
        <v>0</v>
      </c>
    </row>
    <row r="5" spans="1:24" x14ac:dyDescent="0.25">
      <c r="A5" t="s">
        <v>346</v>
      </c>
      <c r="C5">
        <f>'General Information'!D26</f>
        <v>0</v>
      </c>
      <c r="D5" t="s">
        <v>6</v>
      </c>
      <c r="E5" s="99" t="s">
        <v>604</v>
      </c>
      <c r="F5" s="113">
        <f>ROUNDUP(C5*550/(50*100/9)/10000,0)+ROUNDUP(C5*'Maintenance Policies'!D44/10000,0)+ROUNDUP(C5*'Maintenance Policies'!D43/5000,0)+ROUNDUP(C5*'Maintenance Policies'!D42/5000,0)+ROUNDUP(C5*'Maintenance Policies'!D41/1000,0)+7</f>
        <v>0</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24" x14ac:dyDescent="0.25">
      <c r="A12" t="s">
        <v>344</v>
      </c>
      <c r="B12" t="s">
        <v>264</v>
      </c>
      <c r="C12" t="s">
        <v>265</v>
      </c>
      <c r="D12" t="s">
        <v>319</v>
      </c>
      <c r="E12" t="s">
        <v>322</v>
      </c>
      <c r="F12" t="s">
        <v>320</v>
      </c>
      <c r="G12"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s="196">
        <f>IF(C13="","",IF(INDEX(UnitCostGrid,MATCH(C13,PayItemKeys,0),$I$11)="",0,1))</f>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I16" s="196">
        <f>IF(C16="","",IF(INDEX(UnitCostGrid,MATCH(C16,PayItemKeys,0),$I$11)="",0,1))</f>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I17" s="196">
        <f>IF(C17="","",IF(INDEX(UnitCostGrid,MATCH(C17,PayItemKeys,0),$I$11)="",0,1))</f>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I18" s="196">
        <f>IF(C18="","",IF(INDEX(UnitCostGrid,MATCH(C18,PayItemKeys,0),$I$11)="",0,1))</f>
      </c>
      <c r="L18" s="109"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I19" s="196">
        <f>IF(C19="","",IF(INDEX(UnitCostGrid,MATCH(C19,PayItemKeys,0),$I$11)="",0,1))</f>
      </c>
      <c r="L19" s="109"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si="1"/>
        <v>0</v>
      </c>
      <c r="I20" s="196">
        <f>IF(C20="","",IF(INDEX(UnitCostGrid,MATCH(C20,PayItemKeys,0),$I$11)="",0,1))</f>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1"/>
        <v>0</v>
      </c>
      <c r="I21" s="196">
        <f>IF(C21="","",IF(INDEX(UnitCostGrid,MATCH(C21,PayItemKeys,0),$I$11)="",0,1))</f>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c r="I22" s="196">
        <f>IF(C22="","",IF(INDEX(UnitCostGrid,MATCH(C22,PayItemKeys,0),$I$11)="",0,1))</f>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110"/>
      <c r="M27" s="62"/>
      <c r="N27" s="62"/>
      <c r="O27" s="62"/>
      <c r="P27" s="62"/>
    </row>
    <row r="33" spans="1:14" x14ac:dyDescent="0.25">
      <c r="A33" s="4" t="s">
        <v>328</v>
      </c>
    </row>
    <row r="34" spans="1:14" x14ac:dyDescent="0.25">
      <c r="A34" s="4" t="s">
        <v>506</v>
      </c>
      <c r="I34" t="s">
        <v>248</v>
      </c>
    </row>
    <row r="35" spans="1:14" ht="15.75" thickBot="1" x14ac:dyDescent="0.3"/>
    <row r="36" spans="1:14" ht="27" thickTop="1" thickBot="1" x14ac:dyDescent="0.3">
      <c r="B36" s="53" t="s">
        <v>326</v>
      </c>
      <c r="C36" s="54" t="s">
        <v>259</v>
      </c>
      <c r="D36" s="54" t="s">
        <v>327</v>
      </c>
      <c r="E36" s="55"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48"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48" t="s">
        <v>77</v>
      </c>
      <c r="C40" s="57">
        <f>'Maintenance Policies'!E41</f>
        <v>27</v>
      </c>
      <c r="D40" s="58">
        <f>X21</f>
        <v>0</v>
      </c>
      <c r="E40" s="47">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48"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48" t="s">
        <v>85</v>
      </c>
      <c r="C42" s="57">
        <f>'General Information'!D33</f>
        <v>10</v>
      </c>
      <c r="D42" s="58">
        <f>-'Maintenance Policies'!D46*G27</f>
        <v>0</v>
      </c>
      <c r="E42" s="47">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ht="15.75" thickBot="1" x14ac:dyDescent="0.3">
      <c r="B43" s="49" t="s">
        <v>328</v>
      </c>
      <c r="C43" s="50"/>
      <c r="D43" s="50"/>
      <c r="E43" s="60"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0</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595959"/>
    <pageSetUpPr fitToPage="1"/>
  </sheetPr>
  <dimension ref="B2:E28"/>
  <sheetViews>
    <sheetView workbookViewId="0"/>
  </sheetViews>
  <sheetFormatPr defaultColWidth="8.7109375" defaultRowHeight="12.75" x14ac:dyDescent="0.2"/>
  <cols>
    <col min="1" max="16384" width="8.7109375" style="5"/>
  </cols>
  <sheetData>
    <row r="1" ht="40" customHeight="1">
      <c r="B1" s="119" t="str">
        <f>HYPERLINK("#'General Information'!D9","◄ General Information")</f>
        <v>◄ General Information</v>
      </c>
      <c r="C1" s="119"/>
      <c r="D1" s="119"/>
      <c r="E1" s="120" t="str">
        <f>HYPERLINK("#Summary!G1","Summary")</f>
        <v>Summary</v>
      </c>
      <c r="F1" s="120"/>
      <c r="G1" s="198" t="inlineStr">
        <is>
          <t xml:space="preserve">STEP 1 of 5</t>
        </is>
      </c>
    </row>
    <row r="2" spans="2:5" x14ac:dyDescent="0.2">
      <c r="B2" s="205" t="inlineStr">
        <is>
          <t xml:space="preserve">What the framework does and the rules behind it. Read this and Instructions, then go to General Information.</t>
        </is>
      </c>
    </row>
    <row r="3" spans="2:5" x14ac:dyDescent="0.2">
      <c r="B3" s="204" t="s">
        <v>360</v>
      </c>
    </row>
    <row r="4" spans="2:5" x14ac:dyDescent="0.2">
      <c r="B4" s="204" t="s">
        <v>361</v>
      </c>
    </row>
    <row r="5" spans="2:5" x14ac:dyDescent="0.2">
      <c r="B5" s="204" t="s">
        <v>362</v>
      </c>
    </row>
    <row r="6" spans="2:5" x14ac:dyDescent="0.2">
      <c r="B6" s="204" t="s">
        <v>363</v>
      </c>
    </row>
    <row r="7" spans="2:5" ht="15" x14ac:dyDescent="0.25">
      <c r="B7" s="204" t="s">
        <v>364</v>
      </c>
    </row>
    <row r="8">
      <c r="B8" s="204" t="s">
        <v>365</v>
      </c>
    </row>
    <row r="9" spans="2:5" x14ac:dyDescent="0.2">
      <c r="B9" s="6" t="s">
        <v>109</v>
      </c>
    </row>
    <row r="28" spans="2:2" x14ac:dyDescent="0.2">
      <c r="B28" s="6"/>
    </row>
  </sheetData>
  <mergeCells count="2">
    <mergeCell ref="B1:D1"/>
    <mergeCell ref="E1:F1"/>
  </mergeCells>
  <hyperlinks>
    <hyperlink ref="B8" r:id="rId1" xr:uid="{42931B7E-9F18-4423-8A96-98F5B7FB2656}"/>
  </hyperlinks>
  <pageMargins left="0.7" right="0.7" top="0.75" bottom="0.75" header="0.3" footer="0.3"/>
  <pageSetup orientation="portrait" fitToWidth="1" fitToHeight="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595959"/>
    <pageSetUpPr fitToPage="1"/>
  </sheetPr>
  <dimension ref="B2:E9"/>
  <sheetViews>
    <sheetView workbookViewId="0"/>
  </sheetViews>
  <sheetFormatPr defaultColWidth="8.7109375" defaultRowHeight="12.75" x14ac:dyDescent="0.2"/>
  <cols>
    <col min="1" max="16384" width="8.7109375" style="5"/>
  </cols>
  <sheetData>
    <row r="1" ht="40" customHeight="1">
      <c r="B1" s="119" t="str">
        <f>HYPERLINK("#'General Information'!D9","◄ General Information")</f>
        <v>◄ General Information</v>
      </c>
      <c r="C1" s="119"/>
      <c r="D1" s="119"/>
      <c r="E1" s="120" t="str">
        <f>HYPERLINK("#Summary!G1","Summary")</f>
        <v>Summary</v>
      </c>
      <c r="F1" s="120"/>
      <c r="G1" s="198" t="inlineStr">
        <is>
          <t xml:space="preserve">STEP 1 of 5</t>
        </is>
      </c>
    </row>
    <row r="2" spans="2:5" x14ac:dyDescent="0.2">
      <c r="B2" s="205" t="inlineStr">
        <is>
          <t xml:space="preserve">How to run an analysis, start to finish. When you are ready, go to General Information and fill in the grey cells.</t>
        </is>
      </c>
    </row>
    <row r="3" spans="2:5" x14ac:dyDescent="0.2">
      <c r="B3" s="204" t="s">
        <v>360</v>
      </c>
    </row>
    <row r="4" spans="2:5" x14ac:dyDescent="0.2">
      <c r="B4" s="204" t="s">
        <v>361</v>
      </c>
    </row>
    <row r="5" spans="2:5" x14ac:dyDescent="0.2">
      <c r="B5" s="204" t="s">
        <v>362</v>
      </c>
    </row>
    <row r="6" spans="2:5" x14ac:dyDescent="0.2">
      <c r="B6" s="204" t="s">
        <v>363</v>
      </c>
    </row>
    <row r="7" spans="2:5" x14ac:dyDescent="0.2">
      <c r="B7" s="204" t="s">
        <v>364</v>
      </c>
    </row>
    <row r="8">
      <c r="B8" s="204" t="s">
        <v>365</v>
      </c>
    </row>
    <row r="9" spans="2:5" x14ac:dyDescent="0.2">
      <c r="B9" s="6" t="s">
        <v>347</v>
      </c>
    </row>
  </sheetData>
  <mergeCells count="2">
    <mergeCell ref="B1:D1"/>
    <mergeCell ref="E1:F1"/>
  </mergeCells>
  <pageMargins left="0.7" right="0.7" top="0.75" bottom="0.75" header="0.3" footer="0.3"/>
  <pageSetup orientation="portrait" fitToWidth="1" fitToHeight="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rgb="FF1D2733"/>
    <pageSetUpPr fitToPage="1"/>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5" width="2.4" customWidth="1"/>
    <col min="6" max="6" width="13.0" customWidth="1"/>
    <col min="7" max="7" width="13.0" customWidth="1"/>
    <col min="8" max="8" width="13.0" customWidth="1"/>
    <col min="9" max="9" width="13.0" customWidth="1"/>
    <col min="10" max="10" width="13.0" customWidth="1"/>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1" ht="40" customHeight="1">
      <c r="C1" s="206" t="inlineStr">
        <is>
          <t xml:space="preserve">STEP 2 of 5: the project and the LCCA parameters. Fill in the grey cells below.</t>
        </is>
      </c>
    </row>
    <row r="2">
      <c r="B2" s="206" t="inlineStr">
        <is>
          <t xml:space="preserve">Saves a fresh copy for the next study. This file stays as is.</t>
        </is>
      </c>
      <c r="F2" s="186" t="inlineStr">
        <is>
          <t>HOW TO USE THIS WORKBOOK</t>
        </is>
      </c>
    </row>
    <row r="3" ht="22" customHeight="1">
      <c r="F3" s="187" t="inlineStr">
        <is>
          <t xml:space="preserve">1.   Overview and Instructions: what the framework does and the rules behind it.
2.   General Information (this sheet): fill in the grey cells, D9 to D39.
3.   Pay_Items: check the unit costs your alternatives will be priced from.
4.   Alternative Setup: add each alternative, then enter its quantities on the sheet it creates.
5.   Summary: read the comparison. It updates by itself.
Grey cells are yours; white cells calculate. Typical Values has the usual ranges, Method every formula.</t>
        </is>
      </c>
    </row>
    <row r="4" ht="22" customHeight="1"/>
    <row r="5" ht="22" customHeight="1"/>
    <row r="6" ht="22" customHeight="1"/>
    <row r="7" ht="22" customHeight="1" spans="2:19" x14ac:dyDescent="0.2">
      <c r="K7" s="5" t="s">
        <v>248</v>
      </c>
    </row>
    <row r="8" spans="2:19" x14ac:dyDescent="0.2">
      <c r="B8" s="189" t="s">
        <v>93</v>
      </c>
      <c r="C8" s="189"/>
      <c r="D8" s="189"/>
      <c r="E8" s="189"/>
      <c r="L8" s="7" t="s">
        <v>246</v>
      </c>
      <c r="M8" s="7" t="s">
        <v>245</v>
      </c>
      <c r="N8" s="7" t="s">
        <v>509</v>
      </c>
      <c r="O8" s="7" t="s">
        <v>510</v>
      </c>
      <c r="P8" s="7" t="s">
        <v>247</v>
      </c>
      <c r="Q8" s="7" t="s">
        <v>250</v>
      </c>
      <c r="S8" s="5" t="s">
        <v>455</v>
      </c>
    </row>
    <row r="9" spans="2:19" x14ac:dyDescent="0.2" ht="28" customHeight="1">
      <c r="C9" s="5" t="s">
        <v>87</v>
      </c>
      <c r="D9" s="73"/>
      <c r="F9" s="188" t="str">
        <f>IF(LEN(IF(D9="","Airport Name, ","")&amp;IF(D25="","Construction Year, ","")&amp;IF(D26="","Mainline Area, ","")&amp;IF(D28="","Markings Area, ","")&amp;IF(D33="","Analysis Period, ","")&amp;IF(D34="","Discount Rate, ",""))=0,"All required inputs are filled. Next: click Alternative Setup.","Still needed: "&amp;LEFT(IF(D9="","Airport Name, ","")&amp;IF(D25="","Construction Year, ","")&amp;IF(D26="","Mainline Area, ","")&amp;IF(D28="","Markings Area, ","")&amp;IF(D33="","Analysis Period, ","")&amp;IF(D34="","Discount Rate, ",""),LEN(IF(D9="","Airport Name, ","")&amp;IF(D25="","Construction Year, ","")&amp;IF(D26="","Mainline Area, ","")&amp;IF(D28="","Markings Area, ","")&amp;IF(D33="","Analysis Period, ","")&amp;IF(D34="","Discount Rate, ",""))-2))</f>
        <v>Still needed: Airport Name, Construction Year, Mainline Area, Markings Area</v>
      </c>
      <c r="L9" s="7"/>
      <c r="M9" s="7"/>
      <c r="N9" s="7" t="s">
        <v>453</v>
      </c>
      <c r="O9" s="7" t="s">
        <v>453</v>
      </c>
      <c r="P9" s="7"/>
      <c r="Q9" s="3"/>
    </row>
    <row r="10" spans="2:19" x14ac:dyDescent="0.2">
      <c r="C10" s="5" t="s">
        <v>249</v>
      </c>
      <c r="D10" s="92" t="str">
        <f>IF(D9="","N/A",VLOOKUP(Airport_Name,Table17[],2))</f>
        <v>N/A</v>
      </c>
      <c r="L10" s="5" t="s">
        <v>166</v>
      </c>
      <c r="M10" s="5" t="s">
        <v>165</v>
      </c>
      <c r="N10" s="5" t="s">
        <v>423</v>
      </c>
      <c r="O10" s="5" t="s">
        <v>511</v>
      </c>
      <c r="P10" s="5" t="s">
        <v>64</v>
      </c>
      <c r="S10" s="5" t="s">
        <v>456</v>
      </c>
    </row>
    <row r="11" spans="2:19" x14ac:dyDescent="0.2">
      <c r="C11" s="5" t="s">
        <v>586</v>
      </c>
      <c r="D11" s="92" t="str">
        <f>IF(D9="","N/A",VLOOKUP(Airport_Name,Table17[],3))</f>
        <v>N/A</v>
      </c>
      <c r="L11" s="5" t="s">
        <v>184</v>
      </c>
      <c r="M11" s="5" t="s">
        <v>183</v>
      </c>
      <c r="N11" s="5" t="s">
        <v>390</v>
      </c>
      <c r="O11" s="5" t="s">
        <v>512</v>
      </c>
      <c r="P11" s="5" t="s">
        <v>65</v>
      </c>
      <c r="S11" s="5" t="s">
        <v>457</v>
      </c>
    </row>
    <row r="12" spans="2:19" x14ac:dyDescent="0.2">
      <c r="C12" s="5" t="inlineStr">
        <is>
          <t>County:</t>
        </is>
      </c>
      <c r="D12" s="92" t="str">
        <f>IF(D9="","N/A",VLOOKUP(Airport_Name,Table17[],4))</f>
        <v>N/A</v>
      </c>
      <c r="L12" s="5" t="s">
        <v>212</v>
      </c>
      <c r="M12" s="5" t="s">
        <v>211</v>
      </c>
      <c r="N12" s="5" t="s">
        <v>405</v>
      </c>
      <c r="O12" s="5" t="s">
        <v>513</v>
      </c>
      <c r="P12" s="5" t="s">
        <v>65</v>
      </c>
      <c r="S12" s="5" t="s">
        <v>458</v>
      </c>
    </row>
    <row r="13" spans="2:19" x14ac:dyDescent="0.2">
      <c r="C13" s="5" t="s">
        <v>451</v>
      </c>
      <c r="D13" s="92" t="str">
        <f>IF(D9="","N/A",VLOOKUP(Airport_Name,Table17[],5))</f>
        <v>N/A</v>
      </c>
      <c r="L13" s="5" t="s">
        <v>117</v>
      </c>
      <c r="M13" s="5" t="s">
        <v>116</v>
      </c>
      <c r="N13" s="5" t="s">
        <v>370</v>
      </c>
      <c r="O13" s="5" t="s">
        <v>514</v>
      </c>
      <c r="P13" s="5" t="s">
        <v>65</v>
      </c>
    </row>
    <row r="14" spans="2:19" x14ac:dyDescent="0.2">
      <c r="C14" s="5" t="s">
        <v>90</v>
      </c>
      <c r="D14" s="207"/>
      <c r="L14" s="5" t="s">
        <v>228</v>
      </c>
      <c r="M14" s="5" t="s">
        <v>227</v>
      </c>
      <c r="N14" s="5" t="s">
        <v>430</v>
      </c>
      <c r="O14" s="5" t="s">
        <v>515</v>
      </c>
      <c r="P14" s="5" t="s">
        <v>64</v>
      </c>
    </row>
    <row r="15" spans="2:19" x14ac:dyDescent="0.2">
      <c r="C15" s="5" t="s">
        <v>91</v>
      </c>
      <c r="D15" s="207"/>
      <c r="L15" s="5" t="s">
        <v>168</v>
      </c>
      <c r="M15" s="5" t="s">
        <v>167</v>
      </c>
      <c r="N15" s="5" t="s">
        <v>393</v>
      </c>
      <c r="O15" s="5" t="s">
        <v>516</v>
      </c>
      <c r="P15" s="5" t="s">
        <v>65</v>
      </c>
      <c r="S15" s="5" t="s">
        <v>460</v>
      </c>
    </row>
    <row r="16" spans="2:19" x14ac:dyDescent="0.2">
      <c r="C16" s="5" t="s">
        <v>92</v>
      </c>
      <c r="D16" s="207"/>
      <c r="L16" s="5" t="s">
        <v>162</v>
      </c>
      <c r="M16" s="5" t="s">
        <v>161</v>
      </c>
      <c r="N16" s="5" t="s">
        <v>371</v>
      </c>
      <c r="O16" s="5" t="s">
        <v>517</v>
      </c>
      <c r="P16" s="5" t="s">
        <v>64</v>
      </c>
    </row>
    <row r="17" spans="2:19" x14ac:dyDescent="0.2">
      <c r="C17" s="5" t="s">
        <v>89</v>
      </c>
      <c r="D17" s="207"/>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c r="B20" s="189" t="s">
        <v>94</v>
      </c>
      <c r="C20" s="189"/>
      <c r="D20" s="189"/>
      <c r="E20" s="189"/>
      <c r="L20" s="5" t="s">
        <v>154</v>
      </c>
      <c r="M20" s="5" t="s">
        <v>153</v>
      </c>
      <c r="N20" s="5" t="s">
        <v>377</v>
      </c>
      <c r="O20" s="5" t="s">
        <v>523</v>
      </c>
      <c r="P20" s="5" t="s">
        <v>66</v>
      </c>
    </row>
    <row r="21" spans="2:19" x14ac:dyDescent="0.2">
      <c r="C21" s="5" t="s">
        <v>251</v>
      </c>
      <c r="D21" s="207"/>
      <c r="L21" s="5" t="s">
        <v>450</v>
      </c>
      <c r="M21" s="5" t="s">
        <v>169</v>
      </c>
      <c r="N21" s="5" t="s">
        <v>394</v>
      </c>
      <c r="O21" s="5" t="s">
        <v>524</v>
      </c>
      <c r="P21" s="5" t="s">
        <v>66</v>
      </c>
      <c r="S21" s="5" t="s">
        <v>485</v>
      </c>
    </row>
    <row r="22" spans="2:19" x14ac:dyDescent="0.2">
      <c r="C22" s="5" t="s">
        <v>260</v>
      </c>
      <c r="D22" s="207"/>
      <c r="L22" s="5" t="s">
        <v>177</v>
      </c>
      <c r="M22" s="5" t="s">
        <v>176</v>
      </c>
      <c r="N22" s="5" t="s">
        <v>380</v>
      </c>
      <c r="O22" s="5" t="s">
        <v>525</v>
      </c>
      <c r="P22" s="5" t="s">
        <v>65</v>
      </c>
    </row>
    <row r="23" spans="2:19" x14ac:dyDescent="0.2">
      <c r="C23" s="5" t="s">
        <v>261</v>
      </c>
      <c r="D23" s="207"/>
      <c r="L23" s="5" t="s">
        <v>149</v>
      </c>
      <c r="M23" s="5" t="s">
        <v>148</v>
      </c>
      <c r="N23" s="5" t="s">
        <v>381</v>
      </c>
      <c r="O23" s="5" t="s">
        <v>526</v>
      </c>
      <c r="P23" s="5" t="s">
        <v>66</v>
      </c>
      <c r="S23" s="5" t="s">
        <v>484</v>
      </c>
    </row>
    <row r="24" spans="2:19" x14ac:dyDescent="0.2">
      <c r="C24" s="5" t="s">
        <v>256</v>
      </c>
      <c r="D24" s="207"/>
      <c r="L24" s="5" t="s">
        <v>244</v>
      </c>
      <c r="M24" s="5" t="s">
        <v>243</v>
      </c>
      <c r="N24" s="5" t="s">
        <v>372</v>
      </c>
      <c r="O24" s="5" t="s">
        <v>523</v>
      </c>
      <c r="P24" s="5" t="s">
        <v>66</v>
      </c>
      <c r="S24" s="5" t="s">
        <v>483</v>
      </c>
    </row>
    <row r="25" spans="2:19" x14ac:dyDescent="0.2">
      <c r="C25" s="5" t="s">
        <v>255</v>
      </c>
      <c r="D25" s="73"/>
      <c r="F25" s="160" t="inlineStr">
        <is>
          <t xml:space="preserve">Construction year; the analysis period starts here.</t>
        </is>
      </c>
      <c r="L25" s="5" t="s">
        <v>175</v>
      </c>
      <c r="M25" s="5" t="s">
        <v>174</v>
      </c>
      <c r="N25" s="5" t="s">
        <v>383</v>
      </c>
      <c r="O25" s="5" t="s">
        <v>383</v>
      </c>
      <c r="P25" s="5" t="s">
        <v>64</v>
      </c>
      <c r="S25" s="5" t="s">
        <v>482</v>
      </c>
    </row>
    <row r="26" spans="2:19" x14ac:dyDescent="0.2">
      <c r="C26" s="5" t="s">
        <v>268</v>
      </c>
      <c r="D26" s="73"/>
      <c r="F26" s="160" t="inlineStr">
        <is>
          <t xml:space="preserve">Length x width / 9. TN GA: 4,000-6,000 ft x 75-100 ft wide.</t>
        </is>
      </c>
      <c r="L26" s="5" t="s">
        <v>152</v>
      </c>
      <c r="M26" s="5" t="s">
        <v>151</v>
      </c>
      <c r="N26" s="5" t="s">
        <v>384</v>
      </c>
      <c r="O26" s="5" t="s">
        <v>527</v>
      </c>
      <c r="P26" s="5" t="s">
        <v>65</v>
      </c>
    </row>
    <row r="27" spans="2:19" x14ac:dyDescent="0.2">
      <c r="C27" s="5" t="s">
        <v>269</v>
      </c>
      <c r="D27" s="73"/>
      <c r="F27" s="160" t="inlineStr">
        <is>
          <t xml:space="preserve">Paved shoulders only; usually 0 at TN GA airports.</t>
        </is>
      </c>
      <c r="L27" s="5" t="s">
        <v>113</v>
      </c>
      <c r="M27" s="5" t="s">
        <v>112</v>
      </c>
      <c r="N27" s="5" t="s">
        <v>385</v>
      </c>
      <c r="O27" s="5" t="s">
        <v>528</v>
      </c>
      <c r="P27" s="5" t="s">
        <v>66</v>
      </c>
    </row>
    <row r="28" spans="2:19" x14ac:dyDescent="0.2">
      <c r="C28" s="5" t="s">
        <v>270</v>
      </c>
      <c r="D28" s="73"/>
      <c r="F28" s="160" t="inlineStr">
        <is>
          <t xml:space="preserve">About 2,000-3,000 SF per 1,000 ft of runway.</t>
        </is>
      </c>
      <c r="L28" s="5" t="s">
        <v>171</v>
      </c>
      <c r="M28" s="5" t="s">
        <v>170</v>
      </c>
      <c r="N28" s="5" t="s">
        <v>404</v>
      </c>
      <c r="O28" s="5" t="s">
        <v>529</v>
      </c>
      <c r="P28" s="5" t="s">
        <v>64</v>
      </c>
    </row>
    <row r="29" spans="2:19" x14ac:dyDescent="0.2">
      <c r="C29" s="5"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c r="B32" s="189" t="s">
        <v>252</v>
      </c>
      <c r="C32" s="189"/>
      <c r="D32" s="189"/>
      <c r="E32" s="189"/>
      <c r="L32" s="5" t="s">
        <v>238</v>
      </c>
      <c r="M32" s="5" t="s">
        <v>237</v>
      </c>
      <c r="N32" s="5" t="s">
        <v>429</v>
      </c>
      <c r="O32" s="5" t="s">
        <v>533</v>
      </c>
      <c r="P32" s="5" t="s">
        <v>64</v>
      </c>
    </row>
    <row r="33" spans="2:16" x14ac:dyDescent="0.2">
      <c r="C33" s="5" t="s">
        <v>253</v>
      </c>
      <c r="D33" s="88">
        <v>30</v>
      </c>
      <c r="F33" s="160" t="inlineStr">
        <is>
          <t xml:space="preserve">TDOT policy 30 years; FAA leaves the period to the engineer.</t>
        </is>
      </c>
      <c r="L33" s="5" t="s">
        <v>164</v>
      </c>
      <c r="M33" s="5" t="s">
        <v>163</v>
      </c>
      <c r="N33" s="5" t="s">
        <v>428</v>
      </c>
      <c r="O33" s="5" t="s">
        <v>534</v>
      </c>
      <c r="P33" s="5" t="s">
        <v>66</v>
      </c>
    </row>
    <row r="34" spans="2:16" x14ac:dyDescent="0.2">
      <c r="C34" s="5" t="s">
        <v>271</v>
      </c>
      <c r="D34" s="88">
        <v>3</v>
      </c>
      <c r="F34" s="160" t="inlineStr">
        <is>
          <t xml:space="preserve">TDOT 3%. FAA uses the OMB A-94 real rate, 2.0% in 2026.</t>
        </is>
      </c>
      <c r="L34" s="5" t="s">
        <v>173</v>
      </c>
      <c r="M34" s="5" t="s">
        <v>172</v>
      </c>
      <c r="N34" s="5" t="s">
        <v>411</v>
      </c>
      <c r="O34" s="5" t="s">
        <v>518</v>
      </c>
      <c r="P34" s="5" t="s">
        <v>65</v>
      </c>
    </row>
    <row r="35" spans="2:16" x14ac:dyDescent="0.2">
      <c r="C35" s="5" t="s">
        <v>254</v>
      </c>
      <c r="F35" s="206" t="inlineStr">
        <is>
          <t xml:space="preserve">Remaining service life at the end of the analysis period; computed on Maintenance Policies.</t>
        </is>
      </c>
      <c r="L35" s="5" t="s">
        <v>232</v>
      </c>
      <c r="M35" s="5" t="s">
        <v>231</v>
      </c>
      <c r="N35" s="5" t="s">
        <v>438</v>
      </c>
      <c r="O35" s="5" t="s">
        <v>535</v>
      </c>
      <c r="P35" s="5" t="s">
        <v>65</v>
      </c>
    </row>
    <row r="36" spans="2:16" x14ac:dyDescent="0.2">
      <c r="C36" s="5" t="s">
        <v>257</v>
      </c>
      <c r="D36" s="88">
        <v>10</v>
      </c>
      <c r="F36" s="160" t="inlineStr">
        <is>
          <t xml:space="preserve">Percent of pay items; workbook default 10.</t>
        </is>
      </c>
      <c r="L36" s="5" t="s">
        <v>160</v>
      </c>
      <c r="M36" s="5" t="s">
        <v>159</v>
      </c>
      <c r="N36" s="5" t="s">
        <v>389</v>
      </c>
      <c r="O36" s="5" t="s">
        <v>536</v>
      </c>
      <c r="P36" s="5" t="s">
        <v>66</v>
      </c>
    </row>
    <row r="37" spans="2:16" x14ac:dyDescent="0.2">
      <c r="C37" s="5" t="s">
        <v>258</v>
      </c>
      <c r="D37" s="88">
        <v>5</v>
      </c>
      <c r="F37" s="160" t="inlineStr">
        <is>
          <t xml:space="preserve">Percent of pay items; now applied to initial construction too.</t>
        </is>
      </c>
      <c r="L37" s="5" t="s">
        <v>182</v>
      </c>
      <c r="M37" s="5" t="s">
        <v>181</v>
      </c>
      <c r="N37" s="5" t="s">
        <v>376</v>
      </c>
      <c r="O37" s="5" t="s">
        <v>537</v>
      </c>
      <c r="P37" s="5" t="s">
        <v>64</v>
      </c>
    </row>
    <row r="38" spans="2:16" x14ac:dyDescent="0.2">
      <c r="C38" s="5" t="s">
        <v>613</v>
      </c>
      <c r="D38" s="100" t="s">
        <v>632</v>
      </c>
      <c r="F38" s="160" t="inlineStr">
        <is>
          <t xml:space="preserve">Yes counts lost revenue during closures (17 airports have data).</t>
        </is>
      </c>
      <c r="L38" s="5" t="s">
        <v>218</v>
      </c>
      <c r="M38" s="5" t="s">
        <v>217</v>
      </c>
      <c r="N38" s="5" t="s">
        <v>425</v>
      </c>
      <c r="O38" s="5" t="s">
        <v>538</v>
      </c>
      <c r="P38" s="5" t="s">
        <v>66</v>
      </c>
    </row>
    <row r="39" spans="2:16" x14ac:dyDescent="0.2">
      <c r="C39" s="5"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c r="B41" s="6" t="s">
        <v>479</v>
      </c>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c r="L43" s="5" t="s">
        <v>123</v>
      </c>
      <c r="M43" s="5" t="s">
        <v>122</v>
      </c>
      <c r="N43" s="5" t="s">
        <v>387</v>
      </c>
      <c r="O43" s="5" t="s">
        <v>395</v>
      </c>
      <c r="P43" s="5" t="s">
        <v>64</v>
      </c>
    </row>
    <row r="44" ht="21" customHeight="1" spans="2:16" x14ac:dyDescent="0.2">
      <c r="B44" s="6" t="inlineStr">
        <is>
          <t>LCCA Summary:</t>
        </is>
      </c>
      <c r="D44" s="119" t="str">
        <f>HYPERLINK("#Summary!G1","View Summary  ►")</f>
        <v>View Summary  ►</v>
      </c>
      <c r="L44" s="5" t="s">
        <v>449</v>
      </c>
      <c r="M44" s="5" t="s">
        <v>180</v>
      </c>
      <c r="N44" s="5" t="s">
        <v>406</v>
      </c>
      <c r="O44" s="5" t="s">
        <v>542</v>
      </c>
      <c r="P44" s="5" t="s">
        <v>64</v>
      </c>
    </row>
    <row r="45" spans="2:16" x14ac:dyDescent="0.2">
      <c r="L45" s="5" t="s">
        <v>129</v>
      </c>
      <c r="M45" s="5" t="s">
        <v>128</v>
      </c>
      <c r="N45" s="5" t="s">
        <v>396</v>
      </c>
      <c r="O45" s="5" t="s">
        <v>543</v>
      </c>
      <c r="P45" s="5" t="s">
        <v>64</v>
      </c>
    </row>
    <row r="46" ht="21" customHeight="1" spans="2:16" x14ac:dyDescent="0.2">
      <c r="B46" s="6" t="inlineStr">
        <is>
          <t>Typical input values:</t>
        </is>
      </c>
      <c r="D46" s="119" t="str">
        <f>HYPERLINK("#'Typical Values'!A1","Typical Values  ►")</f>
        <v>Typical Values  ►</v>
      </c>
      <c r="L46" s="5" t="s">
        <v>115</v>
      </c>
      <c r="M46" s="5" t="s">
        <v>114</v>
      </c>
      <c r="N46" s="5" t="s">
        <v>391</v>
      </c>
      <c r="O46" s="5" t="s">
        <v>544</v>
      </c>
      <c r="P46" s="5" t="s">
        <v>64</v>
      </c>
    </row>
    <row r="47" spans="2:16" x14ac:dyDescent="0.2">
      <c r="L47" s="5" t="s">
        <v>448</v>
      </c>
      <c r="M47" s="5" t="s">
        <v>418</v>
      </c>
      <c r="N47" s="5" t="s">
        <v>417</v>
      </c>
      <c r="O47" s="5" t="s">
        <v>545</v>
      </c>
      <c r="P47" s="5" t="s">
        <v>64</v>
      </c>
    </row>
    <row r="48" ht="21" customHeight="1" spans="2:16" x14ac:dyDescent="0.2">
      <c r="B48" s="6" t="inlineStr">
        <is>
          <t>How it is calculated:</t>
        </is>
      </c>
      <c r="D48" s="119" t="str">
        <f>HYPERLINK("#Method!A1","Method  ►")</f>
        <v>Method  ►</v>
      </c>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ht="21" customHeight="1">
      <c r="B50" s="6" t="inlineStr">
        <is>
          <t>Unit costs:</t>
        </is>
      </c>
      <c r="D50" s="119" t="str">
        <f>HYPERLINK("#Pay_Items!A1","Pay_Items  ►")</f>
        <v>Pay_Items  ►</v>
      </c>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ht="21" customHeight="1">
      <c r="B52" s="6" t="inlineStr">
        <is>
          <t>Maintenance policies:</t>
        </is>
      </c>
      <c r="D52" s="119" t="str">
        <f>HYPERLINK("#'Maintenance Policies'!C2","Maintenance Policies  ►")</f>
        <v>Maintenance Policies  ►</v>
      </c>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mergeCells count="3">
    <mergeCell ref="F2:J2"/>
    <mergeCell ref="F3:J7"/>
    <mergeCell ref="F9:J9"/>
  </mergeCells>
  <conditionalFormatting sqref="F9:J9">
    <cfRule type="expression" dxfId="30" priority="1">
      <formula>LEFT($F$9,3)="All"</formula>
    </cfRule>
    <cfRule type="expression" dxfId="31" priority="2">
      <formula>LEFT($F$9,3)&lt;&gt;"All"</formula>
    </cfRule>
  </conditionalFormatting>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pageSetup orientation="landscape" fitToWidth="1" fitToHeight="1"/>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39</xdr:row>
                <xdr:rowOff>104775</xdr:rowOff>
              </from>
              <to>
                <xdr:col>3</xdr:col>
                <xdr:colOff>1238250</xdr:colOff>
                <xdr:row>41</xdr:row>
                <xdr:rowOff>142875</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BFBFBF"/>
    <pageSetUpPr fitToPage="1"/>
  </sheetPr>
  <dimension ref="A1:J59"/>
  <sheetViews>
    <sheetView showGridLines="0" workbookViewId="0">
      <pane ySplit="2" topLeftCell="A3" activePane="bottomLeft" state="frozen"/>
    </sheetView>
  </sheetViews>
  <sheetFormatPr defaultColWidth="8.7109375" defaultRowHeight="12.75" x14ac:dyDescent="0.2"/>
  <cols>
    <col min="1" max="1" width="29.28515625" style="5" bestFit="1" customWidth="1"/>
    <col min="2" max="2" width="19.5703125" style="5" bestFit="1" customWidth="1"/>
    <col min="3" max="3" width="18.5703125" style="5" customWidth="1"/>
    <col min="4" max="4" width="65.7109375" style="5" customWidth="1"/>
    <col min="5" max="5" width="8.7109375" style="5"/>
    <col min="6" max="6" width="10.7109375" style="5" customWidth="1"/>
    <col min="7" max="9" width="12" style="5" customWidth="1"/>
    <col min="10" max="16384" width="8.7109375" style="5"/>
  </cols>
  <sheetData>
    <row r="1" ht="40" customHeight="1" spans="1:10" x14ac:dyDescent="0.2">
      <c r="A1" s="119" t="str">
        <f>HYPERLINK("#'General Information'!D9","◄ General Information")</f>
        <v>◄ General Information</v>
      </c>
      <c r="B1" s="120" t="str">
        <f>HYPERLINK("#Summary!G1","Summary")</f>
        <v>Summary</v>
      </c>
      <c r="C1" s="198" t="inlineStr">
        <is>
          <t xml:space="preserve">STEP 3 of 5</t>
        </is>
      </c>
      <c r="D1" s="198" t="inlineStr">
        <is>
          <t xml:space="preserve">The unit costs every alternative is priced from. The grey column is the one to edit.</t>
        </is>
      </c>
      <c r="G1" s="115" t="s">
        <v>267</v>
      </c>
      <c r="H1" s="115"/>
      <c r="I1" s="115"/>
    </row>
    <row r="2" spans="1:10" x14ac:dyDescent="0.2">
      <c r="A2" s="6" t="s">
        <v>51</v>
      </c>
      <c r="B2" s="5" t="s">
        <v>505</v>
      </c>
      <c r="C2" s="6" t="s">
        <v>52</v>
      </c>
      <c r="D2" s="6" t="s">
        <v>53</v>
      </c>
      <c r="E2" s="6" t="s">
        <v>266</v>
      </c>
      <c r="F2" s="6" t="s">
        <v>320</v>
      </c>
      <c r="G2" s="7" t="s">
        <v>64</v>
      </c>
      <c r="H2" s="7" t="s">
        <v>65</v>
      </c>
      <c r="I2" s="7" t="s">
        <v>66</v>
      </c>
      <c r="J2" s="7" t="inlineStr">
        <is>
          <t>Notes</t>
        </is>
      </c>
    </row>
    <row r="3" spans="1:10" x14ac:dyDescent="0.2">
      <c r="A3" s="6"/>
      <c r="B3" s="5" t="s">
        <v>454</v>
      </c>
      <c r="C3" s="6"/>
      <c r="D3" s="6"/>
      <c r="E3" s="6" t="s">
        <v>453</v>
      </c>
      <c r="F3" s="202" t="s">
        <v>453</v>
      </c>
      <c r="G3" s="197"/>
      <c r="H3" s="197"/>
      <c r="I3" s="197"/>
    </row>
    <row r="4" spans="1:10" x14ac:dyDescent="0.2">
      <c r="A4" s="200" t="s">
        <v>10</v>
      </c>
      <c r="B4" s="5" t="s">
        <v>54</v>
      </c>
      <c r="C4" s="1" t="s">
        <v>317</v>
      </c>
      <c r="D4" s="2" t="s">
        <v>63</v>
      </c>
      <c r="E4" s="3" t="s">
        <v>6</v>
      </c>
      <c r="F4" s="202">
        <v>4.2</v>
      </c>
      <c r="G4" s="197"/>
      <c r="H4" s="197"/>
      <c r="I4" s="197"/>
      <c r="J4" s="5" t="s">
        <v>590</v>
      </c>
    </row>
    <row r="5" spans="1:10" x14ac:dyDescent="0.2">
      <c r="B5" s="5" t="s">
        <v>54</v>
      </c>
      <c r="C5" s="1" t="s">
        <v>318</v>
      </c>
      <c r="D5" s="2" t="s">
        <v>62</v>
      </c>
      <c r="E5" s="3" t="s">
        <v>6</v>
      </c>
      <c r="F5" s="202"/>
      <c r="G5" s="197"/>
      <c r="H5" s="197"/>
      <c r="I5" s="197"/>
      <c r="J5" s="5" t="s">
        <v>590</v>
      </c>
    </row>
    <row r="6" spans="1:10" x14ac:dyDescent="0.2">
      <c r="B6" s="5" t="s">
        <v>54</v>
      </c>
      <c r="C6" s="1" t="s">
        <v>329</v>
      </c>
      <c r="D6" s="2" t="s">
        <v>331</v>
      </c>
      <c r="E6" s="3" t="s">
        <v>7</v>
      </c>
      <c r="F6" s="202">
        <v>4</v>
      </c>
      <c r="G6" s="197"/>
      <c r="H6" s="197"/>
      <c r="I6" s="197"/>
    </row>
    <row r="7" spans="1:10" x14ac:dyDescent="0.2">
      <c r="B7" s="5" t="s">
        <v>54</v>
      </c>
      <c r="C7" s="1" t="s">
        <v>330</v>
      </c>
      <c r="D7" s="2" t="s">
        <v>332</v>
      </c>
      <c r="E7" s="3" t="s">
        <v>7</v>
      </c>
      <c r="F7" s="202">
        <v>6.5</v>
      </c>
      <c r="G7" s="197"/>
      <c r="H7" s="197"/>
      <c r="I7" s="197"/>
    </row>
    <row r="8" spans="1:10" x14ac:dyDescent="0.2">
      <c r="B8" s="5" t="s">
        <v>54</v>
      </c>
      <c r="C8" s="1" t="s">
        <v>333</v>
      </c>
      <c r="D8" s="2" t="s">
        <v>335</v>
      </c>
      <c r="E8" s="3" t="s">
        <v>7</v>
      </c>
      <c r="F8" s="202">
        <v>8</v>
      </c>
      <c r="G8" s="197"/>
      <c r="H8" s="197"/>
      <c r="I8" s="197"/>
    </row>
    <row r="9" spans="1:10" x14ac:dyDescent="0.2">
      <c r="B9" s="5" t="s">
        <v>54</v>
      </c>
      <c r="C9" s="1" t="s">
        <v>334</v>
      </c>
      <c r="D9" s="2" t="s">
        <v>336</v>
      </c>
      <c r="E9" s="3" t="s">
        <v>7</v>
      </c>
      <c r="F9" s="202">
        <v>8.5</v>
      </c>
      <c r="G9" s="197"/>
      <c r="H9" s="197"/>
      <c r="I9" s="197"/>
    </row>
    <row r="10" spans="1:10" x14ac:dyDescent="0.2">
      <c r="B10" s="5" t="s">
        <v>54</v>
      </c>
      <c r="C10" s="1" t="s">
        <v>11</v>
      </c>
      <c r="D10" s="2" t="s">
        <v>359</v>
      </c>
      <c r="E10" s="3" t="s">
        <v>12</v>
      </c>
      <c r="F10" s="202">
        <f>7/9</f>
        <v>0.77777777777777779</v>
      </c>
      <c r="G10" s="197"/>
      <c r="H10" s="197"/>
      <c r="I10" s="197"/>
    </row>
    <row r="11" spans="1:10" x14ac:dyDescent="0.2">
      <c r="B11" s="5" t="s">
        <v>54</v>
      </c>
      <c r="C11" s="1" t="s">
        <v>488</v>
      </c>
      <c r="D11" s="2" t="s">
        <v>337</v>
      </c>
      <c r="E11" s="3" t="s">
        <v>12</v>
      </c>
      <c r="F11" s="202">
        <v>8.5</v>
      </c>
      <c r="G11" s="197"/>
      <c r="H11" s="197"/>
      <c r="I11" s="197"/>
      <c r="J11" s="5" t="s">
        <v>590</v>
      </c>
    </row>
    <row r="12" spans="1:10" x14ac:dyDescent="0.2">
      <c r="B12" s="5" t="s">
        <v>54</v>
      </c>
      <c r="C12" s="1" t="s">
        <v>489</v>
      </c>
      <c r="D12" s="2" t="s">
        <v>490</v>
      </c>
      <c r="E12" s="3" t="s">
        <v>12</v>
      </c>
      <c r="F12" s="202"/>
      <c r="G12" s="197"/>
      <c r="H12" s="197"/>
      <c r="I12" s="197"/>
      <c r="J12" s="5" t="s">
        <v>593</v>
      </c>
    </row>
    <row r="13" spans="1:10" x14ac:dyDescent="0.2">
      <c r="B13" s="5" t="s">
        <v>54</v>
      </c>
      <c r="C13" s="1" t="s">
        <v>341</v>
      </c>
      <c r="D13" s="2" t="s">
        <v>338</v>
      </c>
      <c r="E13" s="3" t="s">
        <v>12</v>
      </c>
      <c r="F13" s="202">
        <v>60</v>
      </c>
      <c r="G13" s="197"/>
      <c r="H13" s="197"/>
      <c r="I13" s="197"/>
      <c r="J13" s="5" t="s">
        <v>590</v>
      </c>
    </row>
    <row r="14" spans="1:10" x14ac:dyDescent="0.2">
      <c r="B14" s="5" t="s">
        <v>54</v>
      </c>
      <c r="C14" s="1" t="s">
        <v>342</v>
      </c>
      <c r="D14" s="2" t="s">
        <v>339</v>
      </c>
      <c r="E14" s="3" t="s">
        <v>6</v>
      </c>
      <c r="F14" s="202">
        <v>120</v>
      </c>
      <c r="G14" s="197"/>
      <c r="H14" s="197"/>
      <c r="I14" s="197"/>
      <c r="J14" s="5" t="s">
        <v>590</v>
      </c>
    </row>
    <row r="15" spans="1:10" x14ac:dyDescent="0.2">
      <c r="B15" s="5" t="s">
        <v>54</v>
      </c>
      <c r="C15" s="1" t="s">
        <v>343</v>
      </c>
      <c r="D15" s="2" t="s">
        <v>340</v>
      </c>
      <c r="E15" s="3" t="s">
        <v>6</v>
      </c>
      <c r="F15" s="202">
        <v>100</v>
      </c>
      <c r="G15" s="197"/>
      <c r="H15" s="197"/>
      <c r="I15" s="197"/>
    </row>
    <row r="16" spans="1:10" x14ac:dyDescent="0.2">
      <c r="B16" s="5" t="s">
        <v>54</v>
      </c>
      <c r="C16" s="1" t="s">
        <v>1</v>
      </c>
      <c r="D16" s="2" t="s">
        <v>13</v>
      </c>
      <c r="E16" s="3" t="s">
        <v>6</v>
      </c>
      <c r="F16" s="202">
        <f>10/2</f>
        <v>5</v>
      </c>
      <c r="G16" s="197"/>
      <c r="H16" s="197"/>
      <c r="I16" s="197"/>
      <c r="J16" s="5" t="s">
        <v>590</v>
      </c>
    </row>
    <row r="17" spans="1:10" x14ac:dyDescent="0.2">
      <c r="B17" s="5" t="s">
        <v>54</v>
      </c>
      <c r="C17" s="1" t="s">
        <v>14</v>
      </c>
      <c r="D17" s="2" t="s">
        <v>316</v>
      </c>
      <c r="E17" s="3" t="s">
        <v>8</v>
      </c>
      <c r="F17" s="202"/>
      <c r="G17" s="197"/>
      <c r="H17" s="197"/>
      <c r="I17" s="197"/>
    </row>
    <row r="18" spans="1:10" x14ac:dyDescent="0.2">
      <c r="B18" s="5" t="s">
        <v>54</v>
      </c>
      <c r="C18" s="1" t="s">
        <v>15</v>
      </c>
      <c r="D18" s="2" t="s">
        <v>315</v>
      </c>
      <c r="E18" s="3" t="s">
        <v>8</v>
      </c>
      <c r="F18" s="202"/>
      <c r="G18" s="197"/>
      <c r="H18" s="197"/>
      <c r="I18" s="197"/>
    </row>
    <row r="19" spans="1:10" x14ac:dyDescent="0.2">
      <c r="B19" s="5" t="s">
        <v>54</v>
      </c>
      <c r="C19" s="1" t="s">
        <v>16</v>
      </c>
      <c r="D19" s="2" t="s">
        <v>17</v>
      </c>
      <c r="E19" s="3" t="s">
        <v>8</v>
      </c>
      <c r="F19" s="202">
        <v>55</v>
      </c>
      <c r="G19" s="197"/>
      <c r="H19" s="197"/>
      <c r="I19" s="197"/>
    </row>
    <row r="20" spans="1:10" x14ac:dyDescent="0.2">
      <c r="B20" s="5" t="s">
        <v>54</v>
      </c>
      <c r="C20" s="1" t="s">
        <v>18</v>
      </c>
      <c r="D20" s="2" t="s">
        <v>633</v>
      </c>
      <c r="E20" s="3" t="s">
        <v>6</v>
      </c>
      <c r="F20" s="202"/>
      <c r="G20" s="197"/>
      <c r="H20" s="197"/>
      <c r="I20" s="197"/>
    </row>
    <row r="21" spans="1:10" x14ac:dyDescent="0.2">
      <c r="B21" s="5" t="s">
        <v>54</v>
      </c>
      <c r="C21" s="1" t="s">
        <v>20</v>
      </c>
      <c r="D21" s="2" t="s">
        <v>21</v>
      </c>
      <c r="E21" s="3" t="s">
        <v>6</v>
      </c>
      <c r="F21" s="202">
        <v>10</v>
      </c>
      <c r="G21" s="197"/>
      <c r="H21" s="197"/>
      <c r="I21" s="197"/>
      <c r="J21" s="5" t="s">
        <v>590</v>
      </c>
    </row>
    <row r="22" spans="1:10" x14ac:dyDescent="0.2">
      <c r="B22" s="5" t="s">
        <v>54</v>
      </c>
      <c r="C22" s="1" t="s">
        <v>22</v>
      </c>
      <c r="D22" s="2" t="s">
        <v>309</v>
      </c>
      <c r="E22" s="3" t="s">
        <v>6</v>
      </c>
      <c r="F22" s="202"/>
      <c r="G22" s="197"/>
      <c r="H22" s="197"/>
      <c r="I22" s="197"/>
      <c r="J22" s="5" t="s">
        <v>590</v>
      </c>
    </row>
    <row r="23" spans="1:10" x14ac:dyDescent="0.2">
      <c r="B23" s="5" t="s">
        <v>54</v>
      </c>
      <c r="C23" s="1" t="s">
        <v>310</v>
      </c>
      <c r="D23" s="2" t="s">
        <v>312</v>
      </c>
      <c r="E23" s="3" t="s">
        <v>6</v>
      </c>
      <c r="F23" s="202"/>
      <c r="G23" s="197"/>
      <c r="H23" s="197"/>
      <c r="I23" s="197"/>
      <c r="J23" s="5" t="s">
        <v>590</v>
      </c>
    </row>
    <row r="24" spans="1:10" x14ac:dyDescent="0.2">
      <c r="B24" s="5" t="s">
        <v>54</v>
      </c>
      <c r="C24" s="1" t="s">
        <v>311</v>
      </c>
      <c r="D24" s="2" t="s">
        <v>313</v>
      </c>
      <c r="E24" s="3" t="s">
        <v>6</v>
      </c>
      <c r="F24" s="202"/>
      <c r="G24" s="197"/>
      <c r="H24" s="197"/>
      <c r="I24" s="197"/>
      <c r="J24" s="5" t="s">
        <v>590</v>
      </c>
    </row>
    <row r="25" spans="1:10" x14ac:dyDescent="0.2">
      <c r="B25" s="5" t="s">
        <v>54</v>
      </c>
      <c r="C25" s="1" t="s">
        <v>23</v>
      </c>
      <c r="D25" s="2" t="s">
        <v>314</v>
      </c>
      <c r="E25" s="3" t="s">
        <v>6</v>
      </c>
      <c r="F25" s="202"/>
      <c r="G25" s="197"/>
      <c r="H25" s="197"/>
      <c r="I25" s="197"/>
      <c r="J25" s="5" t="s">
        <v>590</v>
      </c>
    </row>
    <row r="26" spans="1:10" ht="12.6" customHeight="1" x14ac:dyDescent="0.2">
      <c r="A26" s="200" t="s">
        <v>24</v>
      </c>
      <c r="B26" s="5" t="s">
        <v>289</v>
      </c>
      <c r="C26" s="1" t="s">
        <v>2</v>
      </c>
      <c r="D26" s="2" t="s">
        <v>288</v>
      </c>
      <c r="E26" s="3" t="s">
        <v>6</v>
      </c>
      <c r="F26" s="202"/>
      <c r="G26" s="197"/>
      <c r="H26" s="197"/>
      <c r="I26" s="197"/>
      <c r="J26" s="5" t="s">
        <v>590</v>
      </c>
    </row>
    <row r="27" spans="1:10" x14ac:dyDescent="0.2">
      <c r="B27" s="5" t="s">
        <v>289</v>
      </c>
      <c r="C27" s="1" t="s">
        <v>25</v>
      </c>
      <c r="D27" s="2" t="s">
        <v>26</v>
      </c>
      <c r="E27" s="3" t="s">
        <v>8</v>
      </c>
      <c r="F27" s="202"/>
      <c r="G27" s="197"/>
      <c r="H27" s="197"/>
      <c r="I27" s="197"/>
    </row>
    <row r="28" spans="1:10" x14ac:dyDescent="0.2">
      <c r="B28" s="5" t="s">
        <v>289</v>
      </c>
      <c r="C28" s="1" t="s">
        <v>27</v>
      </c>
      <c r="D28" s="2" t="s">
        <v>634</v>
      </c>
      <c r="E28" s="3" t="s">
        <v>6</v>
      </c>
      <c r="F28" s="202"/>
      <c r="G28" s="197"/>
      <c r="H28" s="197"/>
      <c r="I28" s="197"/>
    </row>
    <row r="29" spans="1:10" x14ac:dyDescent="0.2">
      <c r="B29" s="5" t="s">
        <v>289</v>
      </c>
      <c r="C29" s="1" t="s">
        <v>0</v>
      </c>
      <c r="D29" s="2" t="s">
        <v>29</v>
      </c>
      <c r="E29" s="3" t="s">
        <v>8</v>
      </c>
      <c r="F29" s="202">
        <v>65</v>
      </c>
      <c r="G29" s="197"/>
      <c r="H29" s="197"/>
      <c r="I29" s="197"/>
    </row>
    <row r="30" spans="1:10" x14ac:dyDescent="0.2">
      <c r="B30" s="5" t="s">
        <v>289</v>
      </c>
      <c r="C30" s="1" t="s">
        <v>30</v>
      </c>
      <c r="D30" s="2" t="s">
        <v>635</v>
      </c>
      <c r="E30" s="3" t="s">
        <v>6</v>
      </c>
      <c r="F30" s="202"/>
      <c r="G30" s="197"/>
      <c r="H30" s="197"/>
      <c r="I30" s="197"/>
    </row>
    <row r="31" spans="1:10" x14ac:dyDescent="0.2">
      <c r="B31" s="5" t="s">
        <v>289</v>
      </c>
      <c r="C31" s="1" t="s">
        <v>31</v>
      </c>
      <c r="D31" s="2" t="s">
        <v>32</v>
      </c>
      <c r="E31" s="3" t="s">
        <v>8</v>
      </c>
      <c r="F31" s="202"/>
      <c r="G31" s="197"/>
      <c r="H31" s="197"/>
      <c r="I31" s="197"/>
    </row>
    <row r="32" spans="1:10" x14ac:dyDescent="0.2">
      <c r="B32" s="5" t="s">
        <v>289</v>
      </c>
      <c r="C32" s="1" t="s">
        <v>33</v>
      </c>
      <c r="D32" s="2" t="s">
        <v>636</v>
      </c>
      <c r="E32" s="3" t="s">
        <v>6</v>
      </c>
      <c r="F32" s="202"/>
      <c r="G32" s="197"/>
      <c r="H32" s="197"/>
      <c r="I32" s="197"/>
    </row>
    <row r="33" spans="1:10" x14ac:dyDescent="0.2">
      <c r="B33" s="5" t="s">
        <v>289</v>
      </c>
      <c r="C33" s="1" t="s">
        <v>34</v>
      </c>
      <c r="D33" s="2" t="s">
        <v>291</v>
      </c>
      <c r="E33" s="3" t="s">
        <v>6</v>
      </c>
      <c r="F33" s="202"/>
      <c r="G33" s="197"/>
      <c r="H33" s="197"/>
      <c r="I33" s="197"/>
      <c r="J33" s="5" t="s">
        <v>590</v>
      </c>
    </row>
    <row r="34" spans="1:10" x14ac:dyDescent="0.2">
      <c r="A34" s="200" t="s">
        <v>35</v>
      </c>
      <c r="B34" s="5" t="s">
        <v>290</v>
      </c>
      <c r="C34" s="1" t="s">
        <v>36</v>
      </c>
      <c r="D34" s="2" t="s">
        <v>292</v>
      </c>
      <c r="E34" s="3" t="s">
        <v>8</v>
      </c>
      <c r="F34" s="202"/>
      <c r="G34" s="197"/>
      <c r="H34" s="197"/>
      <c r="I34" s="197"/>
      <c r="J34" s="5" t="s">
        <v>592</v>
      </c>
    </row>
    <row r="35" spans="1:10" x14ac:dyDescent="0.2">
      <c r="B35" s="5" t="s">
        <v>290</v>
      </c>
      <c r="C35" s="1" t="s">
        <v>37</v>
      </c>
      <c r="D35" s="2" t="s">
        <v>293</v>
      </c>
      <c r="E35" s="3" t="s">
        <v>8</v>
      </c>
      <c r="F35" s="202"/>
      <c r="G35" s="197"/>
      <c r="H35" s="197"/>
      <c r="I35" s="197"/>
      <c r="J35" s="5" t="s">
        <v>592</v>
      </c>
    </row>
    <row r="36" spans="1:10" x14ac:dyDescent="0.2">
      <c r="B36" s="5" t="s">
        <v>290</v>
      </c>
      <c r="C36" s="1" t="s">
        <v>38</v>
      </c>
      <c r="D36" s="2" t="s">
        <v>294</v>
      </c>
      <c r="E36" s="3" t="s">
        <v>8</v>
      </c>
      <c r="F36" s="202"/>
      <c r="G36" s="197"/>
      <c r="H36" s="197"/>
      <c r="I36" s="197"/>
      <c r="J36" s="5" t="s">
        <v>592</v>
      </c>
    </row>
    <row r="37" spans="1:10" x14ac:dyDescent="0.2">
      <c r="A37" s="200" t="s">
        <v>39</v>
      </c>
      <c r="B37" s="5" t="s">
        <v>307</v>
      </c>
      <c r="C37" s="1" t="s">
        <v>301</v>
      </c>
      <c r="D37" s="2" t="s">
        <v>304</v>
      </c>
      <c r="E37" s="3" t="s">
        <v>5</v>
      </c>
      <c r="F37" s="202">
        <v>130</v>
      </c>
      <c r="G37" s="197"/>
      <c r="H37" s="197"/>
      <c r="I37" s="197"/>
    </row>
    <row r="38" spans="1:10" x14ac:dyDescent="0.2">
      <c r="B38" s="5" t="s">
        <v>307</v>
      </c>
      <c r="C38" s="1" t="s">
        <v>302</v>
      </c>
      <c r="D38" s="2" t="s">
        <v>305</v>
      </c>
      <c r="E38" s="3" t="s">
        <v>5</v>
      </c>
      <c r="F38" s="202">
        <v>120</v>
      </c>
      <c r="G38" s="197"/>
      <c r="H38" s="197"/>
      <c r="I38" s="197"/>
    </row>
    <row r="39" spans="1:10" x14ac:dyDescent="0.2">
      <c r="B39" s="5" t="s">
        <v>307</v>
      </c>
      <c r="C39" s="1" t="s">
        <v>303</v>
      </c>
      <c r="D39" s="2" t="s">
        <v>306</v>
      </c>
      <c r="E39" s="3" t="s">
        <v>5</v>
      </c>
      <c r="F39" s="202">
        <v>110</v>
      </c>
      <c r="G39" s="197"/>
      <c r="H39" s="197"/>
      <c r="I39" s="197"/>
    </row>
    <row r="40" spans="1:10" x14ac:dyDescent="0.2">
      <c r="B40" s="5" t="s">
        <v>307</v>
      </c>
      <c r="C40" s="1" t="s">
        <v>295</v>
      </c>
      <c r="D40" s="2" t="s">
        <v>298</v>
      </c>
      <c r="E40" s="3" t="s">
        <v>5</v>
      </c>
      <c r="F40" s="202"/>
      <c r="G40" s="197"/>
      <c r="H40" s="197"/>
      <c r="I40" s="197"/>
    </row>
    <row r="41" spans="1:10" x14ac:dyDescent="0.2">
      <c r="B41" s="5" t="s">
        <v>307</v>
      </c>
      <c r="C41" s="1" t="s">
        <v>296</v>
      </c>
      <c r="D41" s="2" t="s">
        <v>299</v>
      </c>
      <c r="E41" s="3" t="s">
        <v>5</v>
      </c>
      <c r="F41" s="202"/>
      <c r="G41" s="197"/>
      <c r="H41" s="197"/>
      <c r="I41" s="197"/>
    </row>
    <row r="42" spans="1:10" x14ac:dyDescent="0.2">
      <c r="B42" s="5" t="s">
        <v>307</v>
      </c>
      <c r="C42" s="1" t="s">
        <v>297</v>
      </c>
      <c r="D42" s="2" t="s">
        <v>300</v>
      </c>
      <c r="E42" s="3" t="s">
        <v>5</v>
      </c>
      <c r="F42" s="202"/>
      <c r="G42" s="197"/>
      <c r="H42" s="197"/>
      <c r="I42" s="197"/>
    </row>
    <row r="43" spans="1:10" x14ac:dyDescent="0.2">
      <c r="B43" s="5" t="s">
        <v>307</v>
      </c>
      <c r="C43" s="1" t="s">
        <v>50</v>
      </c>
      <c r="D43" s="2" t="s">
        <v>308</v>
      </c>
      <c r="E43" s="3" t="s">
        <v>5</v>
      </c>
      <c r="F43" s="202"/>
      <c r="G43" s="197"/>
      <c r="H43" s="197"/>
      <c r="I43" s="197"/>
    </row>
    <row r="44" spans="1:10" x14ac:dyDescent="0.2">
      <c r="A44" s="200" t="s">
        <v>40</v>
      </c>
      <c r="B44" s="5" t="s">
        <v>55</v>
      </c>
      <c r="C44" s="1" t="s">
        <v>464</v>
      </c>
      <c r="D44" s="2" t="s">
        <v>463</v>
      </c>
      <c r="E44" s="3" t="s">
        <v>6</v>
      </c>
      <c r="F44" s="202">
        <v>79</v>
      </c>
      <c r="G44" s="197"/>
      <c r="H44" s="197"/>
      <c r="I44" s="197"/>
      <c r="J44" s="5" t="s">
        <v>590</v>
      </c>
    </row>
    <row r="45" spans="1:10" x14ac:dyDescent="0.2">
      <c r="A45" s="6"/>
      <c r="B45" s="5" t="s">
        <v>55</v>
      </c>
      <c r="C45" s="1" t="s">
        <v>465</v>
      </c>
      <c r="D45" s="2" t="s">
        <v>468</v>
      </c>
      <c r="E45" s="3" t="s">
        <v>6</v>
      </c>
      <c r="F45" s="202">
        <v>82</v>
      </c>
      <c r="G45" s="197"/>
      <c r="H45" s="197"/>
      <c r="I45" s="197"/>
      <c r="J45" s="5" t="s">
        <v>590</v>
      </c>
    </row>
    <row r="46" spans="1:10" x14ac:dyDescent="0.2">
      <c r="A46" s="6"/>
      <c r="B46" s="5" t="s">
        <v>55</v>
      </c>
      <c r="C46" s="1" t="s">
        <v>466</v>
      </c>
      <c r="D46" s="2" t="s">
        <v>469</v>
      </c>
      <c r="E46" s="3" t="s">
        <v>6</v>
      </c>
      <c r="F46" s="202">
        <v>85</v>
      </c>
      <c r="G46" s="197"/>
      <c r="H46" s="197"/>
      <c r="I46" s="197"/>
      <c r="J46" s="5" t="s">
        <v>590</v>
      </c>
    </row>
    <row r="47" spans="1:10" x14ac:dyDescent="0.2">
      <c r="A47" s="6"/>
      <c r="B47" s="5" t="s">
        <v>55</v>
      </c>
      <c r="C47" s="1" t="s">
        <v>467</v>
      </c>
      <c r="D47" s="2" t="s">
        <v>470</v>
      </c>
      <c r="E47" s="3" t="s">
        <v>6</v>
      </c>
      <c r="F47" s="202">
        <v>91</v>
      </c>
      <c r="G47" s="197"/>
      <c r="H47" s="197"/>
      <c r="I47" s="197"/>
      <c r="J47" s="5" t="s">
        <v>590</v>
      </c>
    </row>
    <row r="48" spans="1:10" x14ac:dyDescent="0.2">
      <c r="A48" s="200" t="s">
        <v>41</v>
      </c>
      <c r="B48" s="5" t="s">
        <v>280</v>
      </c>
      <c r="C48" s="1" t="s">
        <v>42</v>
      </c>
      <c r="D48" s="2" t="s">
        <v>276</v>
      </c>
      <c r="E48" s="3" t="s">
        <v>6</v>
      </c>
      <c r="F48" s="202">
        <v>4</v>
      </c>
      <c r="G48" s="197"/>
      <c r="H48" s="197"/>
      <c r="I48" s="197"/>
    </row>
    <row r="49" spans="1:10" x14ac:dyDescent="0.2">
      <c r="B49" s="5" t="s">
        <v>280</v>
      </c>
      <c r="C49" s="1" t="s">
        <v>43</v>
      </c>
      <c r="D49" s="2" t="s">
        <v>277</v>
      </c>
      <c r="E49" s="3" t="s">
        <v>6</v>
      </c>
      <c r="F49" s="202">
        <v>5</v>
      </c>
      <c r="G49" s="197"/>
      <c r="H49" s="197"/>
      <c r="I49" s="197"/>
    </row>
    <row r="50" spans="1:10" x14ac:dyDescent="0.2">
      <c r="B50" s="5" t="s">
        <v>280</v>
      </c>
      <c r="C50" s="1" t="s">
        <v>44</v>
      </c>
      <c r="D50" s="2" t="s">
        <v>278</v>
      </c>
      <c r="E50" s="3" t="s">
        <v>6</v>
      </c>
      <c r="F50" s="202">
        <v>7</v>
      </c>
      <c r="G50" s="197"/>
      <c r="H50" s="197"/>
      <c r="I50" s="197"/>
    </row>
    <row r="51" spans="1:10" x14ac:dyDescent="0.2">
      <c r="B51" s="5" t="s">
        <v>280</v>
      </c>
      <c r="C51" s="1" t="s">
        <v>45</v>
      </c>
      <c r="D51" s="2" t="s">
        <v>279</v>
      </c>
      <c r="E51" s="3" t="s">
        <v>6</v>
      </c>
      <c r="F51" s="202"/>
      <c r="G51" s="197"/>
      <c r="H51" s="197"/>
      <c r="I51" s="197"/>
    </row>
    <row r="52" spans="1:10" ht="12.6" customHeight="1" x14ac:dyDescent="0.2">
      <c r="B52" s="5" t="s">
        <v>280</v>
      </c>
      <c r="C52" s="1" t="s">
        <v>282</v>
      </c>
      <c r="D52" s="2" t="s">
        <v>281</v>
      </c>
      <c r="E52" s="3" t="s">
        <v>6</v>
      </c>
      <c r="F52" s="202"/>
      <c r="G52" s="197"/>
      <c r="H52" s="197"/>
      <c r="I52" s="197"/>
    </row>
    <row r="53" spans="1:10" ht="12.6" customHeight="1" x14ac:dyDescent="0.2">
      <c r="B53" s="5" t="s">
        <v>280</v>
      </c>
      <c r="C53" s="1" t="s">
        <v>283</v>
      </c>
      <c r="D53" s="2" t="s">
        <v>284</v>
      </c>
      <c r="E53" s="3" t="s">
        <v>6</v>
      </c>
      <c r="F53" s="202"/>
      <c r="G53" s="197"/>
      <c r="H53" s="197"/>
      <c r="I53" s="197"/>
    </row>
    <row r="54" spans="1:10" x14ac:dyDescent="0.2">
      <c r="A54" s="200" t="s">
        <v>46</v>
      </c>
      <c r="B54" s="5" t="s">
        <v>61</v>
      </c>
      <c r="C54" s="1" t="s">
        <v>3</v>
      </c>
      <c r="D54" s="2" t="s">
        <v>4</v>
      </c>
      <c r="E54" s="3" t="s">
        <v>274</v>
      </c>
      <c r="F54" s="202">
        <v>4.5</v>
      </c>
      <c r="G54" s="197"/>
      <c r="H54" s="197"/>
      <c r="I54" s="197"/>
      <c r="J54" s="5" t="s">
        <v>591</v>
      </c>
    </row>
    <row r="55" spans="1:10" x14ac:dyDescent="0.2">
      <c r="B55" s="5" t="s">
        <v>285</v>
      </c>
      <c r="C55" s="1" t="s">
        <v>275</v>
      </c>
      <c r="D55" s="2" t="s">
        <v>286</v>
      </c>
      <c r="E55" s="3" t="s">
        <v>7</v>
      </c>
      <c r="F55" s="202">
        <v>7</v>
      </c>
      <c r="G55" s="197"/>
      <c r="H55" s="197"/>
      <c r="I55" s="197"/>
      <c r="J55" s="5" t="s">
        <v>287</v>
      </c>
    </row>
    <row r="56" spans="1:10" x14ac:dyDescent="0.2">
      <c r="B56" s="5" t="s">
        <v>48</v>
      </c>
      <c r="C56" s="1" t="s">
        <v>47</v>
      </c>
      <c r="D56" s="2" t="s">
        <v>60</v>
      </c>
      <c r="E56" s="3" t="s">
        <v>12</v>
      </c>
      <c r="F56" s="202">
        <f>6/9</f>
        <v>0.66666666666666663</v>
      </c>
      <c r="G56" s="197"/>
      <c r="H56" s="197"/>
      <c r="I56" s="197"/>
    </row>
    <row r="57" spans="1:10" x14ac:dyDescent="0.2">
      <c r="B57" s="5" t="s">
        <v>48</v>
      </c>
      <c r="C57" s="1" t="s">
        <v>272</v>
      </c>
      <c r="D57" s="2" t="s">
        <v>273</v>
      </c>
      <c r="E57" s="3" t="s">
        <v>12</v>
      </c>
      <c r="F57" s="202"/>
      <c r="G57" s="197"/>
      <c r="H57" s="197"/>
      <c r="I57" s="197"/>
    </row>
    <row r="58" spans="1:10" x14ac:dyDescent="0.2">
      <c r="B58" s="5" t="s">
        <v>49</v>
      </c>
      <c r="C58" s="1" t="s">
        <v>58</v>
      </c>
      <c r="D58" s="2" t="s">
        <v>56</v>
      </c>
      <c r="E58" s="3" t="s">
        <v>6</v>
      </c>
      <c r="F58" s="202"/>
      <c r="G58" s="197"/>
      <c r="H58" s="197"/>
      <c r="I58" s="197"/>
    </row>
    <row r="59" spans="1:10" x14ac:dyDescent="0.2">
      <c r="B59" s="5" t="s">
        <v>49</v>
      </c>
      <c r="C59" s="1" t="s">
        <v>59</v>
      </c>
      <c r="D59" s="2" t="s">
        <v>57</v>
      </c>
      <c r="E59" s="3" t="s">
        <v>6</v>
      </c>
      <c r="F59" s="202"/>
      <c r="G59" s="197"/>
      <c r="H59" s="197"/>
      <c r="I59" s="197"/>
    </row>
    <row r="61" ht="30" customHeight="1">
      <c r="A61" s="198" t="inlineStr">
        <is>
          <t xml:space="preserve">Every alternative worksheet prices its quantities from the Unit Cost column above, by looking up the pay item description. Change a cost here and every alternative reprices when the workbook recalculates.</t>
        </is>
      </c>
      <c r="B61" s="198"/>
      <c r="C61" s="198"/>
      <c r="D61" s="198"/>
      <c r="E61" s="198"/>
      <c r="F61" s="198"/>
      <c r="G61" s="198"/>
      <c r="H61" s="198"/>
      <c r="I61" s="198"/>
      <c r="J61" s="198"/>
    </row>
    <row r="62" ht="30" customHeight="1">
      <c r="A62" s="198" t="inlineStr">
        <is>
          <t xml:space="preserve">The Middle, West and East columns under "Average Pay Item Unit Cost" are the division averages. Each alternative worksheet picks one of them in C11, and any cell left blank there is priced from Unit Cost instead. They ship empty, so until they are filled every division prices the same.</t>
        </is>
      </c>
      <c r="B62" s="198"/>
      <c r="C62" s="198"/>
      <c r="D62" s="198"/>
      <c r="E62" s="198"/>
      <c r="F62" s="198"/>
      <c r="G62" s="198"/>
      <c r="H62" s="198"/>
      <c r="I62" s="198"/>
      <c r="J62" s="198"/>
    </row>
    <row r="63" ht="30" customHeight="1">
      <c r="A63" s="203" t="inlineStr">
        <is>
          <t xml:space="preserve">29 of the 56 pay items carry no unit cost. An alternative that uses one of them prices it at $0, so check the Unit Cost column before entering quantities.</t>
        </is>
      </c>
      <c r="B63" s="203"/>
      <c r="C63" s="203"/>
      <c r="D63" s="203"/>
      <c r="E63" s="203"/>
      <c r="F63" s="203"/>
      <c r="G63" s="203"/>
      <c r="H63" s="203"/>
      <c r="I63" s="203"/>
      <c r="J63" s="203"/>
    </row>
    <row r="64" ht="30" customHeight="1">
      <c r="A64" s="198" t="inlineStr">
        <is>
          <t xml:space="preserve">Typical ranges and the published sources behind these costs are on the Typical Values sheet.</t>
        </is>
      </c>
      <c r="B64" s="198"/>
      <c r="C64" s="198"/>
      <c r="D64" s="198"/>
      <c r="E64" s="198"/>
      <c r="F64" s="198"/>
      <c r="G64" s="198"/>
      <c r="H64" s="198"/>
      <c r="I64" s="198"/>
      <c r="J64" s="198"/>
    </row>
  </sheetData>
  <mergeCells count="5">
    <mergeCell ref="G1:I1"/>
    <mergeCell ref="A61:J61"/>
    <mergeCell ref="A62:J62"/>
    <mergeCell ref="A63:J63"/>
    <mergeCell ref="A64:J64"/>
  </mergeCells>
  <phoneticPr fontId="6" type="noConversion"/>
  <pageMargins left="0.7" right="0.7" top="0.75" bottom="0.75" header="0.3" footer="0.3"/>
  <pageSetup orientation="landscape" fitToWidth="1" fitToHeight="0"/>
  <drawing r:id="rId2"/>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BFBFBF"/>
    <pageSetUpPr fitToPage="1"/>
  </sheetPr>
  <dimension ref="B8:E86"/>
  <sheetViews>
    <sheetView showGridLines="0" workbookViewId="0">
      <pane ySplit="7" topLeftCell="A8" activePane="bottomLeft" state="frozen"/>
    </sheetView>
  </sheetViews>
  <sheetFormatPr defaultColWidth="8.7109375" defaultRowHeight="12.75" x14ac:dyDescent="0.2"/>
  <cols>
    <col min="1" max="1" width="8.7109375" style="5"/>
    <col min="2" max="2" width="29.42578125" style="5" customWidth="1"/>
    <col min="3" max="3" width="54" style="5" customWidth="1"/>
    <col min="4" max="4" width="13.7109375" style="5" customWidth="1"/>
    <col min="5" max="5" width="8.7109375" style="5"/>
    <col min="6" max="6" width="11.7109375" customWidth="1"/>
    <col min="7" max="16384" width="8.7109375" style="5"/>
  </cols>
  <sheetData>
    <row r="1" ht="40" customHeight="1">
      <c r="B1" s="119" t="str">
        <f>HYPERLINK("#'General Information'!D9","◄ General Information")</f>
        <v>◄ General Information</v>
      </c>
      <c r="C1" s="120" t="str">
        <f>HYPERLINK("#Summary!G1","Summary")</f>
        <v>Summary</v>
      </c>
    </row>
    <row r="2" ht="20" customHeight="1">
      <c r="C2" s="199" t="inlineStr">
        <is>
          <t xml:space="preserve">MAINTENANCE AND REHABILITATION POLICIES</t>
        </is>
      </c>
    </row>
    <row r="3" ht="46" customHeight="1">
      <c r="C3" s="198" t="inlineStr">
        <is>
          <t xml:space="preserve">This sheet is live: the alternatives read every Rate and Year Applied cell below. Rate is the share an activity covers (1 = the whole area or length); Year Applied is years after construction.</t>
        </is>
      </c>
    </row>
    <row r="4" ht="6" customHeight="1">
      <c r="C4" s="198"/>
    </row>
    <row r="5" ht="6" customHeight="1">
      <c r="C5" s="198"/>
    </row>
    <row r="6" ht="6" customHeight="1">
      <c r="C6" s="198"/>
    </row>
    <row r="7"/>
    <row r="8" spans="2:5" ht="13.5" thickBot="1" x14ac:dyDescent="0.25">
      <c r="B8" s="199" t="s">
        <v>494</v>
      </c>
    </row>
    <row r="9" ht="30" customHeight="1" spans="2:5" thickTop="1" thickBot="1" x14ac:dyDescent="0.25">
      <c r="B9" s="201" t="s">
        <v>96</v>
      </c>
      <c r="C9" s="201" t="s">
        <v>95</v>
      </c>
      <c r="D9" s="201" t="s">
        <v>106</v>
      </c>
      <c r="E9" s="201" t="s">
        <v>259</v>
      </c>
      <c r="F9" s="201" t="inlineStr">
        <is>
          <t>Asset life (yrs)</t>
        </is>
      </c>
    </row>
    <row r="10" spans="2:5" ht="13.15" customHeight="1" thickTop="1" x14ac:dyDescent="0.2">
      <c r="B10" s="13" t="s">
        <v>67</v>
      </c>
      <c r="C10" s="14" t="s">
        <v>107</v>
      </c>
      <c r="D10" s="38">
        <v>1</v>
      </c>
      <c r="E10" s="34">
        <v>4</v>
      </c>
    </row>
    <row r="11" spans="2:5" ht="13.15" customHeight="1" thickBot="1" x14ac:dyDescent="0.25">
      <c r="B11" s="15"/>
      <c r="C11" s="16" t="s">
        <v>108</v>
      </c>
      <c r="D11" s="39">
        <v>1</v>
      </c>
      <c r="E11" s="35"/>
    </row>
    <row r="12" spans="2:5" ht="12.6" customHeight="1" x14ac:dyDescent="0.2">
      <c r="B12" s="17" t="s">
        <v>70</v>
      </c>
      <c r="C12" s="14" t="s">
        <v>107</v>
      </c>
      <c r="D12" s="38">
        <v>1</v>
      </c>
      <c r="E12" s="36">
        <v>8</v>
      </c>
    </row>
    <row r="13" spans="2:5" ht="13.15" customHeight="1" thickBot="1" x14ac:dyDescent="0.25">
      <c r="B13" s="15"/>
      <c r="C13" s="16" t="s">
        <v>108</v>
      </c>
      <c r="D13" s="39">
        <v>1</v>
      </c>
      <c r="E13" s="35"/>
    </row>
    <row r="14" spans="2:5" ht="12.6" customHeight="1" x14ac:dyDescent="0.2">
      <c r="B14" s="17" t="s">
        <v>71</v>
      </c>
      <c r="C14" s="14" t="s">
        <v>72</v>
      </c>
      <c r="D14" s="38">
        <v>7.4999999999999997E-3</v>
      </c>
      <c r="E14" s="36">
        <v>12</v>
      </c>
    </row>
    <row r="15" spans="2:5" ht="12.6" customHeight="1" x14ac:dyDescent="0.2">
      <c r="B15" s="18"/>
      <c r="C15" s="14" t="s">
        <v>73</v>
      </c>
      <c r="D15" s="38">
        <v>3.2500000000000001E-2</v>
      </c>
      <c r="E15" s="37"/>
    </row>
    <row r="16" spans="2:5" ht="12.6" customHeight="1" x14ac:dyDescent="0.2">
      <c r="B16" s="18"/>
      <c r="C16" s="14" t="s">
        <v>68</v>
      </c>
      <c r="D16" s="38">
        <v>1</v>
      </c>
      <c r="E16" s="37"/>
    </row>
    <row r="17" spans="2:5" ht="13.15" customHeight="1" thickBot="1" x14ac:dyDescent="0.25">
      <c r="B17" s="15"/>
      <c r="C17" s="16" t="s">
        <v>69</v>
      </c>
      <c r="D17" s="39">
        <v>1</v>
      </c>
      <c r="E17" s="35"/>
    </row>
    <row r="18" spans="2:5" ht="12.6" customHeight="1" x14ac:dyDescent="0.2">
      <c r="B18" s="17" t="s">
        <v>74</v>
      </c>
      <c r="C18" s="14" t="s">
        <v>75</v>
      </c>
      <c r="D18" s="38">
        <v>0.01</v>
      </c>
      <c r="E18" s="36">
        <v>16</v>
      </c>
    </row>
    <row r="19" spans="2:5" ht="12.6" customHeight="1" x14ac:dyDescent="0.2">
      <c r="B19" s="18"/>
      <c r="C19" s="14" t="s">
        <v>76</v>
      </c>
      <c r="D19" s="38">
        <v>3.5000000000000003E-2</v>
      </c>
      <c r="E19" s="37"/>
    </row>
    <row r="20" spans="2:5" ht="12.6" customHeight="1" x14ac:dyDescent="0.2">
      <c r="B20" s="18"/>
      <c r="C20" s="14" t="s">
        <v>68</v>
      </c>
      <c r="D20" s="38">
        <v>1</v>
      </c>
      <c r="E20" s="37"/>
    </row>
    <row r="21" spans="2:5" ht="13.15" customHeight="1" thickBot="1" x14ac:dyDescent="0.25">
      <c r="B21" s="15"/>
      <c r="C21" s="16" t="s">
        <v>69</v>
      </c>
      <c r="D21" s="39">
        <v>1</v>
      </c>
      <c r="E21" s="35"/>
    </row>
    <row r="22" spans="2:5" ht="12.6" customHeight="1" x14ac:dyDescent="0.2">
      <c r="B22" s="17" t="s">
        <v>77</v>
      </c>
      <c r="C22" s="14" t="s">
        <v>78</v>
      </c>
      <c r="D22" s="38">
        <v>1</v>
      </c>
      <c r="E22" s="36">
        <v>20</v>
      </c>
    </row>
    <row r="23" spans="2:5" ht="12.6" customHeight="1" x14ac:dyDescent="0.2">
      <c r="B23" s="18"/>
      <c r="C23" s="14" t="s">
        <v>79</v>
      </c>
      <c r="D23" s="38">
        <v>1.4999999999999999E-2</v>
      </c>
      <c r="E23" s="37"/>
    </row>
    <row r="24" spans="2:5" ht="12.6" customHeight="1" x14ac:dyDescent="0.2">
      <c r="B24" s="18"/>
      <c r="C24" s="14" t="s">
        <v>80</v>
      </c>
      <c r="D24" s="38">
        <v>5.0000000000000001E-3</v>
      </c>
      <c r="E24" s="37"/>
    </row>
    <row r="25" spans="2:5" ht="13.15" customHeight="1" thickBot="1" x14ac:dyDescent="0.25">
      <c r="B25" s="15"/>
      <c r="C25" s="16" t="s">
        <v>69</v>
      </c>
      <c r="D25" s="39">
        <v>1</v>
      </c>
      <c r="E25" s="35"/>
    </row>
    <row r="26" spans="2:5" ht="12.6" customHeight="1" x14ac:dyDescent="0.2">
      <c r="B26" s="17" t="s">
        <v>81</v>
      </c>
      <c r="C26" s="14" t="s">
        <v>68</v>
      </c>
      <c r="D26" s="38">
        <v>1</v>
      </c>
      <c r="E26" s="36">
        <v>24</v>
      </c>
    </row>
    <row r="27" spans="2:5" ht="13.15" customHeight="1" thickBot="1" x14ac:dyDescent="0.25">
      <c r="B27" s="15"/>
      <c r="C27" s="16" t="s">
        <v>69</v>
      </c>
      <c r="D27" s="39">
        <v>1</v>
      </c>
      <c r="E27" s="35"/>
    </row>
    <row r="28" spans="2:5" ht="12.6" customHeight="1" x14ac:dyDescent="0.2">
      <c r="B28" s="17" t="s">
        <v>82</v>
      </c>
      <c r="C28" s="14" t="s">
        <v>83</v>
      </c>
      <c r="D28" s="38">
        <v>1.2500000000000001E-2</v>
      </c>
      <c r="E28" s="36">
        <v>28</v>
      </c>
    </row>
    <row r="29" spans="2:5" ht="12.6" customHeight="1" x14ac:dyDescent="0.2">
      <c r="B29" s="18"/>
      <c r="C29" s="14" t="s">
        <v>84</v>
      </c>
      <c r="D29" s="38">
        <v>0.04</v>
      </c>
      <c r="E29" s="37"/>
    </row>
    <row r="30" spans="2:5" ht="12.6" customHeight="1" x14ac:dyDescent="0.2">
      <c r="B30" s="18"/>
      <c r="C30" s="14" t="s">
        <v>68</v>
      </c>
      <c r="D30" s="38">
        <v>1</v>
      </c>
      <c r="E30" s="37"/>
    </row>
    <row r="31" spans="2:5" ht="13.15" customHeight="1" thickBot="1" x14ac:dyDescent="0.25">
      <c r="B31" s="15"/>
      <c r="C31" s="16" t="s">
        <v>69</v>
      </c>
      <c r="D31" s="39">
        <v>1</v>
      </c>
      <c r="E31" s="35"/>
    </row>
    <row r="32" spans="2:5" ht="13.5" thickBot="1" x14ac:dyDescent="0.25">
      <c r="B32" s="19" t="s">
        <v>85</v>
      </c>
      <c r="C32" s="20" t="str">
        <f>"Salvage value: "&amp;TEXT(D32*F32,"0.#")&amp;" of 16 years left on the mill and overlay"&amp;" placed in year "&amp;E22&amp;" ("&amp;TEXT(D32,"0.0%")&amp;" of its cost) at the "&amp;'General Information'!$D$33&amp;"-year analysis period"</f>
      </c>
      <c r="D32" s="40">
        <f>IF(E22&gt;'General Information'!$D$33,0,MAX(0,MIN(1,(E22+F32-'General Information'!$D$33)/F32)))</f>
      </c>
      <c r="E32" s="21">
        <f>'General Information'!$D$33</f>
      </c>
      <c r="F32" s="21">
        <v>16</v>
      </c>
    </row>
    <row r="33" spans="2:5" ht="13.5" thickTop="1" x14ac:dyDescent="0.2"/>
    <row r="35" spans="2:5" ht="13.5" thickBot="1" x14ac:dyDescent="0.25">
      <c r="B35" s="199" t="s">
        <v>495</v>
      </c>
    </row>
    <row r="36" ht="30" customHeight="1" spans="2:5" thickTop="1" thickBot="1" x14ac:dyDescent="0.25">
      <c r="B36" s="201" t="s">
        <v>105</v>
      </c>
      <c r="C36" s="201" t="s">
        <v>95</v>
      </c>
      <c r="D36" s="201" t="s">
        <v>106</v>
      </c>
      <c r="E36" s="201" t="s">
        <v>259</v>
      </c>
      <c r="F36" s="201" t="inlineStr">
        <is>
          <t>Asset life (yrs)</t>
        </is>
      </c>
    </row>
    <row r="37" spans="2:5" ht="13.15" customHeight="1" thickTop="1" x14ac:dyDescent="0.2">
      <c r="B37" s="22" t="s">
        <v>67</v>
      </c>
      <c r="C37" s="23" t="s">
        <v>97</v>
      </c>
      <c r="D37" s="41">
        <v>1</v>
      </c>
      <c r="E37" s="30">
        <v>19</v>
      </c>
    </row>
    <row r="38" spans="2:5" ht="12.6" customHeight="1" x14ac:dyDescent="0.2">
      <c r="B38" s="24"/>
      <c r="C38" s="23" t="s">
        <v>98</v>
      </c>
      <c r="D38" s="41">
        <v>2.5000000000000001E-3</v>
      </c>
      <c r="E38" s="31"/>
    </row>
    <row r="39" spans="2:5" ht="12.6" customHeight="1" x14ac:dyDescent="0.2">
      <c r="B39" s="24"/>
      <c r="C39" s="23" t="s">
        <v>99</v>
      </c>
      <c r="D39" s="41">
        <v>1.2999999999999999E-3</v>
      </c>
      <c r="E39" s="31"/>
    </row>
    <row r="40" spans="2:5" ht="13.15" customHeight="1" thickBot="1" x14ac:dyDescent="0.25">
      <c r="B40" s="25"/>
      <c r="C40" s="26" t="s">
        <v>100</v>
      </c>
      <c r="D40" s="42">
        <v>3.0000000000000001E-3</v>
      </c>
      <c r="E40" s="32"/>
    </row>
    <row r="41" spans="2:5" ht="12.6" customHeight="1" x14ac:dyDescent="0.2">
      <c r="B41" s="27" t="s">
        <v>77</v>
      </c>
      <c r="C41" s="23" t="s">
        <v>101</v>
      </c>
      <c r="D41" s="41">
        <v>0.02</v>
      </c>
      <c r="E41" s="33">
        <v>27</v>
      </c>
    </row>
    <row r="42" spans="2:5" ht="12.6" customHeight="1" x14ac:dyDescent="0.2">
      <c r="B42" s="24"/>
      <c r="C42" s="23" t="s">
        <v>100</v>
      </c>
      <c r="D42" s="41">
        <v>3.0000000000000001E-3</v>
      </c>
      <c r="E42" s="31"/>
    </row>
    <row r="43" spans="2:5" ht="12.6" customHeight="1" x14ac:dyDescent="0.2">
      <c r="B43" s="24"/>
      <c r="C43" s="23" t="s">
        <v>99</v>
      </c>
      <c r="D43" s="41">
        <v>1.2999999999999999E-3</v>
      </c>
      <c r="E43" s="31"/>
    </row>
    <row r="44" spans="2:5" ht="12.6" customHeight="1" x14ac:dyDescent="0.2">
      <c r="B44" s="24"/>
      <c r="C44" s="23" t="s">
        <v>102</v>
      </c>
      <c r="D44" s="41">
        <v>3.0000000000000001E-3</v>
      </c>
      <c r="E44" s="31"/>
    </row>
    <row r="45" spans="2:5" ht="13.15" customHeight="1" thickBot="1" x14ac:dyDescent="0.25">
      <c r="B45" s="25"/>
      <c r="C45" s="26" t="s">
        <v>103</v>
      </c>
      <c r="D45" s="42">
        <v>1</v>
      </c>
      <c r="E45" s="32"/>
    </row>
    <row r="46" spans="2:5" ht="13.5" thickBot="1" x14ac:dyDescent="0.25">
      <c r="B46" s="8" t="s">
        <v>85</v>
      </c>
      <c r="C46" s="20" t="str">
        <f>"Salvage value: "&amp;TEXT(D46*F46,"0.#")&amp;" of 40 years left on the initial construction"&amp;" ("&amp;TEXT(D46,"0.0%")&amp;" of its cost) at the "&amp;'General Information'!$D$33&amp;"-year analysis period"</f>
      </c>
      <c r="D46" s="40">
        <f>MAX(0,MIN(1,(0+F46-'General Information'!$D$33)/F46))</f>
      </c>
      <c r="E46" s="21">
        <f>'General Information'!$D$33</f>
      </c>
      <c r="F46" s="21">
        <v>40</v>
      </c>
    </row>
    <row r="47" spans="2:5" ht="13.5" thickTop="1" x14ac:dyDescent="0.2"/>
    <row r="49" spans="2:5" ht="13.5" thickBot="1" x14ac:dyDescent="0.25">
      <c r="B49" s="199" t="s">
        <v>496</v>
      </c>
    </row>
    <row r="50" ht="30" customHeight="1" spans="2:5" thickTop="1" thickBot="1" x14ac:dyDescent="0.25">
      <c r="B50" s="201" t="s">
        <v>96</v>
      </c>
      <c r="C50" s="201" t="s">
        <v>95</v>
      </c>
      <c r="D50" s="201" t="s">
        <v>106</v>
      </c>
      <c r="E50" s="201" t="s">
        <v>259</v>
      </c>
      <c r="F50" s="201" t="inlineStr">
        <is>
          <t>Asset life (yrs)</t>
        </is>
      </c>
    </row>
    <row r="51" spans="2:5" ht="13.5" thickTop="1" x14ac:dyDescent="0.2">
      <c r="B51" s="17" t="s">
        <v>67</v>
      </c>
      <c r="C51" s="14" t="s">
        <v>68</v>
      </c>
      <c r="D51" s="38">
        <v>1</v>
      </c>
      <c r="E51" s="36">
        <v>4</v>
      </c>
    </row>
    <row r="52" spans="2:5" ht="13.5" thickBot="1" x14ac:dyDescent="0.25">
      <c r="B52" s="15"/>
      <c r="C52" s="16" t="s">
        <v>69</v>
      </c>
      <c r="D52" s="39">
        <v>1</v>
      </c>
      <c r="E52" s="35"/>
    </row>
    <row r="53" spans="2:5" x14ac:dyDescent="0.2">
      <c r="B53" s="17" t="s">
        <v>70</v>
      </c>
      <c r="C53" s="14" t="s">
        <v>83</v>
      </c>
      <c r="D53" s="38">
        <v>1.2500000000000001E-2</v>
      </c>
      <c r="E53" s="36">
        <v>8</v>
      </c>
    </row>
    <row r="54" spans="2:5" x14ac:dyDescent="0.2">
      <c r="B54" s="18"/>
      <c r="C54" s="14" t="s">
        <v>84</v>
      </c>
      <c r="D54" s="38">
        <v>0.04</v>
      </c>
      <c r="E54" s="37"/>
    </row>
    <row r="55" spans="2:5" x14ac:dyDescent="0.2">
      <c r="B55" s="18"/>
      <c r="C55" s="14" t="s">
        <v>68</v>
      </c>
      <c r="D55" s="38">
        <v>1</v>
      </c>
      <c r="E55" s="37"/>
    </row>
    <row r="56" spans="2:5" ht="13.5" thickBot="1" x14ac:dyDescent="0.25">
      <c r="B56" s="15"/>
      <c r="C56" s="16" t="s">
        <v>69</v>
      </c>
      <c r="D56" s="39">
        <v>1</v>
      </c>
      <c r="E56" s="35"/>
    </row>
    <row r="57" spans="2:5" x14ac:dyDescent="0.2">
      <c r="B57" s="17" t="s">
        <v>71</v>
      </c>
      <c r="C57" s="14" t="s">
        <v>107</v>
      </c>
      <c r="D57" s="38">
        <v>1</v>
      </c>
      <c r="E57" s="90">
        <v>12</v>
      </c>
    </row>
    <row r="58" spans="2:5" ht="13.5" thickBot="1" x14ac:dyDescent="0.25">
      <c r="B58" s="15"/>
      <c r="C58" s="16" t="s">
        <v>108</v>
      </c>
      <c r="D58" s="39">
        <v>1</v>
      </c>
      <c r="E58" s="35"/>
    </row>
    <row r="59" spans="2:5" ht="25.5" x14ac:dyDescent="0.2">
      <c r="B59" s="17" t="s">
        <v>491</v>
      </c>
      <c r="C59" s="14" t="s">
        <v>78</v>
      </c>
      <c r="D59" s="38">
        <v>1</v>
      </c>
      <c r="E59" s="36">
        <v>16</v>
      </c>
    </row>
    <row r="60" spans="2:5" x14ac:dyDescent="0.2">
      <c r="B60" s="18"/>
      <c r="C60" s="14" t="s">
        <v>492</v>
      </c>
      <c r="D60" s="38">
        <v>1.4999999999999999E-2</v>
      </c>
      <c r="E60" s="37"/>
    </row>
    <row r="61" spans="2:5" x14ac:dyDescent="0.2">
      <c r="B61" s="18"/>
      <c r="C61" s="14" t="s">
        <v>493</v>
      </c>
      <c r="D61" s="38">
        <v>5.0000000000000001E-3</v>
      </c>
      <c r="E61" s="37"/>
    </row>
    <row r="62" spans="2:5" ht="13.5" thickBot="1" x14ac:dyDescent="0.25">
      <c r="B62" s="15"/>
      <c r="C62" s="16" t="s">
        <v>69</v>
      </c>
      <c r="D62" s="39">
        <v>1</v>
      </c>
      <c r="E62" s="35"/>
    </row>
    <row r="63" spans="2:5" x14ac:dyDescent="0.2">
      <c r="B63" s="17" t="s">
        <v>74</v>
      </c>
      <c r="C63" s="14" t="s">
        <v>68</v>
      </c>
      <c r="D63" s="38">
        <v>1</v>
      </c>
      <c r="E63" s="36">
        <v>20</v>
      </c>
    </row>
    <row r="64" spans="2:5" ht="13.5" thickBot="1" x14ac:dyDescent="0.25">
      <c r="B64" s="15"/>
      <c r="C64" s="16" t="s">
        <v>69</v>
      </c>
      <c r="D64" s="39">
        <v>1</v>
      </c>
      <c r="E64" s="35"/>
    </row>
    <row r="65" spans="2:5" x14ac:dyDescent="0.2">
      <c r="B65" s="17" t="s">
        <v>81</v>
      </c>
      <c r="C65" s="14" t="s">
        <v>83</v>
      </c>
      <c r="D65" s="38">
        <v>1.2500000000000001E-2</v>
      </c>
      <c r="E65" s="36">
        <v>24</v>
      </c>
    </row>
    <row r="66" spans="2:5" x14ac:dyDescent="0.2">
      <c r="B66" s="18"/>
      <c r="C66" s="14" t="s">
        <v>84</v>
      </c>
      <c r="D66" s="38">
        <v>0.04</v>
      </c>
      <c r="E66" s="37"/>
    </row>
    <row r="67" spans="2:5" x14ac:dyDescent="0.2">
      <c r="B67" s="18"/>
      <c r="C67" s="14" t="s">
        <v>68</v>
      </c>
      <c r="D67" s="38">
        <v>1</v>
      </c>
      <c r="E67" s="37"/>
    </row>
    <row r="68" spans="2:5" ht="13.5" thickBot="1" x14ac:dyDescent="0.25">
      <c r="B68" s="15"/>
      <c r="C68" s="16" t="s">
        <v>69</v>
      </c>
      <c r="D68" s="39">
        <v>1</v>
      </c>
      <c r="E68" s="35"/>
    </row>
    <row r="69" spans="2:5" x14ac:dyDescent="0.2">
      <c r="B69" s="17" t="s">
        <v>82</v>
      </c>
      <c r="C69" s="14" t="s">
        <v>68</v>
      </c>
      <c r="D69" s="38">
        <v>1</v>
      </c>
      <c r="E69" s="36">
        <v>28</v>
      </c>
    </row>
    <row r="70" spans="2:5" ht="13.5" thickBot="1" x14ac:dyDescent="0.25">
      <c r="B70" s="15"/>
      <c r="C70" s="16" t="s">
        <v>69</v>
      </c>
      <c r="D70" s="39">
        <v>1</v>
      </c>
      <c r="E70" s="35"/>
    </row>
    <row r="71" spans="2:5" ht="13.5" thickBot="1" x14ac:dyDescent="0.25">
      <c r="B71" s="19" t="s">
        <v>85</v>
      </c>
      <c r="C71" s="20" t="s">
        <v>498</v>
      </c>
      <c r="D71" s="40">
        <v>0</v>
      </c>
      <c r="E71" s="21">
        <f>'General Information'!$D$33</f>
      </c>
    </row>
    <row r="72" spans="2:5" ht="13.5" thickTop="1" x14ac:dyDescent="0.2"/>
    <row r="74" spans="2:5" ht="13.5" thickBot="1" x14ac:dyDescent="0.25">
      <c r="B74" s="199" t="s">
        <v>497</v>
      </c>
    </row>
    <row r="75" ht="30" customHeight="1" spans="2:5" thickTop="1" thickBot="1" x14ac:dyDescent="0.25">
      <c r="B75" s="201" t="s">
        <v>105</v>
      </c>
      <c r="C75" s="201" t="s">
        <v>95</v>
      </c>
      <c r="D75" s="201" t="s">
        <v>106</v>
      </c>
      <c r="E75" s="201" t="s">
        <v>259</v>
      </c>
      <c r="F75" s="201" t="inlineStr">
        <is>
          <t>Asset life (yrs)</t>
        </is>
      </c>
    </row>
    <row r="76" spans="2:5" ht="13.5" thickTop="1" x14ac:dyDescent="0.2">
      <c r="B76" s="22" t="s">
        <v>67</v>
      </c>
      <c r="C76" s="23" t="s">
        <v>97</v>
      </c>
      <c r="D76" s="41">
        <v>1</v>
      </c>
      <c r="E76" s="30">
        <v>15</v>
      </c>
    </row>
    <row r="77" spans="2:5" x14ac:dyDescent="0.2">
      <c r="B77" s="24"/>
      <c r="C77" s="23" t="s">
        <v>501</v>
      </c>
      <c r="D77" s="41">
        <v>3.5000000000000001E-3</v>
      </c>
      <c r="E77" s="31"/>
    </row>
    <row r="78" spans="2:5" x14ac:dyDescent="0.2">
      <c r="B78" s="24"/>
      <c r="C78" s="23" t="s">
        <v>502</v>
      </c>
      <c r="D78" s="41">
        <v>2E-3</v>
      </c>
      <c r="E78" s="31"/>
    </row>
    <row r="79" spans="2:5" ht="13.5" thickBot="1" x14ac:dyDescent="0.25">
      <c r="B79" s="25"/>
      <c r="C79" s="26" t="s">
        <v>100</v>
      </c>
      <c r="D79" s="42">
        <v>3.0000000000000001E-3</v>
      </c>
      <c r="E79" s="32"/>
    </row>
    <row r="80" spans="2:5" x14ac:dyDescent="0.2">
      <c r="B80" s="27" t="s">
        <v>77</v>
      </c>
      <c r="C80" s="23" t="s">
        <v>500</v>
      </c>
      <c r="D80" s="41">
        <v>0.05</v>
      </c>
      <c r="E80" s="33">
        <v>25</v>
      </c>
    </row>
    <row r="81" spans="2:5" x14ac:dyDescent="0.2">
      <c r="B81" s="24"/>
      <c r="C81" s="23" t="s">
        <v>100</v>
      </c>
      <c r="D81" s="41">
        <v>3.0000000000000001E-3</v>
      </c>
      <c r="E81" s="31"/>
    </row>
    <row r="82" spans="2:5" x14ac:dyDescent="0.2">
      <c r="B82" s="24"/>
      <c r="C82" s="23" t="s">
        <v>503</v>
      </c>
      <c r="D82" s="41">
        <v>1.5E-3</v>
      </c>
      <c r="E82" s="31"/>
    </row>
    <row r="83" spans="2:5" x14ac:dyDescent="0.2">
      <c r="B83" s="24"/>
      <c r="C83" s="23" t="s">
        <v>102</v>
      </c>
      <c r="D83" s="41">
        <v>3.0000000000000001E-3</v>
      </c>
      <c r="E83" s="31"/>
    </row>
    <row r="84" spans="2:5" ht="13.5" thickBot="1" x14ac:dyDescent="0.25">
      <c r="B84" s="25"/>
      <c r="C84" s="26" t="s">
        <v>103</v>
      </c>
      <c r="D84" s="42">
        <v>1</v>
      </c>
      <c r="E84" s="32"/>
    </row>
    <row r="85" spans="2:5" ht="13.5" thickBot="1" x14ac:dyDescent="0.25">
      <c r="B85" s="8" t="s">
        <v>85</v>
      </c>
      <c r="C85" s="9" t="s">
        <v>498</v>
      </c>
      <c r="D85" s="43">
        <v>0</v>
      </c>
      <c r="E85" s="21">
        <f>'General Information'!$D$33</f>
      </c>
    </row>
    <row r="86" spans="2:5" ht="13.5" thickTop="1" x14ac:dyDescent="0.2"/>
  </sheetData>
  <pageMargins left="0.7" right="0.7" top="0.75" bottom="0.75" header="0.3" footer="0.3"/>
  <pageSetup orientation="landscape" fitToWidth="1" fitToHeight="0"/>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rgb="FF8EA9DB"/>
    <pageSetUpPr fitToPage="1"/>
  </sheetPr>
  <dimension ref="A1:BL67"/>
  <sheetViews>
    <sheetView zoomScale="80" zoomScaleNormal="80" workbookViewId="0">
      <selection activeCell="A32" sqref="A32"/>
    </sheetView>
  </sheetViews>
  <sheetFormatPr defaultRowHeight="15" x14ac:dyDescent="0.25"/>
  <cols>
    <col min="1" max="1" width="12.28515625" customWidth="1"/>
    <col min="2" max="2" width="19.7109375" customWidth="1"/>
    <col min="3" max="3" width="53.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c r="E3" s="97"/>
      <c r="F3" s="98"/>
    </row>
    <row r="4" spans="1:64" x14ac:dyDescent="0.25">
      <c r="A4" t="s">
        <v>263</v>
      </c>
      <c r="C4" s="45" t="s">
        <v>486</v>
      </c>
      <c r="E4" s="97" t="s">
        <v>600</v>
      </c>
      <c r="F4" s="112">
        <f>ROUNDUP((C5/15000),0)+ROUNDUP((C8/20000),0)+ROUNDUP((C8/50000),0)</f>
        <v>0</v>
      </c>
    </row>
    <row r="5" spans="1:64" x14ac:dyDescent="0.25">
      <c r="A5" t="s">
        <v>346</v>
      </c>
      <c r="C5">
        <f>'General Information'!D26</f>
        <v>0</v>
      </c>
      <c r="D5" t="s">
        <v>6</v>
      </c>
      <c r="E5" s="97" t="s">
        <v>601</v>
      </c>
      <c r="F5" s="112">
        <f>ROUNDUP((C5/15000),0)+ROUNDUP((C8/20000),0)+ROUNDUP((C8/50000),0)</f>
        <v>0</v>
      </c>
    </row>
    <row r="6" spans="1:64" x14ac:dyDescent="0.25">
      <c r="A6" t="s">
        <v>262</v>
      </c>
      <c r="C6">
        <f>'General Information'!D25</f>
        <v>0</v>
      </c>
      <c r="E6" s="97" t="s">
        <v>602</v>
      </c>
      <c r="F6" s="112">
        <f>ROUNDUP((C5/15000),0)+ROUNDUP((C8/20000),0)+ROUNDUP((C8/50000),0)+ROUNDUP((C5*'Maintenance Policies'!D15/10000),0)+ROUNDUP((C5*'Maintenance Policies'!D14/5000),0)</f>
        <v>0</v>
      </c>
      <c r="AP6" s="61" t="s">
        <v>355</v>
      </c>
      <c r="AQ6" s="61">
        <v>2</v>
      </c>
      <c r="AR6" s="61" t="s">
        <v>356</v>
      </c>
    </row>
    <row r="7" spans="1:64" x14ac:dyDescent="0.25">
      <c r="A7" t="s">
        <v>324</v>
      </c>
      <c r="C7" s="91" t="s">
        <v>276</v>
      </c>
      <c r="D7"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t="s">
        <v>345</v>
      </c>
      <c r="C8">
        <f>'General Information'!D28</f>
        <v>0</v>
      </c>
      <c r="D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si="0"/>
        <v>0</v>
      </c>
      <c r="I20" s="196">
        <f>IF(C20="","",IF(INDEX(UnitCostGrid,MATCH(C20,PayItemKeys,0),$I$11)="",0,1))</f>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0"/>
        <v>0</v>
      </c>
      <c r="I21" s="196">
        <f>IF(C21="","",IF(INDEX(UnitCostGrid,MATCH(C21,PayItemKeys,0),$I$11)="",0,1))</f>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I22" s="196">
        <f>IF(C22="","",IF(INDEX(UnitCostGrid,MATCH(C22,PayItemKeys,0),$I$11)="",0,1))</f>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4" x14ac:dyDescent="0.25">
      <c r="A33" s="4" t="s">
        <v>508</v>
      </c>
      <c r="I33" t="s">
        <v>248</v>
      </c>
    </row>
    <row r="34" spans="1:14" ht="15.75" thickBot="1" x14ac:dyDescent="0.3"/>
    <row r="35" spans="1:14" ht="16.5" thickTop="1" thickBot="1" x14ac:dyDescent="0.3">
      <c r="B35" s="53" t="s">
        <v>326</v>
      </c>
      <c r="C35" s="54" t="s">
        <v>259</v>
      </c>
      <c r="D35" s="54" t="s">
        <v>327</v>
      </c>
      <c r="E35" s="55"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48"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48"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48"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48"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48" t="s">
        <v>77</v>
      </c>
      <c r="C45" s="57">
        <f>'Maintenance Policies'!E22</f>
        <v>20</v>
      </c>
      <c r="D45" s="58">
        <f>AV22</f>
        <v>0</v>
      </c>
      <c r="E45" s="47">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48"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48"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48"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48" t="s">
        <v>85</v>
      </c>
      <c r="C51" s="57">
        <f>'General Information'!D33</f>
        <v>10</v>
      </c>
      <c r="D51" s="58">
        <f>-'Maintenance Policies'!D32*AV22</f>
        <v>0</v>
      </c>
      <c r="E51" s="47">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ht="15.75" thickBot="1" x14ac:dyDescent="0.3">
      <c r="B52" s="49" t="s">
        <v>328</v>
      </c>
      <c r="C52" s="50"/>
      <c r="D52" s="50"/>
      <c r="E52" s="60"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3</xdr:col>
                <xdr:colOff>0</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3</xdr:col>
                <xdr:colOff>0</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rgb="FF8EA9DB"/>
    <pageSetUpPr fitToPage="1"/>
  </sheetPr>
  <dimension ref="A1:BL67"/>
  <sheetViews>
    <sheetView zoomScale="80" zoomScaleNormal="80" workbookViewId="0">
      <selection activeCell="BQ20" sqref="BQ20"/>
    </sheetView>
  </sheetViews>
  <sheetFormatPr defaultRowHeight="15" x14ac:dyDescent="0.25"/>
  <cols>
    <col min="1" max="1" width="12.28515625" customWidth="1"/>
    <col min="2" max="2" width="19.7109375" customWidth="1"/>
    <col min="3" max="3" width="53.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J2" s="62" t="s">
        <v>67</v>
      </c>
      <c r="R2" s="4" t="s">
        <v>70</v>
      </c>
      <c r="Z2" s="62" t="s">
        <v>71</v>
      </c>
      <c r="AH2" s="4" t="s">
        <v>74</v>
      </c>
      <c r="AP2" s="62" t="s">
        <v>77</v>
      </c>
      <c r="AX2" s="4" t="s">
        <v>81</v>
      </c>
      <c r="BF2" s="62" t="s">
        <v>82</v>
      </c>
    </row>
    <row r="3"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t="s">
        <v>263</v>
      </c>
      <c r="C4" s="45" t="s">
        <v>486</v>
      </c>
    </row>
    <row r="5" spans="1:64" x14ac:dyDescent="0.25">
      <c r="A5" t="s">
        <v>346</v>
      </c>
      <c r="C5">
        <f>'General Information'!D26</f>
        <v>0</v>
      </c>
      <c r="D5" t="s">
        <v>6</v>
      </c>
    </row>
    <row r="6" spans="1:64" x14ac:dyDescent="0.25">
      <c r="A6" t="s">
        <v>262</v>
      </c>
      <c r="C6">
        <f>'General Information'!D25</f>
        <v>0</v>
      </c>
      <c r="AP6" s="61" t="s">
        <v>355</v>
      </c>
      <c r="AQ6" s="61">
        <v>2</v>
      </c>
      <c r="AR6" s="61" t="s">
        <v>356</v>
      </c>
    </row>
    <row r="7" spans="1:64" x14ac:dyDescent="0.25">
      <c r="A7" t="s">
        <v>324</v>
      </c>
      <c r="C7" s="91" t="s">
        <v>276</v>
      </c>
      <c r="D7" t="s">
        <v>476</v>
      </c>
      <c r="AP7" s="61" t="s">
        <v>357</v>
      </c>
      <c r="AQ7" s="61">
        <v>120</v>
      </c>
      <c r="AR7" s="61" t="s">
        <v>358</v>
      </c>
    </row>
    <row r="8" spans="1:64" x14ac:dyDescent="0.25">
      <c r="A8" t="s">
        <v>345</v>
      </c>
      <c r="C8">
        <f>'General Information'!D28</f>
        <v>0</v>
      </c>
      <c r="D8" t="s">
        <v>12</v>
      </c>
    </row>
    <row r="9" spans="1:64" x14ac:dyDescent="0.25">
      <c r="C9" s="45"/>
      <c r="AP9" s="61" t="s">
        <v>353</v>
      </c>
      <c r="AQ9" s="61">
        <v>0.1</v>
      </c>
      <c r="AR9" s="61" t="s">
        <v>354</v>
      </c>
    </row>
    <row r="10" spans="1:64" x14ac:dyDescent="0.25">
      <c r="D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ref="G20:G21" si="2">IF(C20="",0,F20*E20)</f>
        <v>0</v>
      </c>
      <c r="I20" s="196">
        <f>IF(C20="","",IF(INDEX(UnitCostGrid,MATCH(C20,PayItemKeys,0),$I$11)="",0,1))</f>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2"/>
        <v>0</v>
      </c>
      <c r="I21" s="196">
        <f>IF(C21="","",IF(INDEX(UnitCostGrid,MATCH(C21,PayItemKeys,0),$I$11)="",0,1))</f>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I22" s="196">
        <f>IF(C22="","",IF(INDEX(UnitCostGrid,MATCH(C22,PayItemKeys,0),$I$11)="",0,1))</f>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3" x14ac:dyDescent="0.25">
      <c r="A33" s="4" t="s">
        <v>508</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77</v>
      </c>
      <c r="C41" s="57">
        <f>'Maintenance Policies'!E22</f>
        <v>20</v>
      </c>
      <c r="D41" s="58">
        <f>AV22</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Policies'!D32*AV22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2">
    <dataValidation allowBlank="1" showInputMessage="1" showErrorMessage="1" promptTitle="Qty" prompt="Enter quantity" sqref="E13" xr:uid="{60E3F3D1-DCAA-49C2-B270-FF9B34BE2F49}"/>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3</xdr:col>
                <xdr:colOff>0</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3</xdr:col>
                <xdr:colOff>0</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3</xdr:col>
                <xdr:colOff>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3</xdr:col>
                <xdr:colOff>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3</xdr:col>
                <xdr:colOff>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3</xdr:col>
                <xdr:colOff>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3</xdr:col>
                <xdr:colOff>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3</xdr:col>
                <xdr:colOff>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3</xdr:col>
                <xdr:colOff>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3</xdr:col>
                <xdr:colOff>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rgb="FF8EA9DB"/>
    <pageSetUpPr fitToPage="1"/>
  </sheetPr>
  <dimension ref="A1:X68"/>
  <sheetViews>
    <sheetView zoomScale="80" zoomScaleNormal="80" workbookViewId="0">
      <selection activeCell="H44" sqref="H44"/>
    </sheetView>
  </sheetViews>
  <sheetFormatPr defaultRowHeight="15" x14ac:dyDescent="0.25"/>
  <cols>
    <col min="1" max="1" width="12.28515625" customWidth="1"/>
    <col min="2" max="2" width="19.7109375" customWidth="1"/>
    <col min="3" max="3" width="53.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ht="40" customHeight="1" spans="1:24" x14ac:dyDescent="0.25">
      <c r="A1" s="119" t="str">
        <f>HYPERLINK("#'General Information'!D9","◄ General Information")</f>
        <v>◄ General Information</v>
      </c>
      <c r="B1" s="119"/>
      <c r="C1" s="120" t="str">
        <f>HYPERLINK("#Summary!G1","Summary")</f>
        <v>Summary</v>
      </c>
      <c r="D1" s="190" t="inlineStr">
        <is>
          <t xml:space="preserve">  STEP 4 of 5</t>
        </is>
      </c>
      <c r="I1" t="s">
        <v>248</v>
      </c>
    </row>
    <row r="2" spans="1:24" x14ac:dyDescent="0.25">
      <c r="A2" s="4" t="s">
        <v>504</v>
      </c>
      <c r="J2" s="62" t="s">
        <v>67</v>
      </c>
      <c r="R2" s="4" t="s">
        <v>77</v>
      </c>
    </row>
    <row r="3" ht="26" customHeight="1">
      <c r="A3" s="191" t="inlineStr">
        <is>
          <t xml:space="preserve">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row>
    <row r="4" spans="1:24" x14ac:dyDescent="0.25">
      <c r="A4" t="s">
        <v>263</v>
      </c>
      <c r="C4" s="45" t="s">
        <v>487</v>
      </c>
    </row>
    <row r="5" spans="1:24" x14ac:dyDescent="0.25">
      <c r="A5" t="s">
        <v>346</v>
      </c>
      <c r="C5">
        <f>'General Information'!D26</f>
        <v>0</v>
      </c>
      <c r="D5" t="s">
        <v>6</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2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s="196">
        <f>IF(C13="","",IF(INDEX(UnitCostGrid,MATCH(C13,PayItemKeys,0),$I$11)="",0,1))</f>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I16" s="196">
        <f>IF(C16="","",IF(INDEX(UnitCostGrid,MATCH(C16,PayItemKeys,0),$I$11)="",0,1))</f>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I17" s="196">
        <f>IF(C17="","",IF(INDEX(UnitCostGrid,MATCH(C17,PayItemKeys,0),$I$11)="",0,1))</f>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I18" s="196">
        <f>IF(C18="","",IF(INDEX(UnitCostGrid,MATCH(C18,PayItemKeys,0),$I$11)="",0,1))</f>
      </c>
      <c r="L18" s="61"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I19" s="196">
        <f>IF(C19="","",IF(INDEX(UnitCostGrid,MATCH(C19,PayItemKeys,0),$I$11)="",0,1))</f>
      </c>
      <c r="L19" s="61"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ref="G20:G21" si="2">IF(C20="",0,F20*E20)</f>
        <v>0</v>
      </c>
      <c r="I20" s="196">
        <f>IF(C20="","",IF(INDEX(UnitCostGrid,MATCH(C20,PayItemKeys,0),$I$11)="",0,1))</f>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2"/>
        <v>0</v>
      </c>
      <c r="I21" s="196">
        <f>IF(C21="","",IF(INDEX(UnitCostGrid,MATCH(C21,PayItemKeys,0),$I$11)="",0,1))</f>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c r="I22" s="196">
        <f>IF(C22="","",IF(INDEX(UnitCostGrid,MATCH(C22,PayItemKeys,0),$I$11)="",0,1))</f>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62"/>
      <c r="M27" s="62"/>
      <c r="N27" s="62"/>
      <c r="O27" s="62"/>
      <c r="P27" s="62"/>
    </row>
    <row r="33" spans="1:13" x14ac:dyDescent="0.25">
      <c r="A33" s="4" t="s">
        <v>328</v>
      </c>
    </row>
    <row r="34" spans="1:13" x14ac:dyDescent="0.25">
      <c r="A34" s="4" t="s">
        <v>506</v>
      </c>
      <c r="I34" t="s">
        <v>248</v>
      </c>
    </row>
    <row r="35" spans="1:13" ht="15.75" thickBot="1" x14ac:dyDescent="0.3"/>
    <row r="36" spans="1:13" ht="27" thickTop="1" thickBot="1" x14ac:dyDescent="0.3">
      <c r="B36" s="53" t="s">
        <v>326</v>
      </c>
      <c r="C36" s="54" t="s">
        <v>259</v>
      </c>
      <c r="D36" s="54" t="s">
        <v>327</v>
      </c>
      <c r="E36" s="55"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48" t="s">
        <v>77</v>
      </c>
      <c r="C39" s="57">
        <f>'Maintenance Policies'!E41</f>
        <v>27</v>
      </c>
      <c r="D39" s="58">
        <f>X21</f>
        <v>0</v>
      </c>
      <c r="E39" s="47">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48" t="s">
        <v>85</v>
      </c>
      <c r="C40" s="57">
        <f>'General Information'!D33</f>
        <v>10</v>
      </c>
      <c r="D40" s="58">
        <f>-'Maintenance Policies'!D46*G27</f>
        <v>0</v>
      </c>
      <c r="E40" s="47">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ht="15.75" thickBot="1" x14ac:dyDescent="0.3">
      <c r="B41" s="49" t="s">
        <v>328</v>
      </c>
      <c r="C41" s="50"/>
      <c r="D41" s="50"/>
      <c r="E41" s="60">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0</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3</xdr:col>
                <xdr:colOff>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3</xdr:col>
                <xdr:colOff>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3</xdr:col>
                <xdr:colOff>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3</xdr:col>
                <xdr:colOff>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3</xdr:col>
                <xdr:colOff>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3</xdr:col>
                <xdr:colOff>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3</xdr:col>
                <xdr:colOff>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3</xdr:col>
                <xdr:colOff>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rgb="FF8EA9DB"/>
    <pageSetUpPr fitToPage="1"/>
  </sheetPr>
  <dimension ref="A1:BL67"/>
  <sheetViews>
    <sheetView zoomScale="80" zoomScaleNormal="80" workbookViewId="0"/>
  </sheetViews>
  <sheetFormatPr defaultRowHeight="15" x14ac:dyDescent="0.25"/>
  <cols>
    <col min="1" max="1" width="12.28515625" customWidth="1"/>
    <col min="2" max="2" width="19.7109375" customWidth="1"/>
    <col min="3" max="3" width="53.7109375" customWidth="1"/>
    <col min="4" max="4" width="17.42578125" customWidth="1"/>
    <col min="5" max="5" width="12.7109375" customWidth="1"/>
    <col min="6" max="7" width="10.5703125" customWidth="1"/>
    <col min="9" max="9" width="13.28515625" hidden="1" customWidth="1"/>
    <col min="10" max="10" width="13.28515625" style="61" bestFit="1" customWidth="1" hidden="1"/>
    <col min="11" max="11" width="13.28515625" style="61" customWidth="1" hidden="1"/>
    <col min="12" max="12" width="41.5703125" style="61" customWidth="1" hidden="1"/>
    <col min="13" max="13" width="13.28515625" style="61" customWidth="1" hidden="1"/>
    <col min="14" max="14" width="13.28515625" hidden="1" customWidth="1"/>
    <col min="15" max="15" width="13.28515625" hidden="1" customWidth="1"/>
    <col min="16" max="16" width="13.28515625" style="61" bestFit="1" customWidth="1" hidden="1"/>
    <col min="17" max="17" width="3.5703125" customWidth="1" hidden="1"/>
    <col min="18" max="18" width="13.28515625" hidden="1" customWidth="1"/>
    <col min="19" max="19" width="13.28515625" customWidth="1" hidden="1"/>
    <col min="20" max="20" width="41.140625" customWidth="1" hidden="1"/>
    <col min="21" max="21" width="13.28515625" hidden="1" customWidth="1"/>
    <col min="22" max="22" width="13.28515625" hidden="1" customWidth="1"/>
    <col min="23" max="23" width="13.28515625" hidden="1" customWidth="1"/>
    <col min="24" max="24" width="13.28515625" customWidth="1" hidden="1"/>
    <col min="25" max="25" width="3.5703125" customWidth="1" hidden="1"/>
    <col min="26" max="26" width="13.28515625" style="61" bestFit="1" customWidth="1" hidden="1"/>
    <col min="27" max="27" width="13.28515625" style="61" customWidth="1" hidden="1"/>
    <col min="28" max="28" width="40.5703125" style="61" customWidth="1" hidden="1"/>
    <col min="29" max="29" width="13.28515625" style="61" customWidth="1" hidden="1"/>
    <col min="30" max="30" width="13.28515625" hidden="1" customWidth="1"/>
    <col min="31" max="31" width="13.28515625" hidden="1" customWidth="1"/>
    <col min="32" max="32" width="13.28515625" style="61" bestFit="1" customWidth="1" hidden="1"/>
    <col min="33" max="33" width="3.5703125" customWidth="1" hidden="1"/>
    <col min="34" max="34" width="13.28515625" bestFit="1" customWidth="1" hidden="1"/>
    <col min="35" max="35" width="13.28515625" customWidth="1" hidden="1"/>
    <col min="36" max="36" width="40.7109375" customWidth="1" hidden="1"/>
    <col min="37" max="37" width="13.28515625" customWidth="1" hidden="1"/>
    <col min="38" max="38" width="13.28515625" hidden="1" customWidth="1"/>
    <col min="39" max="39" width="13.28515625" hidden="1" customWidth="1"/>
    <col min="40" max="40" width="13.28515625" bestFit="1" customWidth="1" hidden="1"/>
    <col min="41" max="41" width="3.5703125" customWidth="1" hidden="1"/>
    <col min="42" max="42" width="13.28515625" style="61" bestFit="1" customWidth="1" hidden="1"/>
    <col min="43" max="43" width="13.28515625" style="61" customWidth="1" hidden="1"/>
    <col min="44" max="44" width="40.5703125" style="61" customWidth="1" hidden="1"/>
    <col min="45" max="45" width="13.28515625" style="61" customWidth="1" hidden="1"/>
    <col min="46" max="46" width="13.28515625" hidden="1" customWidth="1"/>
    <col min="47" max="47" width="13.28515625" hidden="1" customWidth="1"/>
    <col min="48" max="48" width="13.28515625" style="61" bestFit="1" customWidth="1" hidden="1"/>
    <col min="49" max="49" width="3.5703125" customWidth="1" hidden="1"/>
    <col min="50" max="50" width="13.28515625" bestFit="1" customWidth="1" hidden="1"/>
    <col min="51" max="51" width="13.28515625" customWidth="1" hidden="1"/>
    <col min="52" max="52" width="40.5703125" customWidth="1" hidden="1"/>
    <col min="53" max="53" width="13.28515625" customWidth="1" hidden="1"/>
    <col min="54" max="54" width="13.28515625" hidden="1" customWidth="1"/>
    <col min="55" max="55" width="13.28515625" hidden="1" customWidth="1"/>
    <col min="56" max="56" width="13.28515625" bestFit="1" customWidth="1" hidden="1"/>
    <col min="57" max="57" width="3.5703125" customWidth="1" hidden="1"/>
    <col min="58" max="58" width="13.28515625" style="61" bestFit="1" customWidth="1" hidden="1"/>
    <col min="59" max="59" width="13.28515625" style="61" customWidth="1" hidden="1"/>
    <col min="60" max="60" width="40.5703125" style="61" customWidth="1" hidden="1"/>
    <col min="61" max="61" width="13.28515625" style="61" customWidth="1" hidden="1"/>
    <col min="62" max="62" width="13.28515625" hidden="1" customWidth="1"/>
    <col min="63" max="63" width="13.28515625" hidden="1" customWidth="1"/>
    <col min="64" max="64" width="13.28515625" style="61" bestFit="1" customWidth="1" hidden="1"/>
    <col min="65" max="65" width="3.5703125"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J2" s="62" t="s">
        <v>67</v>
      </c>
      <c r="R2" s="4" t="s">
        <v>70</v>
      </c>
      <c r="Z2" s="62" t="s">
        <v>71</v>
      </c>
      <c r="AH2" s="4" t="s">
        <v>77</v>
      </c>
      <c r="AP2" s="62" t="s">
        <v>74</v>
      </c>
      <c r="AX2" s="4" t="s">
        <v>81</v>
      </c>
      <c r="BF2" s="62" t="s">
        <v>82</v>
      </c>
    </row>
    <row r="3"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t="s">
        <v>263</v>
      </c>
      <c r="C4" s="45" t="s">
        <v>499</v>
      </c>
    </row>
    <row r="5" spans="1:64" x14ac:dyDescent="0.25">
      <c r="A5" t="s">
        <v>346</v>
      </c>
      <c r="C5">
        <f>'General Information'!D26</f>
        <v>0</v>
      </c>
      <c r="D5" t="s">
        <v>6</v>
      </c>
    </row>
    <row r="6" spans="1:64" x14ac:dyDescent="0.25">
      <c r="A6" t="s">
        <v>262</v>
      </c>
      <c r="C6">
        <f>'General Information'!D25</f>
        <v>0</v>
      </c>
      <c r="AH6" t="s">
        <v>355</v>
      </c>
      <c r="AI6">
        <v>2</v>
      </c>
      <c r="AJ6" t="s">
        <v>356</v>
      </c>
    </row>
    <row r="7" spans="1:64" x14ac:dyDescent="0.25">
      <c r="A7" t="s">
        <v>324</v>
      </c>
      <c r="C7" s="91" t="s">
        <v>276</v>
      </c>
      <c r="D7" t="s">
        <v>476</v>
      </c>
      <c r="AH7" t="s">
        <v>357</v>
      </c>
      <c r="AI7">
        <v>120</v>
      </c>
      <c r="AJ7" t="s">
        <v>358</v>
      </c>
    </row>
    <row r="8" spans="1:64" x14ac:dyDescent="0.25">
      <c r="A8" t="s">
        <v>345</v>
      </c>
      <c r="C8">
        <f>'General Information'!D28</f>
        <v>0</v>
      </c>
      <c r="D8" t="s">
        <v>12</v>
      </c>
    </row>
    <row r="9" spans="1:64" x14ac:dyDescent="0.25">
      <c r="C9" s="45"/>
      <c r="AH9" t="s">
        <v>353</v>
      </c>
      <c r="AI9">
        <v>7.0000000000000007E-2</v>
      </c>
      <c r="AJ9" t="s">
        <v>354</v>
      </c>
    </row>
    <row r="10" spans="1:64" x14ac:dyDescent="0.25">
      <c r="D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v>0</v>
      </c>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IF(L13="","N/A",IF(INDEX(UnitCostGrid,MATCH(L13,PayItemKeys,0),$I$11)="",INDEX(UnitCostGrid,MATCH(L13,PayItemKeys,0),1),INDEX(UnitCostGrid,MATCH(L13,PayItemKeys,0),$I$11)))</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IF(T13="","N/A",IF(INDEX(UnitCostGrid,MATCH(T13,PayItemKeys,0),$I$11)="",INDEX(UnitCostGrid,MATCH(T13,PayItemKeys,0),1),INDEX(UnitCostGrid,MATCH(T13,PayItemKeys,0),$I$11)))</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IF(AB13="","N/A",IF(INDEX(UnitCostGrid,MATCH(AB13,PayItemKeys,0),$I$11)="",INDEX(UnitCostGrid,MATCH(AB13,PayItemKeys,0),1),INDEX(UnitCostGrid,MATCH(AB13,PayItemKeys,0),$I$11)))</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IF(AJ13="","N/A",IF(INDEX(UnitCostGrid,MATCH(AJ13,PayItemKeys,0),$I$11)="",INDEX(UnitCostGrid,MATCH(AJ13,PayItemKeys,0),1),INDEX(UnitCostGrid,MATCH(AJ13,PayItemKeys,0),$I$11)))</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IF(AR13="","N/A",IF(INDEX(UnitCostGrid,MATCH(AR13,PayItemKeys,0),$I$11)="",INDEX(UnitCostGrid,MATCH(AR13,PayItemKeys,0),1),INDEX(UnitCostGrid,MATCH(AR13,PayItemKeys,0),$I$11)))</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IF(AZ13="","N/A",IF(INDEX(UnitCostGrid,MATCH(AZ13,PayItemKeys,0),$I$11)="",INDEX(UnitCostGrid,MATCH(AZ13,PayItemKeys,0),1),INDEX(UnitCostGrid,MATCH(AZ13,PayItemKeys,0),$I$11)))</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IF(BH13="","N/A",IF(INDEX(UnitCostGrid,MATCH(BH13,PayItemKeys,0),$I$11)="",INDEX(UnitCostGrid,MATCH(BH13,PayItemKeys,0),1),INDEX(UnitCostGrid,MATCH(BH13,PayItemKeys,0),$I$11)))</f>
        <v>4</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v>0</v>
      </c>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IF(T14="","N/A",IF(INDEX(UnitCostGrid,MATCH(T14,PayItemKeys,0),$I$11)="",INDEX(UnitCostGrid,MATCH(T14,PayItemKeys,0),1),INDEX(UnitCostGrid,MATCH(T14,PayItemKeys,0),$I$11)))</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IF(AB14="","N/A",IF(INDEX(UnitCostGrid,MATCH(AB14,PayItemKeys,0),$I$11)="",INDEX(UnitCostGrid,MATCH(AB14,PayItemKeys,0),1),INDEX(UnitCostGrid,MATCH(AB14,PayItemKeys,0),$I$11)))</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IF(AJ14="","N/A",IF(INDEX(UnitCostGrid,MATCH(AJ14,PayItemKeys,0),$I$11)="",INDEX(UnitCostGrid,MATCH(AJ14,PayItemKeys,0),1),INDEX(UnitCostGrid,MATCH(AJ14,PayItemKeys,0),$I$11)))</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IF(AR14="","N/A",IF(INDEX(UnitCostGrid,MATCH(AR14,PayItemKeys,0),$I$11)="",INDEX(UnitCostGrid,MATCH(AR14,PayItemKeys,0),1),INDEX(UnitCostGrid,MATCH(AR14,PayItemKeys,0),$I$11)))</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IF(AZ14="","N/A",IF(INDEX(UnitCostGrid,MATCH(AZ14,PayItemKeys,0),$I$11)="",INDEX(UnitCostGrid,MATCH(AZ14,PayItemKeys,0),1),INDEX(UnitCostGrid,MATCH(AZ14,PayItemKeys,0),$I$11)))</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IF(BH14="","N/A",IF(INDEX(UnitCostGrid,MATCH(BH14,PayItemKeys,0),$I$11)="",INDEX(UnitCostGrid,MATCH(BH14,PayItemKeys,0),1),INDEX(UnitCostGrid,MATCH(BH14,PayItemKeys,0),$I$11)))</f>
        <v>0.77777777777777779</v>
      </c>
      <c r="BL14" s="63">
        <f>BK14*BJ14</f>
        <v>0</v>
      </c>
    </row>
    <row r="15" spans="1:64" ht="19.5" customHeight="1" x14ac:dyDescent="0.25">
      <c r="A15">
        <v>3</v>
      </c>
      <c r="B15" s="71">
        <f>IF(C15="","",VLOOKUP(C15,CHOOSE({1,2},Table2[Pay Item Description],Table2[Pay Item No.]),2,0))</f>
      </c>
      <c r="C15" s="70" t="s">
        <v>481</v>
      </c>
      <c r="D15" s="3" t="str">
        <f>IF(C15="","N/A",VLOOKUP(C15,CHOOSE({1,2},Table2[Pay Item Description],Table2[Units]),2,0))</f>
        <v>N/A</v>
      </c>
      <c r="E15" s="76">
        <v>0</v>
      </c>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IF(L15="","N/A",IF(INDEX(UnitCostGrid,MATCH(L15,PayItemKeys,0),$I$11)="",INDEX(UnitCostGrid,MATCH(L15,PayItemKeys,0),1),INDEX(UnitCostGrid,MATCH(L15,PayItemKeys,0),$I$11)))</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IF(T15="","N/A",IF(INDEX(UnitCostGrid,MATCH(T15,PayItemKeys,0),$I$11)="",INDEX(UnitCostGrid,MATCH(T15,PayItemKeys,0),1),INDEX(UnitCostGrid,MATCH(T15,PayItemKeys,0),$I$11)))</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IF(AB15="","N/A",IF(INDEX(UnitCostGrid,MATCH(AB15,PayItemKeys,0),$I$11)="",INDEX(UnitCostGrid,MATCH(AB15,PayItemKeys,0),1),INDEX(UnitCostGrid,MATCH(AB15,PayItemKeys,0),$I$11)))</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IF(AJ15="","N/A",IF(INDEX(UnitCostGrid,MATCH(AJ15,PayItemKeys,0),$I$11)="",INDEX(UnitCostGrid,MATCH(AJ15,PayItemKeys,0),1),INDEX(UnitCostGrid,MATCH(AJ15,PayItemKeys,0),$I$11)))</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IF(AR15="","N/A",IF(INDEX(UnitCostGrid,MATCH(AR15,PayItemKeys,0),$I$11)="",INDEX(UnitCostGrid,MATCH(AR15,PayItemKeys,0),1),INDEX(UnitCostGrid,MATCH(AR15,PayItemKeys,0),$I$11)))</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IF(AZ15="","N/A",IF(INDEX(UnitCostGrid,MATCH(AZ15,PayItemKeys,0),$I$11)="",INDEX(UnitCostGrid,MATCH(AZ15,PayItemKeys,0),1),INDEX(UnitCostGrid,MATCH(AZ15,PayItemKeys,0),$I$11)))</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IF(BH15="","N/A",IF(INDEX(UnitCostGrid,MATCH(BH15,PayItemKeys,0),$I$11)="",INDEX(UnitCostGrid,MATCH(BH15,PayItemKeys,0),1),INDEX(UnitCostGrid,MATCH(BH15,PayItemKeys,0),$I$11)))</f>
        <v>0.66666666666666663</v>
      </c>
      <c r="BL15" s="63">
        <f>BK15*BJ15</f>
        <v>0</v>
      </c>
    </row>
    <row r="16" spans="1:64" ht="19.5" customHeight="1" x14ac:dyDescent="0.25">
      <c r="A16">
        <v>4</v>
      </c>
      <c r="B16" s="71">
        <f>IF(C16="","",VLOOKUP(C16,CHOOSE({1,2},Table2[Pay Item Description],Table2[Pay Item No.]),2,0))</f>
      </c>
      <c r="C16" s="70" t="s">
        <v>481</v>
      </c>
      <c r="D16" s="3" t="str">
        <f>IF(C16="","N/A",VLOOKUP(C16,CHOOSE({1,2},Table2[Pay Item Description],Table2[Units]),2,0))</f>
        <v>N/A</v>
      </c>
      <c r="E16" s="76">
        <v>0</v>
      </c>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IF(T16="","N/A",IF(INDEX(UnitCostGrid,MATCH(T16,PayItemKeys,0),$I$11)="",INDEX(UnitCostGrid,MATCH(T16,PayItemKeys,0),1),INDEX(UnitCostGrid,MATCH(T16,PayItemKeys,0),$I$11)))</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IF(AJ16="","N/A",IF(INDEX(UnitCostGrid,MATCH(AJ16,PayItemKeys,0),$I$11)="",INDEX(UnitCostGrid,MATCH(AJ16,PayItemKeys,0),1),INDEX(UnitCostGrid,MATCH(AJ16,PayItemKeys,0),$I$11)))</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IF(AZ16="","N/A",IF(INDEX(UnitCostGrid,MATCH(AZ16,PayItemKeys,0),$I$11)="",INDEX(UnitCostGrid,MATCH(AZ16,PayItemKeys,0),1),INDEX(UnitCostGrid,MATCH(AZ16,PayItemKeys,0),$I$11)))</f>
        <v>0.77777777777777779</v>
      </c>
      <c r="BD16" s="46">
        <f>BC16*BB16</f>
        <v>0</v>
      </c>
      <c r="BK16" s="61" t="s">
        <v>348</v>
      </c>
      <c r="BL16" s="63">
        <f>SUM(BL13:BL15)</f>
        <v>0</v>
      </c>
    </row>
    <row r="17" spans="1:64" ht="19.5" customHeight="1" x14ac:dyDescent="0.25">
      <c r="A17">
        <v>5</v>
      </c>
      <c r="B17" s="71">
        <f>IF(C17="","",VLOOKUP(C17,CHOOSE({1,2},Table2[Pay Item Description],Table2[Pay Item No.]),2,0))</f>
      </c>
      <c r="C17" s="70" t="s">
        <v>481</v>
      </c>
      <c r="D17" s="3" t="str">
        <f>IF(C17="","N/A",VLOOKUP(C17,CHOOSE({1,2},Table2[Pay Item Description],Table2[Units]),2,0))</f>
        <v>N/A</v>
      </c>
      <c r="E17" s="76">
        <v>0</v>
      </c>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IF(T17="","N/A",IF(INDEX(UnitCostGrid,MATCH(T17,PayItemKeys,0),$I$11)="",INDEX(UnitCostGrid,MATCH(T17,PayItemKeys,0),1),INDEX(UnitCostGrid,MATCH(T17,PayItemKeys,0),$I$11)))</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IF(AJ17="","N/A",IF(INDEX(UnitCostGrid,MATCH(AJ17,PayItemKeys,0),$I$11)="",INDEX(UnitCostGrid,MATCH(AJ17,PayItemKeys,0),1),INDEX(UnitCostGrid,MATCH(AJ17,PayItemKeys,0),$I$11)))</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IF(AZ17="","N/A",IF(INDEX(UnitCostGrid,MATCH(AZ17,PayItemKeys,0),$I$11)="",INDEX(UnitCostGrid,MATCH(AZ17,PayItemKeys,0),1),INDEX(UnitCostGrid,MATCH(AZ17,PayItemKeys,0),$I$11)))</f>
        <v>0.66666666666666663</v>
      </c>
      <c r="BD17" s="46">
        <f>BC17*BB17</f>
        <v>0</v>
      </c>
      <c r="BH17" s="61" t="s">
        <v>9</v>
      </c>
      <c r="BL17" s="63">
        <f>('General Information'!$D$36/100)*BL16</f>
        <v>0</v>
      </c>
    </row>
    <row r="18" spans="1:64" ht="19.5" customHeight="1" x14ac:dyDescent="0.25">
      <c r="A18">
        <v>6</v>
      </c>
      <c r="B18" s="71">
        <f>IF(C18="","",VLOOKUP(C18,CHOOSE({1,2},Table2[Pay Item Description],Table2[Pay Item No.]),2,0))</f>
      </c>
      <c r="C18" s="70" t="s">
        <v>481</v>
      </c>
      <c r="D18" s="3" t="str">
        <f>IF(C18="","N/A",VLOOKUP(C18,CHOOSE({1,2},Table2[Pay Item Description],Table2[Units]),2,0))</f>
        <v>N/A</v>
      </c>
      <c r="E18" s="76">
        <v>0</v>
      </c>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IF(AJ18="","N/A",IF(INDEX(UnitCostGrid,MATCH(AJ18,PayItemKeys,0),$I$11)="",INDEX(UnitCostGrid,MATCH(AJ18,PayItemKeys,0),1),INDEX(UnitCostGrid,MATCH(AJ18,PayItemKeys,0),$I$11)))</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IF(C19="","",VLOOKUP(C19,CHOOSE({1,2},Table2[Pay Item Description],Table2[Pay Item No.]),2,0))</f>
      </c>
      <c r="C19" s="70" t="s">
        <v>481</v>
      </c>
      <c r="D19" s="3" t="str">
        <f>IF(C19="","N/A",VLOOKUP(C19,CHOOSE({1,2},Table2[Pay Item Description],Table2[Units]),2,0))</f>
        <v>N/A</v>
      </c>
      <c r="E19" s="76">
        <v>0</v>
      </c>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IF(C20="","",VLOOKUP(C20,CHOOSE({1,2},Table2[Pay Item Description],Table2[Pay Item No.]),2,0))</f>
      </c>
      <c r="C20" s="70" t="s">
        <v>481</v>
      </c>
      <c r="D20" s="3" t="str">
        <f>IF(C20="","N/A",VLOOKUP(C20,CHOOSE({1,2},Table2[Pay Item Description],Table2[Units]),2,0))</f>
        <v>N/A</v>
      </c>
      <c r="E20" s="76">
        <v>0</v>
      </c>
      <c r="F20" s="75" t="str">
        <f>IF(C20="","N/A",IF(INDEX(UnitCostGrid,MATCH(C20,PayItemKeys,0),$I$11)="",INDEX(UnitCostGrid,MATCH(C20,PayItemKeys,0),1),INDEX(UnitCostGrid,MATCH(C20,PayItemKeys,0),$I$11)))</f>
        <v>N/A</v>
      </c>
      <c r="G20" s="72">
        <f t="shared" si="0"/>
        <v>0</v>
      </c>
      <c r="I20" s="196">
        <f>IF(C20="","",IF(INDEX(UnitCostGrid,MATCH(C20,PayItemKeys,0),$I$11)="",0,1))</f>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IF(C21="","",VLOOKUP(C21,CHOOSE({1,2},Table2[Pay Item Description],Table2[Pay Item No.]),2,0))</f>
      </c>
      <c r="C21" s="70" t="s">
        <v>481</v>
      </c>
      <c r="D21" s="3" t="str">
        <f>IF(C21="","N/A",VLOOKUP(C21,CHOOSE({1,2},Table2[Pay Item Description],Table2[Units]),2,0))</f>
        <v>N/A</v>
      </c>
      <c r="E21" s="76">
        <v>0</v>
      </c>
      <c r="F21" s="75" t="str">
        <f>IF(C21="","N/A",IF(INDEX(UnitCostGrid,MATCH(C21,PayItemKeys,0),$I$11)="",INDEX(UnitCostGrid,MATCH(C21,PayItemKeys,0),1),INDEX(UnitCostGrid,MATCH(C21,PayItemKeys,0),$I$11)))</f>
        <v>N/A</v>
      </c>
      <c r="G21" s="72">
        <f t="shared" si="0"/>
        <v>0</v>
      </c>
      <c r="I21" s="196">
        <f>IF(C21="","",IF(INDEX(UnitCostGrid,MATCH(C21,PayItemKeys,0),$I$11)="",0,1))</f>
      </c>
      <c r="W21" t="s">
        <v>349</v>
      </c>
      <c r="X21" s="46">
        <f>SUM(X18:X20)</f>
        <v>0</v>
      </c>
      <c r="AJ21" t="s">
        <v>323</v>
      </c>
      <c r="AN21" s="46">
        <f>('General Information'!$D$37/100)*AN19</f>
        <v>0</v>
      </c>
      <c r="BC21" t="s">
        <v>349</v>
      </c>
      <c r="BD21" s="46">
        <f>SUM(BD18:BD20)</f>
        <v>0</v>
      </c>
    </row>
    <row r="22" spans="1:64" ht="19.5" customHeight="1" x14ac:dyDescent="0.25">
      <c r="A22">
        <v>10</v>
      </c>
      <c r="B22" s="71">
        <f>IF(C22="","",VLOOKUP(C22,CHOOSE({1,2},Table2[Pay Item Description],Table2[Pay Item No.]),2,0))</f>
      </c>
      <c r="C22" s="70" t="s">
        <v>481</v>
      </c>
      <c r="D22" s="3" t="str">
        <f>IF(C22="","N/A",VLOOKUP(C22,CHOOSE({1,2},Table2[Pay Item Description],Table2[Units]),2,0))</f>
        <v>N/A</v>
      </c>
      <c r="E22" s="76">
        <v>0</v>
      </c>
      <c r="F22" s="75" t="str">
        <f>IF(C22="","N/A",IF(INDEX(UnitCostGrid,MATCH(C22,PayItemKeys,0),$I$11)="",INDEX(UnitCostGrid,MATCH(C22,PayItemKeys,0),1),INDEX(UnitCostGrid,MATCH(C22,PayItemKeys,0),$I$11)))</f>
        <v>N/A</v>
      </c>
      <c r="G22" s="72">
        <f t="shared" si="0"/>
        <v>0</v>
      </c>
      <c r="I22" s="196">
        <f>IF(C22="","",IF(INDEX(UnitCostGrid,MATCH(C22,PayItemKeys,0),$I$11)="",0,1))</f>
      </c>
      <c r="AM22" t="s">
        <v>349</v>
      </c>
      <c r="AN22" s="46">
        <f>SUM(AN19:AN21)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s="4" customFormat="1" x14ac:dyDescent="0.25">
      <c r="A27" s="4" t="s">
        <v>349</v>
      </c>
      <c r="G27" s="89">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c r="A33" s="4" t="s">
        <v>507</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77</v>
      </c>
      <c r="C40" s="57">
        <f>'Maintenance Policies'!E59</f>
        <v>16</v>
      </c>
      <c r="D40" s="58">
        <f>AN22</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Policies'!D71*AN22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0</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0</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0</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0</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0</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0</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0</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0</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0</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0</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workbookViewId="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2A78D6"/>
    <pageSetUpPr fitToPage="1"/>
  </sheetPr>
  <dimension ref="A1:AJ321"/>
  <sheetViews>
    <sheetView workbookViewId="0">
      <pane ySplit="11" topLeftCell="A12" activePane="bottomLeft" state="frozen"/>
      <selection pane="bottomLeft" activeCell="A1" sqref="A1"/>
    </sheetView>
  </sheetViews>
  <sheetFormatPr baseColWidth="8" defaultRowHeight="15"/>
  <cols>
    <col hidden="1" width="22" customWidth="1" min="1" max="1"/>
    <col hidden="1" width="32" customWidth="1" min="2" max="2"/>
    <col hidden="1" width="17" customWidth="1" min="3" max="3"/>
    <col hidden="1" width="17" customWidth="1" min="4" max="4"/>
    <col hidden="1" width="34" customWidth="1" min="5" max="5"/>
    <col hidden="1" width="3" customWidth="1" min="6" max="6"/>
    <col width="16" customWidth="1" min="7" max="7"/>
    <col width="20" customWidth="1" min="8" max="8"/>
    <col width="12" customWidth="1" min="9" max="9"/>
    <col width="13" customWidth="1" min="10" max="10"/>
    <col width="13" customWidth="1" min="11" max="11"/>
    <col width="13" customWidth="1" min="12" max="12"/>
    <col width="13" customWidth="1" min="13" max="13"/>
    <col width="13" customWidth="1" min="14" max="14"/>
    <col width="13" customWidth="1" min="15" max="15"/>
    <col width="21" customWidth="1" min="16" max="16"/>
    <col width="21" customWidth="1" min="17" max="17"/>
    <col width="12"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40" customHeight="1">
      <c r="G1" s="119">
        <f>HYPERLINK("#'General Information'!D9","◄ General Information")</f>
        <v/>
      </c>
      <c r="H1" s="120">
        <f>HYPERLINK("#Instructions!B9","Instructions")</f>
        <v/>
      </c>
      <c r="J1" s="121" t="inlineStr">
        <is>
          <t>LCCA SUMMARY</t>
        </is>
      </c>
      <c r="M1" s="211" t="inlineStr">
        <is>
          <t>STEP 5 of 5</t>
        </is>
      </c>
      <c r="W1" s="122" t="inlineStr">
        <is>
          <t>CHART DATA (calculated automatically from the table on the left; do not edit)</t>
        </is>
      </c>
    </row>
    <row r="2" ht="17" customHeight="1">
      <c r="G2" s="122">
        <f>IF('General Information'!$D$9="","No airport selected yet: pick one on General Information.",'General Information'!$D$9&amp;" ("&amp;'General Information'!$D$10&amp;")  |  "&amp;'General Information'!$D$11&amp;", "&amp;'General Information'!$D$13&amp;" region"&amp;IF('General Information'!$D$22="",""," |  "&amp;'General Information'!$D$22)&amp;IF('General Information'!$D$23="",""," ("&amp;'General Information'!$D$23&amp;")")&amp;"  |  construction "&amp;TEXT('General Information'!$D$25,"0")&amp;"  |  "&amp;TEXT('General Information'!$D$33,"0")&amp;" years at "&amp;TEXT('General Information'!$D$34,"0.##")&amp;"%")</f>
        <v/>
      </c>
      <c r="S2" s="123" t="inlineStr">
        <is>
          <t>PROJECT LOCATION</t>
        </is>
      </c>
      <c r="T2" s="123" t="n"/>
      <c r="U2" s="123" t="n"/>
      <c r="V2" s="123" t="n"/>
    </row>
    <row r="3" ht="15" customHeight="1">
      <c r="A3" s="124" t="inlineStr">
        <is>
          <t>Alternative</t>
        </is>
      </c>
      <c r="B3" s="124" t="inlineStr">
        <is>
          <t>Name</t>
        </is>
      </c>
      <c r="C3" s="124" t="inlineStr">
        <is>
          <t>Initial Construction</t>
        </is>
      </c>
      <c r="D3" s="124" t="inlineStr">
        <is>
          <t>Present Worth</t>
        </is>
      </c>
      <c r="E3" s="124" t="inlineStr">
        <is>
          <t>Alternative Description</t>
        </is>
      </c>
      <c r="G3" s="125" t="inlineStr">
        <is>
          <t>LOWEST PRESENT WORTH</t>
        </is>
      </c>
      <c r="H3" s="126" t="n"/>
      <c r="I3" s="127" t="n"/>
      <c r="J3" s="125" t="inlineStr">
        <is>
          <t>MARGIN TO NEXT</t>
        </is>
      </c>
      <c r="K3" s="126" t="n"/>
      <c r="L3" s="126" t="n"/>
      <c r="M3" s="127" t="n"/>
      <c r="N3" s="125" t="inlineStr">
        <is>
          <t>EQUIVALENT ANNUAL COST</t>
        </is>
      </c>
      <c r="O3" s="126" t="n"/>
      <c r="P3" s="126" t="n"/>
      <c r="Q3" s="127" t="n"/>
      <c r="W3" s="122" t="inlineStr">
        <is>
          <t>Present worth by category</t>
        </is>
      </c>
    </row>
    <row r="4" ht="29" customHeight="1">
      <c r="G4" s="128">
        <f>IF(COUNT($O$12:$O$15)=0,"-",TEXT(MIN($O$12:$O$15),"$#,##0"))</f>
        <v/>
      </c>
      <c r="H4" s="129" t="n"/>
      <c r="I4" s="130" t="n"/>
      <c r="J4" s="128">
        <f>IF(COUNT($O$12:$O$15)&lt;2,"-",TEXT(IF(COUNT($O$12:$O$15)&lt;2,0,SMALL($O$12:$O$15,2)-MIN($O$12:$O$15)),"$#,##0"))</f>
        <v/>
      </c>
      <c r="K4" s="129" t="n"/>
      <c r="L4" s="129" t="n"/>
      <c r="M4" s="130" t="n"/>
      <c r="N4" s="128">
        <f>IF(COUNT($O$12:$O$15)=0,"-",TEXT(MIN($O$12:$O$15)*(('General Information'!$D$34/100)*(1+'General Information'!$D$34/100)^'General Information'!$D$33/((1+'General Information'!$D$34/100)^'General Information'!$D$33-1)),"$#,##0"))</f>
        <v/>
      </c>
      <c r="O4" s="129" t="n"/>
      <c r="P4" s="129" t="n"/>
      <c r="Q4" s="130" t="n"/>
      <c r="W4" s="124" t="inlineStr">
        <is>
          <t>Category</t>
        </is>
      </c>
      <c r="X4" s="124">
        <f>IF($H$12="","",$H$12)</f>
        <v/>
      </c>
      <c r="Y4" s="124">
        <f>IF($H$13="","",$H$13)</f>
        <v/>
      </c>
      <c r="Z4" s="124">
        <f>IF($H$14="","",$H$14)</f>
        <v/>
      </c>
      <c r="AA4" s="124">
        <f>IF($H$15="","",$H$15)</f>
        <v/>
      </c>
    </row>
    <row r="5" ht="16" customHeight="1">
      <c r="G5" s="131">
        <f>IF(COUNT($O$12:$O$15)=0,"No alternatives yet",INDEX($H$12:$H$15,MATCH(MIN($O$12:$O$15),$O$12:$O$15,0))&amp;IF(INDEX($P$93:$P$96,MATCH(MIN($O$12:$O$15),$O$12:$O$15,0))="",""," - "&amp;INDEX($P$93:$P$96,MATCH(MIN($O$12:$O$15),$O$12:$O$15,0))))</f>
        <v/>
      </c>
      <c r="H5" s="132" t="n"/>
      <c r="I5" s="133" t="n"/>
      <c r="J5" s="131">
        <f>IF(COUNT($O$12:$O$15)&lt;2,"only one alternative so far",TEXT(IF(COUNT($O$12:$O$15)&lt;2,0,SMALL($O$12:$O$15,2)-MIN($O$12:$O$15))/MIN($O$12:$O$15),"0.0%")&amp;IF(IF(COUNT($O$12:$O$15)&lt;2,0,SMALL($O$12:$O$15,2)-MIN($O$12:$O$15))/MIN($O$12:$O$15)&lt;0.05," - under 5%, treat the two as tied"," of the lowest present worth"))</f>
        <v/>
      </c>
      <c r="K5" s="132" t="n"/>
      <c r="L5" s="132" t="n"/>
      <c r="M5" s="133" t="n"/>
      <c r="N5" s="131">
        <f>"per year, "&amp;'General Information'!$D$33&amp;" years at "&amp;'General Information'!$D$34&amp;"%"</f>
        <v/>
      </c>
      <c r="O5" s="132" t="n"/>
      <c r="P5" s="132" t="n"/>
      <c r="Q5" s="133" t="n"/>
      <c r="W5" s="134" t="inlineStr">
        <is>
          <t>Initial construction</t>
        </is>
      </c>
      <c r="X5" s="135">
        <f>IF(J12="",0,J12)</f>
        <v/>
      </c>
      <c r="Y5" s="135">
        <f>IF(J13="",0,J13)</f>
        <v/>
      </c>
      <c r="Z5" s="135">
        <f>IF(J14="",0,J14)</f>
        <v/>
      </c>
      <c r="AA5" s="135">
        <f>IF(J15="",0,J15)</f>
        <v/>
      </c>
    </row>
    <row r="6" ht="7" customHeight="1">
      <c r="W6" s="134" t="inlineStr">
        <is>
          <t>Maintenance</t>
        </is>
      </c>
      <c r="X6" s="135">
        <f>IF(K12="",0,K12)</f>
        <v/>
      </c>
      <c r="Y6" s="135">
        <f>IF(K13="",0,K13)</f>
        <v/>
      </c>
      <c r="Z6" s="135">
        <f>IF(K14="",0,K14)</f>
        <v/>
      </c>
      <c r="AA6" s="135">
        <f>IF(K15="",0,K15)</f>
        <v/>
      </c>
    </row>
    <row r="7" ht="15" customHeight="1">
      <c r="G7" s="125" t="inlineStr">
        <is>
          <t>INITIAL CONSTRUCTION</t>
        </is>
      </c>
      <c r="H7" s="126" t="n"/>
      <c r="I7" s="127" t="n"/>
      <c r="J7" s="125" t="inlineStr">
        <is>
          <t>UNIT COST</t>
        </is>
      </c>
      <c r="K7" s="126" t="n"/>
      <c r="L7" s="126" t="n"/>
      <c r="M7" s="127" t="n"/>
      <c r="N7" s="125" t="inlineStr">
        <is>
          <t>RATE SENSITIVITY</t>
        </is>
      </c>
      <c r="O7" s="126" t="n"/>
      <c r="P7" s="126" t="n"/>
      <c r="Q7" s="127" t="n"/>
      <c r="W7" s="134" t="inlineStr">
        <is>
          <t>Rehabilitation</t>
        </is>
      </c>
      <c r="X7" s="135">
        <f>IF(L12="",0,L12)</f>
        <v/>
      </c>
      <c r="Y7" s="135">
        <f>IF(L13="",0,L13)</f>
        <v/>
      </c>
      <c r="Z7" s="135">
        <f>IF(L14="",0,L14)</f>
        <v/>
      </c>
      <c r="AA7" s="135">
        <f>IF(L15="",0,L15)</f>
        <v/>
      </c>
    </row>
    <row r="8" ht="29" customHeight="1">
      <c r="G8" s="128">
        <f>IF(COUNT($O$12:$O$15)=0,"-",TEXT(INDEX($J$12:$J$15,MATCH(MIN($O$12:$O$15),$O$12:$O$15,0)),"$#,##0"))</f>
        <v/>
      </c>
      <c r="H8" s="129" t="n"/>
      <c r="I8" s="130" t="n"/>
      <c r="J8" s="128">
        <f>IF(OR(COUNT($O$12:$O$15)=0,'General Information'!$D$26=0,'General Information'!$D$26=""),"-",TEXT(INDEX($J$12:$J$15,MATCH(MIN($O$12:$O$15),$O$12:$O$15,0))/'General Information'!$D$26,"$#,##0")&amp;" / S.Y.")</f>
        <v/>
      </c>
      <c r="K8" s="129" t="n"/>
      <c r="L8" s="129" t="n"/>
      <c r="M8" s="130" t="n"/>
      <c r="N8" s="128">
        <f>IF(COUNT($O$12:$O$15)&lt;2,"-",IF(COUNTIF($AB$12:$AB$36,INDEX($H$12:$H$15,MATCH(MIN($O$12:$O$15),$O$12:$O$15,0)))=25,"holds 2-8%","the winner changes"))</f>
        <v/>
      </c>
      <c r="O8" s="129" t="n"/>
      <c r="P8" s="129" t="n"/>
      <c r="Q8" s="130" t="n"/>
      <c r="W8" s="134" t="inlineStr">
        <is>
          <t>Lost revenue</t>
        </is>
      </c>
      <c r="X8" s="135">
        <f>IF(M12="",0,M12)</f>
        <v/>
      </c>
      <c r="Y8" s="135">
        <f>IF(M13="",0,M13)</f>
        <v/>
      </c>
      <c r="Z8" s="135">
        <f>IF(M14="",0,M14)</f>
        <v/>
      </c>
      <c r="AA8" s="135">
        <f>IF(M15="",0,M15)</f>
        <v/>
      </c>
    </row>
    <row r="9" ht="16" customHeight="1">
      <c r="G9" s="131" t="inlineStr">
        <is>
          <t>lowest initial construction cost</t>
        </is>
      </c>
      <c r="H9" s="132" t="n"/>
      <c r="I9" s="133" t="n"/>
      <c r="J9" s="131" t="inlineStr">
        <is>
          <t>per S.Y. of mainline area</t>
        </is>
      </c>
      <c r="K9" s="132" t="n"/>
      <c r="L9" s="132" t="n"/>
      <c r="M9" s="133" t="n"/>
      <c r="N9" s="131">
        <f>IF(COUNT($O$12:$O$15)&lt;2,"needs two alternatives",IF(COUNTIF($AB$12:$AB$36,INDEX($H$12:$H$15,MATCH(MIN($O$12:$O$15),$O$12:$O$15,0)))=25,"the same alternative is lowest at all 25 rates tested, 2% to 8%","the lowest-cost alternative is not the same at every rate: see chart 2"))</f>
        <v/>
      </c>
      <c r="O9" s="132" t="n"/>
      <c r="P9" s="132" t="n"/>
      <c r="Q9" s="133" t="n"/>
      <c r="W9" s="134" t="inlineStr">
        <is>
          <t>Salvage</t>
        </is>
      </c>
      <c r="X9" s="135">
        <f>IF(N12="",0,N12)</f>
        <v/>
      </c>
      <c r="Y9" s="135">
        <f>IF(N13="",0,N13)</f>
        <v/>
      </c>
      <c r="Z9" s="135">
        <f>IF(N14="",0,N14)</f>
        <v/>
      </c>
      <c r="AA9" s="135">
        <f>IF(N15="",0,N15)</f>
        <v/>
      </c>
    </row>
    <row r="10" ht="26" customHeight="1">
      <c r="G10" s="208">
        <f>IF(COUNT($O$12:$O$15)=0,"No alternatives yet. Add them from General Information and this line names the winner.","Lowest present worth:  "&amp;INDEX($H$12:$H$15,MATCH(MIN($O$12:$O$15),$O$12:$O$15,0))&amp;"     "&amp;TEXT(MIN($O$12:$O$15),"$#,##0")&amp;"     "&amp;IF(COUNT($O$12:$O$15)&lt;2,"only one alternative so far",TEXT(SMALL($O$12:$O$15,2)-MIN($O$12:$O$15),"$#,##0")&amp;" ahead of the next"))</f>
        <v/>
      </c>
      <c r="W10" s="122" t="inlineStr">
        <is>
          <t>Net present worth vs. discount rate</t>
        </is>
      </c>
    </row>
    <row r="11">
      <c r="G11" s="209" t="inlineStr">
        <is>
          <t>Worksheet</t>
        </is>
      </c>
      <c r="H11" s="209" t="inlineStr">
        <is>
          <t>Alternative</t>
        </is>
      </c>
      <c r="I11" s="209" t="inlineStr">
        <is>
          <t>Type</t>
        </is>
      </c>
      <c r="J11" s="209" t="inlineStr">
        <is>
          <t>Initial construction</t>
        </is>
      </c>
      <c r="K11" s="209" t="inlineStr">
        <is>
          <t>Maintenance PW</t>
        </is>
      </c>
      <c r="L11" s="209" t="inlineStr">
        <is>
          <t>Rehabilitation PW</t>
        </is>
      </c>
      <c r="M11" s="209" t="inlineStr">
        <is>
          <t>Lost revenue PW</t>
        </is>
      </c>
      <c r="N11" s="209" t="inlineStr">
        <is>
          <t>Salvage PW</t>
        </is>
      </c>
      <c r="O11" s="209" t="inlineStr">
        <is>
          <t>Net present worth</t>
        </is>
      </c>
      <c r="P11" s="209" t="inlineStr">
        <is>
          <t>vs. lowest NPW</t>
        </is>
      </c>
      <c r="Q11" s="209" t="inlineStr">
        <is>
          <t>Closure days in period</t>
        </is>
      </c>
      <c r="R11" s="209" t="inlineStr">
        <is>
          <t>Runway availability</t>
        </is>
      </c>
      <c r="W11" s="124" t="inlineStr">
        <is>
          <t>Rate (%)</t>
        </is>
      </c>
      <c r="X11" s="124">
        <f>IF(X$4="","",X$4)</f>
        <v/>
      </c>
      <c r="Y11" s="124">
        <f>IF(Y$4="","",Y$4)</f>
        <v/>
      </c>
      <c r="Z11" s="124">
        <f>IF(Z$4="","",Z$4)</f>
        <v/>
      </c>
      <c r="AA11" s="124">
        <f>IF(AA$4="","",AA$4)</f>
        <v/>
      </c>
      <c r="AB11" s="122" t="inlineStr">
        <is>
          <t>Lowest at this rate</t>
        </is>
      </c>
    </row>
    <row r="12">
      <c r="G12" s="137">
        <f>IF(INDEX(Database!$D:$D,4)="","",INDEX(Database!$D:$D,4))</f>
        <v/>
      </c>
      <c r="H12" s="137">
        <f>IF($G12="","",INDEX(Database!$A:$A,4))</f>
        <v/>
      </c>
      <c r="I12" s="137">
        <f>IF($G12="","",INDEX(Database!$B:$B,4))</f>
        <v/>
      </c>
      <c r="J12" s="138">
        <f>IF($G12="","",IFERROR(INDEX(INDIRECT("'"&amp;$G12&amp;"'!$G$1:$G$70"),MATCH("Total",INDIRECT("'"&amp;$G12&amp;"'!$A$1:$A$70"),0)),0))</f>
        <v/>
      </c>
      <c r="K12" s="138">
        <f>IF($G12="","",IFERROR(SUMIFS(INDIRECT("'"&amp;$G12&amp;"'!$E$37:$E$52"),INDIRECT("'"&amp;$G12&amp;"'!$B$37:$B$52"),"Maintenance*",INDIRECT("'"&amp;$G12&amp;"'!$B$37:$B$52"),"&lt;&gt;*Indirect*"),0))</f>
        <v/>
      </c>
      <c r="L12" s="138">
        <f>IF($G12="","",IFERROR(SUMIFS(INDIRECT("'"&amp;$G12&amp;"'!$E$37:$E$52"),INDIRECT("'"&amp;$G12&amp;"'!$B$37:$B$52"),"Rehabilitation*",INDIRECT("'"&amp;$G12&amp;"'!$B$37:$B$52"),"&lt;&gt;*Indirect*"),0))</f>
        <v/>
      </c>
      <c r="M12" s="138">
        <f>IF($G12="","",IFERROR(SUMIFS(INDIRECT("'"&amp;$G12&amp;"'!$E$37:$E$52"),INDIRECT("'"&amp;$G12&amp;"'!$B$37:$B$52"),"*Indirect*"),0))</f>
        <v/>
      </c>
      <c r="N12" s="138">
        <f>IF($G12="","",IFERROR(SUMIFS(INDIRECT("'"&amp;$G12&amp;"'!$E$37:$E$52"),INDIRECT("'"&amp;$G12&amp;"'!$B$37:$B$52"),"Salvage*"),0))</f>
        <v/>
      </c>
      <c r="O12" s="138">
        <f>IF($G12="","",IFERROR(INDEX(INDIRECT("'"&amp;$G12&amp;"'!$E$1:$E$70"),MATCH("Net Present Worth",INDIRECT("'"&amp;$G12&amp;"'!$B$1:$B$70"),0)),0))</f>
        <v/>
      </c>
      <c r="P12" s="138">
        <f>IF($G12="","",O12-MIN($O$12:$O$15))</f>
        <v/>
      </c>
      <c r="Q12" s="137">
        <f>IF($G12="","",IF(IFERROR(INDIRECT("'"&amp;$G12&amp;"'!$F$2"),0)&gt;0,SUM($AG$41:$AG$71),IFERROR(SUM(INDIRECT("'"&amp;$G12&amp;"'!$F$4:$F$10")),0)))</f>
        <v/>
      </c>
      <c r="R12" s="139">
        <f>IF($G12="","",1-Q12/('General Information'!$D$33*365))</f>
        <v/>
      </c>
      <c r="W12" s="140" t="n">
        <v>2</v>
      </c>
      <c r="X12" s="135">
        <f>IF($G$12="",0,IFERROR($J$12+SUMPRODUCT((INDIRECT("'"&amp;$G$12&amp;"'!$C$37:$C$52")&lt;='General Information'!$D$33)*INDIRECT("'"&amp;$G$12&amp;"'!$D$37:$D$52")/(1+$W12/100)^INDIRECT("'"&amp;$G$12&amp;"'!$C$37:$C$52")),0))</f>
        <v/>
      </c>
      <c r="Y12" s="135">
        <f>IF($G$13="",0,IFERROR($J$13+SUMPRODUCT((INDIRECT("'"&amp;$G$13&amp;"'!$C$37:$C$52")&lt;='General Information'!$D$33)*INDIRECT("'"&amp;$G$13&amp;"'!$D$37:$D$52")/(1+$W12/100)^INDIRECT("'"&amp;$G$13&amp;"'!$C$37:$C$52")),0))</f>
        <v/>
      </c>
      <c r="Z12" s="135">
        <f>IF($G$14="",0,IFERROR($J$14+SUMPRODUCT((INDIRECT("'"&amp;$G$14&amp;"'!$C$37:$C$52")&lt;='General Information'!$D$33)*INDIRECT("'"&amp;$G$14&amp;"'!$D$37:$D$52")/(1+$W12/100)^INDIRECT("'"&amp;$G$14&amp;"'!$C$37:$C$52")),0))</f>
        <v/>
      </c>
      <c r="AA12" s="135">
        <f>IF($G$15="",0,IFERROR($J$15+SUMPRODUCT((INDIRECT("'"&amp;$G$15&amp;"'!$C$37:$C$52")&lt;='General Information'!$D$33)*INDIRECT("'"&amp;$G$15&amp;"'!$D$37:$D$52")/(1+$W12/100)^INDIRECT("'"&amp;$G$15&amp;"'!$C$37:$C$52")),0))</f>
        <v/>
      </c>
      <c r="AB12" s="134">
        <f>IF(COUNTIF($X12:$AA12,"&lt;&gt;0")=0,"",INDEX($H$12:$H$15,MATCH(SMALL($X12:$AA12,COUNTIF($X12:$AA12,0)+1),$X12:$AA12,0)))</f>
        <v/>
      </c>
    </row>
    <row r="13">
      <c r="G13" s="137">
        <f>IF(INDEX(Database!$D:$D,5)="","",INDEX(Database!$D:$D,5))</f>
        <v/>
      </c>
      <c r="H13" s="137">
        <f>IF($G13="","",INDEX(Database!$A:$A,5))</f>
        <v/>
      </c>
      <c r="I13" s="137">
        <f>IF($G13="","",INDEX(Database!$B:$B,5))</f>
        <v/>
      </c>
      <c r="J13" s="138">
        <f>IF($G13="","",IFERROR(INDEX(INDIRECT("'"&amp;$G13&amp;"'!$G$1:$G$70"),MATCH("Total",INDIRECT("'"&amp;$G13&amp;"'!$A$1:$A$70"),0)),0))</f>
        <v/>
      </c>
      <c r="K13" s="138">
        <f>IF($G13="","",IFERROR(SUMIFS(INDIRECT("'"&amp;$G13&amp;"'!$E$37:$E$52"),INDIRECT("'"&amp;$G13&amp;"'!$B$37:$B$52"),"Maintenance*",INDIRECT("'"&amp;$G13&amp;"'!$B$37:$B$52"),"&lt;&gt;*Indirect*"),0))</f>
        <v/>
      </c>
      <c r="L13" s="138">
        <f>IF($G13="","",IFERROR(SUMIFS(INDIRECT("'"&amp;$G13&amp;"'!$E$37:$E$52"),INDIRECT("'"&amp;$G13&amp;"'!$B$37:$B$52"),"Rehabilitation*",INDIRECT("'"&amp;$G13&amp;"'!$B$37:$B$52"),"&lt;&gt;*Indirect*"),0))</f>
        <v/>
      </c>
      <c r="M13" s="138">
        <f>IF($G13="","",IFERROR(SUMIFS(INDIRECT("'"&amp;$G13&amp;"'!$E$37:$E$52"),INDIRECT("'"&amp;$G13&amp;"'!$B$37:$B$52"),"*Indirect*"),0))</f>
        <v/>
      </c>
      <c r="N13" s="138">
        <f>IF($G13="","",IFERROR(SUMIFS(INDIRECT("'"&amp;$G13&amp;"'!$E$37:$E$52"),INDIRECT("'"&amp;$G13&amp;"'!$B$37:$B$52"),"Salvage*"),0))</f>
        <v/>
      </c>
      <c r="O13" s="138">
        <f>IF($G13="","",IFERROR(INDEX(INDIRECT("'"&amp;$G13&amp;"'!$E$1:$E$70"),MATCH("Net Present Worth",INDIRECT("'"&amp;$G13&amp;"'!$B$1:$B$70"),0)),0))</f>
        <v/>
      </c>
      <c r="P13" s="138">
        <f>IF($G13="","",O13-MIN($O$12:$O$15))</f>
        <v/>
      </c>
      <c r="Q13" s="137">
        <f>IF($G13="","",IF(IFERROR(INDIRECT("'"&amp;$G13&amp;"'!$F$2"),0)&gt;0,SUM($AH$41:$AH$71),IFERROR(SUM(INDIRECT("'"&amp;$G13&amp;"'!$F$4:$F$10")),0)))</f>
        <v/>
      </c>
      <c r="R13" s="139">
        <f>IF($G13="","",1-Q13/('General Information'!$D$33*365))</f>
        <v/>
      </c>
      <c r="W13" s="140" t="n">
        <v>2.25</v>
      </c>
      <c r="X13" s="135">
        <f>IF($G$12="",0,IFERROR($J$12+SUMPRODUCT((INDIRECT("'"&amp;$G$12&amp;"'!$C$37:$C$52")&lt;='General Information'!$D$33)*INDIRECT("'"&amp;$G$12&amp;"'!$D$37:$D$52")/(1+$W13/100)^INDIRECT("'"&amp;$G$12&amp;"'!$C$37:$C$52")),0))</f>
        <v/>
      </c>
      <c r="Y13" s="135">
        <f>IF($G$13="",0,IFERROR($J$13+SUMPRODUCT((INDIRECT("'"&amp;$G$13&amp;"'!$C$37:$C$52")&lt;='General Information'!$D$33)*INDIRECT("'"&amp;$G$13&amp;"'!$D$37:$D$52")/(1+$W13/100)^INDIRECT("'"&amp;$G$13&amp;"'!$C$37:$C$52")),0))</f>
        <v/>
      </c>
      <c r="Z13" s="135">
        <f>IF($G$14="",0,IFERROR($J$14+SUMPRODUCT((INDIRECT("'"&amp;$G$14&amp;"'!$C$37:$C$52")&lt;='General Information'!$D$33)*INDIRECT("'"&amp;$G$14&amp;"'!$D$37:$D$52")/(1+$W13/100)^INDIRECT("'"&amp;$G$14&amp;"'!$C$37:$C$52")),0))</f>
        <v/>
      </c>
      <c r="AA13" s="135">
        <f>IF($G$15="",0,IFERROR($J$15+SUMPRODUCT((INDIRECT("'"&amp;$G$15&amp;"'!$C$37:$C$52")&lt;='General Information'!$D$33)*INDIRECT("'"&amp;$G$15&amp;"'!$D$37:$D$52")/(1+$W13/100)^INDIRECT("'"&amp;$G$15&amp;"'!$C$37:$C$52")),0))</f>
        <v/>
      </c>
      <c r="AB13" s="134">
        <f>IF(COUNTIF($X13:$AA13,"&lt;&gt;0")=0,"",INDEX($H$12:$H$15,MATCH(SMALL($X13:$AA13,COUNTIF($X13:$AA13,0)+1),$X13:$AA13,0)))</f>
        <v/>
      </c>
    </row>
    <row r="14">
      <c r="G14" s="137">
        <f>IF(INDEX(Database!$D:$D,6)="","",INDEX(Database!$D:$D,6))</f>
        <v/>
      </c>
      <c r="H14" s="137">
        <f>IF($G14="","",INDEX(Database!$A:$A,6))</f>
        <v/>
      </c>
      <c r="I14" s="137">
        <f>IF($G14="","",INDEX(Database!$B:$B,6))</f>
        <v/>
      </c>
      <c r="J14" s="138">
        <f>IF($G14="","",IFERROR(INDEX(INDIRECT("'"&amp;$G14&amp;"'!$G$1:$G$70"),MATCH("Total",INDIRECT("'"&amp;$G14&amp;"'!$A$1:$A$70"),0)),0))</f>
        <v/>
      </c>
      <c r="K14" s="138">
        <f>IF($G14="","",IFERROR(SUMIFS(INDIRECT("'"&amp;$G14&amp;"'!$E$37:$E$52"),INDIRECT("'"&amp;$G14&amp;"'!$B$37:$B$52"),"Maintenance*",INDIRECT("'"&amp;$G14&amp;"'!$B$37:$B$52"),"&lt;&gt;*Indirect*"),0))</f>
        <v/>
      </c>
      <c r="L14" s="138">
        <f>IF($G14="","",IFERROR(SUMIFS(INDIRECT("'"&amp;$G14&amp;"'!$E$37:$E$52"),INDIRECT("'"&amp;$G14&amp;"'!$B$37:$B$52"),"Rehabilitation*",INDIRECT("'"&amp;$G14&amp;"'!$B$37:$B$52"),"&lt;&gt;*Indirect*"),0))</f>
        <v/>
      </c>
      <c r="M14" s="138">
        <f>IF($G14="","",IFERROR(SUMIFS(INDIRECT("'"&amp;$G14&amp;"'!$E$37:$E$52"),INDIRECT("'"&amp;$G14&amp;"'!$B$37:$B$52"),"*Indirect*"),0))</f>
        <v/>
      </c>
      <c r="N14" s="138">
        <f>IF($G14="","",IFERROR(SUMIFS(INDIRECT("'"&amp;$G14&amp;"'!$E$37:$E$52"),INDIRECT("'"&amp;$G14&amp;"'!$B$37:$B$52"),"Salvage*"),0))</f>
        <v/>
      </c>
      <c r="O14" s="138">
        <f>IF($G14="","",IFERROR(INDEX(INDIRECT("'"&amp;$G14&amp;"'!$E$1:$E$70"),MATCH("Net Present Worth",INDIRECT("'"&amp;$G14&amp;"'!$B$1:$B$70"),0)),0))</f>
        <v/>
      </c>
      <c r="P14" s="138">
        <f>IF($G14="","",O14-MIN($O$12:$O$15))</f>
        <v/>
      </c>
      <c r="Q14" s="137">
        <f>IF($G14="","",IF(IFERROR(INDIRECT("'"&amp;$G14&amp;"'!$F$2"),0)&gt;0,SUM($AI$41:$AI$71),IFERROR(SUM(INDIRECT("'"&amp;$G14&amp;"'!$F$4:$F$10")),0)))</f>
        <v/>
      </c>
      <c r="R14" s="139">
        <f>IF($G14="","",1-Q14/('General Information'!$D$33*365))</f>
        <v/>
      </c>
      <c r="W14" s="140" t="n">
        <v>2.5</v>
      </c>
      <c r="X14" s="135">
        <f>IF($G$12="",0,IFERROR($J$12+SUMPRODUCT((INDIRECT("'"&amp;$G$12&amp;"'!$C$37:$C$52")&lt;='General Information'!$D$33)*INDIRECT("'"&amp;$G$12&amp;"'!$D$37:$D$52")/(1+$W14/100)^INDIRECT("'"&amp;$G$12&amp;"'!$C$37:$C$52")),0))</f>
        <v/>
      </c>
      <c r="Y14" s="135">
        <f>IF($G$13="",0,IFERROR($J$13+SUMPRODUCT((INDIRECT("'"&amp;$G$13&amp;"'!$C$37:$C$52")&lt;='General Information'!$D$33)*INDIRECT("'"&amp;$G$13&amp;"'!$D$37:$D$52")/(1+$W14/100)^INDIRECT("'"&amp;$G$13&amp;"'!$C$37:$C$52")),0))</f>
        <v/>
      </c>
      <c r="Z14" s="135">
        <f>IF($G$14="",0,IFERROR($J$14+SUMPRODUCT((INDIRECT("'"&amp;$G$14&amp;"'!$C$37:$C$52")&lt;='General Information'!$D$33)*INDIRECT("'"&amp;$G$14&amp;"'!$D$37:$D$52")/(1+$W14/100)^INDIRECT("'"&amp;$G$14&amp;"'!$C$37:$C$52")),0))</f>
        <v/>
      </c>
      <c r="AA14" s="135">
        <f>IF($G$15="",0,IFERROR($J$15+SUMPRODUCT((INDIRECT("'"&amp;$G$15&amp;"'!$C$37:$C$52")&lt;='General Information'!$D$33)*INDIRECT("'"&amp;$G$15&amp;"'!$D$37:$D$52")/(1+$W14/100)^INDIRECT("'"&amp;$G$15&amp;"'!$C$37:$C$52")),0))</f>
        <v/>
      </c>
      <c r="AB14" s="134">
        <f>IF(COUNTIF($X14:$AA14,"&lt;&gt;0")=0,"",INDEX($H$12:$H$15,MATCH(SMALL($X14:$AA14,COUNTIF($X14:$AA14,0)+1),$X14:$AA14,0)))</f>
        <v/>
      </c>
    </row>
    <row r="15">
      <c r="G15" s="137">
        <f>IF(INDEX(Database!$D:$D,7)="","",INDEX(Database!$D:$D,7))</f>
        <v/>
      </c>
      <c r="H15" s="137">
        <f>IF($G15="","",INDEX(Database!$A:$A,7))</f>
        <v/>
      </c>
      <c r="I15" s="137">
        <f>IF($G15="","",INDEX(Database!$B:$B,7))</f>
        <v/>
      </c>
      <c r="J15" s="138">
        <f>IF($G15="","",IFERROR(INDEX(INDIRECT("'"&amp;$G15&amp;"'!$G$1:$G$70"),MATCH("Total",INDIRECT("'"&amp;$G15&amp;"'!$A$1:$A$70"),0)),0))</f>
        <v/>
      </c>
      <c r="K15" s="138">
        <f>IF($G15="","",IFERROR(SUMIFS(INDIRECT("'"&amp;$G15&amp;"'!$E$37:$E$52"),INDIRECT("'"&amp;$G15&amp;"'!$B$37:$B$52"),"Maintenance*",INDIRECT("'"&amp;$G15&amp;"'!$B$37:$B$52"),"&lt;&gt;*Indirect*"),0))</f>
        <v/>
      </c>
      <c r="L15" s="138">
        <f>IF($G15="","",IFERROR(SUMIFS(INDIRECT("'"&amp;$G15&amp;"'!$E$37:$E$52"),INDIRECT("'"&amp;$G15&amp;"'!$B$37:$B$52"),"Rehabilitation*",INDIRECT("'"&amp;$G15&amp;"'!$B$37:$B$52"),"&lt;&gt;*Indirect*"),0))</f>
        <v/>
      </c>
      <c r="M15" s="138">
        <f>IF($G15="","",IFERROR(SUMIFS(INDIRECT("'"&amp;$G15&amp;"'!$E$37:$E$52"),INDIRECT("'"&amp;$G15&amp;"'!$B$37:$B$52"),"*Indirect*"),0))</f>
        <v/>
      </c>
      <c r="N15" s="138">
        <f>IF($G15="","",IFERROR(SUMIFS(INDIRECT("'"&amp;$G15&amp;"'!$E$37:$E$52"),INDIRECT("'"&amp;$G15&amp;"'!$B$37:$B$52"),"Salvage*"),0))</f>
        <v/>
      </c>
      <c r="O15" s="138">
        <f>IF($G15="","",IFERROR(INDEX(INDIRECT("'"&amp;$G15&amp;"'!$E$1:$E$70"),MATCH("Net Present Worth",INDIRECT("'"&amp;$G15&amp;"'!$B$1:$B$70"),0)),0))</f>
        <v/>
      </c>
      <c r="P15" s="138">
        <f>IF($G15="","",O15-MIN($O$12:$O$15))</f>
        <v/>
      </c>
      <c r="Q15" s="137">
        <f>IF($G15="","",IF(IFERROR(INDIRECT("'"&amp;$G15&amp;"'!$F$2"),0)&gt;0,SUM($AJ$41:$AJ$71),IFERROR(SUM(INDIRECT("'"&amp;$G15&amp;"'!$F$4:$F$10")),0)))</f>
        <v/>
      </c>
      <c r="R15" s="139">
        <f>IF($G15="","",1-Q15/('General Information'!$D$33*365))</f>
        <v/>
      </c>
      <c r="W15" s="140" t="n">
        <v>2.75</v>
      </c>
      <c r="X15" s="135">
        <f>IF($G$12="",0,IFERROR($J$12+SUMPRODUCT((INDIRECT("'"&amp;$G$12&amp;"'!$C$37:$C$52")&lt;='General Information'!$D$33)*INDIRECT("'"&amp;$G$12&amp;"'!$D$37:$D$52")/(1+$W15/100)^INDIRECT("'"&amp;$G$12&amp;"'!$C$37:$C$52")),0))</f>
        <v/>
      </c>
      <c r="Y15" s="135">
        <f>IF($G$13="",0,IFERROR($J$13+SUMPRODUCT((INDIRECT("'"&amp;$G$13&amp;"'!$C$37:$C$52")&lt;='General Information'!$D$33)*INDIRECT("'"&amp;$G$13&amp;"'!$D$37:$D$52")/(1+$W15/100)^INDIRECT("'"&amp;$G$13&amp;"'!$C$37:$C$52")),0))</f>
        <v/>
      </c>
      <c r="Z15" s="135">
        <f>IF($G$14="",0,IFERROR($J$14+SUMPRODUCT((INDIRECT("'"&amp;$G$14&amp;"'!$C$37:$C$52")&lt;='General Information'!$D$33)*INDIRECT("'"&amp;$G$14&amp;"'!$D$37:$D$52")/(1+$W15/100)^INDIRECT("'"&amp;$G$14&amp;"'!$C$37:$C$52")),0))</f>
        <v/>
      </c>
      <c r="AA15" s="135">
        <f>IF($G$15="",0,IFERROR($J$15+SUMPRODUCT((INDIRECT("'"&amp;$G$15&amp;"'!$C$37:$C$52")&lt;='General Information'!$D$33)*INDIRECT("'"&amp;$G$15&amp;"'!$D$37:$D$52")/(1+$W15/100)^INDIRECT("'"&amp;$G$15&amp;"'!$C$37:$C$52")),0))</f>
        <v/>
      </c>
      <c r="AB15" s="134">
        <f>IF(COUNTIF($X15:$AA15,"&lt;&gt;0")=0,"",INDEX($H$12:$H$15,MATCH(SMALL($X15:$AA15,COUNTIF($X15:$AA15,0)+1),$X15:$AA15,0)))</f>
        <v/>
      </c>
    </row>
    <row r="16">
      <c r="W16" s="140" t="n">
        <v>3</v>
      </c>
      <c r="X16" s="135">
        <f>IF($G$12="",0,IFERROR($J$12+SUMPRODUCT((INDIRECT("'"&amp;$G$12&amp;"'!$C$37:$C$52")&lt;='General Information'!$D$33)*INDIRECT("'"&amp;$G$12&amp;"'!$D$37:$D$52")/(1+$W16/100)^INDIRECT("'"&amp;$G$12&amp;"'!$C$37:$C$52")),0))</f>
        <v/>
      </c>
      <c r="Y16" s="135">
        <f>IF($G$13="",0,IFERROR($J$13+SUMPRODUCT((INDIRECT("'"&amp;$G$13&amp;"'!$C$37:$C$52")&lt;='General Information'!$D$33)*INDIRECT("'"&amp;$G$13&amp;"'!$D$37:$D$52")/(1+$W16/100)^INDIRECT("'"&amp;$G$13&amp;"'!$C$37:$C$52")),0))</f>
        <v/>
      </c>
      <c r="Z16" s="135">
        <f>IF($G$14="",0,IFERROR($J$14+SUMPRODUCT((INDIRECT("'"&amp;$G$14&amp;"'!$C$37:$C$52")&lt;='General Information'!$D$33)*INDIRECT("'"&amp;$G$14&amp;"'!$D$37:$D$52")/(1+$W16/100)^INDIRECT("'"&amp;$G$14&amp;"'!$C$37:$C$52")),0))</f>
        <v/>
      </c>
      <c r="AA16" s="135">
        <f>IF($G$15="",0,IFERROR($J$15+SUMPRODUCT((INDIRECT("'"&amp;$G$15&amp;"'!$C$37:$C$52")&lt;='General Information'!$D$33)*INDIRECT("'"&amp;$G$15&amp;"'!$D$37:$D$52")/(1+$W16/100)^INDIRECT("'"&amp;$G$15&amp;"'!$C$37:$C$52")),0))</f>
        <v/>
      </c>
      <c r="AB16" s="134">
        <f>IF(COUNTIF($X16:$AA16,"&lt;&gt;0")=0,"",INDEX($H$12:$H$15,MATCH(SMALL($X16:$AA16,COUNTIF($X16:$AA16,0)+1),$X16:$AA16,0)))</f>
        <v/>
      </c>
    </row>
    <row r="17">
      <c r="G17" s="141">
        <f>IF(COUNT($O$12:$O$15)=0,"No alternatives yet. Go to General Information and click Alternative Setup.","Lowest present worth: "&amp;INDEX($H$12:$H$15,MATCH(MIN($O$12:$O$15),$O$12:$O$15,0))&amp;IF(COUNT($O$12:$O$15)&lt;2,"   |   only one alternative so far",IF(SMALL($O$12:$O$15,2)=MIN($O$12:$O$15),"   |   tied with the next alternative","   |   margin to next: "&amp;TEXT(SMALL($O$12:$O$15,2)-MIN($O$12:$O$15),"$#,##0")))&amp;"   |   "&amp;'General Information'!$D$34&amp;"% over "&amp;'General Information'!$D$33&amp;" years   |   lost revenue: "&amp;'General Information'!$D$38)</f>
        <v/>
      </c>
      <c r="H17" s="142" t="n"/>
      <c r="I17" s="142" t="n"/>
      <c r="J17" s="142" t="n"/>
      <c r="K17" s="142" t="n"/>
      <c r="L17" s="142" t="n"/>
      <c r="M17" s="142" t="n"/>
      <c r="N17" s="142" t="n"/>
      <c r="O17" s="142" t="n"/>
      <c r="P17" s="142" t="n"/>
      <c r="Q17" s="142" t="n"/>
      <c r="R17" s="142" t="n"/>
      <c r="S17" s="143" t="inlineStr">
        <is>
          <t>■ West</t>
        </is>
      </c>
      <c r="T17" s="144" t="inlineStr">
        <is>
          <t>■ Middle</t>
        </is>
      </c>
      <c r="U17" s="145" t="inlineStr">
        <is>
          <t>■ East</t>
        </is>
      </c>
      <c r="V17" s="146" t="inlineStr">
        <is>
          <t>■ This project</t>
        </is>
      </c>
      <c r="W17" s="140" t="n">
        <v>3.25</v>
      </c>
      <c r="X17" s="135">
        <f>IF($G$12="",0,IFERROR($J$12+SUMPRODUCT((INDIRECT("'"&amp;$G$12&amp;"'!$C$37:$C$52")&lt;='General Information'!$D$33)*INDIRECT("'"&amp;$G$12&amp;"'!$D$37:$D$52")/(1+$W17/100)^INDIRECT("'"&amp;$G$12&amp;"'!$C$37:$C$52")),0))</f>
        <v/>
      </c>
      <c r="Y17" s="135">
        <f>IF($G$13="",0,IFERROR($J$13+SUMPRODUCT((INDIRECT("'"&amp;$G$13&amp;"'!$C$37:$C$52")&lt;='General Information'!$D$33)*INDIRECT("'"&amp;$G$13&amp;"'!$D$37:$D$52")/(1+$W17/100)^INDIRECT("'"&amp;$G$13&amp;"'!$C$37:$C$52")),0))</f>
        <v/>
      </c>
      <c r="Z17" s="135">
        <f>IF($G$14="",0,IFERROR($J$14+SUMPRODUCT((INDIRECT("'"&amp;$G$14&amp;"'!$C$37:$C$52")&lt;='General Information'!$D$33)*INDIRECT("'"&amp;$G$14&amp;"'!$D$37:$D$52")/(1+$W17/100)^INDIRECT("'"&amp;$G$14&amp;"'!$C$37:$C$52")),0))</f>
        <v/>
      </c>
      <c r="AA17" s="135">
        <f>IF($G$15="",0,IFERROR($J$15+SUMPRODUCT((INDIRECT("'"&amp;$G$15&amp;"'!$C$37:$C$52")&lt;='General Information'!$D$33)*INDIRECT("'"&amp;$G$15&amp;"'!$D$37:$D$52")/(1+$W17/100)^INDIRECT("'"&amp;$G$15&amp;"'!$C$37:$C$52")),0))</f>
        <v/>
      </c>
      <c r="AB17" s="134">
        <f>IF(COUNTIF($X17:$AA17,"&lt;&gt;0")=0,"",INDEX($H$12:$H$15,MATCH(SMALL($X17:$AA17,COUNTIF($X17:$AA17,0)+1),$X17:$AA17,0)))</f>
        <v/>
      </c>
    </row>
    <row r="18">
      <c r="G18" s="136">
        <f>IF(COUNT($O$12:$O$15)&lt;2,"",IF(INDEX($H$12:$H$15,MATCH(MIN($O$12:$O$15),$O$12:$O$15,0))=INDEX($H$12:$H$15,MATCH(SMALL($X$12:$AA$12,COUNTIF($X$12:$AA$12,0)+1),$X$12:$AA$12,0)),"Same lowest-cost alternative at 2% (OMB A-94 real rate, FAA PGL 22-01)","At 2% (OMB A-94 real rate, FAA PGL 22-01) the lowest-cost alternative changes")&amp;"   |   "&amp;IF(INDEX($H$12:$H$15,MATCH(MIN($O$12:$O$15),$O$12:$O$15,0))=INDEX($H$12:$H$15,MATCH(SMALL($X$32:$AA$32,COUNTIF($X$32:$AA$32,0)+1),$X$32:$AA$32,0)),"same at 7% (pre-2022 AIP rule)","changes at 7% (pre-2022 AIP rule): see chart 2"))</f>
        <v/>
      </c>
      <c r="W18" s="140" t="n">
        <v>3.5</v>
      </c>
      <c r="X18" s="135">
        <f>IF($G$12="",0,IFERROR($J$12+SUMPRODUCT((INDIRECT("'"&amp;$G$12&amp;"'!$C$37:$C$52")&lt;='General Information'!$D$33)*INDIRECT("'"&amp;$G$12&amp;"'!$D$37:$D$52")/(1+$W18/100)^INDIRECT("'"&amp;$G$12&amp;"'!$C$37:$C$52")),0))</f>
        <v/>
      </c>
      <c r="Y18" s="135">
        <f>IF($G$13="",0,IFERROR($J$13+SUMPRODUCT((INDIRECT("'"&amp;$G$13&amp;"'!$C$37:$C$52")&lt;='General Information'!$D$33)*INDIRECT("'"&amp;$G$13&amp;"'!$D$37:$D$52")/(1+$W18/100)^INDIRECT("'"&amp;$G$13&amp;"'!$C$37:$C$52")),0))</f>
        <v/>
      </c>
      <c r="Z18" s="135">
        <f>IF($G$14="",0,IFERROR($J$14+SUMPRODUCT((INDIRECT("'"&amp;$G$14&amp;"'!$C$37:$C$52")&lt;='General Information'!$D$33)*INDIRECT("'"&amp;$G$14&amp;"'!$D$37:$D$52")/(1+$W18/100)^INDIRECT("'"&amp;$G$14&amp;"'!$C$37:$C$52")),0))</f>
        <v/>
      </c>
      <c r="AA18" s="135">
        <f>IF($G$15="",0,IFERROR($J$15+SUMPRODUCT((INDIRECT("'"&amp;$G$15&amp;"'!$C$37:$C$52")&lt;='General Information'!$D$33)*INDIRECT("'"&amp;$G$15&amp;"'!$D$37:$D$52")/(1+$W18/100)^INDIRECT("'"&amp;$G$15&amp;"'!$C$37:$C$52")),0))</f>
        <v/>
      </c>
      <c r="AB18" s="134">
        <f>IF(COUNTIF($X18:$AA18,"&lt;&gt;0")=0,"",INDEX($H$12:$H$15,MATCH(SMALL($X18:$AA18,COUNTIF($X18:$AA18,0)+1),$X18:$AA18,0)))</f>
        <v/>
      </c>
    </row>
    <row r="19">
      <c r="S19" s="122" t="inlineStr">
        <is>
          <t>PROJECT</t>
        </is>
      </c>
      <c r="W19" s="140" t="n">
        <v>3.75</v>
      </c>
      <c r="X19" s="135">
        <f>IF($G$12="",0,IFERROR($J$12+SUMPRODUCT((INDIRECT("'"&amp;$G$12&amp;"'!$C$37:$C$52")&lt;='General Information'!$D$33)*INDIRECT("'"&amp;$G$12&amp;"'!$D$37:$D$52")/(1+$W19/100)^INDIRECT("'"&amp;$G$12&amp;"'!$C$37:$C$52")),0))</f>
        <v/>
      </c>
      <c r="Y19" s="135">
        <f>IF($G$13="",0,IFERROR($J$13+SUMPRODUCT((INDIRECT("'"&amp;$G$13&amp;"'!$C$37:$C$52")&lt;='General Information'!$D$33)*INDIRECT("'"&amp;$G$13&amp;"'!$D$37:$D$52")/(1+$W19/100)^INDIRECT("'"&amp;$G$13&amp;"'!$C$37:$C$52")),0))</f>
        <v/>
      </c>
      <c r="Z19" s="135">
        <f>IF($G$14="",0,IFERROR($J$14+SUMPRODUCT((INDIRECT("'"&amp;$G$14&amp;"'!$C$37:$C$52")&lt;='General Information'!$D$33)*INDIRECT("'"&amp;$G$14&amp;"'!$D$37:$D$52")/(1+$W19/100)^INDIRECT("'"&amp;$G$14&amp;"'!$C$37:$C$52")),0))</f>
        <v/>
      </c>
      <c r="AA19" s="135">
        <f>IF($G$15="",0,IFERROR($J$15+SUMPRODUCT((INDIRECT("'"&amp;$G$15&amp;"'!$C$37:$C$52")&lt;='General Information'!$D$33)*INDIRECT("'"&amp;$G$15&amp;"'!$D$37:$D$52")/(1+$W19/100)^INDIRECT("'"&amp;$G$15&amp;"'!$C$37:$C$52")),0))</f>
        <v/>
      </c>
      <c r="AB19" s="134">
        <f>IF(COUNTIF($X19:$AA19,"&lt;&gt;0")=0,"",INDEX($H$12:$H$15,MATCH(SMALL($X19:$AA19,COUNTIF($X19:$AA19,0)+1),$X19:$AA19,0)))</f>
        <v/>
      </c>
    </row>
    <row r="20">
      <c r="G20" s="121" t="inlineStr">
        <is>
          <t>COMPARISON  (RealCost layout: agency cost, user cost, total; present worth and equivalent uniform annual cost)</t>
        </is>
      </c>
      <c r="S20" s="147" t="inlineStr">
        <is>
          <t>Airport</t>
        </is>
      </c>
      <c r="T20" s="147">
        <f>IF('General Information'!$D$9="","",'General Information'!$D$9&amp;" ("&amp;'General Information'!$D$10&amp;")")</f>
        <v/>
      </c>
      <c r="W20" s="140" t="n">
        <v>4</v>
      </c>
      <c r="X20" s="135">
        <f>IF($G$12="",0,IFERROR($J$12+SUMPRODUCT((INDIRECT("'"&amp;$G$12&amp;"'!$C$37:$C$52")&lt;='General Information'!$D$33)*INDIRECT("'"&amp;$G$12&amp;"'!$D$37:$D$52")/(1+$W20/100)^INDIRECT("'"&amp;$G$12&amp;"'!$C$37:$C$52")),0))</f>
        <v/>
      </c>
      <c r="Y20" s="135">
        <f>IF($G$13="",0,IFERROR($J$13+SUMPRODUCT((INDIRECT("'"&amp;$G$13&amp;"'!$C$37:$C$52")&lt;='General Information'!$D$33)*INDIRECT("'"&amp;$G$13&amp;"'!$D$37:$D$52")/(1+$W20/100)^INDIRECT("'"&amp;$G$13&amp;"'!$C$37:$C$52")),0))</f>
        <v/>
      </c>
      <c r="Z20" s="135">
        <f>IF($G$14="",0,IFERROR($J$14+SUMPRODUCT((INDIRECT("'"&amp;$G$14&amp;"'!$C$37:$C$52")&lt;='General Information'!$D$33)*INDIRECT("'"&amp;$G$14&amp;"'!$D$37:$D$52")/(1+$W20/100)^INDIRECT("'"&amp;$G$14&amp;"'!$C$37:$C$52")),0))</f>
        <v/>
      </c>
      <c r="AA20" s="135">
        <f>IF($G$15="",0,IFERROR($J$15+SUMPRODUCT((INDIRECT("'"&amp;$G$15&amp;"'!$C$37:$C$52")&lt;='General Information'!$D$33)*INDIRECT("'"&amp;$G$15&amp;"'!$D$37:$D$52")/(1+$W20/100)^INDIRECT("'"&amp;$G$15&amp;"'!$C$37:$C$52")),0))</f>
        <v/>
      </c>
      <c r="AB20" s="134">
        <f>IF(COUNTIF($X20:$AA20,"&lt;&gt;0")=0,"",INDEX($H$12:$H$15,MATCH(SMALL($X20:$AA20,COUNTIF($X20:$AA20,0)+1),$X20:$AA20,0)))</f>
        <v/>
      </c>
    </row>
    <row r="21" ht="27" customHeight="1">
      <c r="G21" s="124" t="inlineStr">
        <is>
          <t>Alternative</t>
        </is>
      </c>
      <c r="H21" s="124" t="inlineStr">
        <is>
          <t>Agency cost PW</t>
        </is>
      </c>
      <c r="I21" s="124" t="inlineStr">
        <is>
          <t>Agency EUAC</t>
        </is>
      </c>
      <c r="J21" s="124" t="inlineStr">
        <is>
          <t>User cost PW (lost revenue)</t>
        </is>
      </c>
      <c r="K21" s="124" t="inlineStr">
        <is>
          <t>User EUAC</t>
        </is>
      </c>
      <c r="L21" s="124" t="inlineStr">
        <is>
          <t>Total PW</t>
        </is>
      </c>
      <c r="M21" s="124" t="inlineStr">
        <is>
          <t>Total EUAC</t>
        </is>
      </c>
      <c r="N21" s="124" t="inlineStr">
        <is>
          <t>vs. lowest ($)</t>
        </is>
      </c>
      <c r="O21" s="124" t="inlineStr">
        <is>
          <t>vs. lowest (%)</t>
        </is>
      </c>
      <c r="P21" s="124" t="inlineStr">
        <is>
          <t>Lowest?</t>
        </is>
      </c>
      <c r="S21" s="147" t="inlineStr">
        <is>
          <t>City / county</t>
        </is>
      </c>
      <c r="T21" s="147">
        <f>IF('General Information'!$D$9="","",'General Information'!$D$11&amp;IF(IFERROR(VLOOKUP('General Information'!$D$9,'General Information'!$L$10:$Q$88,4,FALSE),"")="",""," / "&amp;IFERROR(VLOOKUP('General Information'!$D$9,'General Information'!$L$10:$Q$88,4,FALSE),"")&amp;" County"))</f>
        <v/>
      </c>
      <c r="W21" s="140" t="n">
        <v>4.25</v>
      </c>
      <c r="X21" s="135">
        <f>IF($G$12="",0,IFERROR($J$12+SUMPRODUCT((INDIRECT("'"&amp;$G$12&amp;"'!$C$37:$C$52")&lt;='General Information'!$D$33)*INDIRECT("'"&amp;$G$12&amp;"'!$D$37:$D$52")/(1+$W21/100)^INDIRECT("'"&amp;$G$12&amp;"'!$C$37:$C$52")),0))</f>
        <v/>
      </c>
      <c r="Y21" s="135">
        <f>IF($G$13="",0,IFERROR($J$13+SUMPRODUCT((INDIRECT("'"&amp;$G$13&amp;"'!$C$37:$C$52")&lt;='General Information'!$D$33)*INDIRECT("'"&amp;$G$13&amp;"'!$D$37:$D$52")/(1+$W21/100)^INDIRECT("'"&amp;$G$13&amp;"'!$C$37:$C$52")),0))</f>
        <v/>
      </c>
      <c r="Z21" s="135">
        <f>IF($G$14="",0,IFERROR($J$14+SUMPRODUCT((INDIRECT("'"&amp;$G$14&amp;"'!$C$37:$C$52")&lt;='General Information'!$D$33)*INDIRECT("'"&amp;$G$14&amp;"'!$D$37:$D$52")/(1+$W21/100)^INDIRECT("'"&amp;$G$14&amp;"'!$C$37:$C$52")),0))</f>
        <v/>
      </c>
      <c r="AA21" s="135">
        <f>IF($G$15="",0,IFERROR($J$15+SUMPRODUCT((INDIRECT("'"&amp;$G$15&amp;"'!$C$37:$C$52")&lt;='General Information'!$D$33)*INDIRECT("'"&amp;$G$15&amp;"'!$D$37:$D$52")/(1+$W21/100)^INDIRECT("'"&amp;$G$15&amp;"'!$C$37:$C$52")),0))</f>
        <v/>
      </c>
      <c r="AB21" s="134">
        <f>IF(COUNTIF($X21:$AA21,"&lt;&gt;0")=0,"",INDEX($H$12:$H$15,MATCH(SMALL($X21:$AA21,COUNTIF($X21:$AA21,0)+1),$X21:$AA21,0)))</f>
        <v/>
      </c>
    </row>
    <row r="22">
      <c r="G22" s="137">
        <f>IF($G$12="","",$H$12)</f>
        <v/>
      </c>
      <c r="H22" s="138">
        <f>IF($G$12="","",$J$12+$K$12+$L$12+$N$12)</f>
        <v/>
      </c>
      <c r="I22" s="138">
        <f>IF($G$12="","",H22*(('General Information'!$D$34/100)*(1+'General Information'!$D$34/100)^'General Information'!$D$33/((1+'General Information'!$D$34/100)^'General Information'!$D$33-1)))</f>
        <v/>
      </c>
      <c r="J22" s="138">
        <f>IF($G$12="","",$M$12)</f>
        <v/>
      </c>
      <c r="K22" s="138">
        <f>IF($G$12="","",J22*(('General Information'!$D$34/100)*(1+'General Information'!$D$34/100)^'General Information'!$D$33/((1+'General Information'!$D$34/100)^'General Information'!$D$33-1)))</f>
        <v/>
      </c>
      <c r="L22" s="138">
        <f>IF($G$12="","",$O$12)</f>
        <v/>
      </c>
      <c r="M22" s="138">
        <f>IF($G$12="","",L22*(('General Information'!$D$34/100)*(1+'General Information'!$D$34/100)^'General Information'!$D$33/((1+'General Information'!$D$34/100)^'General Information'!$D$33-1)))</f>
        <v/>
      </c>
      <c r="N22" s="138">
        <f>IF($G$12="","",$P$12)</f>
        <v/>
      </c>
      <c r="O22" s="148">
        <f>IF($G$12="","",IFERROR($P$12/MIN($O$12:$O$15),0))</f>
        <v/>
      </c>
      <c r="P22" s="137">
        <f>IF($G$12="","",IF($O$12=MIN($O$12:$O$15),"lowest",""))</f>
        <v/>
      </c>
      <c r="S22" s="147" t="inlineStr">
        <is>
          <t>TDOT Grand Division</t>
        </is>
      </c>
      <c r="T22" s="147">
        <f>IF('General Information'!$D$9="","",'General Information'!$D$13)</f>
        <v/>
      </c>
      <c r="W22" s="140" t="n">
        <v>4.5</v>
      </c>
      <c r="X22" s="135">
        <f>IF($G$12="",0,IFERROR($J$12+SUMPRODUCT((INDIRECT("'"&amp;$G$12&amp;"'!$C$37:$C$52")&lt;='General Information'!$D$33)*INDIRECT("'"&amp;$G$12&amp;"'!$D$37:$D$52")/(1+$W22/100)^INDIRECT("'"&amp;$G$12&amp;"'!$C$37:$C$52")),0))</f>
        <v/>
      </c>
      <c r="Y22" s="135">
        <f>IF($G$13="",0,IFERROR($J$13+SUMPRODUCT((INDIRECT("'"&amp;$G$13&amp;"'!$C$37:$C$52")&lt;='General Information'!$D$33)*INDIRECT("'"&amp;$G$13&amp;"'!$D$37:$D$52")/(1+$W22/100)^INDIRECT("'"&amp;$G$13&amp;"'!$C$37:$C$52")),0))</f>
        <v/>
      </c>
      <c r="Z22" s="135">
        <f>IF($G$14="",0,IFERROR($J$14+SUMPRODUCT((INDIRECT("'"&amp;$G$14&amp;"'!$C$37:$C$52")&lt;='General Information'!$D$33)*INDIRECT("'"&amp;$G$14&amp;"'!$D$37:$D$52")/(1+$W22/100)^INDIRECT("'"&amp;$G$14&amp;"'!$C$37:$C$52")),0))</f>
        <v/>
      </c>
      <c r="AA22" s="135">
        <f>IF($G$15="",0,IFERROR($J$15+SUMPRODUCT((INDIRECT("'"&amp;$G$15&amp;"'!$C$37:$C$52")&lt;='General Information'!$D$33)*INDIRECT("'"&amp;$G$15&amp;"'!$D$37:$D$52")/(1+$W22/100)^INDIRECT("'"&amp;$G$15&amp;"'!$C$37:$C$52")),0))</f>
        <v/>
      </c>
      <c r="AB22" s="134">
        <f>IF(COUNTIF($X22:$AA22,"&lt;&gt;0")=0,"",INDEX($H$12:$H$15,MATCH(SMALL($X22:$AA22,COUNTIF($X22:$AA22,0)+1),$X22:$AA22,0)))</f>
        <v/>
      </c>
    </row>
    <row r="23">
      <c r="G23" s="137">
        <f>IF($G$13="","",$H$13)</f>
        <v/>
      </c>
      <c r="H23" s="138">
        <f>IF($G$13="","",$J$13+$K$13+$L$13+$N$13)</f>
        <v/>
      </c>
      <c r="I23" s="138">
        <f>IF($G$13="","",H23*(('General Information'!$D$34/100)*(1+'General Information'!$D$34/100)^'General Information'!$D$33/((1+'General Information'!$D$34/100)^'General Information'!$D$33-1)))</f>
        <v/>
      </c>
      <c r="J23" s="138">
        <f>IF($G$13="","",$M$13)</f>
        <v/>
      </c>
      <c r="K23" s="138">
        <f>IF($G$13="","",J23*(('General Information'!$D$34/100)*(1+'General Information'!$D$34/100)^'General Information'!$D$33/((1+'General Information'!$D$34/100)^'General Information'!$D$33-1)))</f>
        <v/>
      </c>
      <c r="L23" s="138">
        <f>IF($G$13="","",$O$13)</f>
        <v/>
      </c>
      <c r="M23" s="138">
        <f>IF($G$13="","",L23*(('General Information'!$D$34/100)*(1+'General Information'!$D$34/100)^'General Information'!$D$33/((1+'General Information'!$D$34/100)^'General Information'!$D$33-1)))</f>
        <v/>
      </c>
      <c r="N23" s="138">
        <f>IF($G$13="","",$P$13)</f>
        <v/>
      </c>
      <c r="O23" s="148">
        <f>IF($G$13="","",IFERROR($P$13/MIN($O$12:$O$15),0))</f>
        <v/>
      </c>
      <c r="P23" s="137">
        <f>IF($G$13="","",IF($O$13=MIN($O$12:$O$15),"lowest",""))</f>
        <v/>
      </c>
      <c r="S23" s="147" t="inlineStr">
        <is>
          <t>Coordinates</t>
        </is>
      </c>
      <c r="T23" s="147">
        <f>IF(AE132="","not in the reference list",TEXT(AE132,"0.0000")&amp;"° N, "&amp;TEXT(-AD132,"0.0000")&amp;"° W")</f>
        <v/>
      </c>
      <c r="W23" s="140" t="n">
        <v>4.75</v>
      </c>
      <c r="X23" s="135">
        <f>IF($G$12="",0,IFERROR($J$12+SUMPRODUCT((INDIRECT("'"&amp;$G$12&amp;"'!$C$37:$C$52")&lt;='General Information'!$D$33)*INDIRECT("'"&amp;$G$12&amp;"'!$D$37:$D$52")/(1+$W23/100)^INDIRECT("'"&amp;$G$12&amp;"'!$C$37:$C$52")),0))</f>
        <v/>
      </c>
      <c r="Y23" s="135">
        <f>IF($G$13="",0,IFERROR($J$13+SUMPRODUCT((INDIRECT("'"&amp;$G$13&amp;"'!$C$37:$C$52")&lt;='General Information'!$D$33)*INDIRECT("'"&amp;$G$13&amp;"'!$D$37:$D$52")/(1+$W23/100)^INDIRECT("'"&amp;$G$13&amp;"'!$C$37:$C$52")),0))</f>
        <v/>
      </c>
      <c r="Z23" s="135">
        <f>IF($G$14="",0,IFERROR($J$14+SUMPRODUCT((INDIRECT("'"&amp;$G$14&amp;"'!$C$37:$C$52")&lt;='General Information'!$D$33)*INDIRECT("'"&amp;$G$14&amp;"'!$D$37:$D$52")/(1+$W23/100)^INDIRECT("'"&amp;$G$14&amp;"'!$C$37:$C$52")),0))</f>
        <v/>
      </c>
      <c r="AA23" s="135">
        <f>IF($G$15="",0,IFERROR($J$15+SUMPRODUCT((INDIRECT("'"&amp;$G$15&amp;"'!$C$37:$C$52")&lt;='General Information'!$D$33)*INDIRECT("'"&amp;$G$15&amp;"'!$D$37:$D$52")/(1+$W23/100)^INDIRECT("'"&amp;$G$15&amp;"'!$C$37:$C$52")),0))</f>
        <v/>
      </c>
      <c r="AB23" s="134">
        <f>IF(COUNTIF($X23:$AA23,"&lt;&gt;0")=0,"",INDEX($H$12:$H$15,MATCH(SMALL($X23:$AA23,COUNTIF($X23:$AA23,0)+1),$X23:$AA23,0)))</f>
        <v/>
      </c>
    </row>
    <row r="24">
      <c r="G24" s="137">
        <f>IF($G$14="","",$H$14)</f>
        <v/>
      </c>
      <c r="H24" s="138">
        <f>IF($G$14="","",$J$14+$K$14+$L$14+$N$14)</f>
        <v/>
      </c>
      <c r="I24" s="138">
        <f>IF($G$14="","",H24*(('General Information'!$D$34/100)*(1+'General Information'!$D$34/100)^'General Information'!$D$33/((1+'General Information'!$D$34/100)^'General Information'!$D$33-1)))</f>
        <v/>
      </c>
      <c r="J24" s="138">
        <f>IF($G$14="","",$M$14)</f>
        <v/>
      </c>
      <c r="K24" s="138">
        <f>IF($G$14="","",J24*(('General Information'!$D$34/100)*(1+'General Information'!$D$34/100)^'General Information'!$D$33/((1+'General Information'!$D$34/100)^'General Information'!$D$33-1)))</f>
        <v/>
      </c>
      <c r="L24" s="138">
        <f>IF($G$14="","",$O$14)</f>
        <v/>
      </c>
      <c r="M24" s="138">
        <f>IF($G$14="","",L24*(('General Information'!$D$34/100)*(1+'General Information'!$D$34/100)^'General Information'!$D$33/((1+'General Information'!$D$34/100)^'General Information'!$D$33-1)))</f>
        <v/>
      </c>
      <c r="N24" s="138">
        <f>IF($G$14="","",$P$14)</f>
        <v/>
      </c>
      <c r="O24" s="148">
        <f>IF($G$14="","",IFERROR($P$14/MIN($O$12:$O$15),0))</f>
        <v/>
      </c>
      <c r="P24" s="137">
        <f>IF($G$14="","",IF($O$14=MIN($O$12:$O$15),"lowest",""))</f>
        <v/>
      </c>
      <c r="S24" s="147" t="inlineStr">
        <is>
          <t>Elevation</t>
        </is>
      </c>
      <c r="T24" s="147">
        <f>IFERROR(IF(INDEX($AB$132:$AB$210,MATCH('General Information'!$D$10,$X$132:$X$210,0))="","",TEXT(INDEX($AB$132:$AB$210,MATCH('General Information'!$D$10,$X$132:$X$210,0)),"#,##0")&amp;" ft"),"")</f>
        <v/>
      </c>
      <c r="W24" s="140" t="n">
        <v>5</v>
      </c>
      <c r="X24" s="135">
        <f>IF($G$12="",0,IFERROR($J$12+SUMPRODUCT((INDIRECT("'"&amp;$G$12&amp;"'!$C$37:$C$52")&lt;='General Information'!$D$33)*INDIRECT("'"&amp;$G$12&amp;"'!$D$37:$D$52")/(1+$W24/100)^INDIRECT("'"&amp;$G$12&amp;"'!$C$37:$C$52")),0))</f>
        <v/>
      </c>
      <c r="Y24" s="135">
        <f>IF($G$13="",0,IFERROR($J$13+SUMPRODUCT((INDIRECT("'"&amp;$G$13&amp;"'!$C$37:$C$52")&lt;='General Information'!$D$33)*INDIRECT("'"&amp;$G$13&amp;"'!$D$37:$D$52")/(1+$W24/100)^INDIRECT("'"&amp;$G$13&amp;"'!$C$37:$C$52")),0))</f>
        <v/>
      </c>
      <c r="Z24" s="135">
        <f>IF($G$14="",0,IFERROR($J$14+SUMPRODUCT((INDIRECT("'"&amp;$G$14&amp;"'!$C$37:$C$52")&lt;='General Information'!$D$33)*INDIRECT("'"&amp;$G$14&amp;"'!$D$37:$D$52")/(1+$W24/100)^INDIRECT("'"&amp;$G$14&amp;"'!$C$37:$C$52")),0))</f>
        <v/>
      </c>
      <c r="AA24" s="135">
        <f>IF($G$15="",0,IFERROR($J$15+SUMPRODUCT((INDIRECT("'"&amp;$G$15&amp;"'!$C$37:$C$52")&lt;='General Information'!$D$33)*INDIRECT("'"&amp;$G$15&amp;"'!$D$37:$D$52")/(1+$W24/100)^INDIRECT("'"&amp;$G$15&amp;"'!$C$37:$C$52")),0))</f>
        <v/>
      </c>
      <c r="AB24" s="134">
        <f>IF(COUNTIF($X24:$AA24,"&lt;&gt;0")=0,"",INDEX($H$12:$H$15,MATCH(SMALL($X24:$AA24,COUNTIF($X24:$AA24,0)+1),$X24:$AA24,0)))</f>
        <v/>
      </c>
    </row>
    <row r="25">
      <c r="G25" s="137">
        <f>IF($G$15="","",$H$15)</f>
        <v/>
      </c>
      <c r="H25" s="138">
        <f>IF($G$15="","",$J$15+$K$15+$L$15+$N$15)</f>
        <v/>
      </c>
      <c r="I25" s="138">
        <f>IF($G$15="","",H25*(('General Information'!$D$34/100)*(1+'General Information'!$D$34/100)^'General Information'!$D$33/((1+'General Information'!$D$34/100)^'General Information'!$D$33-1)))</f>
        <v/>
      </c>
      <c r="J25" s="138">
        <f>IF($G$15="","",$M$15)</f>
        <v/>
      </c>
      <c r="K25" s="138">
        <f>IF($G$15="","",J25*(('General Information'!$D$34/100)*(1+'General Information'!$D$34/100)^'General Information'!$D$33/((1+'General Information'!$D$34/100)^'General Information'!$D$33-1)))</f>
        <v/>
      </c>
      <c r="L25" s="138">
        <f>IF($G$15="","",$O$15)</f>
        <v/>
      </c>
      <c r="M25" s="138">
        <f>IF($G$15="","",L25*(('General Information'!$D$34/100)*(1+'General Information'!$D$34/100)^'General Information'!$D$33/((1+'General Information'!$D$34/100)^'General Information'!$D$33-1)))</f>
        <v/>
      </c>
      <c r="N25" s="138">
        <f>IF($G$15="","",$P$15)</f>
        <v/>
      </c>
      <c r="O25" s="148">
        <f>IF($G$15="","",IFERROR($P$15/MIN($O$12:$O$15),0))</f>
        <v/>
      </c>
      <c r="P25" s="137">
        <f>IF($G$15="","",IF($O$15=MIN($O$12:$O$15),"lowest",""))</f>
        <v/>
      </c>
      <c r="S25" s="147" t="inlineStr">
        <is>
          <t>Branch / project</t>
        </is>
      </c>
      <c r="T25" s="147">
        <f>IF('General Information'!$D$22="","",'General Information'!$D$22&amp;IF('General Information'!$D$23=""," ",", "&amp;'General Information'!$D$23))</f>
        <v/>
      </c>
      <c r="W25" s="140" t="n">
        <v>5.25</v>
      </c>
      <c r="X25" s="135">
        <f>IF($G$12="",0,IFERROR($J$12+SUMPRODUCT((INDIRECT("'"&amp;$G$12&amp;"'!$C$37:$C$52")&lt;='General Information'!$D$33)*INDIRECT("'"&amp;$G$12&amp;"'!$D$37:$D$52")/(1+$W25/100)^INDIRECT("'"&amp;$G$12&amp;"'!$C$37:$C$52")),0))</f>
        <v/>
      </c>
      <c r="Y25" s="135">
        <f>IF($G$13="",0,IFERROR($J$13+SUMPRODUCT((INDIRECT("'"&amp;$G$13&amp;"'!$C$37:$C$52")&lt;='General Information'!$D$33)*INDIRECT("'"&amp;$G$13&amp;"'!$D$37:$D$52")/(1+$W25/100)^INDIRECT("'"&amp;$G$13&amp;"'!$C$37:$C$52")),0))</f>
        <v/>
      </c>
      <c r="Z25" s="135">
        <f>IF($G$14="",0,IFERROR($J$14+SUMPRODUCT((INDIRECT("'"&amp;$G$14&amp;"'!$C$37:$C$52")&lt;='General Information'!$D$33)*INDIRECT("'"&amp;$G$14&amp;"'!$D$37:$D$52")/(1+$W25/100)^INDIRECT("'"&amp;$G$14&amp;"'!$C$37:$C$52")),0))</f>
        <v/>
      </c>
      <c r="AA25" s="135">
        <f>IF($G$15="",0,IFERROR($J$15+SUMPRODUCT((INDIRECT("'"&amp;$G$15&amp;"'!$C$37:$C$52")&lt;='General Information'!$D$33)*INDIRECT("'"&amp;$G$15&amp;"'!$D$37:$D$52")/(1+$W25/100)^INDIRECT("'"&amp;$G$15&amp;"'!$C$37:$C$52")),0))</f>
        <v/>
      </c>
      <c r="AB25" s="134">
        <f>IF(COUNTIF($X25:$AA25,"&lt;&gt;0")=0,"",INDEX($H$12:$H$15,MATCH(SMALL($X25:$AA25,COUNTIF($X25:$AA25,0)+1),$X25:$AA25,0)))</f>
        <v/>
      </c>
    </row>
    <row r="26">
      <c r="G26" s="136" t="inlineStr">
        <is>
          <t>Agency cost = initial construction + maintenance + rehabilitation + salvage. User cost = lost airport revenue during runway closures, the airport-side counterpart of the user delay cost in the Caltrans/FHWA RealCost layout. EUAC = PW x r(1+r)^P / ((1+r)^P - 1) at the discount rate and analysis period on General Information. "vs. lowest (%)" is the difference as a share of the lowest total PW.</t>
        </is>
      </c>
      <c r="S26" s="147" t="inlineStr">
        <is>
          <t>Mainline area</t>
        </is>
      </c>
      <c r="T26" s="147">
        <f>IF('General Information'!$D$26="","",TEXT('General Information'!$D$26,"#,##0")&amp;" S.Y."&amp;IF('General Information'!$D$27&gt;0," + "&amp;TEXT('General Information'!$D$27,"#,##0")&amp;" S.Y. shoulder",""))</f>
        <v/>
      </c>
      <c r="W26" s="140" t="n">
        <v>5.5</v>
      </c>
      <c r="X26" s="135">
        <f>IF($G$12="",0,IFERROR($J$12+SUMPRODUCT((INDIRECT("'"&amp;$G$12&amp;"'!$C$37:$C$52")&lt;='General Information'!$D$33)*INDIRECT("'"&amp;$G$12&amp;"'!$D$37:$D$52")/(1+$W26/100)^INDIRECT("'"&amp;$G$12&amp;"'!$C$37:$C$52")),0))</f>
        <v/>
      </c>
      <c r="Y26" s="135">
        <f>IF($G$13="",0,IFERROR($J$13+SUMPRODUCT((INDIRECT("'"&amp;$G$13&amp;"'!$C$37:$C$52")&lt;='General Information'!$D$33)*INDIRECT("'"&amp;$G$13&amp;"'!$D$37:$D$52")/(1+$W26/100)^INDIRECT("'"&amp;$G$13&amp;"'!$C$37:$C$52")),0))</f>
        <v/>
      </c>
      <c r="Z26" s="135">
        <f>IF($G$14="",0,IFERROR($J$14+SUMPRODUCT((INDIRECT("'"&amp;$G$14&amp;"'!$C$37:$C$52")&lt;='General Information'!$D$33)*INDIRECT("'"&amp;$G$14&amp;"'!$D$37:$D$52")/(1+$W26/100)^INDIRECT("'"&amp;$G$14&amp;"'!$C$37:$C$52")),0))</f>
        <v/>
      </c>
      <c r="AA26" s="135">
        <f>IF($G$15="",0,IFERROR($J$15+SUMPRODUCT((INDIRECT("'"&amp;$G$15&amp;"'!$C$37:$C$52")&lt;='General Information'!$D$33)*INDIRECT("'"&amp;$G$15&amp;"'!$D$37:$D$52")/(1+$W26/100)^INDIRECT("'"&amp;$G$15&amp;"'!$C$37:$C$52")),0))</f>
        <v/>
      </c>
      <c r="AB26" s="134">
        <f>IF(COUNTIF($X26:$AA26,"&lt;&gt;0")=0,"",INDEX($H$12:$H$15,MATCH(SMALL($X26:$AA26,COUNTIF($X26:$AA26,0)+1),$X26:$AA26,0)))</f>
        <v/>
      </c>
    </row>
    <row r="27">
      <c r="S27" s="147" t="inlineStr">
        <is>
          <t>Runway width, ft</t>
        </is>
      </c>
      <c r="T27" s="149" t="n">
        <v>100</v>
      </c>
      <c r="W27" s="140" t="n">
        <v>5.75</v>
      </c>
      <c r="X27" s="135">
        <f>IF($G$12="",0,IFERROR($J$12+SUMPRODUCT((INDIRECT("'"&amp;$G$12&amp;"'!$C$37:$C$52")&lt;='General Information'!$D$33)*INDIRECT("'"&amp;$G$12&amp;"'!$D$37:$D$52")/(1+$W27/100)^INDIRECT("'"&amp;$G$12&amp;"'!$C$37:$C$52")),0))</f>
        <v/>
      </c>
      <c r="Y27" s="135">
        <f>IF($G$13="",0,IFERROR($J$13+SUMPRODUCT((INDIRECT("'"&amp;$G$13&amp;"'!$C$37:$C$52")&lt;='General Information'!$D$33)*INDIRECT("'"&amp;$G$13&amp;"'!$D$37:$D$52")/(1+$W27/100)^INDIRECT("'"&amp;$G$13&amp;"'!$C$37:$C$52")),0))</f>
        <v/>
      </c>
      <c r="Z27" s="135">
        <f>IF($G$14="",0,IFERROR($J$14+SUMPRODUCT((INDIRECT("'"&amp;$G$14&amp;"'!$C$37:$C$52")&lt;='General Information'!$D$33)*INDIRECT("'"&amp;$G$14&amp;"'!$D$37:$D$52")/(1+$W27/100)^INDIRECT("'"&amp;$G$14&amp;"'!$C$37:$C$52")),0))</f>
        <v/>
      </c>
      <c r="AA27" s="135">
        <f>IF($G$15="",0,IFERROR($J$15+SUMPRODUCT((INDIRECT("'"&amp;$G$15&amp;"'!$C$37:$C$52")&lt;='General Information'!$D$33)*INDIRECT("'"&amp;$G$15&amp;"'!$D$37:$D$52")/(1+$W27/100)^INDIRECT("'"&amp;$G$15&amp;"'!$C$37:$C$52")),0))</f>
        <v/>
      </c>
      <c r="AB27" s="134">
        <f>IF(COUNTIF($X27:$AA27,"&lt;&gt;0")=0,"",INDEX($H$12:$H$15,MATCH(SMALL($X27:$AA27,COUNTIF($X27:$AA27,0)+1),$X27:$AA27,0)))</f>
        <v/>
      </c>
    </row>
    <row r="28" ht="44" customHeight="1">
      <c r="G28" s="121" t="inlineStr">
        <is>
          <t>KEY RESULTS — the two plots that decide it</t>
        </is>
      </c>
      <c r="S28" s="150">
        <f>IF('General Information'!$D$9="","","Pricing basis: every unit cost comes from the single Pay_Items 'Unit Cost' column. The Middle, West and East average-cost columns beside it are empty, so this "&amp;'General Information'!$D$13&amp;" division project is priced on the same statewide numbers as any other.")</f>
        <v/>
      </c>
      <c r="W28" s="140" t="n">
        <v>6</v>
      </c>
      <c r="X28" s="135">
        <f>IF($G$12="",0,IFERROR($J$12+SUMPRODUCT((INDIRECT("'"&amp;$G$12&amp;"'!$C$37:$C$52")&lt;='General Information'!$D$33)*INDIRECT("'"&amp;$G$12&amp;"'!$D$37:$D$52")/(1+$W28/100)^INDIRECT("'"&amp;$G$12&amp;"'!$C$37:$C$52")),0))</f>
        <v/>
      </c>
      <c r="Y28" s="135">
        <f>IF($G$13="",0,IFERROR($J$13+SUMPRODUCT((INDIRECT("'"&amp;$G$13&amp;"'!$C$37:$C$52")&lt;='General Information'!$D$33)*INDIRECT("'"&amp;$G$13&amp;"'!$D$37:$D$52")/(1+$W28/100)^INDIRECT("'"&amp;$G$13&amp;"'!$C$37:$C$52")),0))</f>
        <v/>
      </c>
      <c r="Z28" s="135">
        <f>IF($G$14="",0,IFERROR($J$14+SUMPRODUCT((INDIRECT("'"&amp;$G$14&amp;"'!$C$37:$C$52")&lt;='General Information'!$D$33)*INDIRECT("'"&amp;$G$14&amp;"'!$D$37:$D$52")/(1+$W28/100)^INDIRECT("'"&amp;$G$14&amp;"'!$C$37:$C$52")),0))</f>
        <v/>
      </c>
      <c r="AA28" s="135">
        <f>IF($G$15="",0,IFERROR($J$15+SUMPRODUCT((INDIRECT("'"&amp;$G$15&amp;"'!$C$37:$C$52")&lt;='General Information'!$D$33)*INDIRECT("'"&amp;$G$15&amp;"'!$D$37:$D$52")/(1+$W28/100)^INDIRECT("'"&amp;$G$15&amp;"'!$C$37:$C$52")),0))</f>
        <v/>
      </c>
      <c r="AB28" s="134">
        <f>IF(COUNTIF($X28:$AA28,"&lt;&gt;0")=0,"",INDEX($H$12:$H$15,MATCH(SMALL($X28:$AA28,COUNTIF($X28:$AA28,0)+1),$X28:$AA28,0)))</f>
        <v/>
      </c>
    </row>
    <row r="29" ht="26" customHeight="1">
      <c r="G29" s="136" t="inlineStr">
        <is>
          <t>How to read: charts 1 and 2 are the key results, the total cost by category and whether that winner holds at other discount rates. Charts 3 to 8 below are supporting detail Columns A to F are hidden helper data; unhide them only to type an alternative description.</t>
        </is>
      </c>
      <c r="S29" s="151" t="inlineStr">
        <is>
          <t>Coordinates are embedded (Method sheet); nothing here goes online. Five private fields have none and plot no dot.</t>
        </is>
      </c>
      <c r="W29" s="140" t="n">
        <v>6.25</v>
      </c>
      <c r="X29" s="135">
        <f>IF($G$12="",0,IFERROR($J$12+SUMPRODUCT((INDIRECT("'"&amp;$G$12&amp;"'!$C$37:$C$52")&lt;='General Information'!$D$33)*INDIRECT("'"&amp;$G$12&amp;"'!$D$37:$D$52")/(1+$W29/100)^INDIRECT("'"&amp;$G$12&amp;"'!$C$37:$C$52")),0))</f>
        <v/>
      </c>
      <c r="Y29" s="135">
        <f>IF($G$13="",0,IFERROR($J$13+SUMPRODUCT((INDIRECT("'"&amp;$G$13&amp;"'!$C$37:$C$52")&lt;='General Information'!$D$33)*INDIRECT("'"&amp;$G$13&amp;"'!$D$37:$D$52")/(1+$W29/100)^INDIRECT("'"&amp;$G$13&amp;"'!$C$37:$C$52")),0))</f>
        <v/>
      </c>
      <c r="Z29" s="135">
        <f>IF($G$14="",0,IFERROR($J$14+SUMPRODUCT((INDIRECT("'"&amp;$G$14&amp;"'!$C$37:$C$52")&lt;='General Information'!$D$33)*INDIRECT("'"&amp;$G$14&amp;"'!$D$37:$D$52")/(1+$W29/100)^INDIRECT("'"&amp;$G$14&amp;"'!$C$37:$C$52")),0))</f>
        <v/>
      </c>
      <c r="AA29" s="135">
        <f>IF($G$15="",0,IFERROR($J$15+SUMPRODUCT((INDIRECT("'"&amp;$G$15&amp;"'!$C$37:$C$52")&lt;='General Information'!$D$33)*INDIRECT("'"&amp;$G$15&amp;"'!$D$37:$D$52")/(1+$W29/100)^INDIRECT("'"&amp;$G$15&amp;"'!$C$37:$C$52")),0))</f>
        <v/>
      </c>
      <c r="AB29" s="134">
        <f>IF(COUNTIF($X29:$AA29,"&lt;&gt;0")=0,"",INDEX($H$12:$H$15,MATCH(SMALL($X29:$AA29,COUNTIF($X29:$AA29,0)+1),$X29:$AA29,0)))</f>
        <v/>
      </c>
    </row>
    <row r="30" ht="26" customHeight="1">
      <c r="S30" s="151" t="inlineStr">
        <is>
          <t>Google Earth: import LCCA_KML_Export.bas once (Alt+F11, File, Import File), then Alt+F8 and run ExportLCCAKML.</t>
        </is>
      </c>
      <c r="W30" s="140" t="n">
        <v>6.5</v>
      </c>
      <c r="X30" s="135">
        <f>IF($G$12="",0,IFERROR($J$12+SUMPRODUCT((INDIRECT("'"&amp;$G$12&amp;"'!$C$37:$C$52")&lt;='General Information'!$D$33)*INDIRECT("'"&amp;$G$12&amp;"'!$D$37:$D$52")/(1+$W30/100)^INDIRECT("'"&amp;$G$12&amp;"'!$C$37:$C$52")),0))</f>
        <v/>
      </c>
      <c r="Y30" s="135">
        <f>IF($G$13="",0,IFERROR($J$13+SUMPRODUCT((INDIRECT("'"&amp;$G$13&amp;"'!$C$37:$C$52")&lt;='General Information'!$D$33)*INDIRECT("'"&amp;$G$13&amp;"'!$D$37:$D$52")/(1+$W30/100)^INDIRECT("'"&amp;$G$13&amp;"'!$C$37:$C$52")),0))</f>
        <v/>
      </c>
      <c r="Z30" s="135">
        <f>IF($G$14="",0,IFERROR($J$14+SUMPRODUCT((INDIRECT("'"&amp;$G$14&amp;"'!$C$37:$C$52")&lt;='General Information'!$D$33)*INDIRECT("'"&amp;$G$14&amp;"'!$D$37:$D$52")/(1+$W30/100)^INDIRECT("'"&amp;$G$14&amp;"'!$C$37:$C$52")),0))</f>
        <v/>
      </c>
      <c r="AA30" s="135">
        <f>IF($G$15="",0,IFERROR($J$15+SUMPRODUCT((INDIRECT("'"&amp;$G$15&amp;"'!$C$37:$C$52")&lt;='General Information'!$D$33)*INDIRECT("'"&amp;$G$15&amp;"'!$D$37:$D$52")/(1+$W30/100)^INDIRECT("'"&amp;$G$15&amp;"'!$C$37:$C$52")),0))</f>
        <v/>
      </c>
      <c r="AB30" s="134">
        <f>IF(COUNTIF($X30:$AA30,"&lt;&gt;0")=0,"",INDEX($H$12:$H$15,MATCH(SMALL($X30:$AA30,COUNTIF($X30:$AA30,0)+1),$X30:$AA30,0)))</f>
        <v/>
      </c>
    </row>
    <row r="31">
      <c r="W31" s="140" t="n">
        <v>6.75</v>
      </c>
      <c r="X31" s="135">
        <f>IF($G$12="",0,IFERROR($J$12+SUMPRODUCT((INDIRECT("'"&amp;$G$12&amp;"'!$C$37:$C$52")&lt;='General Information'!$D$33)*INDIRECT("'"&amp;$G$12&amp;"'!$D$37:$D$52")/(1+$W31/100)^INDIRECT("'"&amp;$G$12&amp;"'!$C$37:$C$52")),0))</f>
        <v/>
      </c>
      <c r="Y31" s="135">
        <f>IF($G$13="",0,IFERROR($J$13+SUMPRODUCT((INDIRECT("'"&amp;$G$13&amp;"'!$C$37:$C$52")&lt;='General Information'!$D$33)*INDIRECT("'"&amp;$G$13&amp;"'!$D$37:$D$52")/(1+$W31/100)^INDIRECT("'"&amp;$G$13&amp;"'!$C$37:$C$52")),0))</f>
        <v/>
      </c>
      <c r="Z31" s="135">
        <f>IF($G$14="",0,IFERROR($J$14+SUMPRODUCT((INDIRECT("'"&amp;$G$14&amp;"'!$C$37:$C$52")&lt;='General Information'!$D$33)*INDIRECT("'"&amp;$G$14&amp;"'!$D$37:$D$52")/(1+$W31/100)^INDIRECT("'"&amp;$G$14&amp;"'!$C$37:$C$52")),0))</f>
        <v/>
      </c>
      <c r="AA31" s="135">
        <f>IF($G$15="",0,IFERROR($J$15+SUMPRODUCT((INDIRECT("'"&amp;$G$15&amp;"'!$C$37:$C$52")&lt;='General Information'!$D$33)*INDIRECT("'"&amp;$G$15&amp;"'!$D$37:$D$52")/(1+$W31/100)^INDIRECT("'"&amp;$G$15&amp;"'!$C$37:$C$52")),0))</f>
        <v/>
      </c>
      <c r="AB31" s="134">
        <f>IF(COUNTIF($X31:$AA31,"&lt;&gt;0")=0,"",INDEX($H$12:$H$15,MATCH(SMALL($X31:$AA31,COUNTIF($X31:$AA31,0)+1),$X31:$AA31,0)))</f>
        <v/>
      </c>
    </row>
    <row r="32">
      <c r="W32" s="140" t="n">
        <v>7</v>
      </c>
      <c r="X32" s="135">
        <f>IF($G$12="",0,IFERROR($J$12+SUMPRODUCT((INDIRECT("'"&amp;$G$12&amp;"'!$C$37:$C$52")&lt;='General Information'!$D$33)*INDIRECT("'"&amp;$G$12&amp;"'!$D$37:$D$52")/(1+$W32/100)^INDIRECT("'"&amp;$G$12&amp;"'!$C$37:$C$52")),0))</f>
        <v/>
      </c>
      <c r="Y32" s="135">
        <f>IF($G$13="",0,IFERROR($J$13+SUMPRODUCT((INDIRECT("'"&amp;$G$13&amp;"'!$C$37:$C$52")&lt;='General Information'!$D$33)*INDIRECT("'"&amp;$G$13&amp;"'!$D$37:$D$52")/(1+$W32/100)^INDIRECT("'"&amp;$G$13&amp;"'!$C$37:$C$52")),0))</f>
        <v/>
      </c>
      <c r="Z32" s="135">
        <f>IF($G$14="",0,IFERROR($J$14+SUMPRODUCT((INDIRECT("'"&amp;$G$14&amp;"'!$C$37:$C$52")&lt;='General Information'!$D$33)*INDIRECT("'"&amp;$G$14&amp;"'!$D$37:$D$52")/(1+$W32/100)^INDIRECT("'"&amp;$G$14&amp;"'!$C$37:$C$52")),0))</f>
        <v/>
      </c>
      <c r="AA32" s="135">
        <f>IF($G$15="",0,IFERROR($J$15+SUMPRODUCT((INDIRECT("'"&amp;$G$15&amp;"'!$C$37:$C$52")&lt;='General Information'!$D$33)*INDIRECT("'"&amp;$G$15&amp;"'!$D$37:$D$52")/(1+$W32/100)^INDIRECT("'"&amp;$G$15&amp;"'!$C$37:$C$52")),0))</f>
        <v/>
      </c>
      <c r="AB32" s="134">
        <f>IF(COUNTIF($X32:$AA32,"&lt;&gt;0")=0,"",INDEX($H$12:$H$15,MATCH(SMALL($X32:$AA32,COUNTIF($X32:$AA32,0)+1),$X32:$AA32,0)))</f>
        <v/>
      </c>
    </row>
    <row r="33">
      <c r="W33" s="140" t="n">
        <v>7.25</v>
      </c>
      <c r="X33" s="135">
        <f>IF($G$12="",0,IFERROR($J$12+SUMPRODUCT((INDIRECT("'"&amp;$G$12&amp;"'!$C$37:$C$52")&lt;='General Information'!$D$33)*INDIRECT("'"&amp;$G$12&amp;"'!$D$37:$D$52")/(1+$W33/100)^INDIRECT("'"&amp;$G$12&amp;"'!$C$37:$C$52")),0))</f>
        <v/>
      </c>
      <c r="Y33" s="135">
        <f>IF($G$13="",0,IFERROR($J$13+SUMPRODUCT((INDIRECT("'"&amp;$G$13&amp;"'!$C$37:$C$52")&lt;='General Information'!$D$33)*INDIRECT("'"&amp;$G$13&amp;"'!$D$37:$D$52")/(1+$W33/100)^INDIRECT("'"&amp;$G$13&amp;"'!$C$37:$C$52")),0))</f>
        <v/>
      </c>
      <c r="Z33" s="135">
        <f>IF($G$14="",0,IFERROR($J$14+SUMPRODUCT((INDIRECT("'"&amp;$G$14&amp;"'!$C$37:$C$52")&lt;='General Information'!$D$33)*INDIRECT("'"&amp;$G$14&amp;"'!$D$37:$D$52")/(1+$W33/100)^INDIRECT("'"&amp;$G$14&amp;"'!$C$37:$C$52")),0))</f>
        <v/>
      </c>
      <c r="AA33" s="135">
        <f>IF($G$15="",0,IFERROR($J$15+SUMPRODUCT((INDIRECT("'"&amp;$G$15&amp;"'!$C$37:$C$52")&lt;='General Information'!$D$33)*INDIRECT("'"&amp;$G$15&amp;"'!$D$37:$D$52")/(1+$W33/100)^INDIRECT("'"&amp;$G$15&amp;"'!$C$37:$C$52")),0))</f>
        <v/>
      </c>
      <c r="AB33" s="134">
        <f>IF(COUNTIF($X33:$AA33,"&lt;&gt;0")=0,"",INDEX($H$12:$H$15,MATCH(SMALL($X33:$AA33,COUNTIF($X33:$AA33,0)+1),$X33:$AA33,0)))</f>
        <v/>
      </c>
    </row>
    <row r="34">
      <c r="W34" s="140" t="n">
        <v>7.5</v>
      </c>
      <c r="X34" s="135">
        <f>IF($G$12="",0,IFERROR($J$12+SUMPRODUCT((INDIRECT("'"&amp;$G$12&amp;"'!$C$37:$C$52")&lt;='General Information'!$D$33)*INDIRECT("'"&amp;$G$12&amp;"'!$D$37:$D$52")/(1+$W34/100)^INDIRECT("'"&amp;$G$12&amp;"'!$C$37:$C$52")),0))</f>
        <v/>
      </c>
      <c r="Y34" s="135">
        <f>IF($G$13="",0,IFERROR($J$13+SUMPRODUCT((INDIRECT("'"&amp;$G$13&amp;"'!$C$37:$C$52")&lt;='General Information'!$D$33)*INDIRECT("'"&amp;$G$13&amp;"'!$D$37:$D$52")/(1+$W34/100)^INDIRECT("'"&amp;$G$13&amp;"'!$C$37:$C$52")),0))</f>
        <v/>
      </c>
      <c r="Z34" s="135">
        <f>IF($G$14="",0,IFERROR($J$14+SUMPRODUCT((INDIRECT("'"&amp;$G$14&amp;"'!$C$37:$C$52")&lt;='General Information'!$D$33)*INDIRECT("'"&amp;$G$14&amp;"'!$D$37:$D$52")/(1+$W34/100)^INDIRECT("'"&amp;$G$14&amp;"'!$C$37:$C$52")),0))</f>
        <v/>
      </c>
      <c r="AA34" s="135">
        <f>IF($G$15="",0,IFERROR($J$15+SUMPRODUCT((INDIRECT("'"&amp;$G$15&amp;"'!$C$37:$C$52")&lt;='General Information'!$D$33)*INDIRECT("'"&amp;$G$15&amp;"'!$D$37:$D$52")/(1+$W34/100)^INDIRECT("'"&amp;$G$15&amp;"'!$C$37:$C$52")),0))</f>
        <v/>
      </c>
      <c r="AB34" s="134">
        <f>IF(COUNTIF($X34:$AA34,"&lt;&gt;0")=0,"",INDEX($H$12:$H$15,MATCH(SMALL($X34:$AA34,COUNTIF($X34:$AA34,0)+1),$X34:$AA34,0)))</f>
        <v/>
      </c>
    </row>
    <row r="35">
      <c r="W35" s="140" t="n">
        <v>7.75</v>
      </c>
      <c r="X35" s="135">
        <f>IF($G$12="",0,IFERROR($J$12+SUMPRODUCT((INDIRECT("'"&amp;$G$12&amp;"'!$C$37:$C$52")&lt;='General Information'!$D$33)*INDIRECT("'"&amp;$G$12&amp;"'!$D$37:$D$52")/(1+$W35/100)^INDIRECT("'"&amp;$G$12&amp;"'!$C$37:$C$52")),0))</f>
        <v/>
      </c>
      <c r="Y35" s="135">
        <f>IF($G$13="",0,IFERROR($J$13+SUMPRODUCT((INDIRECT("'"&amp;$G$13&amp;"'!$C$37:$C$52")&lt;='General Information'!$D$33)*INDIRECT("'"&amp;$G$13&amp;"'!$D$37:$D$52")/(1+$W35/100)^INDIRECT("'"&amp;$G$13&amp;"'!$C$37:$C$52")),0))</f>
        <v/>
      </c>
      <c r="Z35" s="135">
        <f>IF($G$14="",0,IFERROR($J$14+SUMPRODUCT((INDIRECT("'"&amp;$G$14&amp;"'!$C$37:$C$52")&lt;='General Information'!$D$33)*INDIRECT("'"&amp;$G$14&amp;"'!$D$37:$D$52")/(1+$W35/100)^INDIRECT("'"&amp;$G$14&amp;"'!$C$37:$C$52")),0))</f>
        <v/>
      </c>
      <c r="AA35" s="135">
        <f>IF($G$15="",0,IFERROR($J$15+SUMPRODUCT((INDIRECT("'"&amp;$G$15&amp;"'!$C$37:$C$52")&lt;='General Information'!$D$33)*INDIRECT("'"&amp;$G$15&amp;"'!$D$37:$D$52")/(1+$W35/100)^INDIRECT("'"&amp;$G$15&amp;"'!$C$37:$C$52")),0))</f>
        <v/>
      </c>
      <c r="AB35" s="134">
        <f>IF(COUNTIF($X35:$AA35,"&lt;&gt;0")=0,"",INDEX($H$12:$H$15,MATCH(SMALL($X35:$AA35,COUNTIF($X35:$AA35,0)+1),$X35:$AA35,0)))</f>
        <v/>
      </c>
    </row>
    <row r="36">
      <c r="W36" s="140" t="n">
        <v>8</v>
      </c>
      <c r="X36" s="135">
        <f>IF($G$12="",0,IFERROR($J$12+SUMPRODUCT((INDIRECT("'"&amp;$G$12&amp;"'!$C$37:$C$52")&lt;='General Information'!$D$33)*INDIRECT("'"&amp;$G$12&amp;"'!$D$37:$D$52")/(1+$W36/100)^INDIRECT("'"&amp;$G$12&amp;"'!$C$37:$C$52")),0))</f>
        <v/>
      </c>
      <c r="Y36" s="135">
        <f>IF($G$13="",0,IFERROR($J$13+SUMPRODUCT((INDIRECT("'"&amp;$G$13&amp;"'!$C$37:$C$52")&lt;='General Information'!$D$33)*INDIRECT("'"&amp;$G$13&amp;"'!$D$37:$D$52")/(1+$W36/100)^INDIRECT("'"&amp;$G$13&amp;"'!$C$37:$C$52")),0))</f>
        <v/>
      </c>
      <c r="Z36" s="135">
        <f>IF($G$14="",0,IFERROR($J$14+SUMPRODUCT((INDIRECT("'"&amp;$G$14&amp;"'!$C$37:$C$52")&lt;='General Information'!$D$33)*INDIRECT("'"&amp;$G$14&amp;"'!$D$37:$D$52")/(1+$W36/100)^INDIRECT("'"&amp;$G$14&amp;"'!$C$37:$C$52")),0))</f>
        <v/>
      </c>
      <c r="AA36" s="135">
        <f>IF($G$15="",0,IFERROR($J$15+SUMPRODUCT((INDIRECT("'"&amp;$G$15&amp;"'!$C$37:$C$52")&lt;='General Information'!$D$33)*INDIRECT("'"&amp;$G$15&amp;"'!$D$37:$D$52")/(1+$W36/100)^INDIRECT("'"&amp;$G$15&amp;"'!$C$37:$C$52")),0))</f>
        <v/>
      </c>
      <c r="AB36" s="134">
        <f>IF(COUNTIF($X36:$AA36,"&lt;&gt;0")=0,"",INDEX($H$12:$H$15,MATCH(SMALL($X36:$AA36,COUNTIF($X36:$AA36,0)+1),$X36:$AA36,0)))</f>
        <v/>
      </c>
    </row>
    <row r="39">
      <c r="W39" s="122" t="inlineStr">
        <is>
          <t>By calendar year: spend (undiscounted), cumulative discounted cost, closure days</t>
        </is>
      </c>
    </row>
    <row r="40">
      <c r="W40" s="124" t="inlineStr">
        <is>
          <t>Year</t>
        </is>
      </c>
      <c r="X40" s="124" t="inlineStr">
        <is>
          <t>Calendar year</t>
        </is>
      </c>
      <c r="Y40" s="124">
        <f>IF(X$4="","",X$4&amp;" spend")</f>
        <v/>
      </c>
      <c r="Z40" s="124">
        <f>IF(Y$4="","",Y$4&amp;" spend")</f>
        <v/>
      </c>
      <c r="AA40" s="124">
        <f>IF(Z$4="","",Z$4&amp;" spend")</f>
        <v/>
      </c>
      <c r="AB40" s="124">
        <f>IF(AA$4="","",AA$4&amp;" spend")</f>
        <v/>
      </c>
      <c r="AC40" s="124">
        <f>IF(X$4="","",X$4&amp;" cumulative PW")</f>
        <v/>
      </c>
      <c r="AD40" s="124">
        <f>IF(Y$4="","",Y$4&amp;" cumulative PW")</f>
        <v/>
      </c>
      <c r="AE40" s="124">
        <f>IF(Z$4="","",Z$4&amp;" cumulative PW")</f>
        <v/>
      </c>
      <c r="AF40" s="124">
        <f>IF(AA$4="","",AA$4&amp;" cumulative PW")</f>
        <v/>
      </c>
      <c r="AG40" s="124">
        <f>IF(X$4="","",X$4&amp;" closure days")</f>
        <v/>
      </c>
      <c r="AH40" s="124">
        <f>IF(Y$4="","",Y$4&amp;" closure days")</f>
        <v/>
      </c>
      <c r="AI40" s="124">
        <f>IF(Z$4="","",Z$4&amp;" closure days")</f>
        <v/>
      </c>
      <c r="AJ40" s="124">
        <f>IF(AA$4="","",AA$4&amp;" closure days")</f>
        <v/>
      </c>
    </row>
    <row r="41">
      <c r="W41" s="134" t="n">
        <v>0</v>
      </c>
      <c r="X41" s="134">
        <f>'General Information'!$D$25+W41</f>
        <v/>
      </c>
      <c r="Y41" s="135">
        <f>IF($G$12="",0,IF(W41&gt;'General Information'!$D$33,0,IF(W41=0,$J$12,IFERROR(SUMIF(INDIRECT("'"&amp;$G$12&amp;"'!$C$37:$C$52"),W41,INDIRECT("'"&amp;$G$12&amp;"'!$D$37:$D$52")),0))))</f>
        <v/>
      </c>
      <c r="Z41" s="135">
        <f>IF($G$13="",0,IF(W41&gt;'General Information'!$D$33,0,IF(W41=0,$J$13,IFERROR(SUMIF(INDIRECT("'"&amp;$G$13&amp;"'!$C$37:$C$52"),W41,INDIRECT("'"&amp;$G$13&amp;"'!$D$37:$D$52")),0))))</f>
        <v/>
      </c>
      <c r="AA41" s="135">
        <f>IF($G$14="",0,IF(W41&gt;'General Information'!$D$33,0,IF(W41=0,$J$14,IFERROR(SUMIF(INDIRECT("'"&amp;$G$14&amp;"'!$C$37:$C$52"),W41,INDIRECT("'"&amp;$G$14&amp;"'!$D$37:$D$52")),0))))</f>
        <v/>
      </c>
      <c r="AB41" s="135">
        <f>IF($G$15="",0,IF(W41&gt;'General Information'!$D$33,0,IF(W41=0,$J$15,IFERROR(SUMIF(INDIRECT("'"&amp;$G$15&amp;"'!$C$37:$C$52"),W41,INDIRECT("'"&amp;$G$15&amp;"'!$D$37:$D$52")),0))))</f>
        <v/>
      </c>
      <c r="AC41" s="135">
        <f>IF($G$12="",0,IF(W41&gt;'General Information'!$D$33,0,IF(W41=0,$J$12,IFERROR(SUMIF(INDIRECT("'"&amp;$G$12&amp;"'!$C$37:$C$52"),W41,INDIRECT("'"&amp;$G$12&amp;"'!$E$37:$E$52")),0))))</f>
        <v/>
      </c>
      <c r="AD41" s="135">
        <f>IF($G$13="",0,IF(W41&gt;'General Information'!$D$33,0,IF(W41=0,$J$13,IFERROR(SUMIF(INDIRECT("'"&amp;$G$13&amp;"'!$C$37:$C$52"),W41,INDIRECT("'"&amp;$G$13&amp;"'!$E$37:$E$52")),0))))</f>
        <v/>
      </c>
      <c r="AE41" s="135">
        <f>IF($G$14="",0,IF(W41&gt;'General Information'!$D$33,0,IF(W41=0,$J$14,IFERROR(SUMIF(INDIRECT("'"&amp;$G$14&amp;"'!$C$37:$C$52"),W41,INDIRECT("'"&amp;$G$14&amp;"'!$E$37:$E$52")),0))))</f>
        <v/>
      </c>
      <c r="AF41" s="135">
        <f>IF($G$15="",0,IF(W41&gt;'General Information'!$D$33,0,IF(W41=0,$J$15,IFERROR(SUMIF(INDIRECT("'"&amp;$G$15&amp;"'!$C$37:$C$52"),W41,INDIRECT("'"&amp;$G$15&amp;"'!$E$37:$E$52")),0))))</f>
        <v/>
      </c>
      <c r="AG41" s="152">
        <f>IF($G$12="",0,IF(W41&gt;'General Information'!$D$33,0,IFERROR(SUMIFS(INDIRECT("'"&amp;$G$12&amp;"'!$D$37:$D$52"),INDIRECT("'"&amp;$G$12&amp;"'!$C$37:$C$52"),W41,INDIRECT("'"&amp;$G$12&amp;"'!$B$37:$B$52"),"*Indirect*")/INDIRECT("'"&amp;$G$12&amp;"'!$F$2"),0)))</f>
        <v/>
      </c>
      <c r="AH41" s="152">
        <f>IF($G$13="",0,IF(W41&gt;'General Information'!$D$33,0,IFERROR(SUMIFS(INDIRECT("'"&amp;$G$13&amp;"'!$D$37:$D$52"),INDIRECT("'"&amp;$G$13&amp;"'!$C$37:$C$52"),W41,INDIRECT("'"&amp;$G$13&amp;"'!$B$37:$B$52"),"*Indirect*")/INDIRECT("'"&amp;$G$13&amp;"'!$F$2"),0)))</f>
        <v/>
      </c>
      <c r="AI41" s="152">
        <f>IF($G$14="",0,IF(W41&gt;'General Information'!$D$33,0,IFERROR(SUMIFS(INDIRECT("'"&amp;$G$14&amp;"'!$D$37:$D$52"),INDIRECT("'"&amp;$G$14&amp;"'!$C$37:$C$52"),W41,INDIRECT("'"&amp;$G$14&amp;"'!$B$37:$B$52"),"*Indirect*")/INDIRECT("'"&amp;$G$14&amp;"'!$F$2"),0)))</f>
        <v/>
      </c>
      <c r="AJ41" s="152">
        <f>IF($G$15="",0,IF(W41&gt;'General Information'!$D$33,0,IFERROR(SUMIFS(INDIRECT("'"&amp;$G$15&amp;"'!$D$37:$D$52"),INDIRECT("'"&amp;$G$15&amp;"'!$C$37:$C$52"),W41,INDIRECT("'"&amp;$G$15&amp;"'!$B$37:$B$52"),"*Indirect*")/INDIRECT("'"&amp;$G$15&amp;"'!$F$2"),0)))</f>
        <v/>
      </c>
    </row>
    <row r="42">
      <c r="W42" s="134" t="n">
        <v>1</v>
      </c>
      <c r="X42" s="134">
        <f>'General Information'!$D$25+W42</f>
        <v/>
      </c>
      <c r="Y42" s="135">
        <f>IF($G$12="",0,IF(W42&gt;'General Information'!$D$33,0,IF(W42=0,$J$12,IFERROR(SUMIF(INDIRECT("'"&amp;$G$12&amp;"'!$C$37:$C$52"),W42,INDIRECT("'"&amp;$G$12&amp;"'!$D$37:$D$52")),0))))</f>
        <v/>
      </c>
      <c r="Z42" s="135">
        <f>IF($G$13="",0,IF(W42&gt;'General Information'!$D$33,0,IF(W42=0,$J$13,IFERROR(SUMIF(INDIRECT("'"&amp;$G$13&amp;"'!$C$37:$C$52"),W42,INDIRECT("'"&amp;$G$13&amp;"'!$D$37:$D$52")),0))))</f>
        <v/>
      </c>
      <c r="AA42" s="135">
        <f>IF($G$14="",0,IF(W42&gt;'General Information'!$D$33,0,IF(W42=0,$J$14,IFERROR(SUMIF(INDIRECT("'"&amp;$G$14&amp;"'!$C$37:$C$52"),W42,INDIRECT("'"&amp;$G$14&amp;"'!$D$37:$D$52")),0))))</f>
        <v/>
      </c>
      <c r="AB42" s="135">
        <f>IF($G$15="",0,IF(W42&gt;'General Information'!$D$33,0,IF(W42=0,$J$15,IFERROR(SUMIF(INDIRECT("'"&amp;$G$15&amp;"'!$C$37:$C$52"),W42,INDIRECT("'"&amp;$G$15&amp;"'!$D$37:$D$52")),0))))</f>
        <v/>
      </c>
      <c r="AC42" s="135">
        <f>IF($G$12="",0,AC41+IF(W42&gt;'General Information'!$D$33,0,IF(W42=0,$J$12,IFERROR(SUMIF(INDIRECT("'"&amp;$G$12&amp;"'!$C$37:$C$52"),W42,INDIRECT("'"&amp;$G$12&amp;"'!$E$37:$E$52")),0))))</f>
        <v/>
      </c>
      <c r="AD42" s="135">
        <f>IF($G$13="",0,AD41+IF(W42&gt;'General Information'!$D$33,0,IF(W42=0,$J$13,IFERROR(SUMIF(INDIRECT("'"&amp;$G$13&amp;"'!$C$37:$C$52"),W42,INDIRECT("'"&amp;$G$13&amp;"'!$E$37:$E$52")),0))))</f>
        <v/>
      </c>
      <c r="AE42" s="135">
        <f>IF($G$14="",0,AE41+IF(W42&gt;'General Information'!$D$33,0,IF(W42=0,$J$14,IFERROR(SUMIF(INDIRECT("'"&amp;$G$14&amp;"'!$C$37:$C$52"),W42,INDIRECT("'"&amp;$G$14&amp;"'!$E$37:$E$52")),0))))</f>
        <v/>
      </c>
      <c r="AF42" s="135">
        <f>IF($G$15="",0,AF41+IF(W42&gt;'General Information'!$D$33,0,IF(W42=0,$J$15,IFERROR(SUMIF(INDIRECT("'"&amp;$G$15&amp;"'!$C$37:$C$52"),W42,INDIRECT("'"&amp;$G$15&amp;"'!$E$37:$E$52")),0))))</f>
        <v/>
      </c>
      <c r="AG42" s="152">
        <f>IF($G$12="",0,IF(W42&gt;'General Information'!$D$33,0,IFERROR(SUMIFS(INDIRECT("'"&amp;$G$12&amp;"'!$D$37:$D$52"),INDIRECT("'"&amp;$G$12&amp;"'!$C$37:$C$52"),W42,INDIRECT("'"&amp;$G$12&amp;"'!$B$37:$B$52"),"*Indirect*")/INDIRECT("'"&amp;$G$12&amp;"'!$F$2"),0)))</f>
        <v/>
      </c>
      <c r="AH42" s="152">
        <f>IF($G$13="",0,IF(W42&gt;'General Information'!$D$33,0,IFERROR(SUMIFS(INDIRECT("'"&amp;$G$13&amp;"'!$D$37:$D$52"),INDIRECT("'"&amp;$G$13&amp;"'!$C$37:$C$52"),W42,INDIRECT("'"&amp;$G$13&amp;"'!$B$37:$B$52"),"*Indirect*")/INDIRECT("'"&amp;$G$13&amp;"'!$F$2"),0)))</f>
        <v/>
      </c>
      <c r="AI42" s="152">
        <f>IF($G$14="",0,IF(W42&gt;'General Information'!$D$33,0,IFERROR(SUMIFS(INDIRECT("'"&amp;$G$14&amp;"'!$D$37:$D$52"),INDIRECT("'"&amp;$G$14&amp;"'!$C$37:$C$52"),W42,INDIRECT("'"&amp;$G$14&amp;"'!$B$37:$B$52"),"*Indirect*")/INDIRECT("'"&amp;$G$14&amp;"'!$F$2"),0)))</f>
        <v/>
      </c>
      <c r="AJ42" s="152">
        <f>IF($G$15="",0,IF(W42&gt;'General Information'!$D$33,0,IFERROR(SUMIFS(INDIRECT("'"&amp;$G$15&amp;"'!$D$37:$D$52"),INDIRECT("'"&amp;$G$15&amp;"'!$C$37:$C$52"),W42,INDIRECT("'"&amp;$G$15&amp;"'!$B$37:$B$52"),"*Indirect*")/INDIRECT("'"&amp;$G$15&amp;"'!$F$2"),0)))</f>
        <v/>
      </c>
    </row>
    <row r="43">
      <c r="W43" s="134" t="n">
        <v>2</v>
      </c>
      <c r="X43" s="134">
        <f>'General Information'!$D$25+W43</f>
        <v/>
      </c>
      <c r="Y43" s="135">
        <f>IF($G$12="",0,IF(W43&gt;'General Information'!$D$33,0,IF(W43=0,$J$12,IFERROR(SUMIF(INDIRECT("'"&amp;$G$12&amp;"'!$C$37:$C$52"),W43,INDIRECT("'"&amp;$G$12&amp;"'!$D$37:$D$52")),0))))</f>
        <v/>
      </c>
      <c r="Z43" s="135">
        <f>IF($G$13="",0,IF(W43&gt;'General Information'!$D$33,0,IF(W43=0,$J$13,IFERROR(SUMIF(INDIRECT("'"&amp;$G$13&amp;"'!$C$37:$C$52"),W43,INDIRECT("'"&amp;$G$13&amp;"'!$D$37:$D$52")),0))))</f>
        <v/>
      </c>
      <c r="AA43" s="135">
        <f>IF($G$14="",0,IF(W43&gt;'General Information'!$D$33,0,IF(W43=0,$J$14,IFERROR(SUMIF(INDIRECT("'"&amp;$G$14&amp;"'!$C$37:$C$52"),W43,INDIRECT("'"&amp;$G$14&amp;"'!$D$37:$D$52")),0))))</f>
        <v/>
      </c>
      <c r="AB43" s="135">
        <f>IF($G$15="",0,IF(W43&gt;'General Information'!$D$33,0,IF(W43=0,$J$15,IFERROR(SUMIF(INDIRECT("'"&amp;$G$15&amp;"'!$C$37:$C$52"),W43,INDIRECT("'"&amp;$G$15&amp;"'!$D$37:$D$52")),0))))</f>
        <v/>
      </c>
      <c r="AC43" s="135">
        <f>IF($G$12="",0,AC42+IF(W43&gt;'General Information'!$D$33,0,IF(W43=0,$J$12,IFERROR(SUMIF(INDIRECT("'"&amp;$G$12&amp;"'!$C$37:$C$52"),W43,INDIRECT("'"&amp;$G$12&amp;"'!$E$37:$E$52")),0))))</f>
        <v/>
      </c>
      <c r="AD43" s="135">
        <f>IF($G$13="",0,AD42+IF(W43&gt;'General Information'!$D$33,0,IF(W43=0,$J$13,IFERROR(SUMIF(INDIRECT("'"&amp;$G$13&amp;"'!$C$37:$C$52"),W43,INDIRECT("'"&amp;$G$13&amp;"'!$E$37:$E$52")),0))))</f>
        <v/>
      </c>
      <c r="AE43" s="135">
        <f>IF($G$14="",0,AE42+IF(W43&gt;'General Information'!$D$33,0,IF(W43=0,$J$14,IFERROR(SUMIF(INDIRECT("'"&amp;$G$14&amp;"'!$C$37:$C$52"),W43,INDIRECT("'"&amp;$G$14&amp;"'!$E$37:$E$52")),0))))</f>
        <v/>
      </c>
      <c r="AF43" s="135">
        <f>IF($G$15="",0,AF42+IF(W43&gt;'General Information'!$D$33,0,IF(W43=0,$J$15,IFERROR(SUMIF(INDIRECT("'"&amp;$G$15&amp;"'!$C$37:$C$52"),W43,INDIRECT("'"&amp;$G$15&amp;"'!$E$37:$E$52")),0))))</f>
        <v/>
      </c>
      <c r="AG43" s="152">
        <f>IF($G$12="",0,IF(W43&gt;'General Information'!$D$33,0,IFERROR(SUMIFS(INDIRECT("'"&amp;$G$12&amp;"'!$D$37:$D$52"),INDIRECT("'"&amp;$G$12&amp;"'!$C$37:$C$52"),W43,INDIRECT("'"&amp;$G$12&amp;"'!$B$37:$B$52"),"*Indirect*")/INDIRECT("'"&amp;$G$12&amp;"'!$F$2"),0)))</f>
        <v/>
      </c>
      <c r="AH43" s="152">
        <f>IF($G$13="",0,IF(W43&gt;'General Information'!$D$33,0,IFERROR(SUMIFS(INDIRECT("'"&amp;$G$13&amp;"'!$D$37:$D$52"),INDIRECT("'"&amp;$G$13&amp;"'!$C$37:$C$52"),W43,INDIRECT("'"&amp;$G$13&amp;"'!$B$37:$B$52"),"*Indirect*")/INDIRECT("'"&amp;$G$13&amp;"'!$F$2"),0)))</f>
        <v/>
      </c>
      <c r="AI43" s="152">
        <f>IF($G$14="",0,IF(W43&gt;'General Information'!$D$33,0,IFERROR(SUMIFS(INDIRECT("'"&amp;$G$14&amp;"'!$D$37:$D$52"),INDIRECT("'"&amp;$G$14&amp;"'!$C$37:$C$52"),W43,INDIRECT("'"&amp;$G$14&amp;"'!$B$37:$B$52"),"*Indirect*")/INDIRECT("'"&amp;$G$14&amp;"'!$F$2"),0)))</f>
        <v/>
      </c>
      <c r="AJ43" s="152">
        <f>IF($G$15="",0,IF(W43&gt;'General Information'!$D$33,0,IFERROR(SUMIFS(INDIRECT("'"&amp;$G$15&amp;"'!$D$37:$D$52"),INDIRECT("'"&amp;$G$15&amp;"'!$C$37:$C$52"),W43,INDIRECT("'"&amp;$G$15&amp;"'!$B$37:$B$52"),"*Indirect*")/INDIRECT("'"&amp;$G$15&amp;"'!$F$2"),0)))</f>
        <v/>
      </c>
    </row>
    <row r="44">
      <c r="W44" s="134" t="n">
        <v>3</v>
      </c>
      <c r="X44" s="134">
        <f>'General Information'!$D$25+W44</f>
        <v/>
      </c>
      <c r="Y44" s="135">
        <f>IF($G$12="",0,IF(W44&gt;'General Information'!$D$33,0,IF(W44=0,$J$12,IFERROR(SUMIF(INDIRECT("'"&amp;$G$12&amp;"'!$C$37:$C$52"),W44,INDIRECT("'"&amp;$G$12&amp;"'!$D$37:$D$52")),0))))</f>
        <v/>
      </c>
      <c r="Z44" s="135">
        <f>IF($G$13="",0,IF(W44&gt;'General Information'!$D$33,0,IF(W44=0,$J$13,IFERROR(SUMIF(INDIRECT("'"&amp;$G$13&amp;"'!$C$37:$C$52"),W44,INDIRECT("'"&amp;$G$13&amp;"'!$D$37:$D$52")),0))))</f>
        <v/>
      </c>
      <c r="AA44" s="135">
        <f>IF($G$14="",0,IF(W44&gt;'General Information'!$D$33,0,IF(W44=0,$J$14,IFERROR(SUMIF(INDIRECT("'"&amp;$G$14&amp;"'!$C$37:$C$52"),W44,INDIRECT("'"&amp;$G$14&amp;"'!$D$37:$D$52")),0))))</f>
        <v/>
      </c>
      <c r="AB44" s="135">
        <f>IF($G$15="",0,IF(W44&gt;'General Information'!$D$33,0,IF(W44=0,$J$15,IFERROR(SUMIF(INDIRECT("'"&amp;$G$15&amp;"'!$C$37:$C$52"),W44,INDIRECT("'"&amp;$G$15&amp;"'!$D$37:$D$52")),0))))</f>
        <v/>
      </c>
      <c r="AC44" s="135">
        <f>IF($G$12="",0,AC43+IF(W44&gt;'General Information'!$D$33,0,IF(W44=0,$J$12,IFERROR(SUMIF(INDIRECT("'"&amp;$G$12&amp;"'!$C$37:$C$52"),W44,INDIRECT("'"&amp;$G$12&amp;"'!$E$37:$E$52")),0))))</f>
        <v/>
      </c>
      <c r="AD44" s="135">
        <f>IF($G$13="",0,AD43+IF(W44&gt;'General Information'!$D$33,0,IF(W44=0,$J$13,IFERROR(SUMIF(INDIRECT("'"&amp;$G$13&amp;"'!$C$37:$C$52"),W44,INDIRECT("'"&amp;$G$13&amp;"'!$E$37:$E$52")),0))))</f>
        <v/>
      </c>
      <c r="AE44" s="135">
        <f>IF($G$14="",0,AE43+IF(W44&gt;'General Information'!$D$33,0,IF(W44=0,$J$14,IFERROR(SUMIF(INDIRECT("'"&amp;$G$14&amp;"'!$C$37:$C$52"),W44,INDIRECT("'"&amp;$G$14&amp;"'!$E$37:$E$52")),0))))</f>
        <v/>
      </c>
      <c r="AF44" s="135">
        <f>IF($G$15="",0,AF43+IF(W44&gt;'General Information'!$D$33,0,IF(W44=0,$J$15,IFERROR(SUMIF(INDIRECT("'"&amp;$G$15&amp;"'!$C$37:$C$52"),W44,INDIRECT("'"&amp;$G$15&amp;"'!$E$37:$E$52")),0))))</f>
        <v/>
      </c>
      <c r="AG44" s="152">
        <f>IF($G$12="",0,IF(W44&gt;'General Information'!$D$33,0,IFERROR(SUMIFS(INDIRECT("'"&amp;$G$12&amp;"'!$D$37:$D$52"),INDIRECT("'"&amp;$G$12&amp;"'!$C$37:$C$52"),W44,INDIRECT("'"&amp;$G$12&amp;"'!$B$37:$B$52"),"*Indirect*")/INDIRECT("'"&amp;$G$12&amp;"'!$F$2"),0)))</f>
        <v/>
      </c>
      <c r="AH44" s="152">
        <f>IF($G$13="",0,IF(W44&gt;'General Information'!$D$33,0,IFERROR(SUMIFS(INDIRECT("'"&amp;$G$13&amp;"'!$D$37:$D$52"),INDIRECT("'"&amp;$G$13&amp;"'!$C$37:$C$52"),W44,INDIRECT("'"&amp;$G$13&amp;"'!$B$37:$B$52"),"*Indirect*")/INDIRECT("'"&amp;$G$13&amp;"'!$F$2"),0)))</f>
        <v/>
      </c>
      <c r="AI44" s="152">
        <f>IF($G$14="",0,IF(W44&gt;'General Information'!$D$33,0,IFERROR(SUMIFS(INDIRECT("'"&amp;$G$14&amp;"'!$D$37:$D$52"),INDIRECT("'"&amp;$G$14&amp;"'!$C$37:$C$52"),W44,INDIRECT("'"&amp;$G$14&amp;"'!$B$37:$B$52"),"*Indirect*")/INDIRECT("'"&amp;$G$14&amp;"'!$F$2"),0)))</f>
        <v/>
      </c>
      <c r="AJ44" s="152">
        <f>IF($G$15="",0,IF(W44&gt;'General Information'!$D$33,0,IFERROR(SUMIFS(INDIRECT("'"&amp;$G$15&amp;"'!$D$37:$D$52"),INDIRECT("'"&amp;$G$15&amp;"'!$C$37:$C$52"),W44,INDIRECT("'"&amp;$G$15&amp;"'!$B$37:$B$52"),"*Indirect*")/INDIRECT("'"&amp;$G$15&amp;"'!$F$2"),0)))</f>
        <v/>
      </c>
    </row>
    <row r="45">
      <c r="W45" s="134" t="n">
        <v>4</v>
      </c>
      <c r="X45" s="134">
        <f>'General Information'!$D$25+W45</f>
        <v/>
      </c>
      <c r="Y45" s="135">
        <f>IF($G$12="",0,IF(W45&gt;'General Information'!$D$33,0,IF(W45=0,$J$12,IFERROR(SUMIF(INDIRECT("'"&amp;$G$12&amp;"'!$C$37:$C$52"),W45,INDIRECT("'"&amp;$G$12&amp;"'!$D$37:$D$52")),0))))</f>
        <v/>
      </c>
      <c r="Z45" s="135">
        <f>IF($G$13="",0,IF(W45&gt;'General Information'!$D$33,0,IF(W45=0,$J$13,IFERROR(SUMIF(INDIRECT("'"&amp;$G$13&amp;"'!$C$37:$C$52"),W45,INDIRECT("'"&amp;$G$13&amp;"'!$D$37:$D$52")),0))))</f>
        <v/>
      </c>
      <c r="AA45" s="135">
        <f>IF($G$14="",0,IF(W45&gt;'General Information'!$D$33,0,IF(W45=0,$J$14,IFERROR(SUMIF(INDIRECT("'"&amp;$G$14&amp;"'!$C$37:$C$52"),W45,INDIRECT("'"&amp;$G$14&amp;"'!$D$37:$D$52")),0))))</f>
        <v/>
      </c>
      <c r="AB45" s="135">
        <f>IF($G$15="",0,IF(W45&gt;'General Information'!$D$33,0,IF(W45=0,$J$15,IFERROR(SUMIF(INDIRECT("'"&amp;$G$15&amp;"'!$C$37:$C$52"),W45,INDIRECT("'"&amp;$G$15&amp;"'!$D$37:$D$52")),0))))</f>
        <v/>
      </c>
      <c r="AC45" s="135">
        <f>IF($G$12="",0,AC44+IF(W45&gt;'General Information'!$D$33,0,IF(W45=0,$J$12,IFERROR(SUMIF(INDIRECT("'"&amp;$G$12&amp;"'!$C$37:$C$52"),W45,INDIRECT("'"&amp;$G$12&amp;"'!$E$37:$E$52")),0))))</f>
        <v/>
      </c>
      <c r="AD45" s="135">
        <f>IF($G$13="",0,AD44+IF(W45&gt;'General Information'!$D$33,0,IF(W45=0,$J$13,IFERROR(SUMIF(INDIRECT("'"&amp;$G$13&amp;"'!$C$37:$C$52"),W45,INDIRECT("'"&amp;$G$13&amp;"'!$E$37:$E$52")),0))))</f>
        <v/>
      </c>
      <c r="AE45" s="135">
        <f>IF($G$14="",0,AE44+IF(W45&gt;'General Information'!$D$33,0,IF(W45=0,$J$14,IFERROR(SUMIF(INDIRECT("'"&amp;$G$14&amp;"'!$C$37:$C$52"),W45,INDIRECT("'"&amp;$G$14&amp;"'!$E$37:$E$52")),0))))</f>
        <v/>
      </c>
      <c r="AF45" s="135">
        <f>IF($G$15="",0,AF44+IF(W45&gt;'General Information'!$D$33,0,IF(W45=0,$J$15,IFERROR(SUMIF(INDIRECT("'"&amp;$G$15&amp;"'!$C$37:$C$52"),W45,INDIRECT("'"&amp;$G$15&amp;"'!$E$37:$E$52")),0))))</f>
        <v/>
      </c>
      <c r="AG45" s="152">
        <f>IF($G$12="",0,IF(W45&gt;'General Information'!$D$33,0,IFERROR(SUMIFS(INDIRECT("'"&amp;$G$12&amp;"'!$D$37:$D$52"),INDIRECT("'"&amp;$G$12&amp;"'!$C$37:$C$52"),W45,INDIRECT("'"&amp;$G$12&amp;"'!$B$37:$B$52"),"*Indirect*")/INDIRECT("'"&amp;$G$12&amp;"'!$F$2"),0)))</f>
        <v/>
      </c>
      <c r="AH45" s="152">
        <f>IF($G$13="",0,IF(W45&gt;'General Information'!$D$33,0,IFERROR(SUMIFS(INDIRECT("'"&amp;$G$13&amp;"'!$D$37:$D$52"),INDIRECT("'"&amp;$G$13&amp;"'!$C$37:$C$52"),W45,INDIRECT("'"&amp;$G$13&amp;"'!$B$37:$B$52"),"*Indirect*")/INDIRECT("'"&amp;$G$13&amp;"'!$F$2"),0)))</f>
        <v/>
      </c>
      <c r="AI45" s="152">
        <f>IF($G$14="",0,IF(W45&gt;'General Information'!$D$33,0,IFERROR(SUMIFS(INDIRECT("'"&amp;$G$14&amp;"'!$D$37:$D$52"),INDIRECT("'"&amp;$G$14&amp;"'!$C$37:$C$52"),W45,INDIRECT("'"&amp;$G$14&amp;"'!$B$37:$B$52"),"*Indirect*")/INDIRECT("'"&amp;$G$14&amp;"'!$F$2"),0)))</f>
        <v/>
      </c>
      <c r="AJ45" s="152">
        <f>IF($G$15="",0,IF(W45&gt;'General Information'!$D$33,0,IFERROR(SUMIFS(INDIRECT("'"&amp;$G$15&amp;"'!$D$37:$D$52"),INDIRECT("'"&amp;$G$15&amp;"'!$C$37:$C$52"),W45,INDIRECT("'"&amp;$G$15&amp;"'!$B$37:$B$52"),"*Indirect*")/INDIRECT("'"&amp;$G$15&amp;"'!$F$2"),0)))</f>
        <v/>
      </c>
    </row>
    <row r="46">
      <c r="G46" s="210" t="inlineStr">
        <is>
          <t>SUPPORTING DETAIL</t>
        </is>
      </c>
      <c r="W46" s="134" t="n">
        <v>5</v>
      </c>
      <c r="X46" s="134">
        <f>'General Information'!$D$25+W46</f>
        <v/>
      </c>
      <c r="Y46" s="135">
        <f>IF($G$12="",0,IF(W46&gt;'General Information'!$D$33,0,IF(W46=0,$J$12,IFERROR(SUMIF(INDIRECT("'"&amp;$G$12&amp;"'!$C$37:$C$52"),W46,INDIRECT("'"&amp;$G$12&amp;"'!$D$37:$D$52")),0))))</f>
        <v/>
      </c>
      <c r="Z46" s="135">
        <f>IF($G$13="",0,IF(W46&gt;'General Information'!$D$33,0,IF(W46=0,$J$13,IFERROR(SUMIF(INDIRECT("'"&amp;$G$13&amp;"'!$C$37:$C$52"),W46,INDIRECT("'"&amp;$G$13&amp;"'!$D$37:$D$52")),0))))</f>
        <v/>
      </c>
      <c r="AA46" s="135">
        <f>IF($G$14="",0,IF(W46&gt;'General Information'!$D$33,0,IF(W46=0,$J$14,IFERROR(SUMIF(INDIRECT("'"&amp;$G$14&amp;"'!$C$37:$C$52"),W46,INDIRECT("'"&amp;$G$14&amp;"'!$D$37:$D$52")),0))))</f>
        <v/>
      </c>
      <c r="AB46" s="135">
        <f>IF($G$15="",0,IF(W46&gt;'General Information'!$D$33,0,IF(W46=0,$J$15,IFERROR(SUMIF(INDIRECT("'"&amp;$G$15&amp;"'!$C$37:$C$52"),W46,INDIRECT("'"&amp;$G$15&amp;"'!$D$37:$D$52")),0))))</f>
        <v/>
      </c>
      <c r="AC46" s="135">
        <f>IF($G$12="",0,AC45+IF(W46&gt;'General Information'!$D$33,0,IF(W46=0,$J$12,IFERROR(SUMIF(INDIRECT("'"&amp;$G$12&amp;"'!$C$37:$C$52"),W46,INDIRECT("'"&amp;$G$12&amp;"'!$E$37:$E$52")),0))))</f>
        <v/>
      </c>
      <c r="AD46" s="135">
        <f>IF($G$13="",0,AD45+IF(W46&gt;'General Information'!$D$33,0,IF(W46=0,$J$13,IFERROR(SUMIF(INDIRECT("'"&amp;$G$13&amp;"'!$C$37:$C$52"),W46,INDIRECT("'"&amp;$G$13&amp;"'!$E$37:$E$52")),0))))</f>
        <v/>
      </c>
      <c r="AE46" s="135">
        <f>IF($G$14="",0,AE45+IF(W46&gt;'General Information'!$D$33,0,IF(W46=0,$J$14,IFERROR(SUMIF(INDIRECT("'"&amp;$G$14&amp;"'!$C$37:$C$52"),W46,INDIRECT("'"&amp;$G$14&amp;"'!$E$37:$E$52")),0))))</f>
        <v/>
      </c>
      <c r="AF46" s="135">
        <f>IF($G$15="",0,AF45+IF(W46&gt;'General Information'!$D$33,0,IF(W46=0,$J$15,IFERROR(SUMIF(INDIRECT("'"&amp;$G$15&amp;"'!$C$37:$C$52"),W46,INDIRECT("'"&amp;$G$15&amp;"'!$E$37:$E$52")),0))))</f>
        <v/>
      </c>
      <c r="AG46" s="152">
        <f>IF($G$12="",0,IF(W46&gt;'General Information'!$D$33,0,IFERROR(SUMIFS(INDIRECT("'"&amp;$G$12&amp;"'!$D$37:$D$52"),INDIRECT("'"&amp;$G$12&amp;"'!$C$37:$C$52"),W46,INDIRECT("'"&amp;$G$12&amp;"'!$B$37:$B$52"),"*Indirect*")/INDIRECT("'"&amp;$G$12&amp;"'!$F$2"),0)))</f>
        <v/>
      </c>
      <c r="AH46" s="152">
        <f>IF($G$13="",0,IF(W46&gt;'General Information'!$D$33,0,IFERROR(SUMIFS(INDIRECT("'"&amp;$G$13&amp;"'!$D$37:$D$52"),INDIRECT("'"&amp;$G$13&amp;"'!$C$37:$C$52"),W46,INDIRECT("'"&amp;$G$13&amp;"'!$B$37:$B$52"),"*Indirect*")/INDIRECT("'"&amp;$G$13&amp;"'!$F$2"),0)))</f>
        <v/>
      </c>
      <c r="AI46" s="152">
        <f>IF($G$14="",0,IF(W46&gt;'General Information'!$D$33,0,IFERROR(SUMIFS(INDIRECT("'"&amp;$G$14&amp;"'!$D$37:$D$52"),INDIRECT("'"&amp;$G$14&amp;"'!$C$37:$C$52"),W46,INDIRECT("'"&amp;$G$14&amp;"'!$B$37:$B$52"),"*Indirect*")/INDIRECT("'"&amp;$G$14&amp;"'!$F$2"),0)))</f>
        <v/>
      </c>
      <c r="AJ46" s="152">
        <f>IF($G$15="",0,IF(W46&gt;'General Information'!$D$33,0,IFERROR(SUMIFS(INDIRECT("'"&amp;$G$15&amp;"'!$D$37:$D$52"),INDIRECT("'"&amp;$G$15&amp;"'!$C$37:$C$52"),W46,INDIRECT("'"&amp;$G$15&amp;"'!$B$37:$B$52"),"*Indirect*")/INDIRECT("'"&amp;$G$15&amp;"'!$F$2"),0)))</f>
        <v/>
      </c>
    </row>
    <row r="47">
      <c r="W47" s="134" t="n">
        <v>6</v>
      </c>
      <c r="X47" s="134">
        <f>'General Information'!$D$25+W47</f>
        <v/>
      </c>
      <c r="Y47" s="135">
        <f>IF($G$12="",0,IF(W47&gt;'General Information'!$D$33,0,IF(W47=0,$J$12,IFERROR(SUMIF(INDIRECT("'"&amp;$G$12&amp;"'!$C$37:$C$52"),W47,INDIRECT("'"&amp;$G$12&amp;"'!$D$37:$D$52")),0))))</f>
        <v/>
      </c>
      <c r="Z47" s="135">
        <f>IF($G$13="",0,IF(W47&gt;'General Information'!$D$33,0,IF(W47=0,$J$13,IFERROR(SUMIF(INDIRECT("'"&amp;$G$13&amp;"'!$C$37:$C$52"),W47,INDIRECT("'"&amp;$G$13&amp;"'!$D$37:$D$52")),0))))</f>
        <v/>
      </c>
      <c r="AA47" s="135">
        <f>IF($G$14="",0,IF(W47&gt;'General Information'!$D$33,0,IF(W47=0,$J$14,IFERROR(SUMIF(INDIRECT("'"&amp;$G$14&amp;"'!$C$37:$C$52"),W47,INDIRECT("'"&amp;$G$14&amp;"'!$D$37:$D$52")),0))))</f>
        <v/>
      </c>
      <c r="AB47" s="135">
        <f>IF($G$15="",0,IF(W47&gt;'General Information'!$D$33,0,IF(W47=0,$J$15,IFERROR(SUMIF(INDIRECT("'"&amp;$G$15&amp;"'!$C$37:$C$52"),W47,INDIRECT("'"&amp;$G$15&amp;"'!$D$37:$D$52")),0))))</f>
        <v/>
      </c>
      <c r="AC47" s="135">
        <f>IF($G$12="",0,AC46+IF(W47&gt;'General Information'!$D$33,0,IF(W47=0,$J$12,IFERROR(SUMIF(INDIRECT("'"&amp;$G$12&amp;"'!$C$37:$C$52"),W47,INDIRECT("'"&amp;$G$12&amp;"'!$E$37:$E$52")),0))))</f>
        <v/>
      </c>
      <c r="AD47" s="135">
        <f>IF($G$13="",0,AD46+IF(W47&gt;'General Information'!$D$33,0,IF(W47=0,$J$13,IFERROR(SUMIF(INDIRECT("'"&amp;$G$13&amp;"'!$C$37:$C$52"),W47,INDIRECT("'"&amp;$G$13&amp;"'!$E$37:$E$52")),0))))</f>
        <v/>
      </c>
      <c r="AE47" s="135">
        <f>IF($G$14="",0,AE46+IF(W47&gt;'General Information'!$D$33,0,IF(W47=0,$J$14,IFERROR(SUMIF(INDIRECT("'"&amp;$G$14&amp;"'!$C$37:$C$52"),W47,INDIRECT("'"&amp;$G$14&amp;"'!$E$37:$E$52")),0))))</f>
        <v/>
      </c>
      <c r="AF47" s="135">
        <f>IF($G$15="",0,AF46+IF(W47&gt;'General Information'!$D$33,0,IF(W47=0,$J$15,IFERROR(SUMIF(INDIRECT("'"&amp;$G$15&amp;"'!$C$37:$C$52"),W47,INDIRECT("'"&amp;$G$15&amp;"'!$E$37:$E$52")),0))))</f>
        <v/>
      </c>
      <c r="AG47" s="152">
        <f>IF($G$12="",0,IF(W47&gt;'General Information'!$D$33,0,IFERROR(SUMIFS(INDIRECT("'"&amp;$G$12&amp;"'!$D$37:$D$52"),INDIRECT("'"&amp;$G$12&amp;"'!$C$37:$C$52"),W47,INDIRECT("'"&amp;$G$12&amp;"'!$B$37:$B$52"),"*Indirect*")/INDIRECT("'"&amp;$G$12&amp;"'!$F$2"),0)))</f>
        <v/>
      </c>
      <c r="AH47" s="152">
        <f>IF($G$13="",0,IF(W47&gt;'General Information'!$D$33,0,IFERROR(SUMIFS(INDIRECT("'"&amp;$G$13&amp;"'!$D$37:$D$52"),INDIRECT("'"&amp;$G$13&amp;"'!$C$37:$C$52"),W47,INDIRECT("'"&amp;$G$13&amp;"'!$B$37:$B$52"),"*Indirect*")/INDIRECT("'"&amp;$G$13&amp;"'!$F$2"),0)))</f>
        <v/>
      </c>
      <c r="AI47" s="152">
        <f>IF($G$14="",0,IF(W47&gt;'General Information'!$D$33,0,IFERROR(SUMIFS(INDIRECT("'"&amp;$G$14&amp;"'!$D$37:$D$52"),INDIRECT("'"&amp;$G$14&amp;"'!$C$37:$C$52"),W47,INDIRECT("'"&amp;$G$14&amp;"'!$B$37:$B$52"),"*Indirect*")/INDIRECT("'"&amp;$G$14&amp;"'!$F$2"),0)))</f>
        <v/>
      </c>
      <c r="AJ47" s="152">
        <f>IF($G$15="",0,IF(W47&gt;'General Information'!$D$33,0,IFERROR(SUMIFS(INDIRECT("'"&amp;$G$15&amp;"'!$D$37:$D$52"),INDIRECT("'"&amp;$G$15&amp;"'!$C$37:$C$52"),W47,INDIRECT("'"&amp;$G$15&amp;"'!$B$37:$B$52"),"*Indirect*")/INDIRECT("'"&amp;$G$15&amp;"'!$F$2"),0)))</f>
        <v/>
      </c>
    </row>
    <row r="48">
      <c r="W48" s="134" t="n">
        <v>7</v>
      </c>
      <c r="X48" s="134">
        <f>'General Information'!$D$25+W48</f>
        <v/>
      </c>
      <c r="Y48" s="135">
        <f>IF($G$12="",0,IF(W48&gt;'General Information'!$D$33,0,IF(W48=0,$J$12,IFERROR(SUMIF(INDIRECT("'"&amp;$G$12&amp;"'!$C$37:$C$52"),W48,INDIRECT("'"&amp;$G$12&amp;"'!$D$37:$D$52")),0))))</f>
        <v/>
      </c>
      <c r="Z48" s="135">
        <f>IF($G$13="",0,IF(W48&gt;'General Information'!$D$33,0,IF(W48=0,$J$13,IFERROR(SUMIF(INDIRECT("'"&amp;$G$13&amp;"'!$C$37:$C$52"),W48,INDIRECT("'"&amp;$G$13&amp;"'!$D$37:$D$52")),0))))</f>
        <v/>
      </c>
      <c r="AA48" s="135">
        <f>IF($G$14="",0,IF(W48&gt;'General Information'!$D$33,0,IF(W48=0,$J$14,IFERROR(SUMIF(INDIRECT("'"&amp;$G$14&amp;"'!$C$37:$C$52"),W48,INDIRECT("'"&amp;$G$14&amp;"'!$D$37:$D$52")),0))))</f>
        <v/>
      </c>
      <c r="AB48" s="135">
        <f>IF($G$15="",0,IF(W48&gt;'General Information'!$D$33,0,IF(W48=0,$J$15,IFERROR(SUMIF(INDIRECT("'"&amp;$G$15&amp;"'!$C$37:$C$52"),W48,INDIRECT("'"&amp;$G$15&amp;"'!$D$37:$D$52")),0))))</f>
        <v/>
      </c>
      <c r="AC48" s="135">
        <f>IF($G$12="",0,AC47+IF(W48&gt;'General Information'!$D$33,0,IF(W48=0,$J$12,IFERROR(SUMIF(INDIRECT("'"&amp;$G$12&amp;"'!$C$37:$C$52"),W48,INDIRECT("'"&amp;$G$12&amp;"'!$E$37:$E$52")),0))))</f>
        <v/>
      </c>
      <c r="AD48" s="135">
        <f>IF($G$13="",0,AD47+IF(W48&gt;'General Information'!$D$33,0,IF(W48=0,$J$13,IFERROR(SUMIF(INDIRECT("'"&amp;$G$13&amp;"'!$C$37:$C$52"),W48,INDIRECT("'"&amp;$G$13&amp;"'!$E$37:$E$52")),0))))</f>
        <v/>
      </c>
      <c r="AE48" s="135">
        <f>IF($G$14="",0,AE47+IF(W48&gt;'General Information'!$D$33,0,IF(W48=0,$J$14,IFERROR(SUMIF(INDIRECT("'"&amp;$G$14&amp;"'!$C$37:$C$52"),W48,INDIRECT("'"&amp;$G$14&amp;"'!$E$37:$E$52")),0))))</f>
        <v/>
      </c>
      <c r="AF48" s="135">
        <f>IF($G$15="",0,AF47+IF(W48&gt;'General Information'!$D$33,0,IF(W48=0,$J$15,IFERROR(SUMIF(INDIRECT("'"&amp;$G$15&amp;"'!$C$37:$C$52"),W48,INDIRECT("'"&amp;$G$15&amp;"'!$E$37:$E$52")),0))))</f>
        <v/>
      </c>
      <c r="AG48" s="152">
        <f>IF($G$12="",0,IF(W48&gt;'General Information'!$D$33,0,IFERROR(SUMIFS(INDIRECT("'"&amp;$G$12&amp;"'!$D$37:$D$52"),INDIRECT("'"&amp;$G$12&amp;"'!$C$37:$C$52"),W48,INDIRECT("'"&amp;$G$12&amp;"'!$B$37:$B$52"),"*Indirect*")/INDIRECT("'"&amp;$G$12&amp;"'!$F$2"),0)))</f>
        <v/>
      </c>
      <c r="AH48" s="152">
        <f>IF($G$13="",0,IF(W48&gt;'General Information'!$D$33,0,IFERROR(SUMIFS(INDIRECT("'"&amp;$G$13&amp;"'!$D$37:$D$52"),INDIRECT("'"&amp;$G$13&amp;"'!$C$37:$C$52"),W48,INDIRECT("'"&amp;$G$13&amp;"'!$B$37:$B$52"),"*Indirect*")/INDIRECT("'"&amp;$G$13&amp;"'!$F$2"),0)))</f>
        <v/>
      </c>
      <c r="AI48" s="152">
        <f>IF($G$14="",0,IF(W48&gt;'General Information'!$D$33,0,IFERROR(SUMIFS(INDIRECT("'"&amp;$G$14&amp;"'!$D$37:$D$52"),INDIRECT("'"&amp;$G$14&amp;"'!$C$37:$C$52"),W48,INDIRECT("'"&amp;$G$14&amp;"'!$B$37:$B$52"),"*Indirect*")/INDIRECT("'"&amp;$G$14&amp;"'!$F$2"),0)))</f>
        <v/>
      </c>
      <c r="AJ48" s="152">
        <f>IF($G$15="",0,IF(W48&gt;'General Information'!$D$33,0,IFERROR(SUMIFS(INDIRECT("'"&amp;$G$15&amp;"'!$D$37:$D$52"),INDIRECT("'"&amp;$G$15&amp;"'!$C$37:$C$52"),W48,INDIRECT("'"&amp;$G$15&amp;"'!$B$37:$B$52"),"*Indirect*")/INDIRECT("'"&amp;$G$15&amp;"'!$F$2"),0)))</f>
        <v/>
      </c>
    </row>
    <row r="49">
      <c r="W49" s="134" t="n">
        <v>8</v>
      </c>
      <c r="X49" s="134">
        <f>'General Information'!$D$25+W49</f>
        <v/>
      </c>
      <c r="Y49" s="135">
        <f>IF($G$12="",0,IF(W49&gt;'General Information'!$D$33,0,IF(W49=0,$J$12,IFERROR(SUMIF(INDIRECT("'"&amp;$G$12&amp;"'!$C$37:$C$52"),W49,INDIRECT("'"&amp;$G$12&amp;"'!$D$37:$D$52")),0))))</f>
        <v/>
      </c>
      <c r="Z49" s="135">
        <f>IF($G$13="",0,IF(W49&gt;'General Information'!$D$33,0,IF(W49=0,$J$13,IFERROR(SUMIF(INDIRECT("'"&amp;$G$13&amp;"'!$C$37:$C$52"),W49,INDIRECT("'"&amp;$G$13&amp;"'!$D$37:$D$52")),0))))</f>
        <v/>
      </c>
      <c r="AA49" s="135">
        <f>IF($G$14="",0,IF(W49&gt;'General Information'!$D$33,0,IF(W49=0,$J$14,IFERROR(SUMIF(INDIRECT("'"&amp;$G$14&amp;"'!$C$37:$C$52"),W49,INDIRECT("'"&amp;$G$14&amp;"'!$D$37:$D$52")),0))))</f>
        <v/>
      </c>
      <c r="AB49" s="135">
        <f>IF($G$15="",0,IF(W49&gt;'General Information'!$D$33,0,IF(W49=0,$J$15,IFERROR(SUMIF(INDIRECT("'"&amp;$G$15&amp;"'!$C$37:$C$52"),W49,INDIRECT("'"&amp;$G$15&amp;"'!$D$37:$D$52")),0))))</f>
        <v/>
      </c>
      <c r="AC49" s="135">
        <f>IF($G$12="",0,AC48+IF(W49&gt;'General Information'!$D$33,0,IF(W49=0,$J$12,IFERROR(SUMIF(INDIRECT("'"&amp;$G$12&amp;"'!$C$37:$C$52"),W49,INDIRECT("'"&amp;$G$12&amp;"'!$E$37:$E$52")),0))))</f>
        <v/>
      </c>
      <c r="AD49" s="135">
        <f>IF($G$13="",0,AD48+IF(W49&gt;'General Information'!$D$33,0,IF(W49=0,$J$13,IFERROR(SUMIF(INDIRECT("'"&amp;$G$13&amp;"'!$C$37:$C$52"),W49,INDIRECT("'"&amp;$G$13&amp;"'!$E$37:$E$52")),0))))</f>
        <v/>
      </c>
      <c r="AE49" s="135">
        <f>IF($G$14="",0,AE48+IF(W49&gt;'General Information'!$D$33,0,IF(W49=0,$J$14,IFERROR(SUMIF(INDIRECT("'"&amp;$G$14&amp;"'!$C$37:$C$52"),W49,INDIRECT("'"&amp;$G$14&amp;"'!$E$37:$E$52")),0))))</f>
        <v/>
      </c>
      <c r="AF49" s="135">
        <f>IF($G$15="",0,AF48+IF(W49&gt;'General Information'!$D$33,0,IF(W49=0,$J$15,IFERROR(SUMIF(INDIRECT("'"&amp;$G$15&amp;"'!$C$37:$C$52"),W49,INDIRECT("'"&amp;$G$15&amp;"'!$E$37:$E$52")),0))))</f>
        <v/>
      </c>
      <c r="AG49" s="152">
        <f>IF($G$12="",0,IF(W49&gt;'General Information'!$D$33,0,IFERROR(SUMIFS(INDIRECT("'"&amp;$G$12&amp;"'!$D$37:$D$52"),INDIRECT("'"&amp;$G$12&amp;"'!$C$37:$C$52"),W49,INDIRECT("'"&amp;$G$12&amp;"'!$B$37:$B$52"),"*Indirect*")/INDIRECT("'"&amp;$G$12&amp;"'!$F$2"),0)))</f>
        <v/>
      </c>
      <c r="AH49" s="152">
        <f>IF($G$13="",0,IF(W49&gt;'General Information'!$D$33,0,IFERROR(SUMIFS(INDIRECT("'"&amp;$G$13&amp;"'!$D$37:$D$52"),INDIRECT("'"&amp;$G$13&amp;"'!$C$37:$C$52"),W49,INDIRECT("'"&amp;$G$13&amp;"'!$B$37:$B$52"),"*Indirect*")/INDIRECT("'"&amp;$G$13&amp;"'!$F$2"),0)))</f>
        <v/>
      </c>
      <c r="AI49" s="152">
        <f>IF($G$14="",0,IF(W49&gt;'General Information'!$D$33,0,IFERROR(SUMIFS(INDIRECT("'"&amp;$G$14&amp;"'!$D$37:$D$52"),INDIRECT("'"&amp;$G$14&amp;"'!$C$37:$C$52"),W49,INDIRECT("'"&amp;$G$14&amp;"'!$B$37:$B$52"),"*Indirect*")/INDIRECT("'"&amp;$G$14&amp;"'!$F$2"),0)))</f>
        <v/>
      </c>
      <c r="AJ49" s="152">
        <f>IF($G$15="",0,IF(W49&gt;'General Information'!$D$33,0,IFERROR(SUMIFS(INDIRECT("'"&amp;$G$15&amp;"'!$D$37:$D$52"),INDIRECT("'"&amp;$G$15&amp;"'!$C$37:$C$52"),W49,INDIRECT("'"&amp;$G$15&amp;"'!$B$37:$B$52"),"*Indirect*")/INDIRECT("'"&amp;$G$15&amp;"'!$F$2"),0)))</f>
        <v/>
      </c>
    </row>
    <row r="50">
      <c r="W50" s="134" t="n">
        <v>9</v>
      </c>
      <c r="X50" s="134">
        <f>'General Information'!$D$25+W50</f>
        <v/>
      </c>
      <c r="Y50" s="135">
        <f>IF($G$12="",0,IF(W50&gt;'General Information'!$D$33,0,IF(W50=0,$J$12,IFERROR(SUMIF(INDIRECT("'"&amp;$G$12&amp;"'!$C$37:$C$52"),W50,INDIRECT("'"&amp;$G$12&amp;"'!$D$37:$D$52")),0))))</f>
        <v/>
      </c>
      <c r="Z50" s="135">
        <f>IF($G$13="",0,IF(W50&gt;'General Information'!$D$33,0,IF(W50=0,$J$13,IFERROR(SUMIF(INDIRECT("'"&amp;$G$13&amp;"'!$C$37:$C$52"),W50,INDIRECT("'"&amp;$G$13&amp;"'!$D$37:$D$52")),0))))</f>
        <v/>
      </c>
      <c r="AA50" s="135">
        <f>IF($G$14="",0,IF(W50&gt;'General Information'!$D$33,0,IF(W50=0,$J$14,IFERROR(SUMIF(INDIRECT("'"&amp;$G$14&amp;"'!$C$37:$C$52"),W50,INDIRECT("'"&amp;$G$14&amp;"'!$D$37:$D$52")),0))))</f>
        <v/>
      </c>
      <c r="AB50" s="135">
        <f>IF($G$15="",0,IF(W50&gt;'General Information'!$D$33,0,IF(W50=0,$J$15,IFERROR(SUMIF(INDIRECT("'"&amp;$G$15&amp;"'!$C$37:$C$52"),W50,INDIRECT("'"&amp;$G$15&amp;"'!$D$37:$D$52")),0))))</f>
        <v/>
      </c>
      <c r="AC50" s="135">
        <f>IF($G$12="",0,AC49+IF(W50&gt;'General Information'!$D$33,0,IF(W50=0,$J$12,IFERROR(SUMIF(INDIRECT("'"&amp;$G$12&amp;"'!$C$37:$C$52"),W50,INDIRECT("'"&amp;$G$12&amp;"'!$E$37:$E$52")),0))))</f>
        <v/>
      </c>
      <c r="AD50" s="135">
        <f>IF($G$13="",0,AD49+IF(W50&gt;'General Information'!$D$33,0,IF(W50=0,$J$13,IFERROR(SUMIF(INDIRECT("'"&amp;$G$13&amp;"'!$C$37:$C$52"),W50,INDIRECT("'"&amp;$G$13&amp;"'!$E$37:$E$52")),0))))</f>
        <v/>
      </c>
      <c r="AE50" s="135">
        <f>IF($G$14="",0,AE49+IF(W50&gt;'General Information'!$D$33,0,IF(W50=0,$J$14,IFERROR(SUMIF(INDIRECT("'"&amp;$G$14&amp;"'!$C$37:$C$52"),W50,INDIRECT("'"&amp;$G$14&amp;"'!$E$37:$E$52")),0))))</f>
        <v/>
      </c>
      <c r="AF50" s="135">
        <f>IF($G$15="",0,AF49+IF(W50&gt;'General Information'!$D$33,0,IF(W50=0,$J$15,IFERROR(SUMIF(INDIRECT("'"&amp;$G$15&amp;"'!$C$37:$C$52"),W50,INDIRECT("'"&amp;$G$15&amp;"'!$E$37:$E$52")),0))))</f>
        <v/>
      </c>
      <c r="AG50" s="152">
        <f>IF($G$12="",0,IF(W50&gt;'General Information'!$D$33,0,IFERROR(SUMIFS(INDIRECT("'"&amp;$G$12&amp;"'!$D$37:$D$52"),INDIRECT("'"&amp;$G$12&amp;"'!$C$37:$C$52"),W50,INDIRECT("'"&amp;$G$12&amp;"'!$B$37:$B$52"),"*Indirect*")/INDIRECT("'"&amp;$G$12&amp;"'!$F$2"),0)))</f>
        <v/>
      </c>
      <c r="AH50" s="152">
        <f>IF($G$13="",0,IF(W50&gt;'General Information'!$D$33,0,IFERROR(SUMIFS(INDIRECT("'"&amp;$G$13&amp;"'!$D$37:$D$52"),INDIRECT("'"&amp;$G$13&amp;"'!$C$37:$C$52"),W50,INDIRECT("'"&amp;$G$13&amp;"'!$B$37:$B$52"),"*Indirect*")/INDIRECT("'"&amp;$G$13&amp;"'!$F$2"),0)))</f>
        <v/>
      </c>
      <c r="AI50" s="152">
        <f>IF($G$14="",0,IF(W50&gt;'General Information'!$D$33,0,IFERROR(SUMIFS(INDIRECT("'"&amp;$G$14&amp;"'!$D$37:$D$52"),INDIRECT("'"&amp;$G$14&amp;"'!$C$37:$C$52"),W50,INDIRECT("'"&amp;$G$14&amp;"'!$B$37:$B$52"),"*Indirect*")/INDIRECT("'"&amp;$G$14&amp;"'!$F$2"),0)))</f>
        <v/>
      </c>
      <c r="AJ50" s="152">
        <f>IF($G$15="",0,IF(W50&gt;'General Information'!$D$33,0,IFERROR(SUMIFS(INDIRECT("'"&amp;$G$15&amp;"'!$D$37:$D$52"),INDIRECT("'"&amp;$G$15&amp;"'!$C$37:$C$52"),W50,INDIRECT("'"&amp;$G$15&amp;"'!$B$37:$B$52"),"*Indirect*")/INDIRECT("'"&amp;$G$15&amp;"'!$F$2"),0)))</f>
        <v/>
      </c>
    </row>
    <row r="51">
      <c r="W51" s="134" t="n">
        <v>10</v>
      </c>
      <c r="X51" s="134">
        <f>'General Information'!$D$25+W51</f>
        <v/>
      </c>
      <c r="Y51" s="135">
        <f>IF($G$12="",0,IF(W51&gt;'General Information'!$D$33,0,IF(W51=0,$J$12,IFERROR(SUMIF(INDIRECT("'"&amp;$G$12&amp;"'!$C$37:$C$52"),W51,INDIRECT("'"&amp;$G$12&amp;"'!$D$37:$D$52")),0))))</f>
        <v/>
      </c>
      <c r="Z51" s="135">
        <f>IF($G$13="",0,IF(W51&gt;'General Information'!$D$33,0,IF(W51=0,$J$13,IFERROR(SUMIF(INDIRECT("'"&amp;$G$13&amp;"'!$C$37:$C$52"),W51,INDIRECT("'"&amp;$G$13&amp;"'!$D$37:$D$52")),0))))</f>
        <v/>
      </c>
      <c r="AA51" s="135">
        <f>IF($G$14="",0,IF(W51&gt;'General Information'!$D$33,0,IF(W51=0,$J$14,IFERROR(SUMIF(INDIRECT("'"&amp;$G$14&amp;"'!$C$37:$C$52"),W51,INDIRECT("'"&amp;$G$14&amp;"'!$D$37:$D$52")),0))))</f>
        <v/>
      </c>
      <c r="AB51" s="135">
        <f>IF($G$15="",0,IF(W51&gt;'General Information'!$D$33,0,IF(W51=0,$J$15,IFERROR(SUMIF(INDIRECT("'"&amp;$G$15&amp;"'!$C$37:$C$52"),W51,INDIRECT("'"&amp;$G$15&amp;"'!$D$37:$D$52")),0))))</f>
        <v/>
      </c>
      <c r="AC51" s="135">
        <f>IF($G$12="",0,AC50+IF(W51&gt;'General Information'!$D$33,0,IF(W51=0,$J$12,IFERROR(SUMIF(INDIRECT("'"&amp;$G$12&amp;"'!$C$37:$C$52"),W51,INDIRECT("'"&amp;$G$12&amp;"'!$E$37:$E$52")),0))))</f>
        <v/>
      </c>
      <c r="AD51" s="135">
        <f>IF($G$13="",0,AD50+IF(W51&gt;'General Information'!$D$33,0,IF(W51=0,$J$13,IFERROR(SUMIF(INDIRECT("'"&amp;$G$13&amp;"'!$C$37:$C$52"),W51,INDIRECT("'"&amp;$G$13&amp;"'!$E$37:$E$52")),0))))</f>
        <v/>
      </c>
      <c r="AE51" s="135">
        <f>IF($G$14="",0,AE50+IF(W51&gt;'General Information'!$D$33,0,IF(W51=0,$J$14,IFERROR(SUMIF(INDIRECT("'"&amp;$G$14&amp;"'!$C$37:$C$52"),W51,INDIRECT("'"&amp;$G$14&amp;"'!$E$37:$E$52")),0))))</f>
        <v/>
      </c>
      <c r="AF51" s="135">
        <f>IF($G$15="",0,AF50+IF(W51&gt;'General Information'!$D$33,0,IF(W51=0,$J$15,IFERROR(SUMIF(INDIRECT("'"&amp;$G$15&amp;"'!$C$37:$C$52"),W51,INDIRECT("'"&amp;$G$15&amp;"'!$E$37:$E$52")),0))))</f>
        <v/>
      </c>
      <c r="AG51" s="152">
        <f>IF($G$12="",0,IF(W51&gt;'General Information'!$D$33,0,IFERROR(SUMIFS(INDIRECT("'"&amp;$G$12&amp;"'!$D$37:$D$52"),INDIRECT("'"&amp;$G$12&amp;"'!$C$37:$C$52"),W51,INDIRECT("'"&amp;$G$12&amp;"'!$B$37:$B$52"),"*Indirect*")/INDIRECT("'"&amp;$G$12&amp;"'!$F$2"),0)))</f>
        <v/>
      </c>
      <c r="AH51" s="152">
        <f>IF($G$13="",0,IF(W51&gt;'General Information'!$D$33,0,IFERROR(SUMIFS(INDIRECT("'"&amp;$G$13&amp;"'!$D$37:$D$52"),INDIRECT("'"&amp;$G$13&amp;"'!$C$37:$C$52"),W51,INDIRECT("'"&amp;$G$13&amp;"'!$B$37:$B$52"),"*Indirect*")/INDIRECT("'"&amp;$G$13&amp;"'!$F$2"),0)))</f>
        <v/>
      </c>
      <c r="AI51" s="152">
        <f>IF($G$14="",0,IF(W51&gt;'General Information'!$D$33,0,IFERROR(SUMIFS(INDIRECT("'"&amp;$G$14&amp;"'!$D$37:$D$52"),INDIRECT("'"&amp;$G$14&amp;"'!$C$37:$C$52"),W51,INDIRECT("'"&amp;$G$14&amp;"'!$B$37:$B$52"),"*Indirect*")/INDIRECT("'"&amp;$G$14&amp;"'!$F$2"),0)))</f>
        <v/>
      </c>
      <c r="AJ51" s="152">
        <f>IF($G$15="",0,IF(W51&gt;'General Information'!$D$33,0,IFERROR(SUMIFS(INDIRECT("'"&amp;$G$15&amp;"'!$D$37:$D$52"),INDIRECT("'"&amp;$G$15&amp;"'!$C$37:$C$52"),W51,INDIRECT("'"&amp;$G$15&amp;"'!$B$37:$B$52"),"*Indirect*")/INDIRECT("'"&amp;$G$15&amp;"'!$F$2"),0)))</f>
        <v/>
      </c>
    </row>
    <row r="52">
      <c r="W52" s="134" t="n">
        <v>11</v>
      </c>
      <c r="X52" s="134">
        <f>'General Information'!$D$25+W52</f>
        <v/>
      </c>
      <c r="Y52" s="135">
        <f>IF($G$12="",0,IF(W52&gt;'General Information'!$D$33,0,IF(W52=0,$J$12,IFERROR(SUMIF(INDIRECT("'"&amp;$G$12&amp;"'!$C$37:$C$52"),W52,INDIRECT("'"&amp;$G$12&amp;"'!$D$37:$D$52")),0))))</f>
        <v/>
      </c>
      <c r="Z52" s="135">
        <f>IF($G$13="",0,IF(W52&gt;'General Information'!$D$33,0,IF(W52=0,$J$13,IFERROR(SUMIF(INDIRECT("'"&amp;$G$13&amp;"'!$C$37:$C$52"),W52,INDIRECT("'"&amp;$G$13&amp;"'!$D$37:$D$52")),0))))</f>
        <v/>
      </c>
      <c r="AA52" s="135">
        <f>IF($G$14="",0,IF(W52&gt;'General Information'!$D$33,0,IF(W52=0,$J$14,IFERROR(SUMIF(INDIRECT("'"&amp;$G$14&amp;"'!$C$37:$C$52"),W52,INDIRECT("'"&amp;$G$14&amp;"'!$D$37:$D$52")),0))))</f>
        <v/>
      </c>
      <c r="AB52" s="135">
        <f>IF($G$15="",0,IF(W52&gt;'General Information'!$D$33,0,IF(W52=0,$J$15,IFERROR(SUMIF(INDIRECT("'"&amp;$G$15&amp;"'!$C$37:$C$52"),W52,INDIRECT("'"&amp;$G$15&amp;"'!$D$37:$D$52")),0))))</f>
        <v/>
      </c>
      <c r="AC52" s="135">
        <f>IF($G$12="",0,AC51+IF(W52&gt;'General Information'!$D$33,0,IF(W52=0,$J$12,IFERROR(SUMIF(INDIRECT("'"&amp;$G$12&amp;"'!$C$37:$C$52"),W52,INDIRECT("'"&amp;$G$12&amp;"'!$E$37:$E$52")),0))))</f>
        <v/>
      </c>
      <c r="AD52" s="135">
        <f>IF($G$13="",0,AD51+IF(W52&gt;'General Information'!$D$33,0,IF(W52=0,$J$13,IFERROR(SUMIF(INDIRECT("'"&amp;$G$13&amp;"'!$C$37:$C$52"),W52,INDIRECT("'"&amp;$G$13&amp;"'!$E$37:$E$52")),0))))</f>
        <v/>
      </c>
      <c r="AE52" s="135">
        <f>IF($G$14="",0,AE51+IF(W52&gt;'General Information'!$D$33,0,IF(W52=0,$J$14,IFERROR(SUMIF(INDIRECT("'"&amp;$G$14&amp;"'!$C$37:$C$52"),W52,INDIRECT("'"&amp;$G$14&amp;"'!$E$37:$E$52")),0))))</f>
        <v/>
      </c>
      <c r="AF52" s="135">
        <f>IF($G$15="",0,AF51+IF(W52&gt;'General Information'!$D$33,0,IF(W52=0,$J$15,IFERROR(SUMIF(INDIRECT("'"&amp;$G$15&amp;"'!$C$37:$C$52"),W52,INDIRECT("'"&amp;$G$15&amp;"'!$E$37:$E$52")),0))))</f>
        <v/>
      </c>
      <c r="AG52" s="152">
        <f>IF($G$12="",0,IF(W52&gt;'General Information'!$D$33,0,IFERROR(SUMIFS(INDIRECT("'"&amp;$G$12&amp;"'!$D$37:$D$52"),INDIRECT("'"&amp;$G$12&amp;"'!$C$37:$C$52"),W52,INDIRECT("'"&amp;$G$12&amp;"'!$B$37:$B$52"),"*Indirect*")/INDIRECT("'"&amp;$G$12&amp;"'!$F$2"),0)))</f>
        <v/>
      </c>
      <c r="AH52" s="152">
        <f>IF($G$13="",0,IF(W52&gt;'General Information'!$D$33,0,IFERROR(SUMIFS(INDIRECT("'"&amp;$G$13&amp;"'!$D$37:$D$52"),INDIRECT("'"&amp;$G$13&amp;"'!$C$37:$C$52"),W52,INDIRECT("'"&amp;$G$13&amp;"'!$B$37:$B$52"),"*Indirect*")/INDIRECT("'"&amp;$G$13&amp;"'!$F$2"),0)))</f>
        <v/>
      </c>
      <c r="AI52" s="152">
        <f>IF($G$14="",0,IF(W52&gt;'General Information'!$D$33,0,IFERROR(SUMIFS(INDIRECT("'"&amp;$G$14&amp;"'!$D$37:$D$52"),INDIRECT("'"&amp;$G$14&amp;"'!$C$37:$C$52"),W52,INDIRECT("'"&amp;$G$14&amp;"'!$B$37:$B$52"),"*Indirect*")/INDIRECT("'"&amp;$G$14&amp;"'!$F$2"),0)))</f>
        <v/>
      </c>
      <c r="AJ52" s="152">
        <f>IF($G$15="",0,IF(W52&gt;'General Information'!$D$33,0,IFERROR(SUMIFS(INDIRECT("'"&amp;$G$15&amp;"'!$D$37:$D$52"),INDIRECT("'"&amp;$G$15&amp;"'!$C$37:$C$52"),W52,INDIRECT("'"&amp;$G$15&amp;"'!$B$37:$B$52"),"*Indirect*")/INDIRECT("'"&amp;$G$15&amp;"'!$F$2"),0)))</f>
        <v/>
      </c>
    </row>
    <row r="53">
      <c r="W53" s="134" t="n">
        <v>12</v>
      </c>
      <c r="X53" s="134">
        <f>'General Information'!$D$25+W53</f>
        <v/>
      </c>
      <c r="Y53" s="135">
        <f>IF($G$12="",0,IF(W53&gt;'General Information'!$D$33,0,IF(W53=0,$J$12,IFERROR(SUMIF(INDIRECT("'"&amp;$G$12&amp;"'!$C$37:$C$52"),W53,INDIRECT("'"&amp;$G$12&amp;"'!$D$37:$D$52")),0))))</f>
        <v/>
      </c>
      <c r="Z53" s="135">
        <f>IF($G$13="",0,IF(W53&gt;'General Information'!$D$33,0,IF(W53=0,$J$13,IFERROR(SUMIF(INDIRECT("'"&amp;$G$13&amp;"'!$C$37:$C$52"),W53,INDIRECT("'"&amp;$G$13&amp;"'!$D$37:$D$52")),0))))</f>
        <v/>
      </c>
      <c r="AA53" s="135">
        <f>IF($G$14="",0,IF(W53&gt;'General Information'!$D$33,0,IF(W53=0,$J$14,IFERROR(SUMIF(INDIRECT("'"&amp;$G$14&amp;"'!$C$37:$C$52"),W53,INDIRECT("'"&amp;$G$14&amp;"'!$D$37:$D$52")),0))))</f>
        <v/>
      </c>
      <c r="AB53" s="135">
        <f>IF($G$15="",0,IF(W53&gt;'General Information'!$D$33,0,IF(W53=0,$J$15,IFERROR(SUMIF(INDIRECT("'"&amp;$G$15&amp;"'!$C$37:$C$52"),W53,INDIRECT("'"&amp;$G$15&amp;"'!$D$37:$D$52")),0))))</f>
        <v/>
      </c>
      <c r="AC53" s="135">
        <f>IF($G$12="",0,AC52+IF(W53&gt;'General Information'!$D$33,0,IF(W53=0,$J$12,IFERROR(SUMIF(INDIRECT("'"&amp;$G$12&amp;"'!$C$37:$C$52"),W53,INDIRECT("'"&amp;$G$12&amp;"'!$E$37:$E$52")),0))))</f>
        <v/>
      </c>
      <c r="AD53" s="135">
        <f>IF($G$13="",0,AD52+IF(W53&gt;'General Information'!$D$33,0,IF(W53=0,$J$13,IFERROR(SUMIF(INDIRECT("'"&amp;$G$13&amp;"'!$C$37:$C$52"),W53,INDIRECT("'"&amp;$G$13&amp;"'!$E$37:$E$52")),0))))</f>
        <v/>
      </c>
      <c r="AE53" s="135">
        <f>IF($G$14="",0,AE52+IF(W53&gt;'General Information'!$D$33,0,IF(W53=0,$J$14,IFERROR(SUMIF(INDIRECT("'"&amp;$G$14&amp;"'!$C$37:$C$52"),W53,INDIRECT("'"&amp;$G$14&amp;"'!$E$37:$E$52")),0))))</f>
        <v/>
      </c>
      <c r="AF53" s="135">
        <f>IF($G$15="",0,AF52+IF(W53&gt;'General Information'!$D$33,0,IF(W53=0,$J$15,IFERROR(SUMIF(INDIRECT("'"&amp;$G$15&amp;"'!$C$37:$C$52"),W53,INDIRECT("'"&amp;$G$15&amp;"'!$E$37:$E$52")),0))))</f>
        <v/>
      </c>
      <c r="AG53" s="152">
        <f>IF($G$12="",0,IF(W53&gt;'General Information'!$D$33,0,IFERROR(SUMIFS(INDIRECT("'"&amp;$G$12&amp;"'!$D$37:$D$52"),INDIRECT("'"&amp;$G$12&amp;"'!$C$37:$C$52"),W53,INDIRECT("'"&amp;$G$12&amp;"'!$B$37:$B$52"),"*Indirect*")/INDIRECT("'"&amp;$G$12&amp;"'!$F$2"),0)))</f>
        <v/>
      </c>
      <c r="AH53" s="152">
        <f>IF($G$13="",0,IF(W53&gt;'General Information'!$D$33,0,IFERROR(SUMIFS(INDIRECT("'"&amp;$G$13&amp;"'!$D$37:$D$52"),INDIRECT("'"&amp;$G$13&amp;"'!$C$37:$C$52"),W53,INDIRECT("'"&amp;$G$13&amp;"'!$B$37:$B$52"),"*Indirect*")/INDIRECT("'"&amp;$G$13&amp;"'!$F$2"),0)))</f>
        <v/>
      </c>
      <c r="AI53" s="152">
        <f>IF($G$14="",0,IF(W53&gt;'General Information'!$D$33,0,IFERROR(SUMIFS(INDIRECT("'"&amp;$G$14&amp;"'!$D$37:$D$52"),INDIRECT("'"&amp;$G$14&amp;"'!$C$37:$C$52"),W53,INDIRECT("'"&amp;$G$14&amp;"'!$B$37:$B$52"),"*Indirect*")/INDIRECT("'"&amp;$G$14&amp;"'!$F$2"),0)))</f>
        <v/>
      </c>
      <c r="AJ53" s="152">
        <f>IF($G$15="",0,IF(W53&gt;'General Information'!$D$33,0,IFERROR(SUMIFS(INDIRECT("'"&amp;$G$15&amp;"'!$D$37:$D$52"),INDIRECT("'"&amp;$G$15&amp;"'!$C$37:$C$52"),W53,INDIRECT("'"&amp;$G$15&amp;"'!$B$37:$B$52"),"*Indirect*")/INDIRECT("'"&amp;$G$15&amp;"'!$F$2"),0)))</f>
        <v/>
      </c>
    </row>
    <row r="54">
      <c r="W54" s="134" t="n">
        <v>13</v>
      </c>
      <c r="X54" s="134">
        <f>'General Information'!$D$25+W54</f>
        <v/>
      </c>
      <c r="Y54" s="135">
        <f>IF($G$12="",0,IF(W54&gt;'General Information'!$D$33,0,IF(W54=0,$J$12,IFERROR(SUMIF(INDIRECT("'"&amp;$G$12&amp;"'!$C$37:$C$52"),W54,INDIRECT("'"&amp;$G$12&amp;"'!$D$37:$D$52")),0))))</f>
        <v/>
      </c>
      <c r="Z54" s="135">
        <f>IF($G$13="",0,IF(W54&gt;'General Information'!$D$33,0,IF(W54=0,$J$13,IFERROR(SUMIF(INDIRECT("'"&amp;$G$13&amp;"'!$C$37:$C$52"),W54,INDIRECT("'"&amp;$G$13&amp;"'!$D$37:$D$52")),0))))</f>
        <v/>
      </c>
      <c r="AA54" s="135">
        <f>IF($G$14="",0,IF(W54&gt;'General Information'!$D$33,0,IF(W54=0,$J$14,IFERROR(SUMIF(INDIRECT("'"&amp;$G$14&amp;"'!$C$37:$C$52"),W54,INDIRECT("'"&amp;$G$14&amp;"'!$D$37:$D$52")),0))))</f>
        <v/>
      </c>
      <c r="AB54" s="135">
        <f>IF($G$15="",0,IF(W54&gt;'General Information'!$D$33,0,IF(W54=0,$J$15,IFERROR(SUMIF(INDIRECT("'"&amp;$G$15&amp;"'!$C$37:$C$52"),W54,INDIRECT("'"&amp;$G$15&amp;"'!$D$37:$D$52")),0))))</f>
        <v/>
      </c>
      <c r="AC54" s="135">
        <f>IF($G$12="",0,AC53+IF(W54&gt;'General Information'!$D$33,0,IF(W54=0,$J$12,IFERROR(SUMIF(INDIRECT("'"&amp;$G$12&amp;"'!$C$37:$C$52"),W54,INDIRECT("'"&amp;$G$12&amp;"'!$E$37:$E$52")),0))))</f>
        <v/>
      </c>
      <c r="AD54" s="135">
        <f>IF($G$13="",0,AD53+IF(W54&gt;'General Information'!$D$33,0,IF(W54=0,$J$13,IFERROR(SUMIF(INDIRECT("'"&amp;$G$13&amp;"'!$C$37:$C$52"),W54,INDIRECT("'"&amp;$G$13&amp;"'!$E$37:$E$52")),0))))</f>
        <v/>
      </c>
      <c r="AE54" s="135">
        <f>IF($G$14="",0,AE53+IF(W54&gt;'General Information'!$D$33,0,IF(W54=0,$J$14,IFERROR(SUMIF(INDIRECT("'"&amp;$G$14&amp;"'!$C$37:$C$52"),W54,INDIRECT("'"&amp;$G$14&amp;"'!$E$37:$E$52")),0))))</f>
        <v/>
      </c>
      <c r="AF54" s="135">
        <f>IF($G$15="",0,AF53+IF(W54&gt;'General Information'!$D$33,0,IF(W54=0,$J$15,IFERROR(SUMIF(INDIRECT("'"&amp;$G$15&amp;"'!$C$37:$C$52"),W54,INDIRECT("'"&amp;$G$15&amp;"'!$E$37:$E$52")),0))))</f>
        <v/>
      </c>
      <c r="AG54" s="152">
        <f>IF($G$12="",0,IF(W54&gt;'General Information'!$D$33,0,IFERROR(SUMIFS(INDIRECT("'"&amp;$G$12&amp;"'!$D$37:$D$52"),INDIRECT("'"&amp;$G$12&amp;"'!$C$37:$C$52"),W54,INDIRECT("'"&amp;$G$12&amp;"'!$B$37:$B$52"),"*Indirect*")/INDIRECT("'"&amp;$G$12&amp;"'!$F$2"),0)))</f>
        <v/>
      </c>
      <c r="AH54" s="152">
        <f>IF($G$13="",0,IF(W54&gt;'General Information'!$D$33,0,IFERROR(SUMIFS(INDIRECT("'"&amp;$G$13&amp;"'!$D$37:$D$52"),INDIRECT("'"&amp;$G$13&amp;"'!$C$37:$C$52"),W54,INDIRECT("'"&amp;$G$13&amp;"'!$B$37:$B$52"),"*Indirect*")/INDIRECT("'"&amp;$G$13&amp;"'!$F$2"),0)))</f>
        <v/>
      </c>
      <c r="AI54" s="152">
        <f>IF($G$14="",0,IF(W54&gt;'General Information'!$D$33,0,IFERROR(SUMIFS(INDIRECT("'"&amp;$G$14&amp;"'!$D$37:$D$52"),INDIRECT("'"&amp;$G$14&amp;"'!$C$37:$C$52"),W54,INDIRECT("'"&amp;$G$14&amp;"'!$B$37:$B$52"),"*Indirect*")/INDIRECT("'"&amp;$G$14&amp;"'!$F$2"),0)))</f>
        <v/>
      </c>
      <c r="AJ54" s="152">
        <f>IF($G$15="",0,IF(W54&gt;'General Information'!$D$33,0,IFERROR(SUMIFS(INDIRECT("'"&amp;$G$15&amp;"'!$D$37:$D$52"),INDIRECT("'"&amp;$G$15&amp;"'!$C$37:$C$52"),W54,INDIRECT("'"&amp;$G$15&amp;"'!$B$37:$B$52"),"*Indirect*")/INDIRECT("'"&amp;$G$15&amp;"'!$F$2"),0)))</f>
        <v/>
      </c>
    </row>
    <row r="55">
      <c r="W55" s="134" t="n">
        <v>14</v>
      </c>
      <c r="X55" s="134">
        <f>'General Information'!$D$25+W55</f>
        <v/>
      </c>
      <c r="Y55" s="135">
        <f>IF($G$12="",0,IF(W55&gt;'General Information'!$D$33,0,IF(W55=0,$J$12,IFERROR(SUMIF(INDIRECT("'"&amp;$G$12&amp;"'!$C$37:$C$52"),W55,INDIRECT("'"&amp;$G$12&amp;"'!$D$37:$D$52")),0))))</f>
        <v/>
      </c>
      <c r="Z55" s="135">
        <f>IF($G$13="",0,IF(W55&gt;'General Information'!$D$33,0,IF(W55=0,$J$13,IFERROR(SUMIF(INDIRECT("'"&amp;$G$13&amp;"'!$C$37:$C$52"),W55,INDIRECT("'"&amp;$G$13&amp;"'!$D$37:$D$52")),0))))</f>
        <v/>
      </c>
      <c r="AA55" s="135">
        <f>IF($G$14="",0,IF(W55&gt;'General Information'!$D$33,0,IF(W55=0,$J$14,IFERROR(SUMIF(INDIRECT("'"&amp;$G$14&amp;"'!$C$37:$C$52"),W55,INDIRECT("'"&amp;$G$14&amp;"'!$D$37:$D$52")),0))))</f>
        <v/>
      </c>
      <c r="AB55" s="135">
        <f>IF($G$15="",0,IF(W55&gt;'General Information'!$D$33,0,IF(W55=0,$J$15,IFERROR(SUMIF(INDIRECT("'"&amp;$G$15&amp;"'!$C$37:$C$52"),W55,INDIRECT("'"&amp;$G$15&amp;"'!$D$37:$D$52")),0))))</f>
        <v/>
      </c>
      <c r="AC55" s="135">
        <f>IF($G$12="",0,AC54+IF(W55&gt;'General Information'!$D$33,0,IF(W55=0,$J$12,IFERROR(SUMIF(INDIRECT("'"&amp;$G$12&amp;"'!$C$37:$C$52"),W55,INDIRECT("'"&amp;$G$12&amp;"'!$E$37:$E$52")),0))))</f>
        <v/>
      </c>
      <c r="AD55" s="135">
        <f>IF($G$13="",0,AD54+IF(W55&gt;'General Information'!$D$33,0,IF(W55=0,$J$13,IFERROR(SUMIF(INDIRECT("'"&amp;$G$13&amp;"'!$C$37:$C$52"),W55,INDIRECT("'"&amp;$G$13&amp;"'!$E$37:$E$52")),0))))</f>
        <v/>
      </c>
      <c r="AE55" s="135">
        <f>IF($G$14="",0,AE54+IF(W55&gt;'General Information'!$D$33,0,IF(W55=0,$J$14,IFERROR(SUMIF(INDIRECT("'"&amp;$G$14&amp;"'!$C$37:$C$52"),W55,INDIRECT("'"&amp;$G$14&amp;"'!$E$37:$E$52")),0))))</f>
        <v/>
      </c>
      <c r="AF55" s="135">
        <f>IF($G$15="",0,AF54+IF(W55&gt;'General Information'!$D$33,0,IF(W55=0,$J$15,IFERROR(SUMIF(INDIRECT("'"&amp;$G$15&amp;"'!$C$37:$C$52"),W55,INDIRECT("'"&amp;$G$15&amp;"'!$E$37:$E$52")),0))))</f>
        <v/>
      </c>
      <c r="AG55" s="152">
        <f>IF($G$12="",0,IF(W55&gt;'General Information'!$D$33,0,IFERROR(SUMIFS(INDIRECT("'"&amp;$G$12&amp;"'!$D$37:$D$52"),INDIRECT("'"&amp;$G$12&amp;"'!$C$37:$C$52"),W55,INDIRECT("'"&amp;$G$12&amp;"'!$B$37:$B$52"),"*Indirect*")/INDIRECT("'"&amp;$G$12&amp;"'!$F$2"),0)))</f>
        <v/>
      </c>
      <c r="AH55" s="152">
        <f>IF($G$13="",0,IF(W55&gt;'General Information'!$D$33,0,IFERROR(SUMIFS(INDIRECT("'"&amp;$G$13&amp;"'!$D$37:$D$52"),INDIRECT("'"&amp;$G$13&amp;"'!$C$37:$C$52"),W55,INDIRECT("'"&amp;$G$13&amp;"'!$B$37:$B$52"),"*Indirect*")/INDIRECT("'"&amp;$G$13&amp;"'!$F$2"),0)))</f>
        <v/>
      </c>
      <c r="AI55" s="152">
        <f>IF($G$14="",0,IF(W55&gt;'General Information'!$D$33,0,IFERROR(SUMIFS(INDIRECT("'"&amp;$G$14&amp;"'!$D$37:$D$52"),INDIRECT("'"&amp;$G$14&amp;"'!$C$37:$C$52"),W55,INDIRECT("'"&amp;$G$14&amp;"'!$B$37:$B$52"),"*Indirect*")/INDIRECT("'"&amp;$G$14&amp;"'!$F$2"),0)))</f>
        <v/>
      </c>
      <c r="AJ55" s="152">
        <f>IF($G$15="",0,IF(W55&gt;'General Information'!$D$33,0,IFERROR(SUMIFS(INDIRECT("'"&amp;$G$15&amp;"'!$D$37:$D$52"),INDIRECT("'"&amp;$G$15&amp;"'!$C$37:$C$52"),W55,INDIRECT("'"&amp;$G$15&amp;"'!$B$37:$B$52"),"*Indirect*")/INDIRECT("'"&amp;$G$15&amp;"'!$F$2"),0)))</f>
        <v/>
      </c>
    </row>
    <row r="56">
      <c r="W56" s="134" t="n">
        <v>15</v>
      </c>
      <c r="X56" s="134">
        <f>'General Information'!$D$25+W56</f>
        <v/>
      </c>
      <c r="Y56" s="135">
        <f>IF($G$12="",0,IF(W56&gt;'General Information'!$D$33,0,IF(W56=0,$J$12,IFERROR(SUMIF(INDIRECT("'"&amp;$G$12&amp;"'!$C$37:$C$52"),W56,INDIRECT("'"&amp;$G$12&amp;"'!$D$37:$D$52")),0))))</f>
        <v/>
      </c>
      <c r="Z56" s="135">
        <f>IF($G$13="",0,IF(W56&gt;'General Information'!$D$33,0,IF(W56=0,$J$13,IFERROR(SUMIF(INDIRECT("'"&amp;$G$13&amp;"'!$C$37:$C$52"),W56,INDIRECT("'"&amp;$G$13&amp;"'!$D$37:$D$52")),0))))</f>
        <v/>
      </c>
      <c r="AA56" s="135">
        <f>IF($G$14="",0,IF(W56&gt;'General Information'!$D$33,0,IF(W56=0,$J$14,IFERROR(SUMIF(INDIRECT("'"&amp;$G$14&amp;"'!$C$37:$C$52"),W56,INDIRECT("'"&amp;$G$14&amp;"'!$D$37:$D$52")),0))))</f>
        <v/>
      </c>
      <c r="AB56" s="135">
        <f>IF($G$15="",0,IF(W56&gt;'General Information'!$D$33,0,IF(W56=0,$J$15,IFERROR(SUMIF(INDIRECT("'"&amp;$G$15&amp;"'!$C$37:$C$52"),W56,INDIRECT("'"&amp;$G$15&amp;"'!$D$37:$D$52")),0))))</f>
        <v/>
      </c>
      <c r="AC56" s="135">
        <f>IF($G$12="",0,AC55+IF(W56&gt;'General Information'!$D$33,0,IF(W56=0,$J$12,IFERROR(SUMIF(INDIRECT("'"&amp;$G$12&amp;"'!$C$37:$C$52"),W56,INDIRECT("'"&amp;$G$12&amp;"'!$E$37:$E$52")),0))))</f>
        <v/>
      </c>
      <c r="AD56" s="135">
        <f>IF($G$13="",0,AD55+IF(W56&gt;'General Information'!$D$33,0,IF(W56=0,$J$13,IFERROR(SUMIF(INDIRECT("'"&amp;$G$13&amp;"'!$C$37:$C$52"),W56,INDIRECT("'"&amp;$G$13&amp;"'!$E$37:$E$52")),0))))</f>
        <v/>
      </c>
      <c r="AE56" s="135">
        <f>IF($G$14="",0,AE55+IF(W56&gt;'General Information'!$D$33,0,IF(W56=0,$J$14,IFERROR(SUMIF(INDIRECT("'"&amp;$G$14&amp;"'!$C$37:$C$52"),W56,INDIRECT("'"&amp;$G$14&amp;"'!$E$37:$E$52")),0))))</f>
        <v/>
      </c>
      <c r="AF56" s="135">
        <f>IF($G$15="",0,AF55+IF(W56&gt;'General Information'!$D$33,0,IF(W56=0,$J$15,IFERROR(SUMIF(INDIRECT("'"&amp;$G$15&amp;"'!$C$37:$C$52"),W56,INDIRECT("'"&amp;$G$15&amp;"'!$E$37:$E$52")),0))))</f>
        <v/>
      </c>
      <c r="AG56" s="152">
        <f>IF($G$12="",0,IF(W56&gt;'General Information'!$D$33,0,IFERROR(SUMIFS(INDIRECT("'"&amp;$G$12&amp;"'!$D$37:$D$52"),INDIRECT("'"&amp;$G$12&amp;"'!$C$37:$C$52"),W56,INDIRECT("'"&amp;$G$12&amp;"'!$B$37:$B$52"),"*Indirect*")/INDIRECT("'"&amp;$G$12&amp;"'!$F$2"),0)))</f>
        <v/>
      </c>
      <c r="AH56" s="152">
        <f>IF($G$13="",0,IF(W56&gt;'General Information'!$D$33,0,IFERROR(SUMIFS(INDIRECT("'"&amp;$G$13&amp;"'!$D$37:$D$52"),INDIRECT("'"&amp;$G$13&amp;"'!$C$37:$C$52"),W56,INDIRECT("'"&amp;$G$13&amp;"'!$B$37:$B$52"),"*Indirect*")/INDIRECT("'"&amp;$G$13&amp;"'!$F$2"),0)))</f>
        <v/>
      </c>
      <c r="AI56" s="152">
        <f>IF($G$14="",0,IF(W56&gt;'General Information'!$D$33,0,IFERROR(SUMIFS(INDIRECT("'"&amp;$G$14&amp;"'!$D$37:$D$52"),INDIRECT("'"&amp;$G$14&amp;"'!$C$37:$C$52"),W56,INDIRECT("'"&amp;$G$14&amp;"'!$B$37:$B$52"),"*Indirect*")/INDIRECT("'"&amp;$G$14&amp;"'!$F$2"),0)))</f>
        <v/>
      </c>
      <c r="AJ56" s="152">
        <f>IF($G$15="",0,IF(W56&gt;'General Information'!$D$33,0,IFERROR(SUMIFS(INDIRECT("'"&amp;$G$15&amp;"'!$D$37:$D$52"),INDIRECT("'"&amp;$G$15&amp;"'!$C$37:$C$52"),W56,INDIRECT("'"&amp;$G$15&amp;"'!$B$37:$B$52"),"*Indirect*")/INDIRECT("'"&amp;$G$15&amp;"'!$F$2"),0)))</f>
        <v/>
      </c>
    </row>
    <row r="57">
      <c r="W57" s="134" t="n">
        <v>16</v>
      </c>
      <c r="X57" s="134">
        <f>'General Information'!$D$25+W57</f>
        <v/>
      </c>
      <c r="Y57" s="135">
        <f>IF($G$12="",0,IF(W57&gt;'General Information'!$D$33,0,IF(W57=0,$J$12,IFERROR(SUMIF(INDIRECT("'"&amp;$G$12&amp;"'!$C$37:$C$52"),W57,INDIRECT("'"&amp;$G$12&amp;"'!$D$37:$D$52")),0))))</f>
        <v/>
      </c>
      <c r="Z57" s="135">
        <f>IF($G$13="",0,IF(W57&gt;'General Information'!$D$33,0,IF(W57=0,$J$13,IFERROR(SUMIF(INDIRECT("'"&amp;$G$13&amp;"'!$C$37:$C$52"),W57,INDIRECT("'"&amp;$G$13&amp;"'!$D$37:$D$52")),0))))</f>
        <v/>
      </c>
      <c r="AA57" s="135">
        <f>IF($G$14="",0,IF(W57&gt;'General Information'!$D$33,0,IF(W57=0,$J$14,IFERROR(SUMIF(INDIRECT("'"&amp;$G$14&amp;"'!$C$37:$C$52"),W57,INDIRECT("'"&amp;$G$14&amp;"'!$D$37:$D$52")),0))))</f>
        <v/>
      </c>
      <c r="AB57" s="135">
        <f>IF($G$15="",0,IF(W57&gt;'General Information'!$D$33,0,IF(W57=0,$J$15,IFERROR(SUMIF(INDIRECT("'"&amp;$G$15&amp;"'!$C$37:$C$52"),W57,INDIRECT("'"&amp;$G$15&amp;"'!$D$37:$D$52")),0))))</f>
        <v/>
      </c>
      <c r="AC57" s="135">
        <f>IF($G$12="",0,AC56+IF(W57&gt;'General Information'!$D$33,0,IF(W57=0,$J$12,IFERROR(SUMIF(INDIRECT("'"&amp;$G$12&amp;"'!$C$37:$C$52"),W57,INDIRECT("'"&amp;$G$12&amp;"'!$E$37:$E$52")),0))))</f>
        <v/>
      </c>
      <c r="AD57" s="135">
        <f>IF($G$13="",0,AD56+IF(W57&gt;'General Information'!$D$33,0,IF(W57=0,$J$13,IFERROR(SUMIF(INDIRECT("'"&amp;$G$13&amp;"'!$C$37:$C$52"),W57,INDIRECT("'"&amp;$G$13&amp;"'!$E$37:$E$52")),0))))</f>
        <v/>
      </c>
      <c r="AE57" s="135">
        <f>IF($G$14="",0,AE56+IF(W57&gt;'General Information'!$D$33,0,IF(W57=0,$J$14,IFERROR(SUMIF(INDIRECT("'"&amp;$G$14&amp;"'!$C$37:$C$52"),W57,INDIRECT("'"&amp;$G$14&amp;"'!$E$37:$E$52")),0))))</f>
        <v/>
      </c>
      <c r="AF57" s="135">
        <f>IF($G$15="",0,AF56+IF(W57&gt;'General Information'!$D$33,0,IF(W57=0,$J$15,IFERROR(SUMIF(INDIRECT("'"&amp;$G$15&amp;"'!$C$37:$C$52"),W57,INDIRECT("'"&amp;$G$15&amp;"'!$E$37:$E$52")),0))))</f>
        <v/>
      </c>
      <c r="AG57" s="152">
        <f>IF($G$12="",0,IF(W57&gt;'General Information'!$D$33,0,IFERROR(SUMIFS(INDIRECT("'"&amp;$G$12&amp;"'!$D$37:$D$52"),INDIRECT("'"&amp;$G$12&amp;"'!$C$37:$C$52"),W57,INDIRECT("'"&amp;$G$12&amp;"'!$B$37:$B$52"),"*Indirect*")/INDIRECT("'"&amp;$G$12&amp;"'!$F$2"),0)))</f>
        <v/>
      </c>
      <c r="AH57" s="152">
        <f>IF($G$13="",0,IF(W57&gt;'General Information'!$D$33,0,IFERROR(SUMIFS(INDIRECT("'"&amp;$G$13&amp;"'!$D$37:$D$52"),INDIRECT("'"&amp;$G$13&amp;"'!$C$37:$C$52"),W57,INDIRECT("'"&amp;$G$13&amp;"'!$B$37:$B$52"),"*Indirect*")/INDIRECT("'"&amp;$G$13&amp;"'!$F$2"),0)))</f>
        <v/>
      </c>
      <c r="AI57" s="152">
        <f>IF($G$14="",0,IF(W57&gt;'General Information'!$D$33,0,IFERROR(SUMIFS(INDIRECT("'"&amp;$G$14&amp;"'!$D$37:$D$52"),INDIRECT("'"&amp;$G$14&amp;"'!$C$37:$C$52"),W57,INDIRECT("'"&amp;$G$14&amp;"'!$B$37:$B$52"),"*Indirect*")/INDIRECT("'"&amp;$G$14&amp;"'!$F$2"),0)))</f>
        <v/>
      </c>
      <c r="AJ57" s="152">
        <f>IF($G$15="",0,IF(W57&gt;'General Information'!$D$33,0,IFERROR(SUMIFS(INDIRECT("'"&amp;$G$15&amp;"'!$D$37:$D$52"),INDIRECT("'"&amp;$G$15&amp;"'!$C$37:$C$52"),W57,INDIRECT("'"&amp;$G$15&amp;"'!$B$37:$B$52"),"*Indirect*")/INDIRECT("'"&amp;$G$15&amp;"'!$F$2"),0)))</f>
        <v/>
      </c>
    </row>
    <row r="58">
      <c r="W58" s="134" t="n">
        <v>17</v>
      </c>
      <c r="X58" s="134">
        <f>'General Information'!$D$25+W58</f>
        <v/>
      </c>
      <c r="Y58" s="135">
        <f>IF($G$12="",0,IF(W58&gt;'General Information'!$D$33,0,IF(W58=0,$J$12,IFERROR(SUMIF(INDIRECT("'"&amp;$G$12&amp;"'!$C$37:$C$52"),W58,INDIRECT("'"&amp;$G$12&amp;"'!$D$37:$D$52")),0))))</f>
        <v/>
      </c>
      <c r="Z58" s="135">
        <f>IF($G$13="",0,IF(W58&gt;'General Information'!$D$33,0,IF(W58=0,$J$13,IFERROR(SUMIF(INDIRECT("'"&amp;$G$13&amp;"'!$C$37:$C$52"),W58,INDIRECT("'"&amp;$G$13&amp;"'!$D$37:$D$52")),0))))</f>
        <v/>
      </c>
      <c r="AA58" s="135">
        <f>IF($G$14="",0,IF(W58&gt;'General Information'!$D$33,0,IF(W58=0,$J$14,IFERROR(SUMIF(INDIRECT("'"&amp;$G$14&amp;"'!$C$37:$C$52"),W58,INDIRECT("'"&amp;$G$14&amp;"'!$D$37:$D$52")),0))))</f>
        <v/>
      </c>
      <c r="AB58" s="135">
        <f>IF($G$15="",0,IF(W58&gt;'General Information'!$D$33,0,IF(W58=0,$J$15,IFERROR(SUMIF(INDIRECT("'"&amp;$G$15&amp;"'!$C$37:$C$52"),W58,INDIRECT("'"&amp;$G$15&amp;"'!$D$37:$D$52")),0))))</f>
        <v/>
      </c>
      <c r="AC58" s="135">
        <f>IF($G$12="",0,AC57+IF(W58&gt;'General Information'!$D$33,0,IF(W58=0,$J$12,IFERROR(SUMIF(INDIRECT("'"&amp;$G$12&amp;"'!$C$37:$C$52"),W58,INDIRECT("'"&amp;$G$12&amp;"'!$E$37:$E$52")),0))))</f>
        <v/>
      </c>
      <c r="AD58" s="135">
        <f>IF($G$13="",0,AD57+IF(W58&gt;'General Information'!$D$33,0,IF(W58=0,$J$13,IFERROR(SUMIF(INDIRECT("'"&amp;$G$13&amp;"'!$C$37:$C$52"),W58,INDIRECT("'"&amp;$G$13&amp;"'!$E$37:$E$52")),0))))</f>
        <v/>
      </c>
      <c r="AE58" s="135">
        <f>IF($G$14="",0,AE57+IF(W58&gt;'General Information'!$D$33,0,IF(W58=0,$J$14,IFERROR(SUMIF(INDIRECT("'"&amp;$G$14&amp;"'!$C$37:$C$52"),W58,INDIRECT("'"&amp;$G$14&amp;"'!$E$37:$E$52")),0))))</f>
        <v/>
      </c>
      <c r="AF58" s="135">
        <f>IF($G$15="",0,AF57+IF(W58&gt;'General Information'!$D$33,0,IF(W58=0,$J$15,IFERROR(SUMIF(INDIRECT("'"&amp;$G$15&amp;"'!$C$37:$C$52"),W58,INDIRECT("'"&amp;$G$15&amp;"'!$E$37:$E$52")),0))))</f>
        <v/>
      </c>
      <c r="AG58" s="152">
        <f>IF($G$12="",0,IF(W58&gt;'General Information'!$D$33,0,IFERROR(SUMIFS(INDIRECT("'"&amp;$G$12&amp;"'!$D$37:$D$52"),INDIRECT("'"&amp;$G$12&amp;"'!$C$37:$C$52"),W58,INDIRECT("'"&amp;$G$12&amp;"'!$B$37:$B$52"),"*Indirect*")/INDIRECT("'"&amp;$G$12&amp;"'!$F$2"),0)))</f>
        <v/>
      </c>
      <c r="AH58" s="152">
        <f>IF($G$13="",0,IF(W58&gt;'General Information'!$D$33,0,IFERROR(SUMIFS(INDIRECT("'"&amp;$G$13&amp;"'!$D$37:$D$52"),INDIRECT("'"&amp;$G$13&amp;"'!$C$37:$C$52"),W58,INDIRECT("'"&amp;$G$13&amp;"'!$B$37:$B$52"),"*Indirect*")/INDIRECT("'"&amp;$G$13&amp;"'!$F$2"),0)))</f>
        <v/>
      </c>
      <c r="AI58" s="152">
        <f>IF($G$14="",0,IF(W58&gt;'General Information'!$D$33,0,IFERROR(SUMIFS(INDIRECT("'"&amp;$G$14&amp;"'!$D$37:$D$52"),INDIRECT("'"&amp;$G$14&amp;"'!$C$37:$C$52"),W58,INDIRECT("'"&amp;$G$14&amp;"'!$B$37:$B$52"),"*Indirect*")/INDIRECT("'"&amp;$G$14&amp;"'!$F$2"),0)))</f>
        <v/>
      </c>
      <c r="AJ58" s="152">
        <f>IF($G$15="",0,IF(W58&gt;'General Information'!$D$33,0,IFERROR(SUMIFS(INDIRECT("'"&amp;$G$15&amp;"'!$D$37:$D$52"),INDIRECT("'"&amp;$G$15&amp;"'!$C$37:$C$52"),W58,INDIRECT("'"&amp;$G$15&amp;"'!$B$37:$B$52"),"*Indirect*")/INDIRECT("'"&amp;$G$15&amp;"'!$F$2"),0)))</f>
        <v/>
      </c>
    </row>
    <row r="59">
      <c r="W59" s="134" t="n">
        <v>18</v>
      </c>
      <c r="X59" s="134">
        <f>'General Information'!$D$25+W59</f>
        <v/>
      </c>
      <c r="Y59" s="135">
        <f>IF($G$12="",0,IF(W59&gt;'General Information'!$D$33,0,IF(W59=0,$J$12,IFERROR(SUMIF(INDIRECT("'"&amp;$G$12&amp;"'!$C$37:$C$52"),W59,INDIRECT("'"&amp;$G$12&amp;"'!$D$37:$D$52")),0))))</f>
        <v/>
      </c>
      <c r="Z59" s="135">
        <f>IF($G$13="",0,IF(W59&gt;'General Information'!$D$33,0,IF(W59=0,$J$13,IFERROR(SUMIF(INDIRECT("'"&amp;$G$13&amp;"'!$C$37:$C$52"),W59,INDIRECT("'"&amp;$G$13&amp;"'!$D$37:$D$52")),0))))</f>
        <v/>
      </c>
      <c r="AA59" s="135">
        <f>IF($G$14="",0,IF(W59&gt;'General Information'!$D$33,0,IF(W59=0,$J$14,IFERROR(SUMIF(INDIRECT("'"&amp;$G$14&amp;"'!$C$37:$C$52"),W59,INDIRECT("'"&amp;$G$14&amp;"'!$D$37:$D$52")),0))))</f>
        <v/>
      </c>
      <c r="AB59" s="135">
        <f>IF($G$15="",0,IF(W59&gt;'General Information'!$D$33,0,IF(W59=0,$J$15,IFERROR(SUMIF(INDIRECT("'"&amp;$G$15&amp;"'!$C$37:$C$52"),W59,INDIRECT("'"&amp;$G$15&amp;"'!$D$37:$D$52")),0))))</f>
        <v/>
      </c>
      <c r="AC59" s="135">
        <f>IF($G$12="",0,AC58+IF(W59&gt;'General Information'!$D$33,0,IF(W59=0,$J$12,IFERROR(SUMIF(INDIRECT("'"&amp;$G$12&amp;"'!$C$37:$C$52"),W59,INDIRECT("'"&amp;$G$12&amp;"'!$E$37:$E$52")),0))))</f>
        <v/>
      </c>
      <c r="AD59" s="135">
        <f>IF($G$13="",0,AD58+IF(W59&gt;'General Information'!$D$33,0,IF(W59=0,$J$13,IFERROR(SUMIF(INDIRECT("'"&amp;$G$13&amp;"'!$C$37:$C$52"),W59,INDIRECT("'"&amp;$G$13&amp;"'!$E$37:$E$52")),0))))</f>
        <v/>
      </c>
      <c r="AE59" s="135">
        <f>IF($G$14="",0,AE58+IF(W59&gt;'General Information'!$D$33,0,IF(W59=0,$J$14,IFERROR(SUMIF(INDIRECT("'"&amp;$G$14&amp;"'!$C$37:$C$52"),W59,INDIRECT("'"&amp;$G$14&amp;"'!$E$37:$E$52")),0))))</f>
        <v/>
      </c>
      <c r="AF59" s="135">
        <f>IF($G$15="",0,AF58+IF(W59&gt;'General Information'!$D$33,0,IF(W59=0,$J$15,IFERROR(SUMIF(INDIRECT("'"&amp;$G$15&amp;"'!$C$37:$C$52"),W59,INDIRECT("'"&amp;$G$15&amp;"'!$E$37:$E$52")),0))))</f>
        <v/>
      </c>
      <c r="AG59" s="152">
        <f>IF($G$12="",0,IF(W59&gt;'General Information'!$D$33,0,IFERROR(SUMIFS(INDIRECT("'"&amp;$G$12&amp;"'!$D$37:$D$52"),INDIRECT("'"&amp;$G$12&amp;"'!$C$37:$C$52"),W59,INDIRECT("'"&amp;$G$12&amp;"'!$B$37:$B$52"),"*Indirect*")/INDIRECT("'"&amp;$G$12&amp;"'!$F$2"),0)))</f>
        <v/>
      </c>
      <c r="AH59" s="152">
        <f>IF($G$13="",0,IF(W59&gt;'General Information'!$D$33,0,IFERROR(SUMIFS(INDIRECT("'"&amp;$G$13&amp;"'!$D$37:$D$52"),INDIRECT("'"&amp;$G$13&amp;"'!$C$37:$C$52"),W59,INDIRECT("'"&amp;$G$13&amp;"'!$B$37:$B$52"),"*Indirect*")/INDIRECT("'"&amp;$G$13&amp;"'!$F$2"),0)))</f>
        <v/>
      </c>
      <c r="AI59" s="152">
        <f>IF($G$14="",0,IF(W59&gt;'General Information'!$D$33,0,IFERROR(SUMIFS(INDIRECT("'"&amp;$G$14&amp;"'!$D$37:$D$52"),INDIRECT("'"&amp;$G$14&amp;"'!$C$37:$C$52"),W59,INDIRECT("'"&amp;$G$14&amp;"'!$B$37:$B$52"),"*Indirect*")/INDIRECT("'"&amp;$G$14&amp;"'!$F$2"),0)))</f>
        <v/>
      </c>
      <c r="AJ59" s="152">
        <f>IF($G$15="",0,IF(W59&gt;'General Information'!$D$33,0,IFERROR(SUMIFS(INDIRECT("'"&amp;$G$15&amp;"'!$D$37:$D$52"),INDIRECT("'"&amp;$G$15&amp;"'!$C$37:$C$52"),W59,INDIRECT("'"&amp;$G$15&amp;"'!$B$37:$B$52"),"*Indirect*")/INDIRECT("'"&amp;$G$15&amp;"'!$F$2"),0)))</f>
        <v/>
      </c>
    </row>
    <row r="60">
      <c r="W60" s="134" t="n">
        <v>19</v>
      </c>
      <c r="X60" s="134">
        <f>'General Information'!$D$25+W60</f>
        <v/>
      </c>
      <c r="Y60" s="135">
        <f>IF($G$12="",0,IF(W60&gt;'General Information'!$D$33,0,IF(W60=0,$J$12,IFERROR(SUMIF(INDIRECT("'"&amp;$G$12&amp;"'!$C$37:$C$52"),W60,INDIRECT("'"&amp;$G$12&amp;"'!$D$37:$D$52")),0))))</f>
        <v/>
      </c>
      <c r="Z60" s="135">
        <f>IF($G$13="",0,IF(W60&gt;'General Information'!$D$33,0,IF(W60=0,$J$13,IFERROR(SUMIF(INDIRECT("'"&amp;$G$13&amp;"'!$C$37:$C$52"),W60,INDIRECT("'"&amp;$G$13&amp;"'!$D$37:$D$52")),0))))</f>
        <v/>
      </c>
      <c r="AA60" s="135">
        <f>IF($G$14="",0,IF(W60&gt;'General Information'!$D$33,0,IF(W60=0,$J$14,IFERROR(SUMIF(INDIRECT("'"&amp;$G$14&amp;"'!$C$37:$C$52"),W60,INDIRECT("'"&amp;$G$14&amp;"'!$D$37:$D$52")),0))))</f>
        <v/>
      </c>
      <c r="AB60" s="135">
        <f>IF($G$15="",0,IF(W60&gt;'General Information'!$D$33,0,IF(W60=0,$J$15,IFERROR(SUMIF(INDIRECT("'"&amp;$G$15&amp;"'!$C$37:$C$52"),W60,INDIRECT("'"&amp;$G$15&amp;"'!$D$37:$D$52")),0))))</f>
        <v/>
      </c>
      <c r="AC60" s="135">
        <f>IF($G$12="",0,AC59+IF(W60&gt;'General Information'!$D$33,0,IF(W60=0,$J$12,IFERROR(SUMIF(INDIRECT("'"&amp;$G$12&amp;"'!$C$37:$C$52"),W60,INDIRECT("'"&amp;$G$12&amp;"'!$E$37:$E$52")),0))))</f>
        <v/>
      </c>
      <c r="AD60" s="135">
        <f>IF($G$13="",0,AD59+IF(W60&gt;'General Information'!$D$33,0,IF(W60=0,$J$13,IFERROR(SUMIF(INDIRECT("'"&amp;$G$13&amp;"'!$C$37:$C$52"),W60,INDIRECT("'"&amp;$G$13&amp;"'!$E$37:$E$52")),0))))</f>
        <v/>
      </c>
      <c r="AE60" s="135">
        <f>IF($G$14="",0,AE59+IF(W60&gt;'General Information'!$D$33,0,IF(W60=0,$J$14,IFERROR(SUMIF(INDIRECT("'"&amp;$G$14&amp;"'!$C$37:$C$52"),W60,INDIRECT("'"&amp;$G$14&amp;"'!$E$37:$E$52")),0))))</f>
        <v/>
      </c>
      <c r="AF60" s="135">
        <f>IF($G$15="",0,AF59+IF(W60&gt;'General Information'!$D$33,0,IF(W60=0,$J$15,IFERROR(SUMIF(INDIRECT("'"&amp;$G$15&amp;"'!$C$37:$C$52"),W60,INDIRECT("'"&amp;$G$15&amp;"'!$E$37:$E$52")),0))))</f>
        <v/>
      </c>
      <c r="AG60" s="152">
        <f>IF($G$12="",0,IF(W60&gt;'General Information'!$D$33,0,IFERROR(SUMIFS(INDIRECT("'"&amp;$G$12&amp;"'!$D$37:$D$52"),INDIRECT("'"&amp;$G$12&amp;"'!$C$37:$C$52"),W60,INDIRECT("'"&amp;$G$12&amp;"'!$B$37:$B$52"),"*Indirect*")/INDIRECT("'"&amp;$G$12&amp;"'!$F$2"),0)))</f>
        <v/>
      </c>
      <c r="AH60" s="152">
        <f>IF($G$13="",0,IF(W60&gt;'General Information'!$D$33,0,IFERROR(SUMIFS(INDIRECT("'"&amp;$G$13&amp;"'!$D$37:$D$52"),INDIRECT("'"&amp;$G$13&amp;"'!$C$37:$C$52"),W60,INDIRECT("'"&amp;$G$13&amp;"'!$B$37:$B$52"),"*Indirect*")/INDIRECT("'"&amp;$G$13&amp;"'!$F$2"),0)))</f>
        <v/>
      </c>
      <c r="AI60" s="152">
        <f>IF($G$14="",0,IF(W60&gt;'General Information'!$D$33,0,IFERROR(SUMIFS(INDIRECT("'"&amp;$G$14&amp;"'!$D$37:$D$52"),INDIRECT("'"&amp;$G$14&amp;"'!$C$37:$C$52"),W60,INDIRECT("'"&amp;$G$14&amp;"'!$B$37:$B$52"),"*Indirect*")/INDIRECT("'"&amp;$G$14&amp;"'!$F$2"),0)))</f>
        <v/>
      </c>
      <c r="AJ60" s="152">
        <f>IF($G$15="",0,IF(W60&gt;'General Information'!$D$33,0,IFERROR(SUMIFS(INDIRECT("'"&amp;$G$15&amp;"'!$D$37:$D$52"),INDIRECT("'"&amp;$G$15&amp;"'!$C$37:$C$52"),W60,INDIRECT("'"&amp;$G$15&amp;"'!$B$37:$B$52"),"*Indirect*")/INDIRECT("'"&amp;$G$15&amp;"'!$F$2"),0)))</f>
        <v/>
      </c>
    </row>
    <row r="61">
      <c r="W61" s="134" t="n">
        <v>20</v>
      </c>
      <c r="X61" s="134">
        <f>'General Information'!$D$25+W61</f>
        <v/>
      </c>
      <c r="Y61" s="135">
        <f>IF($G$12="",0,IF(W61&gt;'General Information'!$D$33,0,IF(W61=0,$J$12,IFERROR(SUMIF(INDIRECT("'"&amp;$G$12&amp;"'!$C$37:$C$52"),W61,INDIRECT("'"&amp;$G$12&amp;"'!$D$37:$D$52")),0))))</f>
        <v/>
      </c>
      <c r="Z61" s="135">
        <f>IF($G$13="",0,IF(W61&gt;'General Information'!$D$33,0,IF(W61=0,$J$13,IFERROR(SUMIF(INDIRECT("'"&amp;$G$13&amp;"'!$C$37:$C$52"),W61,INDIRECT("'"&amp;$G$13&amp;"'!$D$37:$D$52")),0))))</f>
        <v/>
      </c>
      <c r="AA61" s="135">
        <f>IF($G$14="",0,IF(W61&gt;'General Information'!$D$33,0,IF(W61=0,$J$14,IFERROR(SUMIF(INDIRECT("'"&amp;$G$14&amp;"'!$C$37:$C$52"),W61,INDIRECT("'"&amp;$G$14&amp;"'!$D$37:$D$52")),0))))</f>
        <v/>
      </c>
      <c r="AB61" s="135">
        <f>IF($G$15="",0,IF(W61&gt;'General Information'!$D$33,0,IF(W61=0,$J$15,IFERROR(SUMIF(INDIRECT("'"&amp;$G$15&amp;"'!$C$37:$C$52"),W61,INDIRECT("'"&amp;$G$15&amp;"'!$D$37:$D$52")),0))))</f>
        <v/>
      </c>
      <c r="AC61" s="135">
        <f>IF($G$12="",0,AC60+IF(W61&gt;'General Information'!$D$33,0,IF(W61=0,$J$12,IFERROR(SUMIF(INDIRECT("'"&amp;$G$12&amp;"'!$C$37:$C$52"),W61,INDIRECT("'"&amp;$G$12&amp;"'!$E$37:$E$52")),0))))</f>
        <v/>
      </c>
      <c r="AD61" s="135">
        <f>IF($G$13="",0,AD60+IF(W61&gt;'General Information'!$D$33,0,IF(W61=0,$J$13,IFERROR(SUMIF(INDIRECT("'"&amp;$G$13&amp;"'!$C$37:$C$52"),W61,INDIRECT("'"&amp;$G$13&amp;"'!$E$37:$E$52")),0))))</f>
        <v/>
      </c>
      <c r="AE61" s="135">
        <f>IF($G$14="",0,AE60+IF(W61&gt;'General Information'!$D$33,0,IF(W61=0,$J$14,IFERROR(SUMIF(INDIRECT("'"&amp;$G$14&amp;"'!$C$37:$C$52"),W61,INDIRECT("'"&amp;$G$14&amp;"'!$E$37:$E$52")),0))))</f>
        <v/>
      </c>
      <c r="AF61" s="135">
        <f>IF($G$15="",0,AF60+IF(W61&gt;'General Information'!$D$33,0,IF(W61=0,$J$15,IFERROR(SUMIF(INDIRECT("'"&amp;$G$15&amp;"'!$C$37:$C$52"),W61,INDIRECT("'"&amp;$G$15&amp;"'!$E$37:$E$52")),0))))</f>
        <v/>
      </c>
      <c r="AG61" s="152">
        <f>IF($G$12="",0,IF(W61&gt;'General Information'!$D$33,0,IFERROR(SUMIFS(INDIRECT("'"&amp;$G$12&amp;"'!$D$37:$D$52"),INDIRECT("'"&amp;$G$12&amp;"'!$C$37:$C$52"),W61,INDIRECT("'"&amp;$G$12&amp;"'!$B$37:$B$52"),"*Indirect*")/INDIRECT("'"&amp;$G$12&amp;"'!$F$2"),0)))</f>
        <v/>
      </c>
      <c r="AH61" s="152">
        <f>IF($G$13="",0,IF(W61&gt;'General Information'!$D$33,0,IFERROR(SUMIFS(INDIRECT("'"&amp;$G$13&amp;"'!$D$37:$D$52"),INDIRECT("'"&amp;$G$13&amp;"'!$C$37:$C$52"),W61,INDIRECT("'"&amp;$G$13&amp;"'!$B$37:$B$52"),"*Indirect*")/INDIRECT("'"&amp;$G$13&amp;"'!$F$2"),0)))</f>
        <v/>
      </c>
      <c r="AI61" s="152">
        <f>IF($G$14="",0,IF(W61&gt;'General Information'!$D$33,0,IFERROR(SUMIFS(INDIRECT("'"&amp;$G$14&amp;"'!$D$37:$D$52"),INDIRECT("'"&amp;$G$14&amp;"'!$C$37:$C$52"),W61,INDIRECT("'"&amp;$G$14&amp;"'!$B$37:$B$52"),"*Indirect*")/INDIRECT("'"&amp;$G$14&amp;"'!$F$2"),0)))</f>
        <v/>
      </c>
      <c r="AJ61" s="152">
        <f>IF($G$15="",0,IF(W61&gt;'General Information'!$D$33,0,IFERROR(SUMIFS(INDIRECT("'"&amp;$G$15&amp;"'!$D$37:$D$52"),INDIRECT("'"&amp;$G$15&amp;"'!$C$37:$C$52"),W61,INDIRECT("'"&amp;$G$15&amp;"'!$B$37:$B$52"),"*Indirect*")/INDIRECT("'"&amp;$G$15&amp;"'!$F$2"),0)))</f>
        <v/>
      </c>
    </row>
    <row r="62">
      <c r="W62" s="134" t="n">
        <v>21</v>
      </c>
      <c r="X62" s="134">
        <f>'General Information'!$D$25+W62</f>
        <v/>
      </c>
      <c r="Y62" s="135">
        <f>IF($G$12="",0,IF(W62&gt;'General Information'!$D$33,0,IF(W62=0,$J$12,IFERROR(SUMIF(INDIRECT("'"&amp;$G$12&amp;"'!$C$37:$C$52"),W62,INDIRECT("'"&amp;$G$12&amp;"'!$D$37:$D$52")),0))))</f>
        <v/>
      </c>
      <c r="Z62" s="135">
        <f>IF($G$13="",0,IF(W62&gt;'General Information'!$D$33,0,IF(W62=0,$J$13,IFERROR(SUMIF(INDIRECT("'"&amp;$G$13&amp;"'!$C$37:$C$52"),W62,INDIRECT("'"&amp;$G$13&amp;"'!$D$37:$D$52")),0))))</f>
        <v/>
      </c>
      <c r="AA62" s="135">
        <f>IF($G$14="",0,IF(W62&gt;'General Information'!$D$33,0,IF(W62=0,$J$14,IFERROR(SUMIF(INDIRECT("'"&amp;$G$14&amp;"'!$C$37:$C$52"),W62,INDIRECT("'"&amp;$G$14&amp;"'!$D$37:$D$52")),0))))</f>
        <v/>
      </c>
      <c r="AB62" s="135">
        <f>IF($G$15="",0,IF(W62&gt;'General Information'!$D$33,0,IF(W62=0,$J$15,IFERROR(SUMIF(INDIRECT("'"&amp;$G$15&amp;"'!$C$37:$C$52"),W62,INDIRECT("'"&amp;$G$15&amp;"'!$D$37:$D$52")),0))))</f>
        <v/>
      </c>
      <c r="AC62" s="135">
        <f>IF($G$12="",0,AC61+IF(W62&gt;'General Information'!$D$33,0,IF(W62=0,$J$12,IFERROR(SUMIF(INDIRECT("'"&amp;$G$12&amp;"'!$C$37:$C$52"),W62,INDIRECT("'"&amp;$G$12&amp;"'!$E$37:$E$52")),0))))</f>
        <v/>
      </c>
      <c r="AD62" s="135">
        <f>IF($G$13="",0,AD61+IF(W62&gt;'General Information'!$D$33,0,IF(W62=0,$J$13,IFERROR(SUMIF(INDIRECT("'"&amp;$G$13&amp;"'!$C$37:$C$52"),W62,INDIRECT("'"&amp;$G$13&amp;"'!$E$37:$E$52")),0))))</f>
        <v/>
      </c>
      <c r="AE62" s="135">
        <f>IF($G$14="",0,AE61+IF(W62&gt;'General Information'!$D$33,0,IF(W62=0,$J$14,IFERROR(SUMIF(INDIRECT("'"&amp;$G$14&amp;"'!$C$37:$C$52"),W62,INDIRECT("'"&amp;$G$14&amp;"'!$E$37:$E$52")),0))))</f>
        <v/>
      </c>
      <c r="AF62" s="135">
        <f>IF($G$15="",0,AF61+IF(W62&gt;'General Information'!$D$33,0,IF(W62=0,$J$15,IFERROR(SUMIF(INDIRECT("'"&amp;$G$15&amp;"'!$C$37:$C$52"),W62,INDIRECT("'"&amp;$G$15&amp;"'!$E$37:$E$52")),0))))</f>
        <v/>
      </c>
      <c r="AG62" s="152">
        <f>IF($G$12="",0,IF(W62&gt;'General Information'!$D$33,0,IFERROR(SUMIFS(INDIRECT("'"&amp;$G$12&amp;"'!$D$37:$D$52"),INDIRECT("'"&amp;$G$12&amp;"'!$C$37:$C$52"),W62,INDIRECT("'"&amp;$G$12&amp;"'!$B$37:$B$52"),"*Indirect*")/INDIRECT("'"&amp;$G$12&amp;"'!$F$2"),0)))</f>
        <v/>
      </c>
      <c r="AH62" s="152">
        <f>IF($G$13="",0,IF(W62&gt;'General Information'!$D$33,0,IFERROR(SUMIFS(INDIRECT("'"&amp;$G$13&amp;"'!$D$37:$D$52"),INDIRECT("'"&amp;$G$13&amp;"'!$C$37:$C$52"),W62,INDIRECT("'"&amp;$G$13&amp;"'!$B$37:$B$52"),"*Indirect*")/INDIRECT("'"&amp;$G$13&amp;"'!$F$2"),0)))</f>
        <v/>
      </c>
      <c r="AI62" s="152">
        <f>IF($G$14="",0,IF(W62&gt;'General Information'!$D$33,0,IFERROR(SUMIFS(INDIRECT("'"&amp;$G$14&amp;"'!$D$37:$D$52"),INDIRECT("'"&amp;$G$14&amp;"'!$C$37:$C$52"),W62,INDIRECT("'"&amp;$G$14&amp;"'!$B$37:$B$52"),"*Indirect*")/INDIRECT("'"&amp;$G$14&amp;"'!$F$2"),0)))</f>
        <v/>
      </c>
      <c r="AJ62" s="152">
        <f>IF($G$15="",0,IF(W62&gt;'General Information'!$D$33,0,IFERROR(SUMIFS(INDIRECT("'"&amp;$G$15&amp;"'!$D$37:$D$52"),INDIRECT("'"&amp;$G$15&amp;"'!$C$37:$C$52"),W62,INDIRECT("'"&amp;$G$15&amp;"'!$B$37:$B$52"),"*Indirect*")/INDIRECT("'"&amp;$G$15&amp;"'!$F$2"),0)))</f>
        <v/>
      </c>
    </row>
    <row r="63">
      <c r="W63" s="134" t="n">
        <v>22</v>
      </c>
      <c r="X63" s="134">
        <f>'General Information'!$D$25+W63</f>
        <v/>
      </c>
      <c r="Y63" s="135">
        <f>IF($G$12="",0,IF(W63&gt;'General Information'!$D$33,0,IF(W63=0,$J$12,IFERROR(SUMIF(INDIRECT("'"&amp;$G$12&amp;"'!$C$37:$C$52"),W63,INDIRECT("'"&amp;$G$12&amp;"'!$D$37:$D$52")),0))))</f>
        <v/>
      </c>
      <c r="Z63" s="135">
        <f>IF($G$13="",0,IF(W63&gt;'General Information'!$D$33,0,IF(W63=0,$J$13,IFERROR(SUMIF(INDIRECT("'"&amp;$G$13&amp;"'!$C$37:$C$52"),W63,INDIRECT("'"&amp;$G$13&amp;"'!$D$37:$D$52")),0))))</f>
        <v/>
      </c>
      <c r="AA63" s="135">
        <f>IF($G$14="",0,IF(W63&gt;'General Information'!$D$33,0,IF(W63=0,$J$14,IFERROR(SUMIF(INDIRECT("'"&amp;$G$14&amp;"'!$C$37:$C$52"),W63,INDIRECT("'"&amp;$G$14&amp;"'!$D$37:$D$52")),0))))</f>
        <v/>
      </c>
      <c r="AB63" s="135">
        <f>IF($G$15="",0,IF(W63&gt;'General Information'!$D$33,0,IF(W63=0,$J$15,IFERROR(SUMIF(INDIRECT("'"&amp;$G$15&amp;"'!$C$37:$C$52"),W63,INDIRECT("'"&amp;$G$15&amp;"'!$D$37:$D$52")),0))))</f>
        <v/>
      </c>
      <c r="AC63" s="135">
        <f>IF($G$12="",0,AC62+IF(W63&gt;'General Information'!$D$33,0,IF(W63=0,$J$12,IFERROR(SUMIF(INDIRECT("'"&amp;$G$12&amp;"'!$C$37:$C$52"),W63,INDIRECT("'"&amp;$G$12&amp;"'!$E$37:$E$52")),0))))</f>
        <v/>
      </c>
      <c r="AD63" s="135">
        <f>IF($G$13="",0,AD62+IF(W63&gt;'General Information'!$D$33,0,IF(W63=0,$J$13,IFERROR(SUMIF(INDIRECT("'"&amp;$G$13&amp;"'!$C$37:$C$52"),W63,INDIRECT("'"&amp;$G$13&amp;"'!$E$37:$E$52")),0))))</f>
        <v/>
      </c>
      <c r="AE63" s="135">
        <f>IF($G$14="",0,AE62+IF(W63&gt;'General Information'!$D$33,0,IF(W63=0,$J$14,IFERROR(SUMIF(INDIRECT("'"&amp;$G$14&amp;"'!$C$37:$C$52"),W63,INDIRECT("'"&amp;$G$14&amp;"'!$E$37:$E$52")),0))))</f>
        <v/>
      </c>
      <c r="AF63" s="135">
        <f>IF($G$15="",0,AF62+IF(W63&gt;'General Information'!$D$33,0,IF(W63=0,$J$15,IFERROR(SUMIF(INDIRECT("'"&amp;$G$15&amp;"'!$C$37:$C$52"),W63,INDIRECT("'"&amp;$G$15&amp;"'!$E$37:$E$52")),0))))</f>
        <v/>
      </c>
      <c r="AG63" s="152">
        <f>IF($G$12="",0,IF(W63&gt;'General Information'!$D$33,0,IFERROR(SUMIFS(INDIRECT("'"&amp;$G$12&amp;"'!$D$37:$D$52"),INDIRECT("'"&amp;$G$12&amp;"'!$C$37:$C$52"),W63,INDIRECT("'"&amp;$G$12&amp;"'!$B$37:$B$52"),"*Indirect*")/INDIRECT("'"&amp;$G$12&amp;"'!$F$2"),0)))</f>
        <v/>
      </c>
      <c r="AH63" s="152">
        <f>IF($G$13="",0,IF(W63&gt;'General Information'!$D$33,0,IFERROR(SUMIFS(INDIRECT("'"&amp;$G$13&amp;"'!$D$37:$D$52"),INDIRECT("'"&amp;$G$13&amp;"'!$C$37:$C$52"),W63,INDIRECT("'"&amp;$G$13&amp;"'!$B$37:$B$52"),"*Indirect*")/INDIRECT("'"&amp;$G$13&amp;"'!$F$2"),0)))</f>
        <v/>
      </c>
      <c r="AI63" s="152">
        <f>IF($G$14="",0,IF(W63&gt;'General Information'!$D$33,0,IFERROR(SUMIFS(INDIRECT("'"&amp;$G$14&amp;"'!$D$37:$D$52"),INDIRECT("'"&amp;$G$14&amp;"'!$C$37:$C$52"),W63,INDIRECT("'"&amp;$G$14&amp;"'!$B$37:$B$52"),"*Indirect*")/INDIRECT("'"&amp;$G$14&amp;"'!$F$2"),0)))</f>
        <v/>
      </c>
      <c r="AJ63" s="152">
        <f>IF($G$15="",0,IF(W63&gt;'General Information'!$D$33,0,IFERROR(SUMIFS(INDIRECT("'"&amp;$G$15&amp;"'!$D$37:$D$52"),INDIRECT("'"&amp;$G$15&amp;"'!$C$37:$C$52"),W63,INDIRECT("'"&amp;$G$15&amp;"'!$B$37:$B$52"),"*Indirect*")/INDIRECT("'"&amp;$G$15&amp;"'!$F$2"),0)))</f>
        <v/>
      </c>
    </row>
    <row r="64">
      <c r="W64" s="134" t="n">
        <v>23</v>
      </c>
      <c r="X64" s="134">
        <f>'General Information'!$D$25+W64</f>
        <v/>
      </c>
      <c r="Y64" s="135">
        <f>IF($G$12="",0,IF(W64&gt;'General Information'!$D$33,0,IF(W64=0,$J$12,IFERROR(SUMIF(INDIRECT("'"&amp;$G$12&amp;"'!$C$37:$C$52"),W64,INDIRECT("'"&amp;$G$12&amp;"'!$D$37:$D$52")),0))))</f>
        <v/>
      </c>
      <c r="Z64" s="135">
        <f>IF($G$13="",0,IF(W64&gt;'General Information'!$D$33,0,IF(W64=0,$J$13,IFERROR(SUMIF(INDIRECT("'"&amp;$G$13&amp;"'!$C$37:$C$52"),W64,INDIRECT("'"&amp;$G$13&amp;"'!$D$37:$D$52")),0))))</f>
        <v/>
      </c>
      <c r="AA64" s="135">
        <f>IF($G$14="",0,IF(W64&gt;'General Information'!$D$33,0,IF(W64=0,$J$14,IFERROR(SUMIF(INDIRECT("'"&amp;$G$14&amp;"'!$C$37:$C$52"),W64,INDIRECT("'"&amp;$G$14&amp;"'!$D$37:$D$52")),0))))</f>
        <v/>
      </c>
      <c r="AB64" s="135">
        <f>IF($G$15="",0,IF(W64&gt;'General Information'!$D$33,0,IF(W64=0,$J$15,IFERROR(SUMIF(INDIRECT("'"&amp;$G$15&amp;"'!$C$37:$C$52"),W64,INDIRECT("'"&amp;$G$15&amp;"'!$D$37:$D$52")),0))))</f>
        <v/>
      </c>
      <c r="AC64" s="135">
        <f>IF($G$12="",0,AC63+IF(W64&gt;'General Information'!$D$33,0,IF(W64=0,$J$12,IFERROR(SUMIF(INDIRECT("'"&amp;$G$12&amp;"'!$C$37:$C$52"),W64,INDIRECT("'"&amp;$G$12&amp;"'!$E$37:$E$52")),0))))</f>
        <v/>
      </c>
      <c r="AD64" s="135">
        <f>IF($G$13="",0,AD63+IF(W64&gt;'General Information'!$D$33,0,IF(W64=0,$J$13,IFERROR(SUMIF(INDIRECT("'"&amp;$G$13&amp;"'!$C$37:$C$52"),W64,INDIRECT("'"&amp;$G$13&amp;"'!$E$37:$E$52")),0))))</f>
        <v/>
      </c>
      <c r="AE64" s="135">
        <f>IF($G$14="",0,AE63+IF(W64&gt;'General Information'!$D$33,0,IF(W64=0,$J$14,IFERROR(SUMIF(INDIRECT("'"&amp;$G$14&amp;"'!$C$37:$C$52"),W64,INDIRECT("'"&amp;$G$14&amp;"'!$E$37:$E$52")),0))))</f>
        <v/>
      </c>
      <c r="AF64" s="135">
        <f>IF($G$15="",0,AF63+IF(W64&gt;'General Information'!$D$33,0,IF(W64=0,$J$15,IFERROR(SUMIF(INDIRECT("'"&amp;$G$15&amp;"'!$C$37:$C$52"),W64,INDIRECT("'"&amp;$G$15&amp;"'!$E$37:$E$52")),0))))</f>
        <v/>
      </c>
      <c r="AG64" s="152">
        <f>IF($G$12="",0,IF(W64&gt;'General Information'!$D$33,0,IFERROR(SUMIFS(INDIRECT("'"&amp;$G$12&amp;"'!$D$37:$D$52"),INDIRECT("'"&amp;$G$12&amp;"'!$C$37:$C$52"),W64,INDIRECT("'"&amp;$G$12&amp;"'!$B$37:$B$52"),"*Indirect*")/INDIRECT("'"&amp;$G$12&amp;"'!$F$2"),0)))</f>
        <v/>
      </c>
      <c r="AH64" s="152">
        <f>IF($G$13="",0,IF(W64&gt;'General Information'!$D$33,0,IFERROR(SUMIFS(INDIRECT("'"&amp;$G$13&amp;"'!$D$37:$D$52"),INDIRECT("'"&amp;$G$13&amp;"'!$C$37:$C$52"),W64,INDIRECT("'"&amp;$G$13&amp;"'!$B$37:$B$52"),"*Indirect*")/INDIRECT("'"&amp;$G$13&amp;"'!$F$2"),0)))</f>
        <v/>
      </c>
      <c r="AI64" s="152">
        <f>IF($G$14="",0,IF(W64&gt;'General Information'!$D$33,0,IFERROR(SUMIFS(INDIRECT("'"&amp;$G$14&amp;"'!$D$37:$D$52"),INDIRECT("'"&amp;$G$14&amp;"'!$C$37:$C$52"),W64,INDIRECT("'"&amp;$G$14&amp;"'!$B$37:$B$52"),"*Indirect*")/INDIRECT("'"&amp;$G$14&amp;"'!$F$2"),0)))</f>
        <v/>
      </c>
      <c r="AJ64" s="152">
        <f>IF($G$15="",0,IF(W64&gt;'General Information'!$D$33,0,IFERROR(SUMIFS(INDIRECT("'"&amp;$G$15&amp;"'!$D$37:$D$52"),INDIRECT("'"&amp;$G$15&amp;"'!$C$37:$C$52"),W64,INDIRECT("'"&amp;$G$15&amp;"'!$B$37:$B$52"),"*Indirect*")/INDIRECT("'"&amp;$G$15&amp;"'!$F$2"),0)))</f>
        <v/>
      </c>
    </row>
    <row r="65">
      <c r="W65" s="134" t="n">
        <v>24</v>
      </c>
      <c r="X65" s="134">
        <f>'General Information'!$D$25+W65</f>
        <v/>
      </c>
      <c r="Y65" s="135">
        <f>IF($G$12="",0,IF(W65&gt;'General Information'!$D$33,0,IF(W65=0,$J$12,IFERROR(SUMIF(INDIRECT("'"&amp;$G$12&amp;"'!$C$37:$C$52"),W65,INDIRECT("'"&amp;$G$12&amp;"'!$D$37:$D$52")),0))))</f>
        <v/>
      </c>
      <c r="Z65" s="135">
        <f>IF($G$13="",0,IF(W65&gt;'General Information'!$D$33,0,IF(W65=0,$J$13,IFERROR(SUMIF(INDIRECT("'"&amp;$G$13&amp;"'!$C$37:$C$52"),W65,INDIRECT("'"&amp;$G$13&amp;"'!$D$37:$D$52")),0))))</f>
        <v/>
      </c>
      <c r="AA65" s="135">
        <f>IF($G$14="",0,IF(W65&gt;'General Information'!$D$33,0,IF(W65=0,$J$14,IFERROR(SUMIF(INDIRECT("'"&amp;$G$14&amp;"'!$C$37:$C$52"),W65,INDIRECT("'"&amp;$G$14&amp;"'!$D$37:$D$52")),0))))</f>
        <v/>
      </c>
      <c r="AB65" s="135">
        <f>IF($G$15="",0,IF(W65&gt;'General Information'!$D$33,0,IF(W65=0,$J$15,IFERROR(SUMIF(INDIRECT("'"&amp;$G$15&amp;"'!$C$37:$C$52"),W65,INDIRECT("'"&amp;$G$15&amp;"'!$D$37:$D$52")),0))))</f>
        <v/>
      </c>
      <c r="AC65" s="135">
        <f>IF($G$12="",0,AC64+IF(W65&gt;'General Information'!$D$33,0,IF(W65=0,$J$12,IFERROR(SUMIF(INDIRECT("'"&amp;$G$12&amp;"'!$C$37:$C$52"),W65,INDIRECT("'"&amp;$G$12&amp;"'!$E$37:$E$52")),0))))</f>
        <v/>
      </c>
      <c r="AD65" s="135">
        <f>IF($G$13="",0,AD64+IF(W65&gt;'General Information'!$D$33,0,IF(W65=0,$J$13,IFERROR(SUMIF(INDIRECT("'"&amp;$G$13&amp;"'!$C$37:$C$52"),W65,INDIRECT("'"&amp;$G$13&amp;"'!$E$37:$E$52")),0))))</f>
        <v/>
      </c>
      <c r="AE65" s="135">
        <f>IF($G$14="",0,AE64+IF(W65&gt;'General Information'!$D$33,0,IF(W65=0,$J$14,IFERROR(SUMIF(INDIRECT("'"&amp;$G$14&amp;"'!$C$37:$C$52"),W65,INDIRECT("'"&amp;$G$14&amp;"'!$E$37:$E$52")),0))))</f>
        <v/>
      </c>
      <c r="AF65" s="135">
        <f>IF($G$15="",0,AF64+IF(W65&gt;'General Information'!$D$33,0,IF(W65=0,$J$15,IFERROR(SUMIF(INDIRECT("'"&amp;$G$15&amp;"'!$C$37:$C$52"),W65,INDIRECT("'"&amp;$G$15&amp;"'!$E$37:$E$52")),0))))</f>
        <v/>
      </c>
      <c r="AG65" s="152">
        <f>IF($G$12="",0,IF(W65&gt;'General Information'!$D$33,0,IFERROR(SUMIFS(INDIRECT("'"&amp;$G$12&amp;"'!$D$37:$D$52"),INDIRECT("'"&amp;$G$12&amp;"'!$C$37:$C$52"),W65,INDIRECT("'"&amp;$G$12&amp;"'!$B$37:$B$52"),"*Indirect*")/INDIRECT("'"&amp;$G$12&amp;"'!$F$2"),0)))</f>
        <v/>
      </c>
      <c r="AH65" s="152">
        <f>IF($G$13="",0,IF(W65&gt;'General Information'!$D$33,0,IFERROR(SUMIFS(INDIRECT("'"&amp;$G$13&amp;"'!$D$37:$D$52"),INDIRECT("'"&amp;$G$13&amp;"'!$C$37:$C$52"),W65,INDIRECT("'"&amp;$G$13&amp;"'!$B$37:$B$52"),"*Indirect*")/INDIRECT("'"&amp;$G$13&amp;"'!$F$2"),0)))</f>
        <v/>
      </c>
      <c r="AI65" s="152">
        <f>IF($G$14="",0,IF(W65&gt;'General Information'!$D$33,0,IFERROR(SUMIFS(INDIRECT("'"&amp;$G$14&amp;"'!$D$37:$D$52"),INDIRECT("'"&amp;$G$14&amp;"'!$C$37:$C$52"),W65,INDIRECT("'"&amp;$G$14&amp;"'!$B$37:$B$52"),"*Indirect*")/INDIRECT("'"&amp;$G$14&amp;"'!$F$2"),0)))</f>
        <v/>
      </c>
      <c r="AJ65" s="152">
        <f>IF($G$15="",0,IF(W65&gt;'General Information'!$D$33,0,IFERROR(SUMIFS(INDIRECT("'"&amp;$G$15&amp;"'!$D$37:$D$52"),INDIRECT("'"&amp;$G$15&amp;"'!$C$37:$C$52"),W65,INDIRECT("'"&amp;$G$15&amp;"'!$B$37:$B$52"),"*Indirect*")/INDIRECT("'"&amp;$G$15&amp;"'!$F$2"),0)))</f>
        <v/>
      </c>
    </row>
    <row r="66">
      <c r="W66" s="134" t="n">
        <v>25</v>
      </c>
      <c r="X66" s="134">
        <f>'General Information'!$D$25+W66</f>
        <v/>
      </c>
      <c r="Y66" s="135">
        <f>IF($G$12="",0,IF(W66&gt;'General Information'!$D$33,0,IF(W66=0,$J$12,IFERROR(SUMIF(INDIRECT("'"&amp;$G$12&amp;"'!$C$37:$C$52"),W66,INDIRECT("'"&amp;$G$12&amp;"'!$D$37:$D$52")),0))))</f>
        <v/>
      </c>
      <c r="Z66" s="135">
        <f>IF($G$13="",0,IF(W66&gt;'General Information'!$D$33,0,IF(W66=0,$J$13,IFERROR(SUMIF(INDIRECT("'"&amp;$G$13&amp;"'!$C$37:$C$52"),W66,INDIRECT("'"&amp;$G$13&amp;"'!$D$37:$D$52")),0))))</f>
        <v/>
      </c>
      <c r="AA66" s="135">
        <f>IF($G$14="",0,IF(W66&gt;'General Information'!$D$33,0,IF(W66=0,$J$14,IFERROR(SUMIF(INDIRECT("'"&amp;$G$14&amp;"'!$C$37:$C$52"),W66,INDIRECT("'"&amp;$G$14&amp;"'!$D$37:$D$52")),0))))</f>
        <v/>
      </c>
      <c r="AB66" s="135">
        <f>IF($G$15="",0,IF(W66&gt;'General Information'!$D$33,0,IF(W66=0,$J$15,IFERROR(SUMIF(INDIRECT("'"&amp;$G$15&amp;"'!$C$37:$C$52"),W66,INDIRECT("'"&amp;$G$15&amp;"'!$D$37:$D$52")),0))))</f>
        <v/>
      </c>
      <c r="AC66" s="135">
        <f>IF($G$12="",0,AC65+IF(W66&gt;'General Information'!$D$33,0,IF(W66=0,$J$12,IFERROR(SUMIF(INDIRECT("'"&amp;$G$12&amp;"'!$C$37:$C$52"),W66,INDIRECT("'"&amp;$G$12&amp;"'!$E$37:$E$52")),0))))</f>
        <v/>
      </c>
      <c r="AD66" s="135">
        <f>IF($G$13="",0,AD65+IF(W66&gt;'General Information'!$D$33,0,IF(W66=0,$J$13,IFERROR(SUMIF(INDIRECT("'"&amp;$G$13&amp;"'!$C$37:$C$52"),W66,INDIRECT("'"&amp;$G$13&amp;"'!$E$37:$E$52")),0))))</f>
        <v/>
      </c>
      <c r="AE66" s="135">
        <f>IF($G$14="",0,AE65+IF(W66&gt;'General Information'!$D$33,0,IF(W66=0,$J$14,IFERROR(SUMIF(INDIRECT("'"&amp;$G$14&amp;"'!$C$37:$C$52"),W66,INDIRECT("'"&amp;$G$14&amp;"'!$E$37:$E$52")),0))))</f>
        <v/>
      </c>
      <c r="AF66" s="135">
        <f>IF($G$15="",0,AF65+IF(W66&gt;'General Information'!$D$33,0,IF(W66=0,$J$15,IFERROR(SUMIF(INDIRECT("'"&amp;$G$15&amp;"'!$C$37:$C$52"),W66,INDIRECT("'"&amp;$G$15&amp;"'!$E$37:$E$52")),0))))</f>
        <v/>
      </c>
      <c r="AG66" s="152">
        <f>IF($G$12="",0,IF(W66&gt;'General Information'!$D$33,0,IFERROR(SUMIFS(INDIRECT("'"&amp;$G$12&amp;"'!$D$37:$D$52"),INDIRECT("'"&amp;$G$12&amp;"'!$C$37:$C$52"),W66,INDIRECT("'"&amp;$G$12&amp;"'!$B$37:$B$52"),"*Indirect*")/INDIRECT("'"&amp;$G$12&amp;"'!$F$2"),0)))</f>
        <v/>
      </c>
      <c r="AH66" s="152">
        <f>IF($G$13="",0,IF(W66&gt;'General Information'!$D$33,0,IFERROR(SUMIFS(INDIRECT("'"&amp;$G$13&amp;"'!$D$37:$D$52"),INDIRECT("'"&amp;$G$13&amp;"'!$C$37:$C$52"),W66,INDIRECT("'"&amp;$G$13&amp;"'!$B$37:$B$52"),"*Indirect*")/INDIRECT("'"&amp;$G$13&amp;"'!$F$2"),0)))</f>
        <v/>
      </c>
      <c r="AI66" s="152">
        <f>IF($G$14="",0,IF(W66&gt;'General Information'!$D$33,0,IFERROR(SUMIFS(INDIRECT("'"&amp;$G$14&amp;"'!$D$37:$D$52"),INDIRECT("'"&amp;$G$14&amp;"'!$C$37:$C$52"),W66,INDIRECT("'"&amp;$G$14&amp;"'!$B$37:$B$52"),"*Indirect*")/INDIRECT("'"&amp;$G$14&amp;"'!$F$2"),0)))</f>
        <v/>
      </c>
      <c r="AJ66" s="152">
        <f>IF($G$15="",0,IF(W66&gt;'General Information'!$D$33,0,IFERROR(SUMIFS(INDIRECT("'"&amp;$G$15&amp;"'!$D$37:$D$52"),INDIRECT("'"&amp;$G$15&amp;"'!$C$37:$C$52"),W66,INDIRECT("'"&amp;$G$15&amp;"'!$B$37:$B$52"),"*Indirect*")/INDIRECT("'"&amp;$G$15&amp;"'!$F$2"),0)))</f>
        <v/>
      </c>
    </row>
    <row r="67">
      <c r="W67" s="134" t="n">
        <v>26</v>
      </c>
      <c r="X67" s="134">
        <f>'General Information'!$D$25+W67</f>
        <v/>
      </c>
      <c r="Y67" s="135">
        <f>IF($G$12="",0,IF(W67&gt;'General Information'!$D$33,0,IF(W67=0,$J$12,IFERROR(SUMIF(INDIRECT("'"&amp;$G$12&amp;"'!$C$37:$C$52"),W67,INDIRECT("'"&amp;$G$12&amp;"'!$D$37:$D$52")),0))))</f>
        <v/>
      </c>
      <c r="Z67" s="135">
        <f>IF($G$13="",0,IF(W67&gt;'General Information'!$D$33,0,IF(W67=0,$J$13,IFERROR(SUMIF(INDIRECT("'"&amp;$G$13&amp;"'!$C$37:$C$52"),W67,INDIRECT("'"&amp;$G$13&amp;"'!$D$37:$D$52")),0))))</f>
        <v/>
      </c>
      <c r="AA67" s="135">
        <f>IF($G$14="",0,IF(W67&gt;'General Information'!$D$33,0,IF(W67=0,$J$14,IFERROR(SUMIF(INDIRECT("'"&amp;$G$14&amp;"'!$C$37:$C$52"),W67,INDIRECT("'"&amp;$G$14&amp;"'!$D$37:$D$52")),0))))</f>
        <v/>
      </c>
      <c r="AB67" s="135">
        <f>IF($G$15="",0,IF(W67&gt;'General Information'!$D$33,0,IF(W67=0,$J$15,IFERROR(SUMIF(INDIRECT("'"&amp;$G$15&amp;"'!$C$37:$C$52"),W67,INDIRECT("'"&amp;$G$15&amp;"'!$D$37:$D$52")),0))))</f>
        <v/>
      </c>
      <c r="AC67" s="135">
        <f>IF($G$12="",0,AC66+IF(W67&gt;'General Information'!$D$33,0,IF(W67=0,$J$12,IFERROR(SUMIF(INDIRECT("'"&amp;$G$12&amp;"'!$C$37:$C$52"),W67,INDIRECT("'"&amp;$G$12&amp;"'!$E$37:$E$52")),0))))</f>
        <v/>
      </c>
      <c r="AD67" s="135">
        <f>IF($G$13="",0,AD66+IF(W67&gt;'General Information'!$D$33,0,IF(W67=0,$J$13,IFERROR(SUMIF(INDIRECT("'"&amp;$G$13&amp;"'!$C$37:$C$52"),W67,INDIRECT("'"&amp;$G$13&amp;"'!$E$37:$E$52")),0))))</f>
        <v/>
      </c>
      <c r="AE67" s="135">
        <f>IF($G$14="",0,AE66+IF(W67&gt;'General Information'!$D$33,0,IF(W67=0,$J$14,IFERROR(SUMIF(INDIRECT("'"&amp;$G$14&amp;"'!$C$37:$C$52"),W67,INDIRECT("'"&amp;$G$14&amp;"'!$E$37:$E$52")),0))))</f>
        <v/>
      </c>
      <c r="AF67" s="135">
        <f>IF($G$15="",0,AF66+IF(W67&gt;'General Information'!$D$33,0,IF(W67=0,$J$15,IFERROR(SUMIF(INDIRECT("'"&amp;$G$15&amp;"'!$C$37:$C$52"),W67,INDIRECT("'"&amp;$G$15&amp;"'!$E$37:$E$52")),0))))</f>
        <v/>
      </c>
      <c r="AG67" s="152">
        <f>IF($G$12="",0,IF(W67&gt;'General Information'!$D$33,0,IFERROR(SUMIFS(INDIRECT("'"&amp;$G$12&amp;"'!$D$37:$D$52"),INDIRECT("'"&amp;$G$12&amp;"'!$C$37:$C$52"),W67,INDIRECT("'"&amp;$G$12&amp;"'!$B$37:$B$52"),"*Indirect*")/INDIRECT("'"&amp;$G$12&amp;"'!$F$2"),0)))</f>
        <v/>
      </c>
      <c r="AH67" s="152">
        <f>IF($G$13="",0,IF(W67&gt;'General Information'!$D$33,0,IFERROR(SUMIFS(INDIRECT("'"&amp;$G$13&amp;"'!$D$37:$D$52"),INDIRECT("'"&amp;$G$13&amp;"'!$C$37:$C$52"),W67,INDIRECT("'"&amp;$G$13&amp;"'!$B$37:$B$52"),"*Indirect*")/INDIRECT("'"&amp;$G$13&amp;"'!$F$2"),0)))</f>
        <v/>
      </c>
      <c r="AI67" s="152">
        <f>IF($G$14="",0,IF(W67&gt;'General Information'!$D$33,0,IFERROR(SUMIFS(INDIRECT("'"&amp;$G$14&amp;"'!$D$37:$D$52"),INDIRECT("'"&amp;$G$14&amp;"'!$C$37:$C$52"),W67,INDIRECT("'"&amp;$G$14&amp;"'!$B$37:$B$52"),"*Indirect*")/INDIRECT("'"&amp;$G$14&amp;"'!$F$2"),0)))</f>
        <v/>
      </c>
      <c r="AJ67" s="152">
        <f>IF($G$15="",0,IF(W67&gt;'General Information'!$D$33,0,IFERROR(SUMIFS(INDIRECT("'"&amp;$G$15&amp;"'!$D$37:$D$52"),INDIRECT("'"&amp;$G$15&amp;"'!$C$37:$C$52"),W67,INDIRECT("'"&amp;$G$15&amp;"'!$B$37:$B$52"),"*Indirect*")/INDIRECT("'"&amp;$G$15&amp;"'!$F$2"),0)))</f>
        <v/>
      </c>
    </row>
    <row r="68">
      <c r="W68" s="134" t="n">
        <v>27</v>
      </c>
      <c r="X68" s="134">
        <f>'General Information'!$D$25+W68</f>
        <v/>
      </c>
      <c r="Y68" s="135">
        <f>IF($G$12="",0,IF(W68&gt;'General Information'!$D$33,0,IF(W68=0,$J$12,IFERROR(SUMIF(INDIRECT("'"&amp;$G$12&amp;"'!$C$37:$C$52"),W68,INDIRECT("'"&amp;$G$12&amp;"'!$D$37:$D$52")),0))))</f>
        <v/>
      </c>
      <c r="Z68" s="135">
        <f>IF($G$13="",0,IF(W68&gt;'General Information'!$D$33,0,IF(W68=0,$J$13,IFERROR(SUMIF(INDIRECT("'"&amp;$G$13&amp;"'!$C$37:$C$52"),W68,INDIRECT("'"&amp;$G$13&amp;"'!$D$37:$D$52")),0))))</f>
        <v/>
      </c>
      <c r="AA68" s="135">
        <f>IF($G$14="",0,IF(W68&gt;'General Information'!$D$33,0,IF(W68=0,$J$14,IFERROR(SUMIF(INDIRECT("'"&amp;$G$14&amp;"'!$C$37:$C$52"),W68,INDIRECT("'"&amp;$G$14&amp;"'!$D$37:$D$52")),0))))</f>
        <v/>
      </c>
      <c r="AB68" s="135">
        <f>IF($G$15="",0,IF(W68&gt;'General Information'!$D$33,0,IF(W68=0,$J$15,IFERROR(SUMIF(INDIRECT("'"&amp;$G$15&amp;"'!$C$37:$C$52"),W68,INDIRECT("'"&amp;$G$15&amp;"'!$D$37:$D$52")),0))))</f>
        <v/>
      </c>
      <c r="AC68" s="135">
        <f>IF($G$12="",0,AC67+IF(W68&gt;'General Information'!$D$33,0,IF(W68=0,$J$12,IFERROR(SUMIF(INDIRECT("'"&amp;$G$12&amp;"'!$C$37:$C$52"),W68,INDIRECT("'"&amp;$G$12&amp;"'!$E$37:$E$52")),0))))</f>
        <v/>
      </c>
      <c r="AD68" s="135">
        <f>IF($G$13="",0,AD67+IF(W68&gt;'General Information'!$D$33,0,IF(W68=0,$J$13,IFERROR(SUMIF(INDIRECT("'"&amp;$G$13&amp;"'!$C$37:$C$52"),W68,INDIRECT("'"&amp;$G$13&amp;"'!$E$37:$E$52")),0))))</f>
        <v/>
      </c>
      <c r="AE68" s="135">
        <f>IF($G$14="",0,AE67+IF(W68&gt;'General Information'!$D$33,0,IF(W68=0,$J$14,IFERROR(SUMIF(INDIRECT("'"&amp;$G$14&amp;"'!$C$37:$C$52"),W68,INDIRECT("'"&amp;$G$14&amp;"'!$E$37:$E$52")),0))))</f>
        <v/>
      </c>
      <c r="AF68" s="135">
        <f>IF($G$15="",0,AF67+IF(W68&gt;'General Information'!$D$33,0,IF(W68=0,$J$15,IFERROR(SUMIF(INDIRECT("'"&amp;$G$15&amp;"'!$C$37:$C$52"),W68,INDIRECT("'"&amp;$G$15&amp;"'!$E$37:$E$52")),0))))</f>
        <v/>
      </c>
      <c r="AG68" s="152">
        <f>IF($G$12="",0,IF(W68&gt;'General Information'!$D$33,0,IFERROR(SUMIFS(INDIRECT("'"&amp;$G$12&amp;"'!$D$37:$D$52"),INDIRECT("'"&amp;$G$12&amp;"'!$C$37:$C$52"),W68,INDIRECT("'"&amp;$G$12&amp;"'!$B$37:$B$52"),"*Indirect*")/INDIRECT("'"&amp;$G$12&amp;"'!$F$2"),0)))</f>
        <v/>
      </c>
      <c r="AH68" s="152">
        <f>IF($G$13="",0,IF(W68&gt;'General Information'!$D$33,0,IFERROR(SUMIFS(INDIRECT("'"&amp;$G$13&amp;"'!$D$37:$D$52"),INDIRECT("'"&amp;$G$13&amp;"'!$C$37:$C$52"),W68,INDIRECT("'"&amp;$G$13&amp;"'!$B$37:$B$52"),"*Indirect*")/INDIRECT("'"&amp;$G$13&amp;"'!$F$2"),0)))</f>
        <v/>
      </c>
      <c r="AI68" s="152">
        <f>IF($G$14="",0,IF(W68&gt;'General Information'!$D$33,0,IFERROR(SUMIFS(INDIRECT("'"&amp;$G$14&amp;"'!$D$37:$D$52"),INDIRECT("'"&amp;$G$14&amp;"'!$C$37:$C$52"),W68,INDIRECT("'"&amp;$G$14&amp;"'!$B$37:$B$52"),"*Indirect*")/INDIRECT("'"&amp;$G$14&amp;"'!$F$2"),0)))</f>
        <v/>
      </c>
      <c r="AJ68" s="152">
        <f>IF($G$15="",0,IF(W68&gt;'General Information'!$D$33,0,IFERROR(SUMIFS(INDIRECT("'"&amp;$G$15&amp;"'!$D$37:$D$52"),INDIRECT("'"&amp;$G$15&amp;"'!$C$37:$C$52"),W68,INDIRECT("'"&amp;$G$15&amp;"'!$B$37:$B$52"),"*Indirect*")/INDIRECT("'"&amp;$G$15&amp;"'!$F$2"),0)))</f>
        <v/>
      </c>
    </row>
    <row r="69">
      <c r="W69" s="134" t="n">
        <v>28</v>
      </c>
      <c r="X69" s="134">
        <f>'General Information'!$D$25+W69</f>
        <v/>
      </c>
      <c r="Y69" s="135">
        <f>IF($G$12="",0,IF(W69&gt;'General Information'!$D$33,0,IF(W69=0,$J$12,IFERROR(SUMIF(INDIRECT("'"&amp;$G$12&amp;"'!$C$37:$C$52"),W69,INDIRECT("'"&amp;$G$12&amp;"'!$D$37:$D$52")),0))))</f>
        <v/>
      </c>
      <c r="Z69" s="135">
        <f>IF($G$13="",0,IF(W69&gt;'General Information'!$D$33,0,IF(W69=0,$J$13,IFERROR(SUMIF(INDIRECT("'"&amp;$G$13&amp;"'!$C$37:$C$52"),W69,INDIRECT("'"&amp;$G$13&amp;"'!$D$37:$D$52")),0))))</f>
        <v/>
      </c>
      <c r="AA69" s="135">
        <f>IF($G$14="",0,IF(W69&gt;'General Information'!$D$33,0,IF(W69=0,$J$14,IFERROR(SUMIF(INDIRECT("'"&amp;$G$14&amp;"'!$C$37:$C$52"),W69,INDIRECT("'"&amp;$G$14&amp;"'!$D$37:$D$52")),0))))</f>
        <v/>
      </c>
      <c r="AB69" s="135">
        <f>IF($G$15="",0,IF(W69&gt;'General Information'!$D$33,0,IF(W69=0,$J$15,IFERROR(SUMIF(INDIRECT("'"&amp;$G$15&amp;"'!$C$37:$C$52"),W69,INDIRECT("'"&amp;$G$15&amp;"'!$D$37:$D$52")),0))))</f>
        <v/>
      </c>
      <c r="AC69" s="135">
        <f>IF($G$12="",0,AC68+IF(W69&gt;'General Information'!$D$33,0,IF(W69=0,$J$12,IFERROR(SUMIF(INDIRECT("'"&amp;$G$12&amp;"'!$C$37:$C$52"),W69,INDIRECT("'"&amp;$G$12&amp;"'!$E$37:$E$52")),0))))</f>
        <v/>
      </c>
      <c r="AD69" s="135">
        <f>IF($G$13="",0,AD68+IF(W69&gt;'General Information'!$D$33,0,IF(W69=0,$J$13,IFERROR(SUMIF(INDIRECT("'"&amp;$G$13&amp;"'!$C$37:$C$52"),W69,INDIRECT("'"&amp;$G$13&amp;"'!$E$37:$E$52")),0))))</f>
        <v/>
      </c>
      <c r="AE69" s="135">
        <f>IF($G$14="",0,AE68+IF(W69&gt;'General Information'!$D$33,0,IF(W69=0,$J$14,IFERROR(SUMIF(INDIRECT("'"&amp;$G$14&amp;"'!$C$37:$C$52"),W69,INDIRECT("'"&amp;$G$14&amp;"'!$E$37:$E$52")),0))))</f>
        <v/>
      </c>
      <c r="AF69" s="135">
        <f>IF($G$15="",0,AF68+IF(W69&gt;'General Information'!$D$33,0,IF(W69=0,$J$15,IFERROR(SUMIF(INDIRECT("'"&amp;$G$15&amp;"'!$C$37:$C$52"),W69,INDIRECT("'"&amp;$G$15&amp;"'!$E$37:$E$52")),0))))</f>
        <v/>
      </c>
      <c r="AG69" s="152">
        <f>IF($G$12="",0,IF(W69&gt;'General Information'!$D$33,0,IFERROR(SUMIFS(INDIRECT("'"&amp;$G$12&amp;"'!$D$37:$D$52"),INDIRECT("'"&amp;$G$12&amp;"'!$C$37:$C$52"),W69,INDIRECT("'"&amp;$G$12&amp;"'!$B$37:$B$52"),"*Indirect*")/INDIRECT("'"&amp;$G$12&amp;"'!$F$2"),0)))</f>
        <v/>
      </c>
      <c r="AH69" s="152">
        <f>IF($G$13="",0,IF(W69&gt;'General Information'!$D$33,0,IFERROR(SUMIFS(INDIRECT("'"&amp;$G$13&amp;"'!$D$37:$D$52"),INDIRECT("'"&amp;$G$13&amp;"'!$C$37:$C$52"),W69,INDIRECT("'"&amp;$G$13&amp;"'!$B$37:$B$52"),"*Indirect*")/INDIRECT("'"&amp;$G$13&amp;"'!$F$2"),0)))</f>
        <v/>
      </c>
      <c r="AI69" s="152">
        <f>IF($G$14="",0,IF(W69&gt;'General Information'!$D$33,0,IFERROR(SUMIFS(INDIRECT("'"&amp;$G$14&amp;"'!$D$37:$D$52"),INDIRECT("'"&amp;$G$14&amp;"'!$C$37:$C$52"),W69,INDIRECT("'"&amp;$G$14&amp;"'!$B$37:$B$52"),"*Indirect*")/INDIRECT("'"&amp;$G$14&amp;"'!$F$2"),0)))</f>
        <v/>
      </c>
      <c r="AJ69" s="152">
        <f>IF($G$15="",0,IF(W69&gt;'General Information'!$D$33,0,IFERROR(SUMIFS(INDIRECT("'"&amp;$G$15&amp;"'!$D$37:$D$52"),INDIRECT("'"&amp;$G$15&amp;"'!$C$37:$C$52"),W69,INDIRECT("'"&amp;$G$15&amp;"'!$B$37:$B$52"),"*Indirect*")/INDIRECT("'"&amp;$G$15&amp;"'!$F$2"),0)))</f>
        <v/>
      </c>
    </row>
    <row r="70">
      <c r="W70" s="134" t="n">
        <v>29</v>
      </c>
      <c r="X70" s="134">
        <f>'General Information'!$D$25+W70</f>
        <v/>
      </c>
      <c r="Y70" s="135">
        <f>IF($G$12="",0,IF(W70&gt;'General Information'!$D$33,0,IF(W70=0,$J$12,IFERROR(SUMIF(INDIRECT("'"&amp;$G$12&amp;"'!$C$37:$C$52"),W70,INDIRECT("'"&amp;$G$12&amp;"'!$D$37:$D$52")),0))))</f>
        <v/>
      </c>
      <c r="Z70" s="135">
        <f>IF($G$13="",0,IF(W70&gt;'General Information'!$D$33,0,IF(W70=0,$J$13,IFERROR(SUMIF(INDIRECT("'"&amp;$G$13&amp;"'!$C$37:$C$52"),W70,INDIRECT("'"&amp;$G$13&amp;"'!$D$37:$D$52")),0))))</f>
        <v/>
      </c>
      <c r="AA70" s="135">
        <f>IF($G$14="",0,IF(W70&gt;'General Information'!$D$33,0,IF(W70=0,$J$14,IFERROR(SUMIF(INDIRECT("'"&amp;$G$14&amp;"'!$C$37:$C$52"),W70,INDIRECT("'"&amp;$G$14&amp;"'!$D$37:$D$52")),0))))</f>
        <v/>
      </c>
      <c r="AB70" s="135">
        <f>IF($G$15="",0,IF(W70&gt;'General Information'!$D$33,0,IF(W70=0,$J$15,IFERROR(SUMIF(INDIRECT("'"&amp;$G$15&amp;"'!$C$37:$C$52"),W70,INDIRECT("'"&amp;$G$15&amp;"'!$D$37:$D$52")),0))))</f>
        <v/>
      </c>
      <c r="AC70" s="135">
        <f>IF($G$12="",0,AC69+IF(W70&gt;'General Information'!$D$33,0,IF(W70=0,$J$12,IFERROR(SUMIF(INDIRECT("'"&amp;$G$12&amp;"'!$C$37:$C$52"),W70,INDIRECT("'"&amp;$G$12&amp;"'!$E$37:$E$52")),0))))</f>
        <v/>
      </c>
      <c r="AD70" s="135">
        <f>IF($G$13="",0,AD69+IF(W70&gt;'General Information'!$D$33,0,IF(W70=0,$J$13,IFERROR(SUMIF(INDIRECT("'"&amp;$G$13&amp;"'!$C$37:$C$52"),W70,INDIRECT("'"&amp;$G$13&amp;"'!$E$37:$E$52")),0))))</f>
        <v/>
      </c>
      <c r="AE70" s="135">
        <f>IF($G$14="",0,AE69+IF(W70&gt;'General Information'!$D$33,0,IF(W70=0,$J$14,IFERROR(SUMIF(INDIRECT("'"&amp;$G$14&amp;"'!$C$37:$C$52"),W70,INDIRECT("'"&amp;$G$14&amp;"'!$E$37:$E$52")),0))))</f>
        <v/>
      </c>
      <c r="AF70" s="135">
        <f>IF($G$15="",0,AF69+IF(W70&gt;'General Information'!$D$33,0,IF(W70=0,$J$15,IFERROR(SUMIF(INDIRECT("'"&amp;$G$15&amp;"'!$C$37:$C$52"),W70,INDIRECT("'"&amp;$G$15&amp;"'!$E$37:$E$52")),0))))</f>
        <v/>
      </c>
      <c r="AG70" s="152">
        <f>IF($G$12="",0,IF(W70&gt;'General Information'!$D$33,0,IFERROR(SUMIFS(INDIRECT("'"&amp;$G$12&amp;"'!$D$37:$D$52"),INDIRECT("'"&amp;$G$12&amp;"'!$C$37:$C$52"),W70,INDIRECT("'"&amp;$G$12&amp;"'!$B$37:$B$52"),"*Indirect*")/INDIRECT("'"&amp;$G$12&amp;"'!$F$2"),0)))</f>
        <v/>
      </c>
      <c r="AH70" s="152">
        <f>IF($G$13="",0,IF(W70&gt;'General Information'!$D$33,0,IFERROR(SUMIFS(INDIRECT("'"&amp;$G$13&amp;"'!$D$37:$D$52"),INDIRECT("'"&amp;$G$13&amp;"'!$C$37:$C$52"),W70,INDIRECT("'"&amp;$G$13&amp;"'!$B$37:$B$52"),"*Indirect*")/INDIRECT("'"&amp;$G$13&amp;"'!$F$2"),0)))</f>
        <v/>
      </c>
      <c r="AI70" s="152">
        <f>IF($G$14="",0,IF(W70&gt;'General Information'!$D$33,0,IFERROR(SUMIFS(INDIRECT("'"&amp;$G$14&amp;"'!$D$37:$D$52"),INDIRECT("'"&amp;$G$14&amp;"'!$C$37:$C$52"),W70,INDIRECT("'"&amp;$G$14&amp;"'!$B$37:$B$52"),"*Indirect*")/INDIRECT("'"&amp;$G$14&amp;"'!$F$2"),0)))</f>
        <v/>
      </c>
      <c r="AJ70" s="152">
        <f>IF($G$15="",0,IF(W70&gt;'General Information'!$D$33,0,IFERROR(SUMIFS(INDIRECT("'"&amp;$G$15&amp;"'!$D$37:$D$52"),INDIRECT("'"&amp;$G$15&amp;"'!$C$37:$C$52"),W70,INDIRECT("'"&amp;$G$15&amp;"'!$B$37:$B$52"),"*Indirect*")/INDIRECT("'"&amp;$G$15&amp;"'!$F$2"),0)))</f>
        <v/>
      </c>
    </row>
    <row r="71">
      <c r="W71" s="134" t="n">
        <v>30</v>
      </c>
      <c r="X71" s="134">
        <f>'General Information'!$D$25+W71</f>
        <v/>
      </c>
      <c r="Y71" s="135">
        <f>IF($G$12="",0,IF(W71&gt;'General Information'!$D$33,0,IF(W71=0,$J$12,IFERROR(SUMIF(INDIRECT("'"&amp;$G$12&amp;"'!$C$37:$C$52"),W71,INDIRECT("'"&amp;$G$12&amp;"'!$D$37:$D$52")),0))))</f>
        <v/>
      </c>
      <c r="Z71" s="135">
        <f>IF($G$13="",0,IF(W71&gt;'General Information'!$D$33,0,IF(W71=0,$J$13,IFERROR(SUMIF(INDIRECT("'"&amp;$G$13&amp;"'!$C$37:$C$52"),W71,INDIRECT("'"&amp;$G$13&amp;"'!$D$37:$D$52")),0))))</f>
        <v/>
      </c>
      <c r="AA71" s="135">
        <f>IF($G$14="",0,IF(W71&gt;'General Information'!$D$33,0,IF(W71=0,$J$14,IFERROR(SUMIF(INDIRECT("'"&amp;$G$14&amp;"'!$C$37:$C$52"),W71,INDIRECT("'"&amp;$G$14&amp;"'!$D$37:$D$52")),0))))</f>
        <v/>
      </c>
      <c r="AB71" s="135">
        <f>IF($G$15="",0,IF(W71&gt;'General Information'!$D$33,0,IF(W71=0,$J$15,IFERROR(SUMIF(INDIRECT("'"&amp;$G$15&amp;"'!$C$37:$C$52"),W71,INDIRECT("'"&amp;$G$15&amp;"'!$D$37:$D$52")),0))))</f>
        <v/>
      </c>
      <c r="AC71" s="135">
        <f>IF($G$12="",0,AC70+IF(W71&gt;'General Information'!$D$33,0,IF(W71=0,$J$12,IFERROR(SUMIF(INDIRECT("'"&amp;$G$12&amp;"'!$C$37:$C$52"),W71,INDIRECT("'"&amp;$G$12&amp;"'!$E$37:$E$52")),0))))</f>
        <v/>
      </c>
      <c r="AD71" s="135">
        <f>IF($G$13="",0,AD70+IF(W71&gt;'General Information'!$D$33,0,IF(W71=0,$J$13,IFERROR(SUMIF(INDIRECT("'"&amp;$G$13&amp;"'!$C$37:$C$52"),W71,INDIRECT("'"&amp;$G$13&amp;"'!$E$37:$E$52")),0))))</f>
        <v/>
      </c>
      <c r="AE71" s="135">
        <f>IF($G$14="",0,AE70+IF(W71&gt;'General Information'!$D$33,0,IF(W71=0,$J$14,IFERROR(SUMIF(INDIRECT("'"&amp;$G$14&amp;"'!$C$37:$C$52"),W71,INDIRECT("'"&amp;$G$14&amp;"'!$E$37:$E$52")),0))))</f>
        <v/>
      </c>
      <c r="AF71" s="135">
        <f>IF($G$15="",0,AF70+IF(W71&gt;'General Information'!$D$33,0,IF(W71=0,$J$15,IFERROR(SUMIF(INDIRECT("'"&amp;$G$15&amp;"'!$C$37:$C$52"),W71,INDIRECT("'"&amp;$G$15&amp;"'!$E$37:$E$52")),0))))</f>
        <v/>
      </c>
      <c r="AG71" s="152">
        <f>IF($G$12="",0,IF(W71&gt;'General Information'!$D$33,0,IFERROR(SUMIFS(INDIRECT("'"&amp;$G$12&amp;"'!$D$37:$D$52"),INDIRECT("'"&amp;$G$12&amp;"'!$C$37:$C$52"),W71,INDIRECT("'"&amp;$G$12&amp;"'!$B$37:$B$52"),"*Indirect*")/INDIRECT("'"&amp;$G$12&amp;"'!$F$2"),0)))</f>
        <v/>
      </c>
      <c r="AH71" s="152">
        <f>IF($G$13="",0,IF(W71&gt;'General Information'!$D$33,0,IFERROR(SUMIFS(INDIRECT("'"&amp;$G$13&amp;"'!$D$37:$D$52"),INDIRECT("'"&amp;$G$13&amp;"'!$C$37:$C$52"),W71,INDIRECT("'"&amp;$G$13&amp;"'!$B$37:$B$52"),"*Indirect*")/INDIRECT("'"&amp;$G$13&amp;"'!$F$2"),0)))</f>
        <v/>
      </c>
      <c r="AI71" s="152">
        <f>IF($G$14="",0,IF(W71&gt;'General Information'!$D$33,0,IFERROR(SUMIFS(INDIRECT("'"&amp;$G$14&amp;"'!$D$37:$D$52"),INDIRECT("'"&amp;$G$14&amp;"'!$C$37:$C$52"),W71,INDIRECT("'"&amp;$G$14&amp;"'!$B$37:$B$52"),"*Indirect*")/INDIRECT("'"&amp;$G$14&amp;"'!$F$2"),0)))</f>
        <v/>
      </c>
      <c r="AJ71" s="152">
        <f>IF($G$15="",0,IF(W71&gt;'General Information'!$D$33,0,IFERROR(SUMIFS(INDIRECT("'"&amp;$G$15&amp;"'!$D$37:$D$52"),INDIRECT("'"&amp;$G$15&amp;"'!$C$37:$C$52"),W71,INDIRECT("'"&amp;$G$15&amp;"'!$B$37:$B$52"),"*Indirect*")/INDIRECT("'"&amp;$G$15&amp;"'!$F$2"),0)))</f>
        <v/>
      </c>
    </row>
    <row r="74">
      <c r="W74" s="122" t="inlineStr">
        <is>
          <t>PAVEMENT SECTION (inches): mainline, then the reading if the quantities also cover the shoulder</t>
        </is>
      </c>
    </row>
    <row r="75">
      <c r="W75" s="124" t="inlineStr">
        <is>
          <t>Layer</t>
        </is>
      </c>
      <c r="X75" s="124">
        <f>IF(X$4="","",X$4)</f>
        <v/>
      </c>
      <c r="Y75" s="124">
        <f>IF(Y$4="","",Y$4)</f>
        <v/>
      </c>
      <c r="Z75" s="124">
        <f>IF(Z$4="","",Z$4)</f>
        <v/>
      </c>
      <c r="AA75" s="124">
        <f>IF(AA$4="","",AA$4)</f>
        <v/>
      </c>
    </row>
    <row r="76">
      <c r="W76" s="134" t="inlineStr">
        <is>
          <t>Subbase (P-154)</t>
        </is>
      </c>
      <c r="X76" s="153">
        <f>IF($G$12="",0,IFERROR(J93,0))</f>
        <v/>
      </c>
      <c r="Y76" s="153">
        <f>IF($G$13="",0,IFERROR(J94,0))</f>
        <v/>
      </c>
      <c r="Z76" s="153">
        <f>IF($G$14="",0,IFERROR(J95,0))</f>
        <v/>
      </c>
      <c r="AA76" s="153">
        <f>IF($G$15="",0,IFERROR(J96,0))</f>
        <v/>
      </c>
    </row>
    <row r="77">
      <c r="W77" s="134" t="inlineStr">
        <is>
          <t>Aggregate base</t>
        </is>
      </c>
      <c r="X77" s="153">
        <f>IF($G$12="",0,IFERROR(I93,0))</f>
        <v/>
      </c>
      <c r="Y77" s="153">
        <f>IF($G$13="",0,IFERROR(I94,0))</f>
        <v/>
      </c>
      <c r="Z77" s="153">
        <f>IF($G$14="",0,IFERROR(I95,0))</f>
        <v/>
      </c>
      <c r="AA77" s="153">
        <f>IF($G$15="",0,IFERROR(I96,0))</f>
        <v/>
      </c>
    </row>
    <row r="78">
      <c r="W78" s="134" t="inlineStr">
        <is>
          <t>Asphalt</t>
        </is>
      </c>
      <c r="X78" s="153">
        <f>IF($G$12="",0,IFERROR(IF(SUMIFS(INDIRECT("'"&amp;$G$12&amp;"'!$E$13:$E$22"),INDIRECT("'"&amp;$G$12&amp;"'!$D$13:$D$22"),"TON")&gt;0,H93,0),0))</f>
        <v/>
      </c>
      <c r="Y78" s="153">
        <f>IF($G$13="",0,IFERROR(IF(SUMIFS(INDIRECT("'"&amp;$G$13&amp;"'!$E$13:$E$22"),INDIRECT("'"&amp;$G$13&amp;"'!$D$13:$D$22"),"TON")&gt;0,H94,0),0))</f>
        <v/>
      </c>
      <c r="Z78" s="153">
        <f>IF($G$14="",0,IFERROR(IF(SUMIFS(INDIRECT("'"&amp;$G$14&amp;"'!$E$13:$E$22"),INDIRECT("'"&amp;$G$14&amp;"'!$D$13:$D$22"),"TON")&gt;0,H95,0),0))</f>
        <v/>
      </c>
      <c r="AA78" s="153">
        <f>IF($G$15="",0,IFERROR(IF(SUMIFS(INDIRECT("'"&amp;$G$15&amp;"'!$E$13:$E$22"),INDIRECT("'"&amp;$G$15&amp;"'!$D$13:$D$22"),"TON")&gt;0,H96,0),0))</f>
        <v/>
      </c>
    </row>
    <row r="79">
      <c r="W79" s="134" t="inlineStr">
        <is>
          <t>Concrete</t>
        </is>
      </c>
      <c r="X79" s="153">
        <f>IF($G$12="",0,IFERROR(IF(SUMIFS(INDIRECT("'"&amp;$G$12&amp;"'!$E$13:$E$22"),INDIRECT("'"&amp;$G$12&amp;"'!$D$13:$D$22"),"TON")&gt;0,0,H93),0))</f>
        <v/>
      </c>
      <c r="Y79" s="153">
        <f>IF($G$13="",0,IFERROR(IF(SUMIFS(INDIRECT("'"&amp;$G$13&amp;"'!$E$13:$E$22"),INDIRECT("'"&amp;$G$13&amp;"'!$D$13:$D$22"),"TON")&gt;0,0,H94),0))</f>
        <v/>
      </c>
      <c r="Z79" s="153">
        <f>IF($G$14="",0,IFERROR(IF(SUMIFS(INDIRECT("'"&amp;$G$14&amp;"'!$E$13:$E$22"),INDIRECT("'"&amp;$G$14&amp;"'!$D$13:$D$22"),"TON")&gt;0,0,H95),0))</f>
        <v/>
      </c>
      <c r="AA79" s="153">
        <f>IF($G$15="",0,IFERROR(IF(SUMIFS(INDIRECT("'"&amp;$G$15&amp;"'!$E$13:$E$22"),INDIRECT("'"&amp;$G$15&amp;"'!$D$13:$D$22"),"TON")&gt;0,0,H96),0))</f>
        <v/>
      </c>
    </row>
    <row r="81">
      <c r="W81" s="122" t="inlineStr">
        <is>
          <t>Shoulder reading (blank unless shoulder area is entered)</t>
        </is>
      </c>
    </row>
    <row r="82">
      <c r="W82" s="124" t="inlineStr">
        <is>
          <t>Layer</t>
        </is>
      </c>
      <c r="X82" s="124">
        <f>X$4</f>
        <v/>
      </c>
      <c r="Y82" s="124">
        <f>Y$4</f>
        <v/>
      </c>
      <c r="Z82" s="124">
        <f>Z$4</f>
        <v/>
      </c>
      <c r="AA82" s="124">
        <f>AA$4</f>
        <v/>
      </c>
    </row>
    <row r="83">
      <c r="W83" s="134" t="inlineStr">
        <is>
          <t>Subbase (P-154)</t>
        </is>
      </c>
      <c r="X83" s="153">
        <f>IFERROR(X76*IF('General Information'!$D$27&gt;0,'General Information'!$D$26/('General Information'!$D$26+'General Information'!$D$27),0),0)</f>
        <v/>
      </c>
      <c r="Y83" s="153">
        <f>IFERROR(Y76*IF('General Information'!$D$27&gt;0,'General Information'!$D$26/('General Information'!$D$26+'General Information'!$D$27),0),0)</f>
        <v/>
      </c>
      <c r="Z83" s="153">
        <f>IFERROR(Z76*IF('General Information'!$D$27&gt;0,'General Information'!$D$26/('General Information'!$D$26+'General Information'!$D$27),0),0)</f>
        <v/>
      </c>
      <c r="AA83" s="153">
        <f>IFERROR(AA76*IF('General Information'!$D$27&gt;0,'General Information'!$D$26/('General Information'!$D$26+'General Information'!$D$27),0),0)</f>
        <v/>
      </c>
    </row>
    <row r="84">
      <c r="W84" s="134" t="inlineStr">
        <is>
          <t>Aggregate base</t>
        </is>
      </c>
      <c r="X84" s="153">
        <f>IFERROR(X77*IF('General Information'!$D$27&gt;0,'General Information'!$D$26/('General Information'!$D$26+'General Information'!$D$27),0),0)</f>
        <v/>
      </c>
      <c r="Y84" s="153">
        <f>IFERROR(Y77*IF('General Information'!$D$27&gt;0,'General Information'!$D$26/('General Information'!$D$26+'General Information'!$D$27),0),0)</f>
        <v/>
      </c>
      <c r="Z84" s="153">
        <f>IFERROR(Z77*IF('General Information'!$D$27&gt;0,'General Information'!$D$26/('General Information'!$D$26+'General Information'!$D$27),0),0)</f>
        <v/>
      </c>
      <c r="AA84" s="153">
        <f>IFERROR(AA77*IF('General Information'!$D$27&gt;0,'General Information'!$D$26/('General Information'!$D$26+'General Information'!$D$27),0),0)</f>
        <v/>
      </c>
    </row>
    <row r="85">
      <c r="W85" s="134" t="inlineStr">
        <is>
          <t>Asphalt</t>
        </is>
      </c>
      <c r="X85" s="153">
        <f>IFERROR(X78*IF('General Information'!$D$27&gt;0,'General Information'!$D$26/('General Information'!$D$26+'General Information'!$D$27),0),0)</f>
        <v/>
      </c>
      <c r="Y85" s="153">
        <f>IFERROR(Y78*IF('General Information'!$D$27&gt;0,'General Information'!$D$26/('General Information'!$D$26+'General Information'!$D$27),0),0)</f>
        <v/>
      </c>
      <c r="Z85" s="153">
        <f>IFERROR(Z78*IF('General Information'!$D$27&gt;0,'General Information'!$D$26/('General Information'!$D$26+'General Information'!$D$27),0),0)</f>
        <v/>
      </c>
      <c r="AA85" s="153">
        <f>IFERROR(AA78*IF('General Information'!$D$27&gt;0,'General Information'!$D$26/('General Information'!$D$26+'General Information'!$D$27),0),0)</f>
        <v/>
      </c>
    </row>
    <row r="86">
      <c r="W86" s="134" t="inlineStr">
        <is>
          <t>Concrete</t>
        </is>
      </c>
      <c r="X86" s="153">
        <f>IFERROR(X79*IF('General Information'!$D$27&gt;0,1,0),0)</f>
        <v/>
      </c>
      <c r="Y86" s="153">
        <f>IFERROR(Y79*IF('General Information'!$D$27&gt;0,1,0),0)</f>
        <v/>
      </c>
      <c r="Z86" s="153">
        <f>IFERROR(Z79*IF('General Information'!$D$27&gt;0,1,0),0)</f>
        <v/>
      </c>
      <c r="AA86" s="153">
        <f>IFERROR(AA79*IF('General Information'!$D$27&gt;0,1,0),0)</f>
        <v/>
      </c>
    </row>
    <row r="87">
      <c r="G87" s="136" t="inlineStr">
        <is>
          <t>Chart 8 divides each alternative's initial construction by the mainline area. The band is the all-in range for recent Tennessee runway work, $210 to $280 per S.Y. on Typical Values, which covers pavement, lighting and grading; this workbook prices the pavement contract, so every bar should sit below the band. Far below it, or above it, is worth a second look at the quantities.</t>
        </is>
      </c>
    </row>
    <row r="89">
      <c r="W89" s="122" t="inlineStr">
        <is>
          <t>UNIT COST ($/S.Y.) against published Tennessee runway work (Typical Values, unit costs)</t>
        </is>
      </c>
    </row>
    <row r="90">
      <c r="G90" s="121" t="inlineStr">
        <is>
          <t>PAVEMENT SECTION  (read back from the quantities already entered; nothing here changes a cost)</t>
        </is>
      </c>
      <c r="W90" s="124" t="inlineStr">
        <is>
          <t>Series</t>
        </is>
      </c>
      <c r="X90" s="124">
        <f>IF(X$4="","",X$4)</f>
        <v/>
      </c>
      <c r="Y90" s="124">
        <f>IF(Y$4="","",Y$4)</f>
        <v/>
      </c>
      <c r="Z90" s="124">
        <f>IF(Z$4="","",Z$4)</f>
        <v/>
      </c>
      <c r="AA90" s="124">
        <f>IF(AA$4="","",AA$4)</f>
        <v/>
      </c>
      <c r="AB90" s="124" t="inlineStr">
        <is>
          <t>TN 2024-25, all-in</t>
        </is>
      </c>
    </row>
    <row r="91">
      <c r="G91" s="122" t="inlineStr">
        <is>
          <t>Asphalt unit weight, pcf:</t>
        </is>
      </c>
      <c r="J91" s="149" t="n">
        <v>145</v>
      </c>
      <c r="K91" s="136" t="inlineStr">
        <is>
          <t>Only asphalt needs an assumption: 145 pcf reproduces the Murfreesboro section to the hundredth of an inch. Volume items convert directly, and concrete carries its thickness in the pay-item name.</t>
        </is>
      </c>
      <c r="W91" s="134" t="inlineStr">
        <is>
          <t>Below the published range</t>
        </is>
      </c>
      <c r="X91" s="154" t="n">
        <v>0</v>
      </c>
      <c r="Y91" s="154" t="n">
        <v>0</v>
      </c>
      <c r="Z91" s="154" t="n">
        <v>0</v>
      </c>
      <c r="AA91" s="154" t="n">
        <v>0</v>
      </c>
      <c r="AB91" s="154" t="n">
        <v>210</v>
      </c>
    </row>
    <row r="92" ht="27" customHeight="1">
      <c r="G92" s="124" t="inlineStr">
        <is>
          <t>Alternative</t>
        </is>
      </c>
      <c r="H92" s="124" t="inlineStr">
        <is>
          <t>Surface course (in)</t>
        </is>
      </c>
      <c r="I92" s="124" t="inlineStr">
        <is>
          <t>Aggregate base (in)</t>
        </is>
      </c>
      <c r="J92" s="124" t="inlineStr">
        <is>
          <t>Subbase (in)</t>
        </is>
      </c>
      <c r="K92" s="124" t="inlineStr">
        <is>
          <t>Treated subgrade</t>
        </is>
      </c>
      <c r="L92" s="124" t="inlineStr">
        <is>
          <t>Total section (in)</t>
        </is>
      </c>
      <c r="M92" s="124" t="inlineStr">
        <is>
          <t>Excavation (in)</t>
        </is>
      </c>
      <c r="N92" s="124" t="inlineStr">
        <is>
          <t>Excavation check</t>
        </is>
      </c>
      <c r="O92" s="124" t="n"/>
      <c r="P92" s="124" t="inlineStr">
        <is>
          <t>Section from the quantities</t>
        </is>
      </c>
      <c r="Q92" s="124" t="inlineStr">
        <is>
          <t>Same quantities over mainline + shoulder</t>
        </is>
      </c>
      <c r="W92" s="134" t="inlineStr">
        <is>
          <t>Unit cost / published range</t>
        </is>
      </c>
      <c r="X92" s="154">
        <f>IFERROR(IF($G$12="",0,$J$12/'General Information'!$D$26),0)</f>
        <v/>
      </c>
      <c r="Y92" s="154">
        <f>IFERROR(IF($G$13="",0,$J$13/'General Information'!$D$26),0)</f>
        <v/>
      </c>
      <c r="Z92" s="154">
        <f>IFERROR(IF($G$14="",0,$J$14/'General Information'!$D$26),0)</f>
        <v/>
      </c>
      <c r="AA92" s="154">
        <f>IFERROR(IF($G$15="",0,$J$15/'General Information'!$D$26),0)</f>
        <v/>
      </c>
      <c r="AB92" s="154" t="n">
        <v>70</v>
      </c>
    </row>
    <row r="93">
      <c r="G93" s="137">
        <f>IF($G$12="","",$H$12)</f>
        <v/>
      </c>
      <c r="H93" s="155">
        <f>IF(OR($G$12="",N('General Information'!$D$26)&lt;=0),"",IF(SUMIFS(INDIRECT("'"&amp;$G$12&amp;"'!$E$13:$E$22"),INDIRECT("'"&amp;$G$12&amp;"'!$D$13:$D$22"),"TON")&gt;0,SUMIFS(INDIRECT("'"&amp;$G$12&amp;"'!$E$13:$E$22"),INDIRECT("'"&amp;$G$12&amp;"'!$D$13:$D$22"),"TON")*2666.6667/($J$91*'General Information'!$D$26),IFERROR(VALUE(TRIM(SUBSTITUTE(MID(IFERROR(INDEX(INDIRECT("'"&amp;$G$12&amp;"'!$C$13:$C$22"),MATCH("Concrete Pavement*",INDIRECT("'"&amp;$G$12&amp;"'!$C$13:$C$22"),0)),""),FIND(",",IFERROR(INDEX(INDIRECT("'"&amp;$G$12&amp;"'!$C$13:$C$22"),MATCH("Concrete Pavement*",INDIRECT("'"&amp;$G$12&amp;"'!$C$13:$C$22"),0)),""))+1,99),"-inch",""))),0)))</f>
        <v/>
      </c>
      <c r="I93" s="155">
        <f>IF(OR($G$12="",N('General Information'!$D$26)&lt;=0),"",36*(SUMIFS(INDIRECT("'"&amp;$G$12&amp;"'!$E$13:$E$22"),INDIRECT("'"&amp;$G$12&amp;"'!$D$13:$D$22"),"C.Y.",INDIRECT("'"&amp;$G$12&amp;"'!$B$13:$B$22"),"P-2*")+SUMIFS(INDIRECT("'"&amp;$G$12&amp;"'!$E$13:$E$22"),INDIRECT("'"&amp;$G$12&amp;"'!$D$13:$D$22"),"C.Y.",INDIRECT("'"&amp;$G$12&amp;"'!$B$13:$B$22"),"P-3*"))/'General Information'!$D$26)</f>
        <v/>
      </c>
      <c r="J93" s="155">
        <f>IF(OR($G$12="",N('General Information'!$D$26)&lt;=0),"",36*SUMIFS(INDIRECT("'"&amp;$G$12&amp;"'!$E$13:$E$22"),INDIRECT("'"&amp;$G$12&amp;"'!$D$13:$D$22"),"C.Y.",INDIRECT("'"&amp;$G$12&amp;"'!$B$13:$B$22"),"P-154*")/'General Information'!$D$26)</f>
        <v/>
      </c>
      <c r="K93" s="155">
        <f>IF(OR($G$12="",N('General Information'!$D$26)&lt;=0),"",IF(SUMIFS(INDIRECT("'"&amp;$G$12&amp;"'!$E$13:$E$22"),INDIRECT("'"&amp;$G$12&amp;"'!$D$13:$D$22"),"S.Y.",INDIRECT("'"&amp;$G$12&amp;"'!$B$13:$B$22"),"P-155*")+SUMIFS(INDIRECT("'"&amp;$G$12&amp;"'!$E$13:$E$22"),INDIRECT("'"&amp;$G$12&amp;"'!$D$13:$D$22"),"S.Y.",INDIRECT("'"&amp;$G$12&amp;"'!$B$13:$B$22"),"P-156*")+SUMIFS(INDIRECT("'"&amp;$G$12&amp;"'!$E$13:$E$22"),INDIRECT("'"&amp;$G$12&amp;"'!$D$13:$D$22"),"S.Y.",INDIRECT("'"&amp;$G$12&amp;"'!$B$13:$B$22"),"P-157*")+SUMIFS(INDIRECT("'"&amp;$G$12&amp;"'!$E$13:$E$22"),INDIRECT("'"&amp;$G$12&amp;"'!$D$13:$D$22"),"S.Y.",INDIRECT("'"&amp;$G$12&amp;"'!$B$13:$B$22"),"P-158*")&gt;0,"yes","-"))</f>
        <v/>
      </c>
      <c r="L93" s="155">
        <f>IF(OR($G$12="",N('General Information'!$D$26)&lt;=0),"",H93+I93+J93)</f>
        <v/>
      </c>
      <c r="M93" s="155">
        <f>IF(OR($G$12="",N('General Information'!$D$26)&lt;=0),"",36*SUMIFS(INDIRECT("'"&amp;$G$12&amp;"'!$E$13:$E$22"),INDIRECT("'"&amp;$G$12&amp;"'!$D$13:$D$22"),"C.Y.",INDIRECT("'"&amp;$G$12&amp;"'!$B$13:$B$22"),"P-152*")/'General Information'!$D$26)</f>
        <v/>
      </c>
      <c r="N93" s="137">
        <f>IF(OR($G$12="",N('General Information'!$D$26)&lt;=0),"",IF(M93=0,"no excavation item",IF(ABS(M93-L93)&lt;=0.5,"agrees","differs by "&amp;TEXT(M93-L93,"0.0")&amp;" in")))</f>
        <v/>
      </c>
      <c r="P93" s="137">
        <f>IF(OR($G$12="",N('General Information'!$D$26)&lt;=0),"",TEXT(H93,"0")&amp;""" "&amp;IF(SUMIFS(INDIRECT("'"&amp;$G$12&amp;"'!$E$13:$E$22"),INDIRECT("'"&amp;$G$12&amp;"'!$D$13:$D$22"),"TON")&gt;0,IFERROR(SUBSTITUTE(LEFT(INDEX(INDIRECT("'"&amp;$G$12&amp;"'!$B$13:$B$22"),MATCH("P-4*",INDIRECT("'"&amp;$G$12&amp;"'!$B$13:$B$22"),0)),5),"-",""),""),IFERROR(SUBSTITUTE(LEFT(INDEX(INDIRECT("'"&amp;$G$12&amp;"'!$B$13:$B$22"),MATCH("P-501*",INDIRECT("'"&amp;$G$12&amp;"'!$B$13:$B$22"),0)),5),"-",""),""))&amp;IF(I93&gt;0," on "&amp;TEXT(I93,"0")&amp;""" "&amp;IFERROR(SUBSTITUTE(LEFT(INDEX(INDIRECT("'"&amp;$G$12&amp;"'!$B$13:$B$22"),MATCH("P-2*",INDIRECT("'"&amp;$G$12&amp;"'!$B$13:$B$22"),0)),5),"-",""),""),"")&amp;IF(J93&gt;0," on "&amp;TEXT(J93,"0")&amp;""" P154",""))</f>
        <v/>
      </c>
      <c r="Q93" s="137">
        <f>IF(OR(OR($G$12="",N('General Information'!$D$26)&lt;=0),'General Information'!$D$27=0),"",TEXT(IF(SUMIFS(INDIRECT("'"&amp;$G$12&amp;"'!$E$13:$E$22"),INDIRECT("'"&amp;$G$12&amp;"'!$D$13:$D$22"),"TON")&gt;0,H93*'General Information'!$D$26/('General Information'!$D$26+'General Information'!$D$27),H93),"0")&amp;""" "&amp;IF(SUMIFS(INDIRECT("'"&amp;$G$12&amp;"'!$E$13:$E$22"),INDIRECT("'"&amp;$G$12&amp;"'!$D$13:$D$22"),"TON")&gt;0,IFERROR(SUBSTITUTE(LEFT(INDEX(INDIRECT("'"&amp;$G$12&amp;"'!$B$13:$B$22"),MATCH("P-4*",INDIRECT("'"&amp;$G$12&amp;"'!$B$13:$B$22"),0)),5),"-",""),""),IFERROR(SUBSTITUTE(LEFT(INDEX(INDIRECT("'"&amp;$G$12&amp;"'!$B$13:$B$22"),MATCH("P-501*",INDIRECT("'"&amp;$G$12&amp;"'!$B$13:$B$22"),0)),5),"-",""),""))&amp;IF(I93&gt;0," on "&amp;TEXT(I93*'General Information'!$D$26/('General Information'!$D$26+'General Information'!$D$27),"0")&amp;""" "&amp;IFERROR(SUBSTITUTE(LEFT(INDEX(INDIRECT("'"&amp;$G$12&amp;"'!$B$13:$B$22"),MATCH("P-2*",INDIRECT("'"&amp;$G$12&amp;"'!$B$13:$B$22"),0)),5),"-",""),""),"")&amp;IF(J93&gt;0," on "&amp;TEXT(J93*'General Information'!$D$26/('General Information'!$D$26+'General Information'!$D$27),"0")&amp;""" P154",""))</f>
        <v/>
      </c>
    </row>
    <row r="94">
      <c r="G94" s="137">
        <f>IF($G$13="","",$H$13)</f>
        <v/>
      </c>
      <c r="H94" s="155">
        <f>IF(OR($G$13="",N('General Information'!$D$26)&lt;=0),"",IF(SUMIFS(INDIRECT("'"&amp;$G$13&amp;"'!$E$13:$E$22"),INDIRECT("'"&amp;$G$13&amp;"'!$D$13:$D$22"),"TON")&gt;0,SUMIFS(INDIRECT("'"&amp;$G$13&amp;"'!$E$13:$E$22"),INDIRECT("'"&amp;$G$13&amp;"'!$D$13:$D$22"),"TON")*2666.6667/($J$91*'General Information'!$D$26),IFERROR(VALUE(TRIM(SUBSTITUTE(MID(IFERROR(INDEX(INDIRECT("'"&amp;$G$13&amp;"'!$C$13:$C$22"),MATCH("Concrete Pavement*",INDIRECT("'"&amp;$G$13&amp;"'!$C$13:$C$22"),0)),""),FIND(",",IFERROR(INDEX(INDIRECT("'"&amp;$G$13&amp;"'!$C$13:$C$22"),MATCH("Concrete Pavement*",INDIRECT("'"&amp;$G$13&amp;"'!$C$13:$C$22"),0)),""))+1,99),"-inch",""))),0)))</f>
        <v/>
      </c>
      <c r="I94" s="155">
        <f>IF(OR($G$13="",N('General Information'!$D$26)&lt;=0),"",36*(SUMIFS(INDIRECT("'"&amp;$G$13&amp;"'!$E$13:$E$22"),INDIRECT("'"&amp;$G$13&amp;"'!$D$13:$D$22"),"C.Y.",INDIRECT("'"&amp;$G$13&amp;"'!$B$13:$B$22"),"P-2*")+SUMIFS(INDIRECT("'"&amp;$G$13&amp;"'!$E$13:$E$22"),INDIRECT("'"&amp;$G$13&amp;"'!$D$13:$D$22"),"C.Y.",INDIRECT("'"&amp;$G$13&amp;"'!$B$13:$B$22"),"P-3*"))/'General Information'!$D$26)</f>
        <v/>
      </c>
      <c r="J94" s="155">
        <f>IF(OR($G$13="",N('General Information'!$D$26)&lt;=0),"",36*SUMIFS(INDIRECT("'"&amp;$G$13&amp;"'!$E$13:$E$22"),INDIRECT("'"&amp;$G$13&amp;"'!$D$13:$D$22"),"C.Y.",INDIRECT("'"&amp;$G$13&amp;"'!$B$13:$B$22"),"P-154*")/'General Information'!$D$26)</f>
        <v/>
      </c>
      <c r="K94" s="155">
        <f>IF(OR($G$13="",N('General Information'!$D$26)&lt;=0),"",IF(SUMIFS(INDIRECT("'"&amp;$G$13&amp;"'!$E$13:$E$22"),INDIRECT("'"&amp;$G$13&amp;"'!$D$13:$D$22"),"S.Y.",INDIRECT("'"&amp;$G$13&amp;"'!$B$13:$B$22"),"P-155*")+SUMIFS(INDIRECT("'"&amp;$G$13&amp;"'!$E$13:$E$22"),INDIRECT("'"&amp;$G$13&amp;"'!$D$13:$D$22"),"S.Y.",INDIRECT("'"&amp;$G$13&amp;"'!$B$13:$B$22"),"P-156*")+SUMIFS(INDIRECT("'"&amp;$G$13&amp;"'!$E$13:$E$22"),INDIRECT("'"&amp;$G$13&amp;"'!$D$13:$D$22"),"S.Y.",INDIRECT("'"&amp;$G$13&amp;"'!$B$13:$B$22"),"P-157*")+SUMIFS(INDIRECT("'"&amp;$G$13&amp;"'!$E$13:$E$22"),INDIRECT("'"&amp;$G$13&amp;"'!$D$13:$D$22"),"S.Y.",INDIRECT("'"&amp;$G$13&amp;"'!$B$13:$B$22"),"P-158*")&gt;0,"yes","-"))</f>
        <v/>
      </c>
      <c r="L94" s="155">
        <f>IF(OR($G$13="",N('General Information'!$D$26)&lt;=0),"",H94+I94+J94)</f>
        <v/>
      </c>
      <c r="M94" s="155">
        <f>IF(OR($G$13="",N('General Information'!$D$26)&lt;=0),"",36*SUMIFS(INDIRECT("'"&amp;$G$13&amp;"'!$E$13:$E$22"),INDIRECT("'"&amp;$G$13&amp;"'!$D$13:$D$22"),"C.Y.",INDIRECT("'"&amp;$G$13&amp;"'!$B$13:$B$22"),"P-152*")/'General Information'!$D$26)</f>
        <v/>
      </c>
      <c r="N94" s="137">
        <f>IF(OR($G$13="",N('General Information'!$D$26)&lt;=0),"",IF(M94=0,"no excavation item",IF(ABS(M94-L94)&lt;=0.5,"agrees","differs by "&amp;TEXT(M94-L94,"0.0")&amp;" in")))</f>
        <v/>
      </c>
      <c r="P94" s="137">
        <f>IF(OR($G$13="",N('General Information'!$D$26)&lt;=0),"",TEXT(H94,"0")&amp;""" "&amp;IF(SUMIFS(INDIRECT("'"&amp;$G$13&amp;"'!$E$13:$E$22"),INDIRECT("'"&amp;$G$13&amp;"'!$D$13:$D$22"),"TON")&gt;0,IFERROR(SUBSTITUTE(LEFT(INDEX(INDIRECT("'"&amp;$G$13&amp;"'!$B$13:$B$22"),MATCH("P-4*",INDIRECT("'"&amp;$G$13&amp;"'!$B$13:$B$22"),0)),5),"-",""),""),IFERROR(SUBSTITUTE(LEFT(INDEX(INDIRECT("'"&amp;$G$13&amp;"'!$B$13:$B$22"),MATCH("P-501*",INDIRECT("'"&amp;$G$13&amp;"'!$B$13:$B$22"),0)),5),"-",""),""))&amp;IF(I94&gt;0," on "&amp;TEXT(I94,"0")&amp;""" "&amp;IFERROR(SUBSTITUTE(LEFT(INDEX(INDIRECT("'"&amp;$G$13&amp;"'!$B$13:$B$22"),MATCH("P-2*",INDIRECT("'"&amp;$G$13&amp;"'!$B$13:$B$22"),0)),5),"-",""),""),"")&amp;IF(J94&gt;0," on "&amp;TEXT(J94,"0")&amp;""" P154",""))</f>
        <v/>
      </c>
      <c r="Q94" s="137">
        <f>IF(OR(OR($G$13="",N('General Information'!$D$26)&lt;=0),'General Information'!$D$27=0),"",TEXT(IF(SUMIFS(INDIRECT("'"&amp;$G$13&amp;"'!$E$13:$E$22"),INDIRECT("'"&amp;$G$13&amp;"'!$D$13:$D$22"),"TON")&gt;0,H94*'General Information'!$D$26/('General Information'!$D$26+'General Information'!$D$27),H94),"0")&amp;""" "&amp;IF(SUMIFS(INDIRECT("'"&amp;$G$13&amp;"'!$E$13:$E$22"),INDIRECT("'"&amp;$G$13&amp;"'!$D$13:$D$22"),"TON")&gt;0,IFERROR(SUBSTITUTE(LEFT(INDEX(INDIRECT("'"&amp;$G$13&amp;"'!$B$13:$B$22"),MATCH("P-4*",INDIRECT("'"&amp;$G$13&amp;"'!$B$13:$B$22"),0)),5),"-",""),""),IFERROR(SUBSTITUTE(LEFT(INDEX(INDIRECT("'"&amp;$G$13&amp;"'!$B$13:$B$22"),MATCH("P-501*",INDIRECT("'"&amp;$G$13&amp;"'!$B$13:$B$22"),0)),5),"-",""),""))&amp;IF(I94&gt;0," on "&amp;TEXT(I94*'General Information'!$D$26/('General Information'!$D$26+'General Information'!$D$27),"0")&amp;""" "&amp;IFERROR(SUBSTITUTE(LEFT(INDEX(INDIRECT("'"&amp;$G$13&amp;"'!$B$13:$B$22"),MATCH("P-2*",INDIRECT("'"&amp;$G$13&amp;"'!$B$13:$B$22"),0)),5),"-",""),""),"")&amp;IF(J94&gt;0," on "&amp;TEXT(J94*'General Information'!$D$26/('General Information'!$D$26+'General Information'!$D$27),"0")&amp;""" P154",""))</f>
        <v/>
      </c>
    </row>
    <row r="95">
      <c r="G95" s="137">
        <f>IF($G$14="","",$H$14)</f>
        <v/>
      </c>
      <c r="H95" s="155">
        <f>IF(OR($G$14="",N('General Information'!$D$26)&lt;=0),"",IF(SUMIFS(INDIRECT("'"&amp;$G$14&amp;"'!$E$13:$E$22"),INDIRECT("'"&amp;$G$14&amp;"'!$D$13:$D$22"),"TON")&gt;0,SUMIFS(INDIRECT("'"&amp;$G$14&amp;"'!$E$13:$E$22"),INDIRECT("'"&amp;$G$14&amp;"'!$D$13:$D$22"),"TON")*2666.6667/($J$91*'General Information'!$D$26),IFERROR(VALUE(TRIM(SUBSTITUTE(MID(IFERROR(INDEX(INDIRECT("'"&amp;$G$14&amp;"'!$C$13:$C$22"),MATCH("Concrete Pavement*",INDIRECT("'"&amp;$G$14&amp;"'!$C$13:$C$22"),0)),""),FIND(",",IFERROR(INDEX(INDIRECT("'"&amp;$G$14&amp;"'!$C$13:$C$22"),MATCH("Concrete Pavement*",INDIRECT("'"&amp;$G$14&amp;"'!$C$13:$C$22"),0)),""))+1,99),"-inch",""))),0)))</f>
        <v/>
      </c>
      <c r="I95" s="155">
        <f>IF(OR($G$14="",N('General Information'!$D$26)&lt;=0),"",36*(SUMIFS(INDIRECT("'"&amp;$G$14&amp;"'!$E$13:$E$22"),INDIRECT("'"&amp;$G$14&amp;"'!$D$13:$D$22"),"C.Y.",INDIRECT("'"&amp;$G$14&amp;"'!$B$13:$B$22"),"P-2*")+SUMIFS(INDIRECT("'"&amp;$G$14&amp;"'!$E$13:$E$22"),INDIRECT("'"&amp;$G$14&amp;"'!$D$13:$D$22"),"C.Y.",INDIRECT("'"&amp;$G$14&amp;"'!$B$13:$B$22"),"P-3*"))/'General Information'!$D$26)</f>
        <v/>
      </c>
      <c r="J95" s="155">
        <f>IF(OR($G$14="",N('General Information'!$D$26)&lt;=0),"",36*SUMIFS(INDIRECT("'"&amp;$G$14&amp;"'!$E$13:$E$22"),INDIRECT("'"&amp;$G$14&amp;"'!$D$13:$D$22"),"C.Y.",INDIRECT("'"&amp;$G$14&amp;"'!$B$13:$B$22"),"P-154*")/'General Information'!$D$26)</f>
        <v/>
      </c>
      <c r="K95" s="155">
        <f>IF(OR($G$14="",N('General Information'!$D$26)&lt;=0),"",IF(SUMIFS(INDIRECT("'"&amp;$G$14&amp;"'!$E$13:$E$22"),INDIRECT("'"&amp;$G$14&amp;"'!$D$13:$D$22"),"S.Y.",INDIRECT("'"&amp;$G$14&amp;"'!$B$13:$B$22"),"P-155*")+SUMIFS(INDIRECT("'"&amp;$G$14&amp;"'!$E$13:$E$22"),INDIRECT("'"&amp;$G$14&amp;"'!$D$13:$D$22"),"S.Y.",INDIRECT("'"&amp;$G$14&amp;"'!$B$13:$B$22"),"P-156*")+SUMIFS(INDIRECT("'"&amp;$G$14&amp;"'!$E$13:$E$22"),INDIRECT("'"&amp;$G$14&amp;"'!$D$13:$D$22"),"S.Y.",INDIRECT("'"&amp;$G$14&amp;"'!$B$13:$B$22"),"P-157*")+SUMIFS(INDIRECT("'"&amp;$G$14&amp;"'!$E$13:$E$22"),INDIRECT("'"&amp;$G$14&amp;"'!$D$13:$D$22"),"S.Y.",INDIRECT("'"&amp;$G$14&amp;"'!$B$13:$B$22"),"P-158*")&gt;0,"yes","-"))</f>
        <v/>
      </c>
      <c r="L95" s="155">
        <f>IF(OR($G$14="",N('General Information'!$D$26)&lt;=0),"",H95+I95+J95)</f>
        <v/>
      </c>
      <c r="M95" s="155">
        <f>IF(OR($G$14="",N('General Information'!$D$26)&lt;=0),"",36*SUMIFS(INDIRECT("'"&amp;$G$14&amp;"'!$E$13:$E$22"),INDIRECT("'"&amp;$G$14&amp;"'!$D$13:$D$22"),"C.Y.",INDIRECT("'"&amp;$G$14&amp;"'!$B$13:$B$22"),"P-152*")/'General Information'!$D$26)</f>
        <v/>
      </c>
      <c r="N95" s="137">
        <f>IF(OR($G$14="",N('General Information'!$D$26)&lt;=0),"",IF(M95=0,"no excavation item",IF(ABS(M95-L95)&lt;=0.5,"agrees","differs by "&amp;TEXT(M95-L95,"0.0")&amp;" in")))</f>
        <v/>
      </c>
      <c r="P95" s="137">
        <f>IF(OR($G$14="",N('General Information'!$D$26)&lt;=0),"",TEXT(H95,"0")&amp;""" "&amp;IF(SUMIFS(INDIRECT("'"&amp;$G$14&amp;"'!$E$13:$E$22"),INDIRECT("'"&amp;$G$14&amp;"'!$D$13:$D$22"),"TON")&gt;0,IFERROR(SUBSTITUTE(LEFT(INDEX(INDIRECT("'"&amp;$G$14&amp;"'!$B$13:$B$22"),MATCH("P-4*",INDIRECT("'"&amp;$G$14&amp;"'!$B$13:$B$22"),0)),5),"-",""),""),IFERROR(SUBSTITUTE(LEFT(INDEX(INDIRECT("'"&amp;$G$14&amp;"'!$B$13:$B$22"),MATCH("P-501*",INDIRECT("'"&amp;$G$14&amp;"'!$B$13:$B$22"),0)),5),"-",""),""))&amp;IF(I95&gt;0," on "&amp;TEXT(I95,"0")&amp;""" "&amp;IFERROR(SUBSTITUTE(LEFT(INDEX(INDIRECT("'"&amp;$G$14&amp;"'!$B$13:$B$22"),MATCH("P-2*",INDIRECT("'"&amp;$G$14&amp;"'!$B$13:$B$22"),0)),5),"-",""),""),"")&amp;IF(J95&gt;0," on "&amp;TEXT(J95,"0")&amp;""" P154",""))</f>
        <v/>
      </c>
      <c r="Q95" s="137">
        <f>IF(OR(OR($G$14="",N('General Information'!$D$26)&lt;=0),'General Information'!$D$27=0),"",TEXT(IF(SUMIFS(INDIRECT("'"&amp;$G$14&amp;"'!$E$13:$E$22"),INDIRECT("'"&amp;$G$14&amp;"'!$D$13:$D$22"),"TON")&gt;0,H95*'General Information'!$D$26/('General Information'!$D$26+'General Information'!$D$27),H95),"0")&amp;""" "&amp;IF(SUMIFS(INDIRECT("'"&amp;$G$14&amp;"'!$E$13:$E$22"),INDIRECT("'"&amp;$G$14&amp;"'!$D$13:$D$22"),"TON")&gt;0,IFERROR(SUBSTITUTE(LEFT(INDEX(INDIRECT("'"&amp;$G$14&amp;"'!$B$13:$B$22"),MATCH("P-4*",INDIRECT("'"&amp;$G$14&amp;"'!$B$13:$B$22"),0)),5),"-",""),""),IFERROR(SUBSTITUTE(LEFT(INDEX(INDIRECT("'"&amp;$G$14&amp;"'!$B$13:$B$22"),MATCH("P-501*",INDIRECT("'"&amp;$G$14&amp;"'!$B$13:$B$22"),0)),5),"-",""),""))&amp;IF(I95&gt;0," on "&amp;TEXT(I95*'General Information'!$D$26/('General Information'!$D$26+'General Information'!$D$27),"0")&amp;""" "&amp;IFERROR(SUBSTITUTE(LEFT(INDEX(INDIRECT("'"&amp;$G$14&amp;"'!$B$13:$B$22"),MATCH("P-2*",INDIRECT("'"&amp;$G$14&amp;"'!$B$13:$B$22"),0)),5),"-",""),""),"")&amp;IF(J95&gt;0," on "&amp;TEXT(J95*'General Information'!$D$26/('General Information'!$D$26+'General Information'!$D$27),"0")&amp;""" P154",""))</f>
        <v/>
      </c>
    </row>
    <row r="96">
      <c r="G96" s="137">
        <f>IF($G$15="","",$H$15)</f>
        <v/>
      </c>
      <c r="H96" s="155">
        <f>IF(OR($G$15="",N('General Information'!$D$26)&lt;=0),"",IF(SUMIFS(INDIRECT("'"&amp;$G$15&amp;"'!$E$13:$E$22"),INDIRECT("'"&amp;$G$15&amp;"'!$D$13:$D$22"),"TON")&gt;0,SUMIFS(INDIRECT("'"&amp;$G$15&amp;"'!$E$13:$E$22"),INDIRECT("'"&amp;$G$15&amp;"'!$D$13:$D$22"),"TON")*2666.6667/($J$91*'General Information'!$D$26),IFERROR(VALUE(TRIM(SUBSTITUTE(MID(IFERROR(INDEX(INDIRECT("'"&amp;$G$15&amp;"'!$C$13:$C$22"),MATCH("Concrete Pavement*",INDIRECT("'"&amp;$G$15&amp;"'!$C$13:$C$22"),0)),""),FIND(",",IFERROR(INDEX(INDIRECT("'"&amp;$G$15&amp;"'!$C$13:$C$22"),MATCH("Concrete Pavement*",INDIRECT("'"&amp;$G$15&amp;"'!$C$13:$C$22"),0)),""))+1,99),"-inch",""))),0)))</f>
        <v/>
      </c>
      <c r="I96" s="155">
        <f>IF(OR($G$15="",N('General Information'!$D$26)&lt;=0),"",36*(SUMIFS(INDIRECT("'"&amp;$G$15&amp;"'!$E$13:$E$22"),INDIRECT("'"&amp;$G$15&amp;"'!$D$13:$D$22"),"C.Y.",INDIRECT("'"&amp;$G$15&amp;"'!$B$13:$B$22"),"P-2*")+SUMIFS(INDIRECT("'"&amp;$G$15&amp;"'!$E$13:$E$22"),INDIRECT("'"&amp;$G$15&amp;"'!$D$13:$D$22"),"C.Y.",INDIRECT("'"&amp;$G$15&amp;"'!$B$13:$B$22"),"P-3*"))/'General Information'!$D$26)</f>
        <v/>
      </c>
      <c r="J96" s="155">
        <f>IF(OR($G$15="",N('General Information'!$D$26)&lt;=0),"",36*SUMIFS(INDIRECT("'"&amp;$G$15&amp;"'!$E$13:$E$22"),INDIRECT("'"&amp;$G$15&amp;"'!$D$13:$D$22"),"C.Y.",INDIRECT("'"&amp;$G$15&amp;"'!$B$13:$B$22"),"P-154*")/'General Information'!$D$26)</f>
        <v/>
      </c>
      <c r="K96" s="155">
        <f>IF(OR($G$15="",N('General Information'!$D$26)&lt;=0),"",IF(SUMIFS(INDIRECT("'"&amp;$G$15&amp;"'!$E$13:$E$22"),INDIRECT("'"&amp;$G$15&amp;"'!$D$13:$D$22"),"S.Y.",INDIRECT("'"&amp;$G$15&amp;"'!$B$13:$B$22"),"P-155*")+SUMIFS(INDIRECT("'"&amp;$G$15&amp;"'!$E$13:$E$22"),INDIRECT("'"&amp;$G$15&amp;"'!$D$13:$D$22"),"S.Y.",INDIRECT("'"&amp;$G$15&amp;"'!$B$13:$B$22"),"P-156*")+SUMIFS(INDIRECT("'"&amp;$G$15&amp;"'!$E$13:$E$22"),INDIRECT("'"&amp;$G$15&amp;"'!$D$13:$D$22"),"S.Y.",INDIRECT("'"&amp;$G$15&amp;"'!$B$13:$B$22"),"P-157*")+SUMIFS(INDIRECT("'"&amp;$G$15&amp;"'!$E$13:$E$22"),INDIRECT("'"&amp;$G$15&amp;"'!$D$13:$D$22"),"S.Y.",INDIRECT("'"&amp;$G$15&amp;"'!$B$13:$B$22"),"P-158*")&gt;0,"yes","-"))</f>
        <v/>
      </c>
      <c r="L96" s="155">
        <f>IF(OR($G$15="",N('General Information'!$D$26)&lt;=0),"",H96+I96+J96)</f>
        <v/>
      </c>
      <c r="M96" s="155">
        <f>IF(OR($G$15="",N('General Information'!$D$26)&lt;=0),"",36*SUMIFS(INDIRECT("'"&amp;$G$15&amp;"'!$E$13:$E$22"),INDIRECT("'"&amp;$G$15&amp;"'!$D$13:$D$22"),"C.Y.",INDIRECT("'"&amp;$G$15&amp;"'!$B$13:$B$22"),"P-152*")/'General Information'!$D$26)</f>
        <v/>
      </c>
      <c r="N96" s="137">
        <f>IF(OR($G$15="",N('General Information'!$D$26)&lt;=0),"",IF(M96=0,"no excavation item",IF(ABS(M96-L96)&lt;=0.5,"agrees","differs by "&amp;TEXT(M96-L96,"0.0")&amp;" in")))</f>
        <v/>
      </c>
      <c r="P96" s="137">
        <f>IF(OR($G$15="",N('General Information'!$D$26)&lt;=0),"",TEXT(H96,"0")&amp;""" "&amp;IF(SUMIFS(INDIRECT("'"&amp;$G$15&amp;"'!$E$13:$E$22"),INDIRECT("'"&amp;$G$15&amp;"'!$D$13:$D$22"),"TON")&gt;0,IFERROR(SUBSTITUTE(LEFT(INDEX(INDIRECT("'"&amp;$G$15&amp;"'!$B$13:$B$22"),MATCH("P-4*",INDIRECT("'"&amp;$G$15&amp;"'!$B$13:$B$22"),0)),5),"-",""),""),IFERROR(SUBSTITUTE(LEFT(INDEX(INDIRECT("'"&amp;$G$15&amp;"'!$B$13:$B$22"),MATCH("P-501*",INDIRECT("'"&amp;$G$15&amp;"'!$B$13:$B$22"),0)),5),"-",""),""))&amp;IF(I96&gt;0," on "&amp;TEXT(I96,"0")&amp;""" "&amp;IFERROR(SUBSTITUTE(LEFT(INDEX(INDIRECT("'"&amp;$G$15&amp;"'!$B$13:$B$22"),MATCH("P-2*",INDIRECT("'"&amp;$G$15&amp;"'!$B$13:$B$22"),0)),5),"-",""),""),"")&amp;IF(J96&gt;0," on "&amp;TEXT(J96,"0")&amp;""" P154",""))</f>
        <v/>
      </c>
      <c r="Q96" s="137">
        <f>IF(OR(OR($G$15="",N('General Information'!$D$26)&lt;=0),'General Information'!$D$27=0),"",TEXT(IF(SUMIFS(INDIRECT("'"&amp;$G$15&amp;"'!$E$13:$E$22"),INDIRECT("'"&amp;$G$15&amp;"'!$D$13:$D$22"),"TON")&gt;0,H96*'General Information'!$D$26/('General Information'!$D$26+'General Information'!$D$27),H96),"0")&amp;""" "&amp;IF(SUMIFS(INDIRECT("'"&amp;$G$15&amp;"'!$E$13:$E$22"),INDIRECT("'"&amp;$G$15&amp;"'!$D$13:$D$22"),"TON")&gt;0,IFERROR(SUBSTITUTE(LEFT(INDEX(INDIRECT("'"&amp;$G$15&amp;"'!$B$13:$B$22"),MATCH("P-4*",INDIRECT("'"&amp;$G$15&amp;"'!$B$13:$B$22"),0)),5),"-",""),""),IFERROR(SUBSTITUTE(LEFT(INDEX(INDIRECT("'"&amp;$G$15&amp;"'!$B$13:$B$22"),MATCH("P-501*",INDIRECT("'"&amp;$G$15&amp;"'!$B$13:$B$22"),0)),5),"-",""),""))&amp;IF(I96&gt;0," on "&amp;TEXT(I96*'General Information'!$D$26/('General Information'!$D$26+'General Information'!$D$27),"0")&amp;""" "&amp;IFERROR(SUBSTITUTE(LEFT(INDEX(INDIRECT("'"&amp;$G$15&amp;"'!$B$13:$B$22"),MATCH("P-2*",INDIRECT("'"&amp;$G$15&amp;"'!$B$13:$B$22"),0)),5),"-",""),""),"")&amp;IF(J96&gt;0," on "&amp;TEXT(J96*'General Information'!$D$26/('General Information'!$D$26+'General Information'!$D$27),"0")&amp;""" P154",""))</f>
        <v/>
      </c>
    </row>
    <row r="97">
      <c r="G97" s="136" t="inlineStr">
        <is>
          <t>Thickness is not an input. Volume items give inches = 36 x C.Y. / mainline S.Y.; asphalt gives inches = 2,666.67 x tons / (pcf x mainline S.Y.); items measured by area carry no implied thickness. The last column is the section as the quantities describe it: paste it into the alternative description so the two can never disagree. The read-back divides by the mainline area only; when a shoulder area is entered, the last column spreads the same quantities over mainline plus shoulder, which is the reading to use if the quantities were taken off both.</t>
        </is>
      </c>
    </row>
    <row r="98" ht="6" customHeight="1"/>
    <row r="99" ht="6" customHeight="1"/>
    <row r="100" ht="6" customHeight="1"/>
    <row r="101" ht="6" customHeight="1"/>
    <row r="102" ht="6" customHeight="1"/>
    <row r="103" ht="6" customHeight="1"/>
    <row r="104" ht="6" customHeight="1"/>
    <row r="105" ht="6" customHeight="1"/>
    <row r="106" ht="6" customHeight="1"/>
    <row r="107" ht="6" customHeight="1"/>
    <row r="108" ht="6" customHeight="1"/>
    <row r="109" ht="6" customHeight="1"/>
    <row r="110" ht="6" customHeight="1"/>
    <row r="111" ht="6" customHeight="1"/>
    <row r="112" ht="6" customHeight="1"/>
    <row r="113" ht="6" customHeight="1"/>
    <row r="114" ht="6" customHeight="1"/>
    <row r="115" ht="6" customHeight="1"/>
    <row r="116" ht="6" customHeight="1"/>
    <row r="117" ht="6" customHeight="1"/>
    <row r="118" ht="6" customHeight="1"/>
    <row r="119" ht="6" customHeight="1"/>
    <row r="120">
      <c r="G120" s="136" t="inlineStr">
        <is>
          <t>Charts 6 and 7 stack the layers as they sit in the ground, surface on top. Chart 7 stays empty unless a shoulder area is entered on General Information, and then shows the same quantities spread over mainline plus shoulder, which is the lower bound on each thickness.</t>
        </is>
      </c>
    </row>
    <row r="122">
      <c r="G122" s="136" t="inlineStr">
        <is>
          <t>Below: "Chart 1", the chart the Alternative Setup form draws and keeps up to date. It shows initial construction and net present worth per alternative, which chart 1 above shows with the categories broken out. It is left in place so the form keeps working.</t>
        </is>
      </c>
    </row>
    <row r="130">
      <c r="W130" s="122" t="inlineStr">
        <is>
          <t>MAP DATA (embedded coordinates and state outline; reference only, do not edit)</t>
        </is>
      </c>
    </row>
    <row r="131">
      <c r="W131" s="124" t="inlineStr">
        <is>
          <t>Airport</t>
        </is>
      </c>
      <c r="X131" s="124" t="inlineStr">
        <is>
          <t>FAA ID</t>
        </is>
      </c>
      <c r="Y131" s="124" t="inlineStr">
        <is>
          <t>Longitude</t>
        </is>
      </c>
      <c r="Z131" s="124" t="inlineStr">
        <is>
          <t>Latitude</t>
        </is>
      </c>
      <c r="AA131" s="124" t="inlineStr">
        <is>
          <t>Region</t>
        </is>
      </c>
      <c r="AB131" s="124" t="inlineStr">
        <is>
          <t>Elevation (ft)</t>
        </is>
      </c>
      <c r="AC131" s="124" t="n"/>
      <c r="AD131" s="124" t="inlineStr">
        <is>
          <t>This project: longitude</t>
        </is>
      </c>
      <c r="AE131" s="124" t="inlineStr">
        <is>
          <t>Latitude</t>
        </is>
      </c>
      <c r="AF131" s="124" t="inlineStr">
        <is>
          <t>Label</t>
        </is>
      </c>
      <c r="AG131" s="124" t="n"/>
      <c r="AH131" s="124" t="inlineStr">
        <is>
          <t>Outline longitude</t>
        </is>
      </c>
      <c r="AI131" s="124" t="inlineStr">
        <is>
          <t>Outline latitude</t>
        </is>
      </c>
    </row>
    <row r="132">
      <c r="W132" s="134" t="inlineStr">
        <is>
          <t>Arnold Field</t>
        </is>
      </c>
      <c r="X132" s="134" t="inlineStr">
        <is>
          <t>M31</t>
        </is>
      </c>
      <c r="Y132" s="156" t="n">
        <v>-89.39722</v>
      </c>
      <c r="Z132" s="156" t="n">
        <v>35.90333</v>
      </c>
      <c r="AA132" s="134" t="inlineStr">
        <is>
          <t>West</t>
        </is>
      </c>
      <c r="AB132" s="134" t="n">
        <v>292</v>
      </c>
      <c r="AD132" s="156">
        <f>IFERROR(IF(INDEX($Y$132:$Y$210,MATCH('General Information'!$D$10,$X$132:$X$210,0))="","",INDEX($Y$132:$Y$210,MATCH('General Information'!$D$10,$X$132:$X$210,0))),"")</f>
        <v/>
      </c>
      <c r="AE132" s="156">
        <f>IFERROR(IF(INDEX($Z$132:$Z$210,MATCH('General Information'!$D$10,$X$132:$X$210,0))="","",INDEX($Z$132:$Z$210,MATCH('General Information'!$D$10,$X$132:$X$210,0))),"")</f>
        <v/>
      </c>
      <c r="AF132" s="134">
        <f>IF('General Information'!$D$9="","",'General Information'!$D$10)</f>
        <v/>
      </c>
      <c r="AH132" s="156" t="n">
        <v>-89.425</v>
      </c>
      <c r="AI132" s="156" t="n">
        <v>36.49889</v>
      </c>
    </row>
    <row r="133">
      <c r="W133" s="134" t="inlineStr">
        <is>
          <t>Beech River Regional Airport</t>
        </is>
      </c>
      <c r="X133" s="134" t="inlineStr">
        <is>
          <t>PVE</t>
        </is>
      </c>
      <c r="Y133" s="156" t="n">
        <v>-88.19535</v>
      </c>
      <c r="Z133" s="156" t="n">
        <v>35.65636</v>
      </c>
      <c r="AA133" s="134" t="inlineStr">
        <is>
          <t>West</t>
        </is>
      </c>
      <c r="AB133" s="134" t="n">
        <v>488</v>
      </c>
      <c r="AH133" s="156" t="n">
        <v>-88.04277999999999</v>
      </c>
      <c r="AI133" s="156" t="n">
        <v>36.49861</v>
      </c>
    </row>
    <row r="134">
      <c r="W134" s="134" t="inlineStr">
        <is>
          <t>Benton County Airport</t>
        </is>
      </c>
      <c r="X134" s="134" t="inlineStr">
        <is>
          <t>0M4</t>
        </is>
      </c>
      <c r="Y134" s="156" t="n">
        <v>-88.12473</v>
      </c>
      <c r="Z134" s="156" t="n">
        <v>36.00954</v>
      </c>
      <c r="AA134" s="134" t="inlineStr">
        <is>
          <t>West</t>
        </is>
      </c>
      <c r="AB134" s="134" t="n">
        <v>468</v>
      </c>
      <c r="AH134" s="156" t="n">
        <v>-88.04000000000001</v>
      </c>
      <c r="AI134" s="156" t="n">
        <v>36.57389</v>
      </c>
    </row>
    <row r="135">
      <c r="W135" s="134" t="inlineStr">
        <is>
          <t>Carroll County Airport</t>
        </is>
      </c>
      <c r="X135" s="134" t="inlineStr">
        <is>
          <t>HZD</t>
        </is>
      </c>
      <c r="Y135" s="156" t="n">
        <v>-88.4633</v>
      </c>
      <c r="Z135" s="156" t="n">
        <v>36.0893</v>
      </c>
      <c r="AA135" s="134" t="inlineStr">
        <is>
          <t>West</t>
        </is>
      </c>
      <c r="AB135" s="134" t="n">
        <v>497</v>
      </c>
      <c r="AH135" s="156" t="n">
        <v>-88.07528000000001</v>
      </c>
      <c r="AI135" s="156" t="n">
        <v>36.69055</v>
      </c>
    </row>
    <row r="136">
      <c r="W136" s="134" t="inlineStr">
        <is>
          <t>Charles W. Baker Field</t>
        </is>
      </c>
      <c r="X136" s="134" t="inlineStr">
        <is>
          <t>2M8</t>
        </is>
      </c>
      <c r="Y136" s="156" t="n">
        <v>-89.93300000000001</v>
      </c>
      <c r="Z136" s="156" t="n">
        <v>35.27848</v>
      </c>
      <c r="AA136" s="134" t="inlineStr">
        <is>
          <t>West</t>
        </is>
      </c>
      <c r="AB136" s="134" t="n">
        <v>247</v>
      </c>
      <c r="AH136" s="156" t="n">
        <v>-87.85833</v>
      </c>
      <c r="AI136" s="156" t="n">
        <v>36.67416</v>
      </c>
    </row>
    <row r="137">
      <c r="W137" s="134" t="inlineStr">
        <is>
          <t>Covington Municipal Airport</t>
        </is>
      </c>
      <c r="X137" s="134" t="inlineStr">
        <is>
          <t>M04</t>
        </is>
      </c>
      <c r="Y137" s="156" t="n">
        <v>-89.58723000000001</v>
      </c>
      <c r="Z137" s="156" t="n">
        <v>35.58336</v>
      </c>
      <c r="AA137" s="134" t="inlineStr">
        <is>
          <t>West</t>
        </is>
      </c>
      <c r="AB137" s="134" t="n">
        <v>280</v>
      </c>
      <c r="AH137" s="156" t="n">
        <v>-87.83972</v>
      </c>
      <c r="AI137" s="156" t="n">
        <v>36.63861</v>
      </c>
    </row>
    <row r="138">
      <c r="W138" s="134" t="inlineStr">
        <is>
          <t>Dyersburg Municipal Airport</t>
        </is>
      </c>
      <c r="X138" s="134" t="inlineStr">
        <is>
          <t>DYR</t>
        </is>
      </c>
      <c r="Y138" s="156" t="n">
        <v>-89.40658000000001</v>
      </c>
      <c r="Z138" s="156" t="n">
        <v>35.99797</v>
      </c>
      <c r="AA138" s="134" t="inlineStr">
        <is>
          <t>West</t>
        </is>
      </c>
      <c r="AB138" s="134" t="n">
        <v>338</v>
      </c>
      <c r="AH138" s="156" t="n">
        <v>-87.19056</v>
      </c>
      <c r="AI138" s="156" t="n">
        <v>36.65666</v>
      </c>
    </row>
    <row r="139">
      <c r="W139" s="134" t="inlineStr">
        <is>
          <t>Everett-Stewart Airport</t>
        </is>
      </c>
      <c r="X139" s="134" t="inlineStr">
        <is>
          <t>UCY</t>
        </is>
      </c>
      <c r="Y139" s="156" t="n">
        <v>-88.98569999999999</v>
      </c>
      <c r="Z139" s="156" t="n">
        <v>36.37974</v>
      </c>
      <c r="AA139" s="134" t="inlineStr">
        <is>
          <t>West</t>
        </is>
      </c>
      <c r="AB139" s="134" t="n">
        <v>346</v>
      </c>
      <c r="AH139" s="156" t="n">
        <v>-86.57971999999999</v>
      </c>
      <c r="AI139" s="156" t="n">
        <v>36.65334</v>
      </c>
    </row>
    <row r="140">
      <c r="W140" s="134" t="inlineStr">
        <is>
          <t>Fayette County Airport</t>
        </is>
      </c>
      <c r="X140" s="134" t="inlineStr">
        <is>
          <t>FYE</t>
        </is>
      </c>
      <c r="Y140" s="156" t="n">
        <v>-89.39444</v>
      </c>
      <c r="Z140" s="156" t="n">
        <v>35.20769</v>
      </c>
      <c r="AA140" s="134" t="inlineStr">
        <is>
          <t>West</t>
        </is>
      </c>
      <c r="AB140" s="134" t="n">
        <v>436</v>
      </c>
      <c r="AH140" s="156" t="n">
        <v>-86.57167</v>
      </c>
      <c r="AI140" s="156" t="n">
        <v>36.64</v>
      </c>
    </row>
    <row r="141">
      <c r="W141" s="134" t="inlineStr">
        <is>
          <t>General Dewitt Spain Airport</t>
        </is>
      </c>
      <c r="X141" s="134" t="inlineStr">
        <is>
          <t>M01</t>
        </is>
      </c>
      <c r="Y141" s="156" t="n">
        <v>-90.05397000000001</v>
      </c>
      <c r="Z141" s="156" t="n">
        <v>35.20069</v>
      </c>
      <c r="AA141" s="134" t="inlineStr">
        <is>
          <t>West</t>
        </is>
      </c>
      <c r="AB141" s="134" t="n">
        <v>225</v>
      </c>
      <c r="AH141" s="156" t="n">
        <v>-86.52361000000001</v>
      </c>
      <c r="AI141" s="156" t="n">
        <v>36.665</v>
      </c>
    </row>
    <row r="142">
      <c r="W142" s="134" t="inlineStr">
        <is>
          <t>Gibson County Airport</t>
        </is>
      </c>
      <c r="X142" s="134" t="inlineStr">
        <is>
          <t>TGC</t>
        </is>
      </c>
      <c r="Y142" s="156" t="n">
        <v>-88.84894</v>
      </c>
      <c r="Z142" s="156" t="n">
        <v>35.93245</v>
      </c>
      <c r="AA142" s="134" t="inlineStr">
        <is>
          <t>West</t>
        </is>
      </c>
      <c r="AB142" s="134" t="n">
        <v>358</v>
      </c>
      <c r="AH142" s="156" t="n">
        <v>-85.95944</v>
      </c>
      <c r="AI142" s="156" t="n">
        <v>36.63639</v>
      </c>
    </row>
    <row r="143">
      <c r="W143" s="134" t="inlineStr">
        <is>
          <t>Henry County Airport</t>
        </is>
      </c>
      <c r="X143" s="134" t="inlineStr">
        <is>
          <t>PHT</t>
        </is>
      </c>
      <c r="Y143" s="156" t="n">
        <v>-88.38444</v>
      </c>
      <c r="Z143" s="156" t="n">
        <v>36.33595</v>
      </c>
      <c r="AA143" s="134" t="inlineStr">
        <is>
          <t>West</t>
        </is>
      </c>
      <c r="AB143" s="134" t="n">
        <v>580</v>
      </c>
      <c r="AH143" s="156" t="n">
        <v>-85.50945</v>
      </c>
      <c r="AI143" s="156" t="n">
        <v>36.62389</v>
      </c>
    </row>
    <row r="144">
      <c r="W144" s="134" t="inlineStr">
        <is>
          <t>Humboldt Municipal Airport</t>
        </is>
      </c>
      <c r="X144" s="134" t="inlineStr">
        <is>
          <t>M53</t>
        </is>
      </c>
      <c r="Y144" s="156" t="n">
        <v>-88.87493000000001</v>
      </c>
      <c r="Z144" s="156" t="n">
        <v>35.80218</v>
      </c>
      <c r="AA144" s="134" t="inlineStr">
        <is>
          <t>West</t>
        </is>
      </c>
      <c r="AB144" s="134" t="n">
        <v>421</v>
      </c>
      <c r="AH144" s="156" t="n">
        <v>-85.15472</v>
      </c>
      <c r="AI144" s="156" t="n">
        <v>36.63528</v>
      </c>
    </row>
    <row r="145">
      <c r="W145" s="134" t="inlineStr">
        <is>
          <t>McKellar-Sipes Regional Airport</t>
        </is>
      </c>
      <c r="X145" s="134" t="inlineStr">
        <is>
          <t>MKL</t>
        </is>
      </c>
      <c r="Y145" s="156" t="n">
        <v>-88.91561</v>
      </c>
      <c r="Z145" s="156" t="n">
        <v>35.59988</v>
      </c>
      <c r="AA145" s="134" t="inlineStr">
        <is>
          <t>West</t>
        </is>
      </c>
      <c r="AB145" s="134" t="n">
        <v>435</v>
      </c>
      <c r="AH145" s="156" t="n">
        <v>-83.71222</v>
      </c>
      <c r="AI145" s="156" t="n">
        <v>36.5825</v>
      </c>
    </row>
    <row r="146">
      <c r="W146" s="134" t="inlineStr">
        <is>
          <t>Memphis International Airport</t>
        </is>
      </c>
      <c r="X146" s="134" t="inlineStr">
        <is>
          <t>MEM</t>
        </is>
      </c>
      <c r="Y146" s="156" t="n">
        <v>-89.97668</v>
      </c>
      <c r="Z146" s="156" t="n">
        <v>35.04241</v>
      </c>
      <c r="AA146" s="134" t="inlineStr">
        <is>
          <t>West</t>
        </is>
      </c>
      <c r="AB146" s="134" t="n">
        <v>341</v>
      </c>
      <c r="AH146" s="156" t="n">
        <v>-83.68111</v>
      </c>
      <c r="AI146" s="156" t="n">
        <v>36.60445</v>
      </c>
    </row>
    <row r="147">
      <c r="W147" s="134" t="inlineStr">
        <is>
          <t>Millington Regional Jetport</t>
        </is>
      </c>
      <c r="X147" s="134" t="inlineStr">
        <is>
          <t>NQA</t>
        </is>
      </c>
      <c r="Y147" s="156" t="n">
        <v>-89.87043</v>
      </c>
      <c r="Z147" s="156" t="n">
        <v>35.35664</v>
      </c>
      <c r="AA147" s="134" t="inlineStr">
        <is>
          <t>West</t>
        </is>
      </c>
      <c r="AB147" s="134" t="n">
        <v>322</v>
      </c>
      <c r="AH147" s="156" t="n">
        <v>-81.9525</v>
      </c>
      <c r="AI147" s="156" t="n">
        <v>36.59694</v>
      </c>
    </row>
    <row r="148">
      <c r="W148" s="134" t="inlineStr">
        <is>
          <t>Reelfoot Lake Airport</t>
        </is>
      </c>
      <c r="X148" s="134" t="inlineStr">
        <is>
          <t>0M2</t>
        </is>
      </c>
      <c r="Y148" s="156" t="n">
        <v>-89.34631</v>
      </c>
      <c r="Z148" s="156" t="n">
        <v>36.47533</v>
      </c>
      <c r="AA148" s="134" t="inlineStr">
        <is>
          <t>West</t>
        </is>
      </c>
      <c r="AB148" s="134" t="n">
        <v>289</v>
      </c>
      <c r="AH148" s="156" t="n">
        <v>-81.92278</v>
      </c>
      <c r="AI148" s="156" t="n">
        <v>36.61806</v>
      </c>
    </row>
    <row r="149">
      <c r="W149" s="134" t="inlineStr">
        <is>
          <t>Robert Sibley Airport</t>
        </is>
      </c>
      <c r="X149" s="134" t="inlineStr">
        <is>
          <t>SZY</t>
        </is>
      </c>
      <c r="Y149" s="156" t="n">
        <v>-88.49836000000001</v>
      </c>
      <c r="Z149" s="156" t="n">
        <v>35.20294</v>
      </c>
      <c r="AA149" s="134" t="inlineStr">
        <is>
          <t>West</t>
        </is>
      </c>
      <c r="AB149" s="134" t="n">
        <v>610</v>
      </c>
      <c r="AH149" s="156" t="n">
        <v>-81.65722</v>
      </c>
      <c r="AI149" s="156" t="n">
        <v>36.61139</v>
      </c>
    </row>
    <row r="150">
      <c r="W150" s="134" t="inlineStr">
        <is>
          <t>Savannah-Hardin County Airport</t>
        </is>
      </c>
      <c r="X150" s="134" t="inlineStr">
        <is>
          <t>SNH</t>
        </is>
      </c>
      <c r="Y150" s="156" t="n">
        <v>-88.21673</v>
      </c>
      <c r="Z150" s="156" t="n">
        <v>35.17025</v>
      </c>
      <c r="AA150" s="134" t="inlineStr">
        <is>
          <t>West</t>
        </is>
      </c>
      <c r="AB150" s="134" t="n">
        <v>473</v>
      </c>
      <c r="AH150" s="156" t="n">
        <v>-81.65083</v>
      </c>
      <c r="AI150" s="156" t="n">
        <v>36.59444</v>
      </c>
    </row>
    <row r="151">
      <c r="W151" s="134" t="inlineStr">
        <is>
          <t>William L. Whitehurst Field</t>
        </is>
      </c>
      <c r="X151" s="134" t="inlineStr">
        <is>
          <t>M08</t>
        </is>
      </c>
      <c r="Y151" s="156" t="n">
        <v>-89.04325</v>
      </c>
      <c r="Z151" s="156" t="n">
        <v>35.21514</v>
      </c>
      <c r="AA151" s="134" t="inlineStr">
        <is>
          <t>West</t>
        </is>
      </c>
      <c r="AB151" s="134" t="n">
        <v>499</v>
      </c>
      <c r="AH151" s="156" t="n">
        <v>-81.6109</v>
      </c>
      <c r="AI151" s="156" t="n">
        <v>36.59208</v>
      </c>
    </row>
    <row r="152">
      <c r="W152" s="134" t="inlineStr">
        <is>
          <t>Wolf River</t>
        </is>
      </c>
      <c r="X152" s="134" t="inlineStr">
        <is>
          <t>54M</t>
        </is>
      </c>
      <c r="Y152" s="156" t="n">
        <v>-89.58003</v>
      </c>
      <c r="Z152" s="156" t="n">
        <v>35.05402</v>
      </c>
      <c r="AA152" s="134" t="inlineStr">
        <is>
          <t>West</t>
        </is>
      </c>
      <c r="AB152" s="134" t="n">
        <v>310</v>
      </c>
    </row>
    <row r="153">
      <c r="W153" s="134" t="inlineStr">
        <is>
          <t>Abernathy Field</t>
        </is>
      </c>
      <c r="X153" s="134" t="inlineStr">
        <is>
          <t>GZS</t>
        </is>
      </c>
      <c r="Y153" s="156" t="n">
        <v>-87.05706000000001</v>
      </c>
      <c r="Z153" s="156" t="n">
        <v>35.15408</v>
      </c>
      <c r="AA153" s="134" t="inlineStr">
        <is>
          <t>Middle</t>
        </is>
      </c>
      <c r="AB153" s="134" t="n">
        <v>689</v>
      </c>
      <c r="AH153" s="156" t="n">
        <v>-89.175</v>
      </c>
      <c r="AI153" s="156" t="n">
        <v>36.66888</v>
      </c>
    </row>
    <row r="154">
      <c r="W154" s="134" t="inlineStr">
        <is>
          <t>Bomar Field-Shelbyville Municipal Airport</t>
        </is>
      </c>
      <c r="X154" s="134" t="inlineStr">
        <is>
          <t>SYI</t>
        </is>
      </c>
      <c r="Y154" s="156" t="n">
        <v>-86.44247</v>
      </c>
      <c r="Z154" s="156" t="n">
        <v>35.5594</v>
      </c>
      <c r="AA154" s="134" t="inlineStr">
        <is>
          <t>Middle</t>
        </is>
      </c>
      <c r="AB154" s="134" t="n">
        <v>800</v>
      </c>
      <c r="AH154" s="156" t="n">
        <v>-89.22278</v>
      </c>
      <c r="AI154" s="156" t="n">
        <v>36.57667</v>
      </c>
    </row>
    <row r="155">
      <c r="W155" s="134" t="inlineStr">
        <is>
          <t>Centerville Municipal Airport</t>
        </is>
      </c>
      <c r="X155" s="134" t="inlineStr">
        <is>
          <t>GHM</t>
        </is>
      </c>
      <c r="Y155" s="156" t="n">
        <v>-87.44538</v>
      </c>
      <c r="Z155" s="156" t="n">
        <v>35.83742</v>
      </c>
      <c r="AA155" s="134" t="inlineStr">
        <is>
          <t>Middle</t>
        </is>
      </c>
      <c r="AB155" s="134" t="n">
        <v>765</v>
      </c>
      <c r="AH155" s="156" t="n">
        <v>-89.27</v>
      </c>
      <c r="AI155" s="156" t="n">
        <v>36.56861</v>
      </c>
    </row>
    <row r="156">
      <c r="W156" s="134" t="inlineStr">
        <is>
          <t>Dickson Municipal Airport</t>
        </is>
      </c>
      <c r="X156" s="134" t="inlineStr">
        <is>
          <t>M02</t>
        </is>
      </c>
      <c r="Y156" s="156" t="n">
        <v>-87.42984</v>
      </c>
      <c r="Z156" s="156" t="n">
        <v>36.12796</v>
      </c>
      <c r="AA156" s="134" t="inlineStr">
        <is>
          <t>Middle</t>
        </is>
      </c>
      <c r="AB156" s="134" t="n">
        <v>892</v>
      </c>
      <c r="AH156" s="156" t="n">
        <v>-89.33889000000001</v>
      </c>
      <c r="AI156" s="156" t="n">
        <v>36.62556</v>
      </c>
    </row>
    <row r="157">
      <c r="W157" s="134" t="inlineStr">
        <is>
          <t>Ellington Airport</t>
        </is>
      </c>
      <c r="X157" s="134" t="inlineStr">
        <is>
          <t>LUG</t>
        </is>
      </c>
      <c r="Y157" s="156" t="n">
        <v>-86.80389</v>
      </c>
      <c r="Z157" s="156" t="n">
        <v>35.50697</v>
      </c>
      <c r="AA157" s="134" t="inlineStr">
        <is>
          <t>Middle</t>
        </is>
      </c>
      <c r="AB157" s="134" t="n">
        <v>718</v>
      </c>
      <c r="AH157" s="156" t="n">
        <v>-89.37222</v>
      </c>
      <c r="AI157" s="156" t="n">
        <v>36.62778</v>
      </c>
    </row>
    <row r="158">
      <c r="W158" s="134" t="inlineStr">
        <is>
          <t>Fayetteville Municipal Airport</t>
        </is>
      </c>
      <c r="X158" s="134" t="inlineStr">
        <is>
          <t>FYM</t>
        </is>
      </c>
      <c r="Y158" s="156" t="n">
        <v>-86.56399999999999</v>
      </c>
      <c r="Z158" s="156" t="n">
        <v>35.05969</v>
      </c>
      <c r="AA158" s="134" t="inlineStr">
        <is>
          <t>Middle</t>
        </is>
      </c>
      <c r="AB158" s="134" t="n">
        <v>984</v>
      </c>
      <c r="AH158" s="156" t="n">
        <v>-89.42639</v>
      </c>
      <c r="AI158" s="156" t="n">
        <v>36.49695</v>
      </c>
    </row>
    <row r="159">
      <c r="W159" s="134" t="inlineStr">
        <is>
          <t>Franklin County Airport</t>
        </is>
      </c>
      <c r="X159" s="134" t="inlineStr">
        <is>
          <t>UOS</t>
        </is>
      </c>
      <c r="Y159" s="156" t="n">
        <v>-85.89815</v>
      </c>
      <c r="Z159" s="156" t="n">
        <v>35.20515</v>
      </c>
      <c r="AA159" s="134" t="inlineStr">
        <is>
          <t>Middle</t>
        </is>
      </c>
      <c r="AB159" s="134" t="n">
        <v>1953</v>
      </c>
      <c r="AH159" s="156" t="n">
        <v>-89.48583000000001</v>
      </c>
      <c r="AI159" s="156" t="n">
        <v>36.44833</v>
      </c>
    </row>
    <row r="160">
      <c r="W160" s="134" t="inlineStr">
        <is>
          <t>Hassell-Carroll Field</t>
        </is>
      </c>
      <c r="X160" s="134" t="inlineStr">
        <is>
          <t>M29</t>
        </is>
      </c>
      <c r="Y160" s="156" t="n">
        <v>-87.96827</v>
      </c>
      <c r="Z160" s="156" t="n">
        <v>35.38303</v>
      </c>
      <c r="AA160" s="134" t="inlineStr">
        <is>
          <t>Middle</t>
        </is>
      </c>
      <c r="AB160" s="134" t="n">
        <v>407</v>
      </c>
      <c r="AH160" s="156" t="n">
        <v>-89.50776999999999</v>
      </c>
      <c r="AI160" s="156" t="n">
        <v>36.45639</v>
      </c>
    </row>
    <row r="161">
      <c r="W161" s="134" t="inlineStr">
        <is>
          <t>Houston County Airport</t>
        </is>
      </c>
      <c r="X161" s="134" t="inlineStr">
        <is>
          <t>M93</t>
        </is>
      </c>
      <c r="Y161" s="156" t="n">
        <v>-87.91670000000001</v>
      </c>
      <c r="Z161" s="156" t="n">
        <v>36.31672</v>
      </c>
      <c r="AA161" s="134" t="inlineStr">
        <is>
          <t>Middle</t>
        </is>
      </c>
      <c r="AB161" s="134" t="n">
        <v>370</v>
      </c>
      <c r="AH161" s="156" t="n">
        <v>-89.48889</v>
      </c>
      <c r="AI161" s="156" t="n">
        <v>36.51889</v>
      </c>
    </row>
    <row r="162">
      <c r="W162" s="134" t="inlineStr">
        <is>
          <t>Humphreys County Airport</t>
        </is>
      </c>
      <c r="X162" s="134" t="inlineStr">
        <is>
          <t>0M5</t>
        </is>
      </c>
      <c r="Y162" s="156" t="n">
        <v>-87.73817</v>
      </c>
      <c r="Z162" s="156" t="n">
        <v>36.11661</v>
      </c>
      <c r="AA162" s="134" t="inlineStr">
        <is>
          <t>Middle</t>
        </is>
      </c>
      <c r="AB162" s="134" t="n">
        <v>756</v>
      </c>
      <c r="AH162" s="156" t="n">
        <v>-89.50417</v>
      </c>
      <c r="AI162" s="156" t="n">
        <v>36.55667</v>
      </c>
    </row>
    <row r="163">
      <c r="W163" s="134" t="inlineStr">
        <is>
          <t>Jackson County Airport</t>
        </is>
      </c>
      <c r="X163" s="134" t="inlineStr">
        <is>
          <t>1A7</t>
        </is>
      </c>
      <c r="Y163" s="156" t="n">
        <v>-85.64131999999999</v>
      </c>
      <c r="Z163" s="156" t="n">
        <v>36.39682</v>
      </c>
      <c r="AA163" s="134" t="inlineStr">
        <is>
          <t>Middle</t>
        </is>
      </c>
      <c r="AB163" s="134" t="n">
        <v>517</v>
      </c>
      <c r="AH163" s="156" t="n">
        <v>-89.54611</v>
      </c>
      <c r="AI163" s="156" t="n">
        <v>36.56639</v>
      </c>
    </row>
    <row r="164">
      <c r="W164" s="134" t="inlineStr">
        <is>
          <t>James Tucker-Perry County Airport</t>
        </is>
      </c>
      <c r="X164" s="134" t="inlineStr">
        <is>
          <t>M15</t>
        </is>
      </c>
      <c r="Y164" s="156" t="n">
        <v>-87.87663000000001</v>
      </c>
      <c r="Z164" s="156" t="n">
        <v>35.59484</v>
      </c>
      <c r="AA164" s="134" t="inlineStr">
        <is>
          <t>Middle</t>
        </is>
      </c>
      <c r="AB164" s="134" t="n">
        <v>740</v>
      </c>
      <c r="AH164" s="156" t="n">
        <v>-89.57528000000001</v>
      </c>
      <c r="AI164" s="156" t="n">
        <v>36.54445</v>
      </c>
    </row>
    <row r="165">
      <c r="W165" s="134" t="inlineStr">
        <is>
          <t>Jamestown Municipal Airport</t>
        </is>
      </c>
      <c r="X165" s="134" t="inlineStr">
        <is>
          <t>2A1</t>
        </is>
      </c>
      <c r="Y165" s="156" t="n">
        <v>-84.94665000000001</v>
      </c>
      <c r="Z165" s="156" t="n">
        <v>36.3497</v>
      </c>
      <c r="AA165" s="134" t="inlineStr">
        <is>
          <t>Middle</t>
        </is>
      </c>
      <c r="AB165" s="134" t="n">
        <v>1694</v>
      </c>
      <c r="AH165" s="156" t="n">
        <v>-89.57611</v>
      </c>
      <c r="AI165" s="156" t="n">
        <v>36.51778</v>
      </c>
    </row>
    <row r="166">
      <c r="W166" s="134" t="inlineStr">
        <is>
          <t>John A. Baker Field</t>
        </is>
      </c>
      <c r="X166" s="134" t="inlineStr">
        <is>
          <t>0M3</t>
        </is>
      </c>
      <c r="Y166" s="156" t="n">
        <v>-87.59732</v>
      </c>
      <c r="Z166" s="156" t="n">
        <v>35.54597</v>
      </c>
      <c r="AA166" s="134" t="inlineStr">
        <is>
          <t>Middle</t>
        </is>
      </c>
      <c r="AB166" s="134" t="n">
        <v>972</v>
      </c>
      <c r="AH166" s="156" t="n">
        <v>-89.54361</v>
      </c>
      <c r="AI166" s="156" t="n">
        <v>36.47945</v>
      </c>
    </row>
    <row r="167">
      <c r="W167" s="134" t="inlineStr">
        <is>
          <t>John C. Tune Airport</t>
        </is>
      </c>
      <c r="X167" s="134" t="inlineStr">
        <is>
          <t>JWN</t>
        </is>
      </c>
      <c r="Y167" s="156" t="n">
        <v>-86.88648999999999</v>
      </c>
      <c r="Z167" s="156" t="n">
        <v>36.18302</v>
      </c>
      <c r="AA167" s="134" t="inlineStr">
        <is>
          <t>Middle</t>
        </is>
      </c>
      <c r="AB167" s="134" t="n">
        <v>501</v>
      </c>
      <c r="AH167" s="156" t="n">
        <v>-89.55695</v>
      </c>
      <c r="AI167" s="156" t="n">
        <v>36.45167</v>
      </c>
    </row>
    <row r="168">
      <c r="W168" s="134" t="inlineStr">
        <is>
          <t>Lafayette Municipal Airport</t>
        </is>
      </c>
      <c r="X168" s="134" t="inlineStr">
        <is>
          <t>3M7</t>
        </is>
      </c>
      <c r="Y168" s="156" t="n">
        <v>-86.05806</v>
      </c>
      <c r="Z168" s="156" t="n">
        <v>36.52003</v>
      </c>
      <c r="AA168" s="134" t="inlineStr">
        <is>
          <t>Middle</t>
        </is>
      </c>
      <c r="AB168" s="134" t="n">
        <v>969</v>
      </c>
      <c r="AH168" s="156" t="n">
        <v>-89.52778000000001</v>
      </c>
      <c r="AI168" s="156" t="n">
        <v>36.37527</v>
      </c>
    </row>
    <row r="169">
      <c r="W169" s="134" t="inlineStr">
        <is>
          <t>Lawrenceburg-Lawrence County Airport</t>
        </is>
      </c>
      <c r="X169" s="134" t="inlineStr">
        <is>
          <t>2M2</t>
        </is>
      </c>
      <c r="Y169" s="156" t="n">
        <v>-87.25794</v>
      </c>
      <c r="Z169" s="156" t="n">
        <v>35.2343</v>
      </c>
      <c r="AA169" s="134" t="inlineStr">
        <is>
          <t>Middle</t>
        </is>
      </c>
      <c r="AB169" s="134" t="n">
        <v>936</v>
      </c>
      <c r="AH169" s="156" t="n">
        <v>-89.55417</v>
      </c>
      <c r="AI169" s="156" t="n">
        <v>36.34889</v>
      </c>
    </row>
    <row r="170">
      <c r="W170" s="134" t="inlineStr">
        <is>
          <t>Lebanon Municipal Airport</t>
        </is>
      </c>
      <c r="X170" s="134" t="inlineStr">
        <is>
          <t>M54</t>
        </is>
      </c>
      <c r="Y170" s="156" t="n">
        <v>-86.31569</v>
      </c>
      <c r="Z170" s="156" t="n">
        <v>36.19041</v>
      </c>
      <c r="AA170" s="134" t="inlineStr">
        <is>
          <t>Middle</t>
        </is>
      </c>
      <c r="AB170" s="134" t="n">
        <v>588</v>
      </c>
      <c r="AH170" s="156" t="n">
        <v>-89.61583</v>
      </c>
      <c r="AI170" s="156" t="n">
        <v>36.34473</v>
      </c>
    </row>
    <row r="171">
      <c r="W171" s="134" t="inlineStr">
        <is>
          <t>Livingston Municipal Airport</t>
        </is>
      </c>
      <c r="X171" s="134" t="inlineStr">
        <is>
          <t>8A3</t>
        </is>
      </c>
      <c r="Y171" s="156" t="n">
        <v>-85.31046000000001</v>
      </c>
      <c r="Z171" s="156" t="n">
        <v>36.4135</v>
      </c>
      <c r="AA171" s="134" t="inlineStr">
        <is>
          <t>Middle</t>
        </is>
      </c>
      <c r="AB171" s="134" t="n">
        <v>1372</v>
      </c>
      <c r="AH171" s="156" t="n">
        <v>-89.62917</v>
      </c>
      <c r="AI171" s="156" t="n">
        <v>36.31694</v>
      </c>
    </row>
    <row r="172">
      <c r="W172" s="134" t="inlineStr">
        <is>
          <t>Maury County Airport</t>
        </is>
      </c>
      <c r="X172" s="134" t="inlineStr">
        <is>
          <t>MRC</t>
        </is>
      </c>
      <c r="Y172" s="156" t="n">
        <v>-87.17914</v>
      </c>
      <c r="Z172" s="156" t="n">
        <v>35.55434</v>
      </c>
      <c r="AA172" s="134" t="inlineStr">
        <is>
          <t>Middle</t>
        </is>
      </c>
      <c r="AB172" s="134" t="n">
        <v>681</v>
      </c>
      <c r="AH172" s="156" t="n">
        <v>-89.55889000000001</v>
      </c>
      <c r="AI172" s="156" t="n">
        <v>36.26584</v>
      </c>
    </row>
    <row r="173">
      <c r="W173" s="134" t="inlineStr">
        <is>
          <t>Murfreesboro Municipal Airport</t>
        </is>
      </c>
      <c r="X173" s="134" t="inlineStr">
        <is>
          <t>MBT</t>
        </is>
      </c>
      <c r="Y173" s="156" t="n">
        <v>-86.37747</v>
      </c>
      <c r="Z173" s="156" t="n">
        <v>35.87865</v>
      </c>
      <c r="AA173" s="134" t="inlineStr">
        <is>
          <t>Middle</t>
        </is>
      </c>
      <c r="AB173" s="134" t="n">
        <v>614</v>
      </c>
      <c r="AH173" s="156" t="n">
        <v>-89.58334000000001</v>
      </c>
      <c r="AI173" s="156" t="n">
        <v>36.25</v>
      </c>
    </row>
    <row r="174">
      <c r="W174" s="134" t="inlineStr">
        <is>
          <t>Music City Executive Airport</t>
        </is>
      </c>
      <c r="X174" s="134" t="inlineStr">
        <is>
          <t>XNX</t>
        </is>
      </c>
      <c r="Y174" s="156" t="n">
        <v>-86.40841</v>
      </c>
      <c r="Z174" s="156" t="n">
        <v>36.37508</v>
      </c>
      <c r="AA174" s="134" t="inlineStr">
        <is>
          <t>Middle</t>
        </is>
      </c>
      <c r="AB174" s="134" t="n">
        <v>583</v>
      </c>
      <c r="AH174" s="156" t="n">
        <v>-89.69110999999999</v>
      </c>
      <c r="AI174" s="156" t="n">
        <v>36.24111</v>
      </c>
    </row>
    <row r="175">
      <c r="W175" s="134" t="inlineStr">
        <is>
          <t>Nashville International Airport</t>
        </is>
      </c>
      <c r="X175" s="134" t="inlineStr">
        <is>
          <t>BNA</t>
        </is>
      </c>
      <c r="Y175" s="156" t="n">
        <v>-86.67818</v>
      </c>
      <c r="Z175" s="156" t="n">
        <v>36.12447</v>
      </c>
      <c r="AA175" s="134" t="inlineStr">
        <is>
          <t>Middle</t>
        </is>
      </c>
      <c r="AB175" s="134" t="n">
        <v>599</v>
      </c>
      <c r="AH175" s="156" t="n">
        <v>-89.60722</v>
      </c>
      <c r="AI175" s="156" t="n">
        <v>36.13306</v>
      </c>
    </row>
    <row r="176">
      <c r="W176" s="134" t="inlineStr">
        <is>
          <t>Outlaw Field</t>
        </is>
      </c>
      <c r="X176" s="134" t="inlineStr">
        <is>
          <t>CKV</t>
        </is>
      </c>
      <c r="Y176" s="156" t="n">
        <v>-87.41495</v>
      </c>
      <c r="Z176" s="156" t="n">
        <v>36.62186</v>
      </c>
      <c r="AA176" s="134" t="inlineStr">
        <is>
          <t>Middle</t>
        </is>
      </c>
      <c r="AB176" s="134" t="n">
        <v>550</v>
      </c>
      <c r="AH176" s="156" t="n">
        <v>-89.67416</v>
      </c>
      <c r="AI176" s="156" t="n">
        <v>36.09583</v>
      </c>
    </row>
    <row r="177">
      <c r="W177" s="134" t="inlineStr">
        <is>
          <t>Portland Municipal Airport</t>
        </is>
      </c>
      <c r="X177" s="134" t="inlineStr">
        <is>
          <t>1M5</t>
        </is>
      </c>
      <c r="Y177" s="156" t="n">
        <v>-86.47691</v>
      </c>
      <c r="Z177" s="156" t="n">
        <v>36.59287</v>
      </c>
      <c r="AA177" s="134" t="inlineStr">
        <is>
          <t>Middle</t>
        </is>
      </c>
      <c r="AB177" s="134" t="n">
        <v>818</v>
      </c>
      <c r="AH177" s="156" t="n">
        <v>-89.73083</v>
      </c>
      <c r="AI177" s="156" t="n">
        <v>36.00222</v>
      </c>
    </row>
    <row r="178">
      <c r="W178" s="134" t="inlineStr">
        <is>
          <t>Puckett Airport</t>
        </is>
      </c>
      <c r="X178" s="134" t="inlineStr">
        <is>
          <t>50M</t>
        </is>
      </c>
      <c r="Y178" s="156" t="n">
        <v>-86.615</v>
      </c>
      <c r="Z178" s="156" t="n">
        <v>35.68944</v>
      </c>
      <c r="AA178" s="134" t="inlineStr">
        <is>
          <t>Middle</t>
        </is>
      </c>
      <c r="AB178" s="134" t="n">
        <v>780</v>
      </c>
      <c r="AH178" s="156" t="n">
        <v>-89.66444</v>
      </c>
      <c r="AI178" s="156" t="n">
        <v>35.89778</v>
      </c>
    </row>
    <row r="179">
      <c r="W179" s="134" t="inlineStr">
        <is>
          <t>Smithville Municipal Airport</t>
        </is>
      </c>
      <c r="X179" s="134" t="inlineStr">
        <is>
          <t>0A3</t>
        </is>
      </c>
      <c r="Y179" s="156" t="n">
        <v>-85.80911</v>
      </c>
      <c r="Z179" s="156" t="n">
        <v>35.98544</v>
      </c>
      <c r="AA179" s="134" t="inlineStr">
        <is>
          <t>Middle</t>
        </is>
      </c>
      <c r="AB179" s="134" t="n">
        <v>1084</v>
      </c>
      <c r="AH179" s="156" t="n">
        <v>-89.74889</v>
      </c>
      <c r="AI179" s="156" t="n">
        <v>35.91055</v>
      </c>
    </row>
    <row r="180">
      <c r="W180" s="134" t="inlineStr">
        <is>
          <t>Smyrna Airport</t>
        </is>
      </c>
      <c r="X180" s="134" t="inlineStr">
        <is>
          <t>MQY</t>
        </is>
      </c>
      <c r="Y180" s="156" t="n">
        <v>-86.52009</v>
      </c>
      <c r="Z180" s="156" t="n">
        <v>36.00897</v>
      </c>
      <c r="AA180" s="134" t="inlineStr">
        <is>
          <t>Middle</t>
        </is>
      </c>
      <c r="AB180" s="134" t="n">
        <v>543</v>
      </c>
      <c r="AH180" s="156" t="n">
        <v>-89.78111</v>
      </c>
      <c r="AI180" s="156" t="n">
        <v>35.87917</v>
      </c>
    </row>
    <row r="181">
      <c r="W181" s="134" t="inlineStr">
        <is>
          <t>Springfield-Robertson County Airport</t>
        </is>
      </c>
      <c r="X181" s="134" t="inlineStr">
        <is>
          <t>M91</t>
        </is>
      </c>
      <c r="Y181" s="156" t="n">
        <v>-86.92117</v>
      </c>
      <c r="Z181" s="156" t="n">
        <v>36.53669</v>
      </c>
      <c r="AA181" s="134" t="inlineStr">
        <is>
          <t>Middle</t>
        </is>
      </c>
      <c r="AB181" s="134" t="n">
        <v>706</v>
      </c>
      <c r="AH181" s="156" t="n">
        <v>-89.72638999999999</v>
      </c>
      <c r="AI181" s="156" t="n">
        <v>35.85056</v>
      </c>
    </row>
    <row r="182">
      <c r="W182" s="134" t="inlineStr">
        <is>
          <t>Tullahoma Regional Airport/Northern Field</t>
        </is>
      </c>
      <c r="X182" s="134" t="inlineStr">
        <is>
          <t>THA</t>
        </is>
      </c>
      <c r="Y182" s="156" t="n">
        <v>-86.24678</v>
      </c>
      <c r="Z182" s="156" t="n">
        <v>35.38012</v>
      </c>
      <c r="AA182" s="134" t="inlineStr">
        <is>
          <t>Middle</t>
        </is>
      </c>
      <c r="AB182" s="134" t="n">
        <v>1084</v>
      </c>
      <c r="AH182" s="156" t="n">
        <v>-89.72915999999999</v>
      </c>
      <c r="AI182" s="156" t="n">
        <v>35.82278</v>
      </c>
    </row>
    <row r="183">
      <c r="W183" s="134" t="inlineStr">
        <is>
          <t>Upper Cumberland Regional Airport</t>
        </is>
      </c>
      <c r="X183" s="134" t="inlineStr">
        <is>
          <t>SRB</t>
        </is>
      </c>
      <c r="Y183" s="156" t="n">
        <v>-85.53010999999999</v>
      </c>
      <c r="Z183" s="156" t="n">
        <v>36.05674</v>
      </c>
      <c r="AA183" s="134" t="inlineStr">
        <is>
          <t>Middle</t>
        </is>
      </c>
      <c r="AB183" s="134" t="n">
        <v>1025</v>
      </c>
      <c r="AH183" s="156" t="n">
        <v>-89.79528000000001</v>
      </c>
      <c r="AI183" s="156" t="n">
        <v>35.81055</v>
      </c>
    </row>
    <row r="184">
      <c r="W184" s="134" t="inlineStr">
        <is>
          <t>Warren County Memorial Airport</t>
        </is>
      </c>
      <c r="X184" s="134" t="inlineStr">
        <is>
          <t>RNC</t>
        </is>
      </c>
      <c r="Y184" s="156" t="n">
        <v>-85.84381999999999</v>
      </c>
      <c r="Z184" s="156" t="n">
        <v>35.6987</v>
      </c>
      <c r="AA184" s="134" t="inlineStr">
        <is>
          <t>Middle</t>
        </is>
      </c>
      <c r="AB184" s="134" t="n">
        <v>1032</v>
      </c>
      <c r="AH184" s="156" t="n">
        <v>-89.80944</v>
      </c>
      <c r="AI184" s="156" t="n">
        <v>35.77417</v>
      </c>
    </row>
    <row r="185">
      <c r="W185" s="134" t="inlineStr">
        <is>
          <t>Winchester Municipal Airport</t>
        </is>
      </c>
      <c r="X185" s="134" t="inlineStr">
        <is>
          <t>BGF</t>
        </is>
      </c>
      <c r="Y185" s="156" t="n">
        <v>-86.06617</v>
      </c>
      <c r="Z185" s="156" t="n">
        <v>35.17753</v>
      </c>
      <c r="AA185" s="134" t="inlineStr">
        <is>
          <t>Middle</t>
        </is>
      </c>
      <c r="AB185" s="134" t="n">
        <v>979</v>
      </c>
      <c r="AH185" s="156" t="n">
        <v>-89.83694</v>
      </c>
      <c r="AI185" s="156" t="n">
        <v>35.75999</v>
      </c>
    </row>
    <row r="186">
      <c r="W186" s="134" t="inlineStr">
        <is>
          <t>Chilhowee Gliderport</t>
        </is>
      </c>
      <c r="X186" s="134" t="inlineStr">
        <is>
          <t>92A</t>
        </is>
      </c>
      <c r="Y186" s="156" t="n">
        <v>-84.585</v>
      </c>
      <c r="Z186" s="156" t="n">
        <v>35.22639</v>
      </c>
      <c r="AA186" s="134" t="inlineStr">
        <is>
          <t>East</t>
        </is>
      </c>
      <c r="AB186" s="134" t="n">
        <v>770</v>
      </c>
      <c r="AH186" s="156" t="n">
        <v>-89.95944</v>
      </c>
      <c r="AI186" s="156" t="n">
        <v>35.73833</v>
      </c>
    </row>
    <row r="187">
      <c r="W187" s="134" t="inlineStr">
        <is>
          <t>Cleveland Regional Jetport</t>
        </is>
      </c>
      <c r="X187" s="134" t="inlineStr">
        <is>
          <t>RZR</t>
        </is>
      </c>
      <c r="Y187" s="156" t="n">
        <v>-84.7992</v>
      </c>
      <c r="Z187" s="156" t="n">
        <v>35.21234</v>
      </c>
      <c r="AA187" s="134" t="inlineStr">
        <is>
          <t>East</t>
        </is>
      </c>
      <c r="AB187" s="134" t="n">
        <v>866</v>
      </c>
      <c r="AH187" s="156" t="n">
        <v>-89.96111000000001</v>
      </c>
      <c r="AI187" s="156" t="n">
        <v>35.71389</v>
      </c>
    </row>
    <row r="188">
      <c r="W188" s="134" t="inlineStr">
        <is>
          <t>Collegedale Municipal Airport</t>
        </is>
      </c>
      <c r="X188" s="134" t="inlineStr">
        <is>
          <t>FGU</t>
        </is>
      </c>
      <c r="Y188" s="156" t="n">
        <v>-85.02007</v>
      </c>
      <c r="Z188" s="156" t="n">
        <v>35.04442</v>
      </c>
      <c r="AA188" s="134" t="inlineStr">
        <is>
          <t>East</t>
        </is>
      </c>
      <c r="AB188" s="134" t="n">
        <v>860</v>
      </c>
      <c r="AH188" s="156" t="n">
        <v>-89.91639000000001</v>
      </c>
      <c r="AI188" s="156" t="n">
        <v>35.65944</v>
      </c>
    </row>
    <row r="189">
      <c r="W189" s="134" t="inlineStr">
        <is>
          <t>Colonel Tommy C. Stiner-Campbell County Airport</t>
        </is>
      </c>
      <c r="X189" s="134" t="inlineStr">
        <is>
          <t>JAU</t>
        </is>
      </c>
      <c r="Y189" s="156" t="n">
        <v>-84.16296</v>
      </c>
      <c r="Z189" s="156" t="n">
        <v>36.33409</v>
      </c>
      <c r="AA189" s="134" t="inlineStr">
        <is>
          <t>East</t>
        </is>
      </c>
      <c r="AB189" s="134" t="n">
        <v>1180</v>
      </c>
      <c r="AH189" s="156" t="n">
        <v>-89.87361</v>
      </c>
      <c r="AI189" s="156" t="n">
        <v>35.67166</v>
      </c>
    </row>
    <row r="190">
      <c r="W190" s="134" t="inlineStr">
        <is>
          <t>Crossville Memorial Airport/Whitson Field</t>
        </is>
      </c>
      <c r="X190" s="134" t="inlineStr">
        <is>
          <t>CSV</t>
        </is>
      </c>
      <c r="Y190" s="156" t="n">
        <v>-85.08498</v>
      </c>
      <c r="Z190" s="156" t="n">
        <v>35.95129</v>
      </c>
      <c r="AA190" s="134" t="inlineStr">
        <is>
          <t>East</t>
        </is>
      </c>
      <c r="AB190" s="134" t="n">
        <v>1882</v>
      </c>
      <c r="AH190" s="156" t="n">
        <v>-89.85583</v>
      </c>
      <c r="AI190" s="156" t="n">
        <v>35.65167</v>
      </c>
    </row>
    <row r="191">
      <c r="W191" s="134" t="inlineStr">
        <is>
          <t>Dallas Bay Skypark Airport</t>
        </is>
      </c>
      <c r="X191" s="134" t="inlineStr">
        <is>
          <t>1A0</t>
        </is>
      </c>
      <c r="Y191" s="156" t="n">
        <v>-85.17778</v>
      </c>
      <c r="Z191" s="156" t="n">
        <v>35.1875</v>
      </c>
      <c r="AA191" s="134" t="inlineStr">
        <is>
          <t>East</t>
        </is>
      </c>
      <c r="AB191" s="134" t="n">
        <v>690</v>
      </c>
      <c r="AH191" s="156" t="n">
        <v>-89.95</v>
      </c>
      <c r="AI191" s="156" t="n">
        <v>35.60472</v>
      </c>
    </row>
    <row r="192">
      <c r="W192" s="134" t="inlineStr">
        <is>
          <t>Elizabethton Municipal Airport</t>
        </is>
      </c>
      <c r="X192" s="134" t="inlineStr">
        <is>
          <t>0A9</t>
        </is>
      </c>
      <c r="Y192" s="156" t="n">
        <v>-82.17272</v>
      </c>
      <c r="Z192" s="156" t="n">
        <v>36.37156</v>
      </c>
      <c r="AA192" s="134" t="inlineStr">
        <is>
          <t>East</t>
        </is>
      </c>
      <c r="AB192" s="134" t="n">
        <v>1592</v>
      </c>
      <c r="AH192" s="156" t="n">
        <v>-89.95860999999999</v>
      </c>
      <c r="AI192" s="156" t="n">
        <v>35.58305</v>
      </c>
    </row>
    <row r="193">
      <c r="W193" s="134" t="inlineStr">
        <is>
          <t>Gatlinburg-Pigeon Forge Airport</t>
        </is>
      </c>
      <c r="X193" s="134" t="inlineStr">
        <is>
          <t>GKT</t>
        </is>
      </c>
      <c r="Y193" s="156" t="n">
        <v>-83.5287</v>
      </c>
      <c r="Z193" s="156" t="n">
        <v>35.85776</v>
      </c>
      <c r="AA193" s="134" t="inlineStr">
        <is>
          <t>East</t>
        </is>
      </c>
      <c r="AB193" s="134" t="n">
        <v>1014</v>
      </c>
      <c r="AH193" s="156" t="n">
        <v>-89.93889</v>
      </c>
      <c r="AI193" s="156" t="n">
        <v>35.53889</v>
      </c>
    </row>
    <row r="194">
      <c r="W194" s="134" t="inlineStr">
        <is>
          <t>Greeneville-Green County Municipal Airport</t>
        </is>
      </c>
      <c r="X194" s="134" t="inlineStr">
        <is>
          <t>GCY</t>
        </is>
      </c>
      <c r="Y194" s="156" t="n">
        <v>-82.81137</v>
      </c>
      <c r="Z194" s="156" t="n">
        <v>36.19573</v>
      </c>
      <c r="AA194" s="134" t="inlineStr">
        <is>
          <t>East</t>
        </is>
      </c>
      <c r="AB194" s="134" t="n">
        <v>1608</v>
      </c>
      <c r="AH194" s="156" t="n">
        <v>-90.01639</v>
      </c>
      <c r="AI194" s="156" t="n">
        <v>35.56111</v>
      </c>
    </row>
    <row r="195">
      <c r="W195" s="134" t="inlineStr">
        <is>
          <t>Hawkins County Airport</t>
        </is>
      </c>
      <c r="X195" s="134" t="inlineStr">
        <is>
          <t>RVN</t>
        </is>
      </c>
      <c r="Y195" s="156" t="n">
        <v>-82.88503</v>
      </c>
      <c r="Z195" s="156" t="n">
        <v>36.45758</v>
      </c>
      <c r="AA195" s="134" t="inlineStr">
        <is>
          <t>East</t>
        </is>
      </c>
      <c r="AB195" s="134" t="n">
        <v>1255</v>
      </c>
      <c r="AH195" s="156" t="n">
        <v>-90.04416999999999</v>
      </c>
      <c r="AI195" s="156" t="n">
        <v>35.54972</v>
      </c>
    </row>
    <row r="196">
      <c r="W196" s="134" t="inlineStr">
        <is>
          <t>Johnson City Airport</t>
        </is>
      </c>
      <c r="X196" s="134" t="inlineStr">
        <is>
          <t>0A4</t>
        </is>
      </c>
      <c r="Y196" s="156" t="n">
        <v>-82.30903000000001</v>
      </c>
      <c r="Z196" s="156" t="n">
        <v>36.36372</v>
      </c>
      <c r="AA196" s="134" t="inlineStr">
        <is>
          <t>East</t>
        </is>
      </c>
      <c r="AB196" s="134" t="n">
        <v>1550</v>
      </c>
      <c r="AH196" s="156" t="n">
        <v>-90.05139</v>
      </c>
      <c r="AI196" s="156" t="n">
        <v>35.5175</v>
      </c>
    </row>
    <row r="197">
      <c r="W197" s="134" t="inlineStr">
        <is>
          <t>Johnson County Airport</t>
        </is>
      </c>
      <c r="X197" s="134" t="inlineStr">
        <is>
          <t>6A4</t>
        </is>
      </c>
      <c r="Y197" s="156" t="n">
        <v>-81.82513</v>
      </c>
      <c r="Z197" s="156" t="n">
        <v>36.41784</v>
      </c>
      <c r="AA197" s="134" t="inlineStr">
        <is>
          <t>East</t>
        </is>
      </c>
      <c r="AB197" s="134" t="n">
        <v>2241</v>
      </c>
      <c r="AH197" s="156" t="n">
        <v>-90.00694</v>
      </c>
      <c r="AI197" s="156" t="n">
        <v>35.45639</v>
      </c>
    </row>
    <row r="198">
      <c r="W198" s="134" t="inlineStr">
        <is>
          <t>Knoxville Downtown Island Airport</t>
        </is>
      </c>
      <c r="X198" s="134" t="inlineStr">
        <is>
          <t>DKX</t>
        </is>
      </c>
      <c r="Y198" s="156" t="n">
        <v>-83.87367</v>
      </c>
      <c r="Z198" s="156" t="n">
        <v>35.96383</v>
      </c>
      <c r="AA198" s="134" t="inlineStr">
        <is>
          <t>East</t>
        </is>
      </c>
      <c r="AB198" s="134" t="n">
        <v>833</v>
      </c>
      <c r="AH198" s="156" t="n">
        <v>-90.01334</v>
      </c>
      <c r="AI198" s="156" t="n">
        <v>35.43361</v>
      </c>
    </row>
    <row r="199">
      <c r="W199" s="134" t="inlineStr">
        <is>
          <t>Lovell Field</t>
        </is>
      </c>
      <c r="X199" s="134" t="inlineStr">
        <is>
          <t>CHA</t>
        </is>
      </c>
      <c r="Y199" s="156" t="n">
        <v>-85.20356</v>
      </c>
      <c r="Z199" s="156" t="n">
        <v>35.03519</v>
      </c>
      <c r="AA199" s="134" t="inlineStr">
        <is>
          <t>East</t>
        </is>
      </c>
      <c r="AB199" s="134" t="n">
        <v>682</v>
      </c>
      <c r="AH199" s="156" t="n">
        <v>-90.05278</v>
      </c>
      <c r="AI199" s="156" t="n">
        <v>35.42194</v>
      </c>
    </row>
    <row r="200">
      <c r="W200" s="134" t="inlineStr">
        <is>
          <t>Marion County Airport-Brown Field</t>
        </is>
      </c>
      <c r="X200" s="134" t="inlineStr">
        <is>
          <t>APT</t>
        </is>
      </c>
      <c r="Y200" s="156" t="n">
        <v>-85.58531000000001</v>
      </c>
      <c r="Z200" s="156" t="n">
        <v>35.06067</v>
      </c>
      <c r="AA200" s="134" t="inlineStr">
        <is>
          <t>East</t>
        </is>
      </c>
      <c r="AB200" s="134" t="n">
        <v>641</v>
      </c>
      <c r="AH200" s="156" t="n">
        <v>-90.07805999999999</v>
      </c>
      <c r="AI200" s="156" t="n">
        <v>35.47194</v>
      </c>
    </row>
    <row r="201">
      <c r="W201" s="134" t="inlineStr">
        <is>
          <t>Mark Anton Airport</t>
        </is>
      </c>
      <c r="X201" s="134" t="inlineStr">
        <is>
          <t>2A0</t>
        </is>
      </c>
      <c r="Y201" s="156" t="n">
        <v>-84.93107999999999</v>
      </c>
      <c r="Z201" s="156" t="n">
        <v>35.48625</v>
      </c>
      <c r="AA201" s="134" t="inlineStr">
        <is>
          <t>East</t>
        </is>
      </c>
      <c r="AB201" s="134" t="n">
        <v>718</v>
      </c>
      <c r="AH201" s="156" t="n">
        <v>-90.10639</v>
      </c>
      <c r="AI201" s="156" t="n">
        <v>35.48334</v>
      </c>
    </row>
    <row r="202">
      <c r="W202" s="134" t="inlineStr">
        <is>
          <t>Martin Campbell Field</t>
        </is>
      </c>
      <c r="X202" s="134" t="inlineStr">
        <is>
          <t>1A3</t>
        </is>
      </c>
      <c r="Y202" s="156" t="n">
        <v>-84.34683</v>
      </c>
      <c r="Z202" s="156" t="n">
        <v>35.01582</v>
      </c>
      <c r="AA202" s="134" t="inlineStr">
        <is>
          <t>East</t>
        </is>
      </c>
      <c r="AB202" s="134" t="n">
        <v>1789</v>
      </c>
      <c r="AH202" s="156" t="n">
        <v>-90.17889</v>
      </c>
      <c r="AI202" s="156" t="n">
        <v>35.42416</v>
      </c>
    </row>
    <row r="203">
      <c r="W203" s="134" t="inlineStr">
        <is>
          <t>McGhee Tyson Airport</t>
        </is>
      </c>
      <c r="X203" s="134" t="inlineStr">
        <is>
          <t>TYS</t>
        </is>
      </c>
      <c r="Y203" s="156" t="n">
        <v>-83.99406999999999</v>
      </c>
      <c r="Z203" s="156" t="n">
        <v>35.81109</v>
      </c>
      <c r="AA203" s="134" t="inlineStr">
        <is>
          <t>East</t>
        </is>
      </c>
      <c r="AB203" s="134" t="n">
        <v>986</v>
      </c>
      <c r="AH203" s="156" t="n">
        <v>-90.17861000000001</v>
      </c>
      <c r="AI203" s="156" t="n">
        <v>35.38055</v>
      </c>
    </row>
    <row r="204">
      <c r="W204" s="134" t="inlineStr">
        <is>
          <t>McMinn County Airport</t>
        </is>
      </c>
      <c r="X204" s="134" t="inlineStr">
        <is>
          <t>MMI</t>
        </is>
      </c>
      <c r="Y204" s="156" t="n">
        <v>-84.56178</v>
      </c>
      <c r="Z204" s="156" t="n">
        <v>35.39919</v>
      </c>
      <c r="AA204" s="134" t="inlineStr">
        <is>
          <t>East</t>
        </is>
      </c>
      <c r="AB204" s="134" t="n">
        <v>874</v>
      </c>
      <c r="AH204" s="156" t="n">
        <v>-90.13306</v>
      </c>
      <c r="AI204" s="156" t="n">
        <v>35.40944</v>
      </c>
    </row>
    <row r="205">
      <c r="W205" s="134" t="inlineStr">
        <is>
          <t>Monroe County Airport</t>
        </is>
      </c>
      <c r="X205" s="134" t="inlineStr">
        <is>
          <t>MNV</t>
        </is>
      </c>
      <c r="Y205" s="156" t="n">
        <v>-84.38039999999999</v>
      </c>
      <c r="Z205" s="156" t="n">
        <v>35.54523</v>
      </c>
      <c r="AA205" s="134" t="inlineStr">
        <is>
          <t>East</t>
        </is>
      </c>
      <c r="AB205" s="134" t="n">
        <v>1031</v>
      </c>
      <c r="AH205" s="156" t="n">
        <v>-90.09417000000001</v>
      </c>
      <c r="AI205" s="156" t="n">
        <v>35.38972</v>
      </c>
    </row>
    <row r="206">
      <c r="W206" s="134" t="inlineStr">
        <is>
          <t>Moore-Murrell Field</t>
        </is>
      </c>
      <c r="X206" s="134" t="inlineStr">
        <is>
          <t>MOR</t>
        </is>
      </c>
      <c r="Y206" s="156" t="n">
        <v>-83.37545</v>
      </c>
      <c r="Z206" s="156" t="n">
        <v>36.17938</v>
      </c>
      <c r="AA206" s="134" t="inlineStr">
        <is>
          <t>East</t>
        </is>
      </c>
      <c r="AB206" s="134" t="n">
        <v>1313</v>
      </c>
      <c r="AH206" s="156" t="n">
        <v>-90.11360999999999</v>
      </c>
      <c r="AI206" s="156" t="n">
        <v>35.35777</v>
      </c>
    </row>
    <row r="207">
      <c r="W207" s="134" t="inlineStr">
        <is>
          <t>New Tazewell Municipal Airport</t>
        </is>
      </c>
      <c r="X207" s="134" t="inlineStr">
        <is>
          <t>3A2</t>
        </is>
      </c>
      <c r="Y207" s="156" t="n">
        <v>-83.55719000000001</v>
      </c>
      <c r="Z207" s="156" t="n">
        <v>36.4089</v>
      </c>
      <c r="AA207" s="134" t="inlineStr">
        <is>
          <t>East</t>
        </is>
      </c>
      <c r="AB207" s="134" t="n">
        <v>1179</v>
      </c>
      <c r="AH207" s="156" t="n">
        <v>-90.10833</v>
      </c>
      <c r="AI207" s="156" t="n">
        <v>35.32389</v>
      </c>
    </row>
    <row r="208">
      <c r="W208" s="134" t="inlineStr">
        <is>
          <t>Rockwood Municipal Airport</t>
        </is>
      </c>
      <c r="X208" s="134" t="inlineStr">
        <is>
          <t>RKW</t>
        </is>
      </c>
      <c r="Y208" s="156" t="n">
        <v>-84.68978</v>
      </c>
      <c r="Z208" s="156" t="n">
        <v>35.92233</v>
      </c>
      <c r="AA208" s="134" t="inlineStr">
        <is>
          <t>East</t>
        </is>
      </c>
      <c r="AB208" s="134" t="n">
        <v>1664</v>
      </c>
      <c r="AH208" s="156" t="n">
        <v>-90.17555</v>
      </c>
      <c r="AI208" s="156" t="n">
        <v>35.285</v>
      </c>
    </row>
    <row r="209">
      <c r="W209" s="134" t="inlineStr">
        <is>
          <t>Scott Municipal Airport</t>
        </is>
      </c>
      <c r="X209" s="134" t="inlineStr">
        <is>
          <t>SCX</t>
        </is>
      </c>
      <c r="Y209" s="156" t="n">
        <v>-84.58575</v>
      </c>
      <c r="Z209" s="156" t="n">
        <v>36.45569</v>
      </c>
      <c r="AA209" s="134" t="inlineStr">
        <is>
          <t>East</t>
        </is>
      </c>
      <c r="AB209" s="134" t="n">
        <v>1545</v>
      </c>
      <c r="AH209" s="156" t="n">
        <v>-90.08389</v>
      </c>
      <c r="AI209" s="156" t="n">
        <v>35.23083</v>
      </c>
    </row>
    <row r="210">
      <c r="W210" s="134" t="inlineStr">
        <is>
          <t>Tri-Cities Airport</t>
        </is>
      </c>
      <c r="X210" s="134" t="inlineStr">
        <is>
          <t>TRI</t>
        </is>
      </c>
      <c r="Y210" s="156" t="n">
        <v>-82.40742</v>
      </c>
      <c r="Z210" s="156" t="n">
        <v>36.47521</v>
      </c>
      <c r="AA210" s="134" t="inlineStr">
        <is>
          <t>East</t>
        </is>
      </c>
      <c r="AB210" s="134" t="n">
        <v>1519</v>
      </c>
      <c r="AH210" s="156" t="n">
        <v>-90.09166999999999</v>
      </c>
      <c r="AI210" s="156" t="n">
        <v>35.2</v>
      </c>
    </row>
    <row r="211">
      <c r="AH211" s="156" t="n">
        <v>-90.07778</v>
      </c>
      <c r="AI211" s="156" t="n">
        <v>35.17361</v>
      </c>
    </row>
    <row r="212">
      <c r="AH212" s="156" t="n">
        <v>-90.09222</v>
      </c>
      <c r="AI212" s="156" t="n">
        <v>35.13499</v>
      </c>
    </row>
    <row r="213">
      <c r="AH213" s="156" t="n">
        <v>-90.17944</v>
      </c>
      <c r="AI213" s="156" t="n">
        <v>35.12305</v>
      </c>
    </row>
    <row r="214">
      <c r="AH214" s="156" t="n">
        <v>-90.21416000000001</v>
      </c>
      <c r="AI214" s="156" t="n">
        <v>35.05139</v>
      </c>
    </row>
    <row r="215">
      <c r="AH215" s="156" t="n">
        <v>-90.30139</v>
      </c>
      <c r="AI215" s="156" t="n">
        <v>35.04361</v>
      </c>
    </row>
    <row r="216">
      <c r="AH216" s="156" t="n">
        <v>-90.31305999999999</v>
      </c>
      <c r="AI216" s="156" t="n">
        <v>35.00833</v>
      </c>
    </row>
    <row r="217">
      <c r="AH217" s="156" t="n">
        <v>-90.26833000000001</v>
      </c>
      <c r="AI217" s="156" t="n">
        <v>34.965</v>
      </c>
    </row>
    <row r="219">
      <c r="AH219" s="156" t="n">
        <v>-81.65639</v>
      </c>
      <c r="AI219" s="156" t="n">
        <v>36.61056</v>
      </c>
    </row>
    <row r="220">
      <c r="AH220" s="156" t="n">
        <v>-81.71528000000001</v>
      </c>
      <c r="AI220" s="156" t="n">
        <v>36.53583</v>
      </c>
    </row>
    <row r="221">
      <c r="AH221" s="156" t="n">
        <v>-81.69417</v>
      </c>
      <c r="AI221" s="156" t="n">
        <v>36.49167</v>
      </c>
    </row>
    <row r="222">
      <c r="AH222" s="156" t="n">
        <v>-81.74583</v>
      </c>
      <c r="AI222" s="156" t="n">
        <v>36.40388</v>
      </c>
    </row>
    <row r="223">
      <c r="AH223" s="156" t="n">
        <v>-81.71167</v>
      </c>
      <c r="AI223" s="156" t="n">
        <v>36.34473</v>
      </c>
    </row>
    <row r="224">
      <c r="AH224" s="156" t="n">
        <v>-81.80944</v>
      </c>
      <c r="AI224" s="156" t="n">
        <v>36.36166</v>
      </c>
    </row>
    <row r="225">
      <c r="AH225" s="156" t="n">
        <v>-81.90722</v>
      </c>
      <c r="AI225" s="156" t="n">
        <v>36.30806</v>
      </c>
    </row>
    <row r="226">
      <c r="AH226" s="156" t="n">
        <v>-82.03194000000001</v>
      </c>
      <c r="AI226" s="156" t="n">
        <v>36.12695</v>
      </c>
    </row>
    <row r="227">
      <c r="AH227" s="156" t="n">
        <v>-82.05638999999999</v>
      </c>
      <c r="AI227" s="156" t="n">
        <v>36.12666</v>
      </c>
    </row>
    <row r="228">
      <c r="AH228" s="156" t="n">
        <v>-82.07417</v>
      </c>
      <c r="AI228" s="156" t="n">
        <v>36.10306</v>
      </c>
    </row>
    <row r="229">
      <c r="AH229" s="156" t="n">
        <v>-82.12417000000001</v>
      </c>
      <c r="AI229" s="156" t="n">
        <v>36.10695</v>
      </c>
    </row>
    <row r="230">
      <c r="AH230" s="156" t="n">
        <v>-82.14694</v>
      </c>
      <c r="AI230" s="156" t="n">
        <v>36.14389</v>
      </c>
    </row>
    <row r="231">
      <c r="AH231" s="156" t="n">
        <v>-82.20556000000001</v>
      </c>
      <c r="AI231" s="156" t="n">
        <v>36.16111</v>
      </c>
    </row>
    <row r="232">
      <c r="AH232" s="156" t="n">
        <v>-82.26000000000001</v>
      </c>
      <c r="AI232" s="156" t="n">
        <v>36.13389</v>
      </c>
    </row>
    <row r="233">
      <c r="AH233" s="156" t="n">
        <v>-82.29304999999999</v>
      </c>
      <c r="AI233" s="156" t="n">
        <v>36.1375</v>
      </c>
    </row>
    <row r="234">
      <c r="AH234" s="156" t="n">
        <v>-82.38223000000001</v>
      </c>
      <c r="AI234" s="156" t="n">
        <v>36.105</v>
      </c>
    </row>
    <row r="235">
      <c r="AH235" s="156" t="n">
        <v>-82.48</v>
      </c>
      <c r="AI235" s="156" t="n">
        <v>35.99917</v>
      </c>
    </row>
    <row r="236">
      <c r="AH236" s="156" t="n">
        <v>-82.55916999999999</v>
      </c>
      <c r="AI236" s="156" t="n">
        <v>35.96111</v>
      </c>
    </row>
    <row r="237">
      <c r="AH237" s="156" t="n">
        <v>-82.59472</v>
      </c>
      <c r="AI237" s="156" t="n">
        <v>35.98028</v>
      </c>
    </row>
    <row r="238">
      <c r="AH238" s="156" t="n">
        <v>-82.59</v>
      </c>
      <c r="AI238" s="156" t="n">
        <v>36.03278</v>
      </c>
    </row>
    <row r="239">
      <c r="AH239" s="156" t="n">
        <v>-82.63028</v>
      </c>
      <c r="AI239" s="156" t="n">
        <v>36.06306</v>
      </c>
    </row>
    <row r="240">
      <c r="AH240" s="156" t="n">
        <v>-82.77084000000001</v>
      </c>
      <c r="AI240" s="156" t="n">
        <v>36</v>
      </c>
    </row>
    <row r="241">
      <c r="AH241" s="156" t="n">
        <v>-82.80417</v>
      </c>
      <c r="AI241" s="156" t="n">
        <v>35.93278</v>
      </c>
    </row>
    <row r="242">
      <c r="AH242" s="156" t="n">
        <v>-82.86555</v>
      </c>
      <c r="AI242" s="156" t="n">
        <v>35.95639</v>
      </c>
    </row>
    <row r="243">
      <c r="AH243" s="156" t="n">
        <v>-82.90416999999999</v>
      </c>
      <c r="AI243" s="156" t="n">
        <v>35.95028</v>
      </c>
    </row>
    <row r="244">
      <c r="AH244" s="156" t="n">
        <v>-82.91777999999999</v>
      </c>
      <c r="AI244" s="156" t="n">
        <v>35.92027</v>
      </c>
    </row>
    <row r="245">
      <c r="AH245" s="156" t="n">
        <v>-82.90472</v>
      </c>
      <c r="AI245" s="156" t="n">
        <v>35.88389</v>
      </c>
    </row>
    <row r="246">
      <c r="AH246" s="156" t="n">
        <v>-82.98721999999999</v>
      </c>
      <c r="AI246" s="156" t="n">
        <v>35.78166</v>
      </c>
    </row>
    <row r="247">
      <c r="AH247" s="156" t="n">
        <v>-83.075</v>
      </c>
      <c r="AI247" s="156" t="n">
        <v>35.79167</v>
      </c>
    </row>
    <row r="248">
      <c r="AH248" s="156" t="n">
        <v>-83.16278</v>
      </c>
      <c r="AI248" s="156" t="n">
        <v>35.76139</v>
      </c>
    </row>
    <row r="249">
      <c r="AH249" s="156" t="n">
        <v>-83.24639000000001</v>
      </c>
      <c r="AI249" s="156" t="n">
        <v>35.71667</v>
      </c>
    </row>
    <row r="250">
      <c r="AH250" s="156" t="n">
        <v>-83.29304999999999</v>
      </c>
      <c r="AI250" s="156" t="n">
        <v>35.66583</v>
      </c>
    </row>
    <row r="251">
      <c r="AH251" s="156" t="n">
        <v>-83.33750000000001</v>
      </c>
      <c r="AI251" s="156" t="n">
        <v>35.66806</v>
      </c>
    </row>
    <row r="252">
      <c r="AH252" s="156" t="n">
        <v>-83.37417000000001</v>
      </c>
      <c r="AI252" s="156" t="n">
        <v>35.63722</v>
      </c>
    </row>
    <row r="253">
      <c r="AH253" s="156" t="n">
        <v>-83.44611</v>
      </c>
      <c r="AI253" s="156" t="n">
        <v>35.61222</v>
      </c>
    </row>
    <row r="254">
      <c r="AH254" s="156" t="n">
        <v>-83.49223000000001</v>
      </c>
      <c r="AI254" s="156" t="n">
        <v>35.57111</v>
      </c>
    </row>
    <row r="255">
      <c r="AH255" s="156" t="n">
        <v>-83.57222</v>
      </c>
      <c r="AI255" s="156" t="n">
        <v>35.55888</v>
      </c>
    </row>
    <row r="256">
      <c r="AH256" s="156" t="n">
        <v>-83.60722</v>
      </c>
      <c r="AI256" s="156" t="n">
        <v>35.58112</v>
      </c>
    </row>
    <row r="257">
      <c r="AH257" s="156" t="n">
        <v>-83.63722</v>
      </c>
      <c r="AI257" s="156" t="n">
        <v>35.56528</v>
      </c>
    </row>
    <row r="258">
      <c r="AH258" s="156" t="n">
        <v>-83.74111000000001</v>
      </c>
      <c r="AI258" s="156" t="n">
        <v>35.56583</v>
      </c>
    </row>
    <row r="259">
      <c r="AH259" s="156" t="n">
        <v>-83.88695</v>
      </c>
      <c r="AI259" s="156" t="n">
        <v>35.51556</v>
      </c>
    </row>
    <row r="260">
      <c r="AH260" s="156" t="n">
        <v>-83.925</v>
      </c>
      <c r="AI260" s="156" t="n">
        <v>35.46611</v>
      </c>
    </row>
    <row r="261">
      <c r="AH261" s="156" t="n">
        <v>-83.97945</v>
      </c>
      <c r="AI261" s="156" t="n">
        <v>35.45222</v>
      </c>
    </row>
    <row r="262">
      <c r="AH262" s="156" t="n">
        <v>-84.01195</v>
      </c>
      <c r="AI262" s="156" t="n">
        <v>35.425</v>
      </c>
    </row>
    <row r="263">
      <c r="AH263" s="156" t="n">
        <v>-84.05083</v>
      </c>
      <c r="AI263" s="156" t="n">
        <v>35.28583</v>
      </c>
    </row>
    <row r="264">
      <c r="AH264" s="156" t="n">
        <v>-84.07917</v>
      </c>
      <c r="AI264" s="156" t="n">
        <v>35.265</v>
      </c>
    </row>
    <row r="265">
      <c r="AH265" s="156" t="n">
        <v>-84.19305</v>
      </c>
      <c r="AI265" s="156" t="n">
        <v>35.25195</v>
      </c>
    </row>
    <row r="266">
      <c r="AH266" s="156" t="n">
        <v>-84.23833</v>
      </c>
      <c r="AI266" s="156" t="n">
        <v>35.27</v>
      </c>
    </row>
    <row r="267">
      <c r="AH267" s="156" t="n">
        <v>-84.29111</v>
      </c>
      <c r="AI267" s="156" t="n">
        <v>35.23</v>
      </c>
    </row>
    <row r="268">
      <c r="AH268" s="156" t="n">
        <v>-84.32417</v>
      </c>
      <c r="AI268" s="156" t="n">
        <v>34.98611</v>
      </c>
    </row>
    <row r="270">
      <c r="AH270" s="156" t="n">
        <v>-86.83360999999999</v>
      </c>
      <c r="AI270" s="156" t="n">
        <v>34.99944</v>
      </c>
    </row>
    <row r="271">
      <c r="AH271" s="156" t="n">
        <v>-84.58417</v>
      </c>
      <c r="AI271" s="156" t="n">
        <v>35</v>
      </c>
    </row>
    <row r="273">
      <c r="AH273" s="156" t="n">
        <v>-90.30083</v>
      </c>
      <c r="AI273" s="156" t="n">
        <v>35.00166</v>
      </c>
    </row>
    <row r="274">
      <c r="AH274" s="156" t="n">
        <v>-88.19083000000001</v>
      </c>
      <c r="AI274" s="156" t="n">
        <v>35.0025</v>
      </c>
    </row>
    <row r="276">
      <c r="AH276" s="156" t="n">
        <v>-83.09778</v>
      </c>
      <c r="AI276" s="156" t="n">
        <v>35.00027</v>
      </c>
    </row>
    <row r="277">
      <c r="AH277" s="156" t="n">
        <v>-82.7775</v>
      </c>
      <c r="AI277" s="156" t="n">
        <v>35.09138</v>
      </c>
    </row>
    <row r="278">
      <c r="AH278" s="156" t="n">
        <v>-82.75444</v>
      </c>
      <c r="AI278" s="156" t="n">
        <v>35.07028</v>
      </c>
    </row>
    <row r="279">
      <c r="AH279" s="156" t="n">
        <v>-82.69667</v>
      </c>
      <c r="AI279" s="156" t="n">
        <v>35.0975</v>
      </c>
    </row>
    <row r="280">
      <c r="AH280" s="156" t="n">
        <v>-82.67722000000001</v>
      </c>
      <c r="AI280" s="156" t="n">
        <v>35.13083</v>
      </c>
    </row>
    <row r="281">
      <c r="AH281" s="156" t="n">
        <v>-82.65222</v>
      </c>
      <c r="AI281" s="156" t="n">
        <v>35.125</v>
      </c>
    </row>
    <row r="282">
      <c r="AH282" s="156" t="n">
        <v>-82.48389</v>
      </c>
      <c r="AI282" s="156" t="n">
        <v>35.17667</v>
      </c>
    </row>
    <row r="283">
      <c r="AH283" s="156" t="n">
        <v>-82.43555000000001</v>
      </c>
      <c r="AI283" s="156" t="n">
        <v>35.17472</v>
      </c>
    </row>
    <row r="284">
      <c r="AH284" s="156" t="n">
        <v>-82.39139</v>
      </c>
      <c r="AI284" s="156" t="n">
        <v>35.22083</v>
      </c>
    </row>
    <row r="285">
      <c r="AH285" s="156" t="n">
        <v>-82.36806</v>
      </c>
      <c r="AI285" s="156" t="n">
        <v>35.20056</v>
      </c>
    </row>
    <row r="286">
      <c r="AH286" s="156" t="n">
        <v>-82.325</v>
      </c>
      <c r="AI286" s="156" t="n">
        <v>35.19611</v>
      </c>
    </row>
    <row r="287">
      <c r="AH287" s="156" t="n">
        <v>-82.29056</v>
      </c>
      <c r="AI287" s="156" t="n">
        <v>35.20694</v>
      </c>
    </row>
    <row r="288">
      <c r="AH288" s="156" t="n">
        <v>-81.61104</v>
      </c>
      <c r="AI288" s="156" t="n">
        <v>35.18138</v>
      </c>
    </row>
    <row r="290">
      <c r="AH290" s="156" t="n">
        <v>-84.57971999999999</v>
      </c>
      <c r="AI290" s="156" t="n">
        <v>34.99722</v>
      </c>
    </row>
    <row r="291">
      <c r="AH291" s="156" t="n">
        <v>-84.315</v>
      </c>
      <c r="AI291" s="156" t="n">
        <v>34.98611</v>
      </c>
    </row>
    <row r="292">
      <c r="AH292" s="156" t="n">
        <v>-83.09639</v>
      </c>
      <c r="AI292" s="156" t="n">
        <v>35</v>
      </c>
    </row>
    <row r="294">
      <c r="AH294" s="156" t="n">
        <v>-86.8325</v>
      </c>
      <c r="AI294" s="156" t="n">
        <v>35.00222</v>
      </c>
    </row>
    <row r="295">
      <c r="AH295" s="156" t="n">
        <v>-88.19638999999999</v>
      </c>
      <c r="AI295" s="156" t="n">
        <v>35.02361</v>
      </c>
    </row>
    <row r="297">
      <c r="AH297" s="156" t="n">
        <v>-90.3775</v>
      </c>
      <c r="AI297" s="156" t="n">
        <v>36.49976</v>
      </c>
    </row>
    <row r="298">
      <c r="AH298" s="156" t="n">
        <v>-90.16222</v>
      </c>
      <c r="AI298" s="156" t="n">
        <v>36.49973</v>
      </c>
    </row>
    <row r="299">
      <c r="AH299" s="156" t="n">
        <v>-90.12694999999999</v>
      </c>
      <c r="AI299" s="156" t="n">
        <v>36.45361</v>
      </c>
    </row>
    <row r="300">
      <c r="AH300" s="156" t="n">
        <v>-90.12027999999999</v>
      </c>
      <c r="AI300" s="156" t="n">
        <v>36.41361</v>
      </c>
    </row>
    <row r="301">
      <c r="AH301" s="156" t="n">
        <v>-90.06416</v>
      </c>
      <c r="AI301" s="156" t="n">
        <v>36.37473</v>
      </c>
    </row>
    <row r="302">
      <c r="AH302" s="156" t="n">
        <v>-90.06944</v>
      </c>
      <c r="AI302" s="156" t="n">
        <v>36.28194</v>
      </c>
    </row>
    <row r="303">
      <c r="AH303" s="156" t="n">
        <v>-90.12139000000001</v>
      </c>
      <c r="AI303" s="156" t="n">
        <v>36.25694</v>
      </c>
    </row>
    <row r="304">
      <c r="AH304" s="156" t="n">
        <v>-90.13805000000001</v>
      </c>
      <c r="AI304" s="156" t="n">
        <v>36.21389</v>
      </c>
    </row>
    <row r="305">
      <c r="AH305" s="156" t="n">
        <v>-90.22583</v>
      </c>
      <c r="AI305" s="156" t="n">
        <v>36.17944</v>
      </c>
    </row>
    <row r="306">
      <c r="AH306" s="156" t="n">
        <v>-90.24834</v>
      </c>
      <c r="AI306" s="156" t="n">
        <v>36.13194</v>
      </c>
    </row>
    <row r="307">
      <c r="AH307" s="156" t="n">
        <v>-90.29861</v>
      </c>
      <c r="AI307" s="156" t="n">
        <v>36.11361</v>
      </c>
    </row>
    <row r="308">
      <c r="AH308" s="156" t="n">
        <v>-90.38276999999999</v>
      </c>
      <c r="AI308" s="156" t="n">
        <v>35.98556</v>
      </c>
    </row>
    <row r="309">
      <c r="AH309" s="156" t="n">
        <v>-89.72915999999999</v>
      </c>
      <c r="AI309" s="156" t="n">
        <v>36</v>
      </c>
    </row>
    <row r="311">
      <c r="AH311" s="156" t="n">
        <v>-83.35639</v>
      </c>
      <c r="AI311" s="156" t="n">
        <v>36.70639</v>
      </c>
    </row>
    <row r="312">
      <c r="AH312" s="156" t="n">
        <v>-83.41222</v>
      </c>
      <c r="AI312" s="156" t="n">
        <v>36.67416</v>
      </c>
    </row>
    <row r="313">
      <c r="AH313" s="156" t="n">
        <v>-83.50888999999999</v>
      </c>
      <c r="AI313" s="156" t="n">
        <v>36.66888</v>
      </c>
    </row>
    <row r="314">
      <c r="AH314" s="156" t="n">
        <v>-83.61750000000001</v>
      </c>
      <c r="AI314" s="156" t="n">
        <v>36.64056</v>
      </c>
    </row>
    <row r="315">
      <c r="AH315" s="156" t="n">
        <v>-83.67278</v>
      </c>
      <c r="AI315" s="156" t="n">
        <v>36.6025</v>
      </c>
    </row>
    <row r="317">
      <c r="AH317" s="156" t="n">
        <v>-85.61707</v>
      </c>
      <c r="AI317" s="156" t="n">
        <v>34.97196</v>
      </c>
    </row>
    <row r="318">
      <c r="AH318" s="156" t="n">
        <v>-85.62334</v>
      </c>
      <c r="AI318" s="156" t="n">
        <v>34.99917</v>
      </c>
    </row>
    <row r="320">
      <c r="AH320" s="156" t="n">
        <v>-89.56389</v>
      </c>
      <c r="AI320" s="156" t="n">
        <v>36.50083</v>
      </c>
    </row>
    <row r="321">
      <c r="AH321" s="156" t="n">
        <v>-89.49223000000001</v>
      </c>
      <c r="AI321" s="156" t="n">
        <v>36.50139</v>
      </c>
    </row>
  </sheetData>
  <mergeCells count="22">
    <mergeCell ref="G10:R10"/>
    <mergeCell ref="N9:Q9"/>
    <mergeCell ref="J3:M3"/>
    <mergeCell ref="S30:V30"/>
    <mergeCell ref="S29:V29"/>
    <mergeCell ref="G3:I3"/>
    <mergeCell ref="G5:I5"/>
    <mergeCell ref="J8:M8"/>
    <mergeCell ref="N4:Q4"/>
    <mergeCell ref="G4:I4"/>
    <mergeCell ref="J5:M5"/>
    <mergeCell ref="N7:Q7"/>
    <mergeCell ref="J9:M9"/>
    <mergeCell ref="N3:Q3"/>
    <mergeCell ref="G9:I9"/>
    <mergeCell ref="S28:V28"/>
    <mergeCell ref="N5:Q5"/>
    <mergeCell ref="N8:Q8"/>
    <mergeCell ref="J4:M4"/>
    <mergeCell ref="G8:I8"/>
    <mergeCell ref="J7:M7"/>
    <mergeCell ref="G7:I7"/>
  </mergeCells>
  <conditionalFormatting sqref="O12:O15">
    <cfRule type="dataBar" priority="1">
      <dataBar showValue="1">
        <cfvo type="num" val="0"/>
        <cfvo type="max"/>
        <color rgb="FFBBD4EE"/>
      </dataBar>
    </cfRule>
  </conditionalFormatting>
  <conditionalFormatting sqref="J3:M5">
    <cfRule type="expression" priority="2" dxfId="27" stopIfTrue="0">
      <formula>AND(COUNT($O$12:$O$15)&gt;1,(SMALL($O$12:$O$15,2)-MIN($O$12:$O$15))/MIN($O$12:$O$15)&lt;0.05)</formula>
    </cfRule>
  </conditionalFormatting>
  <conditionalFormatting sqref="N8">
    <cfRule type="expression" priority="3" dxfId="28" stopIfTrue="1">
      <formula>AND(COUNT($O$12:$O$15)&gt;1,COUNTIF($AB$12:$AB$36,INDEX($H$12:$H$15,MATCH(MIN($O$12:$O$15),$O$12:$O$15,0)))=25)</formula>
    </cfRule>
    <cfRule type="expression" priority="4" dxfId="27" stopIfTrue="0">
      <formula>AND(COUNT($O$12:$O$15)&gt;1,NOT(COUNTIF($AB$12:$AB$36,INDEX($H$12:$H$15,MATCH(MIN($O$12:$O$15),$O$12:$O$15,0)))=25))</formula>
    </cfRule>
  </conditionalFormatting>
  <conditionalFormatting sqref="G12:R15">
    <cfRule type="expression" priority="5" dxfId="29" stopIfTrue="0">
      <formula>AND($G12&lt;&gt;"",COUNT($O$12:$O$15)&gt;0,$O12=MIN($O$12:$O$15))</formula>
    </cfRule>
  </conditionalFormatting>
  <conditionalFormatting sqref="G22:P25">
    <cfRule type="expression" priority="6" dxfId="29" stopIfTrue="0">
      <formula>AND($G22&lt;&gt;"",COUNT($L$22:$L$25)&gt;0,$L22=MIN($L$22:$L$25))</formula>
    </cfRule>
  </conditionalFormatting>
  <pageMargins left="0.75" right="0.75" top="1" bottom="1" header="0.5" footer="0.5"/>
  <pageSetup orientation="landscape" fitToWidth="1" fitToHeight="0"/>
  <ignoredErrors>
    <ignoredError sqref="G4 J4 N4 G8 J8 N8" numberStoredAsText="1"/>
  </ignoredErrors>
  <drawing r:id="rId1"/>
</worksheet>
</file>

<file path=xl/worksheets/sheet15.xml><?xml version="1.0" encoding="utf-8"?>
<worksheet xmlns:r="http://schemas.openxmlformats.org/officeDocument/2006/relationships" xmlns="http://schemas.openxmlformats.org/spreadsheetml/2006/main">
  <sheetPr>
    <tabColor rgb="FFBFBFBF"/>
    <outlinePr summaryBelow="1" summaryRight="1"/>
    <pageSetUpPr fitToPage="1"/>
  </sheetPr>
  <dimension ref="A1:G114"/>
  <sheetViews>
    <sheetView workbookViewId="0">
      <pane ySplit="4" topLeftCell="A5" activePane="bottomLeft" state="frozen"/>
      <selection pane="bottomLeft" activeCell="A1" sqref="A1"/>
    </sheetView>
  </sheetViews>
  <sheetFormatPr baseColWidth="8" defaultRowHeight="15"/>
  <cols>
    <col width="40" customWidth="1" min="1" max="1"/>
    <col width="22" customWidth="1" min="2" max="2"/>
    <col width="20" customWidth="1" min="3" max="3"/>
    <col width="24" customWidth="1" min="4" max="4"/>
    <col width="14" customWidth="1" min="5" max="5"/>
    <col width="40" customWidth="1" min="6" max="6"/>
    <col width="52" customWidth="1" min="7" max="7"/>
  </cols>
  <sheetData>
    <row r="1" ht="40" customHeight="1">
      <c r="A1" s="158">
        <f>HYPERLINK("#'General Information'!D9","◄ General Information")</f>
        <v/>
      </c>
      <c r="B1" s="159">
        <f>HYPERLINK("#Summary!G1","Summary")</f>
        <v/>
      </c>
    </row>
    <row r="2">
      <c r="A2" s="160" t="inlineStr">
        <is>
          <t>Reference sheet: nothing here feeds the calculation.</t>
        </is>
      </c>
    </row>
    <row r="3">
      <c r="A3" s="161" t="inlineStr">
        <is>
          <t>TYPICAL VALUES AND HELPERS FOR THE INPUTS</t>
        </is>
      </c>
    </row>
    <row r="4" ht="30" customHeight="1">
      <c r="A4" s="162" t="inlineStr">
        <is>
          <t>Reference only: nothing on this sheet feeds the calculation. Use it to sanity-check what you type on General Information and the alternative worksheets. Values are ranges from the cited sources as of the date in the source column; confirm against current bid tabulations for a specific project.</t>
        </is>
      </c>
    </row>
    <row r="6">
      <c r="A6" s="163" t="inlineStr">
        <is>
          <t>1. What TDOT Aeronautics manages (context for project size)</t>
        </is>
      </c>
      <c r="B6" s="164" t="n"/>
      <c r="C6" s="164" t="n"/>
      <c r="D6" s="164" t="n"/>
      <c r="E6" s="164" t="n"/>
      <c r="F6" s="164" t="n"/>
      <c r="G6" s="164" t="n"/>
    </row>
    <row r="7">
      <c r="A7" s="165" t="inlineStr">
        <is>
          <t>Item</t>
        </is>
      </c>
      <c r="B7" s="165" t="inlineStr">
        <is>
          <t>Value</t>
        </is>
      </c>
      <c r="C7" s="165" t="inlineStr">
        <is>
          <t>Unit</t>
        </is>
      </c>
      <c r="D7" s="165" t="inlineStr">
        <is>
          <t>Year</t>
        </is>
      </c>
      <c r="E7" s="165" t="inlineStr"/>
      <c r="F7" s="165" t="inlineStr"/>
      <c r="G7" s="165" t="inlineStr">
        <is>
          <t>Source</t>
        </is>
      </c>
    </row>
    <row r="8">
      <c r="A8" s="166" t="inlineStr">
        <is>
          <t>Public-use airports in the Tennessee system (TASP 2040)</t>
        </is>
      </c>
      <c r="B8" s="167" t="n">
        <v>78</v>
      </c>
      <c r="C8" s="166" t="inlineStr">
        <is>
          <t>airports</t>
        </is>
      </c>
      <c r="D8" s="168" t="n">
        <v>2021</v>
      </c>
      <c r="E8" s="166" t="inlineStr"/>
      <c r="F8" s="166" t="inlineStr"/>
      <c r="G8" s="169" t="inlineStr">
        <is>
          <t>https://www.tasp2040.com/wp-content/uploads/2021/03/Updated-TASP-Inventory-Existing-System-Conditions-March-2021-v3.pdf</t>
        </is>
      </c>
    </row>
    <row r="9">
      <c r="A9" s="166" t="inlineStr">
        <is>
          <t>Commercial service / general aviation</t>
        </is>
      </c>
      <c r="B9" s="166" t="inlineStr">
        <is>
          <t>6 / 72</t>
        </is>
      </c>
      <c r="C9" s="166" t="inlineStr">
        <is>
          <t>airports</t>
        </is>
      </c>
      <c r="D9" s="168" t="n">
        <v>2021</v>
      </c>
      <c r="E9" s="166" t="inlineStr"/>
      <c r="F9" s="166" t="inlineStr"/>
      <c r="G9" s="169" t="inlineStr">
        <is>
          <t>https://www.tasp2040.com/wp-content/uploads/2021/03/Updated-TASP-Inventory-Existing-System-Conditions-March-2021-v3.pdf</t>
        </is>
      </c>
    </row>
    <row r="10">
      <c r="A10" s="166" t="inlineStr">
        <is>
          <t>Airports in the FAA NPIAS (eligible for AIP)</t>
        </is>
      </c>
      <c r="B10" s="167" t="n">
        <v>69</v>
      </c>
      <c r="C10" s="166" t="inlineStr">
        <is>
          <t>airports</t>
        </is>
      </c>
      <c r="D10" s="168" t="n">
        <v>2021</v>
      </c>
      <c r="E10" s="166" t="inlineStr"/>
      <c r="F10" s="166" t="inlineStr"/>
      <c r="G10" s="169" t="inlineStr">
        <is>
          <t>https://www.tasp2040.com/wp-content/uploads/2020/12/Chapter-7-Airport-Classifications-and-NPIAS-Evaluation.pdf</t>
        </is>
      </c>
    </row>
    <row r="11">
      <c r="A11" s="166" t="inlineStr">
        <is>
          <t>Airports in the TDOT pavement management network (APTech APMS, PCI per ASTM D5340)</t>
        </is>
      </c>
      <c r="B11" s="166" t="inlineStr">
        <is>
          <t>~70</t>
        </is>
      </c>
      <c r="C11" s="166" t="inlineStr">
        <is>
          <t>airports</t>
        </is>
      </c>
      <c r="D11" s="168" t="n">
        <v>2022</v>
      </c>
      <c r="E11" s="166" t="inlineStr"/>
      <c r="F11" s="166" t="inlineStr"/>
      <c r="G11" s="169" t="inlineStr">
        <is>
          <t>https://www.appliedpavement.com/tennessee-apms</t>
        </is>
      </c>
    </row>
    <row r="12">
      <c r="A12" s="166" t="inlineStr">
        <is>
          <t>PCI performance objective, runways / taxiways</t>
        </is>
      </c>
      <c r="B12" s="166" t="inlineStr">
        <is>
          <t>78 / 75</t>
        </is>
      </c>
      <c r="C12" s="166" t="inlineStr">
        <is>
          <t>PCI</t>
        </is>
      </c>
      <c r="D12" s="168" t="n">
        <v>2021</v>
      </c>
      <c r="E12" s="166" t="inlineStr"/>
      <c r="F12" s="166" t="inlineStr"/>
      <c r="G12" s="169" t="inlineStr">
        <is>
          <t>https://www.tn.gov/content/dam/tn/tdot/aeronautics/TN%20Airport%20Management%20Guide%20FINAL.pdf</t>
        </is>
      </c>
    </row>
    <row r="13">
      <c r="A13" s="166" t="inlineStr">
        <is>
          <t>TASP system-wide estimate: pavement rehabilitation (10-yr life goal)</t>
        </is>
      </c>
      <c r="B13" s="167" t="n">
        <v>70865874</v>
      </c>
      <c r="C13" s="166" t="inlineStr">
        <is>
          <t>$</t>
        </is>
      </c>
      <c r="D13" s="168" t="n">
        <v>2021</v>
      </c>
      <c r="E13" s="166" t="inlineStr"/>
      <c r="F13" s="166" t="inlineStr"/>
      <c r="G13" s="169" t="inlineStr">
        <is>
          <t>https://www.tasp2040.com/wp-content/uploads/2021/09/TASP-Cost-Estimate-Chapter.pdf</t>
        </is>
      </c>
    </row>
    <row r="14">
      <c r="A14" s="166" t="inlineStr">
        <is>
          <t>TASP system-wide estimate: pavement new / reconstruction (20-yr life goal)</t>
        </is>
      </c>
      <c r="B14" s="167" t="n">
        <v>173117648</v>
      </c>
      <c r="C14" s="166" t="inlineStr">
        <is>
          <t>$</t>
        </is>
      </c>
      <c r="D14" s="168" t="n">
        <v>2021</v>
      </c>
      <c r="E14" s="166" t="inlineStr"/>
      <c r="F14" s="166" t="inlineStr"/>
      <c r="G14" s="169" t="inlineStr">
        <is>
          <t>https://www.tasp2040.com/wp-content/uploads/2021/09/TASP-Cost-Estimate-Chapter.pdf</t>
        </is>
      </c>
    </row>
    <row r="15">
      <c r="A15" s="166" t="inlineStr">
        <is>
          <t>State share on GA capital projects (federal or state funded)</t>
        </is>
      </c>
      <c r="B15" s="166" t="inlineStr">
        <is>
          <t>up to 90% (10% local); 95/5 on federal discretionary</t>
        </is>
      </c>
      <c r="C15" s="166" t="inlineStr"/>
      <c r="D15" s="168" t="n">
        <v>2023</v>
      </c>
      <c r="E15" s="166" t="inlineStr"/>
      <c r="F15" s="166" t="inlineStr"/>
      <c r="G15" s="169" t="inlineStr">
        <is>
          <t>https://www.tn.gov/content/dam/tn/tdot/documents/170-02.pdf</t>
        </is>
      </c>
    </row>
    <row r="16">
      <c r="A16" s="166" t="inlineStr">
        <is>
          <t>Statewide Airfield Pavement and Marking Maintenance Program (crack seal, seal coat, markings)</t>
        </is>
      </c>
      <c r="B16" s="166" t="inlineStr">
        <is>
          <t>100% state funded, no local share</t>
        </is>
      </c>
      <c r="C16" s="166" t="inlineStr"/>
      <c r="D16" s="168" t="n">
        <v>2024</v>
      </c>
      <c r="E16" s="166" t="inlineStr"/>
      <c r="F16" s="166" t="inlineStr"/>
      <c r="G16" s="169" t="inlineStr">
        <is>
          <t>https://www.tn.gov/tdot/aeronautics/apmm-contract.html</t>
        </is>
      </c>
    </row>
    <row r="17">
      <c r="A17" s="166" t="inlineStr">
        <is>
          <t>Pavement areas and PCI by airport (statewide tables)</t>
        </is>
      </c>
      <c r="B17" s="166" t="inlineStr">
        <is>
          <t>see APTech IDEA portal</t>
        </is>
      </c>
      <c r="C17" s="166" t="inlineStr"/>
      <c r="D17" s="168" t="n">
        <v>2022</v>
      </c>
      <c r="E17" s="166" t="inlineStr"/>
      <c r="F17" s="166" t="inlineStr"/>
      <c r="G17" s="169" t="inlineStr">
        <is>
          <t>https://idea.appliedpavement.com/hosting/tennessee/statewide-summary/inventory-area/area-by-airport-table.html</t>
        </is>
      </c>
    </row>
    <row r="18">
      <c r="A18" s="166" t="inlineStr">
        <is>
          <t>NPIAS 2025-2029 classification of each TN airport (National / Regional / Local / Basic)</t>
        </is>
      </c>
      <c r="B18" s="166" t="inlineStr">
        <is>
          <t>see Appendix A</t>
        </is>
      </c>
      <c r="C18" s="166" t="inlineStr"/>
      <c r="D18" s="168" t="n">
        <v>2024</v>
      </c>
      <c r="E18" s="166" t="inlineStr"/>
      <c r="F18" s="166" t="inlineStr"/>
      <c r="G18" s="169" t="inlineStr">
        <is>
          <t>https://www.faa.gov/sites/faa.gov/files/airports/planning_capacity/npias/current/ARP-NPIAS-2025-2029-Appendix-A.pdf</t>
        </is>
      </c>
    </row>
    <row r="19" ht="26" customHeight="1">
      <c r="A19" s="162" t="inlineStr">
        <is>
          <t>The workbook dropdown holds the TASP airports (count in the live section below). The 17 airports with revenue data are those meeting Aeronautics' activity criteria.</t>
        </is>
      </c>
    </row>
    <row r="21">
      <c r="A21" s="163" t="inlineStr">
        <is>
          <t>2. Typical runway geometry at Tennessee GA airports (for D26 mainline area and D28 markings)</t>
        </is>
      </c>
      <c r="B21" s="164" t="n"/>
      <c r="C21" s="164" t="n"/>
      <c r="D21" s="164" t="n"/>
      <c r="E21" s="164" t="n"/>
      <c r="F21" s="164" t="n"/>
      <c r="G21" s="164" t="n"/>
    </row>
    <row r="22">
      <c r="A22" s="165" t="inlineStr">
        <is>
          <t>Airport</t>
        </is>
      </c>
      <c r="B22" s="165" t="inlineStr">
        <is>
          <t>Runway</t>
        </is>
      </c>
      <c r="C22" s="165" t="inlineStr">
        <is>
          <t>Length x width (ft)</t>
        </is>
      </c>
      <c r="D22" s="165" t="inlineStr">
        <is>
          <t>Mainline area (SY)</t>
        </is>
      </c>
      <c r="E22" s="165" t="inlineStr">
        <is>
          <t>Role</t>
        </is>
      </c>
      <c r="F22" s="165" t="inlineStr">
        <is>
          <t>Note</t>
        </is>
      </c>
      <c r="G22" s="165" t="inlineStr">
        <is>
          <t>Source</t>
        </is>
      </c>
    </row>
    <row r="23">
      <c r="A23" s="166" t="inlineStr">
        <is>
          <t>Murfreesboro Municipal (MBT)</t>
        </is>
      </c>
      <c r="B23" s="166" t="inlineStr">
        <is>
          <t>18/36</t>
        </is>
      </c>
      <c r="C23" s="166" t="inlineStr">
        <is>
          <t>4,753 x 100</t>
        </is>
      </c>
      <c r="D23" s="167" t="n">
        <v>52811</v>
      </c>
      <c r="E23" s="166" t="inlineStr">
        <is>
          <t>GA, Middle</t>
        </is>
      </c>
      <c r="F23" s="166" t="inlineStr">
        <is>
          <t>workbook MBT run used 52,778 SY</t>
        </is>
      </c>
      <c r="G23" s="169" t="inlineStr">
        <is>
          <t>https://en.wikipedia.org/wiki/Murfreesboro_Municipal_Airport</t>
        </is>
      </c>
    </row>
    <row r="24">
      <c r="A24" s="166" t="inlineStr">
        <is>
          <t>Bomar Field, Shelbyville (SYI)</t>
        </is>
      </c>
      <c r="B24" s="166" t="inlineStr">
        <is>
          <t>18/36</t>
        </is>
      </c>
      <c r="C24" s="166" t="inlineStr">
        <is>
          <t>5,503 x 100</t>
        </is>
      </c>
      <c r="D24" s="167" t="n">
        <v>61144</v>
      </c>
      <c r="E24" s="166" t="inlineStr">
        <is>
          <t>GA, Middle</t>
        </is>
      </c>
      <c r="F24" s="166" t="inlineStr"/>
      <c r="G24" s="169" t="inlineStr">
        <is>
          <t>https://en.wikipedia.org/wiki/Shelbyville_Municipal_Airport_(Tennessee)</t>
        </is>
      </c>
    </row>
    <row r="25">
      <c r="A25" s="166" t="inlineStr">
        <is>
          <t>Gatlinburg-Pigeon Forge (GKT)</t>
        </is>
      </c>
      <c r="B25" s="166" t="inlineStr">
        <is>
          <t>10/28</t>
        </is>
      </c>
      <c r="C25" s="166" t="inlineStr">
        <is>
          <t>5,506 x 75</t>
        </is>
      </c>
      <c r="D25" s="167" t="n">
        <v>45883</v>
      </c>
      <c r="E25" s="166" t="inlineStr">
        <is>
          <t>GA, East</t>
        </is>
      </c>
      <c r="F25" s="166" t="inlineStr">
        <is>
          <t>75-ft width</t>
        </is>
      </c>
      <c r="G25" s="169" t="inlineStr">
        <is>
          <t>https://en.wikipedia.org/wiki/Gatlinburg%E2%80%93Pigeon_Forge_Airport</t>
        </is>
      </c>
    </row>
    <row r="26">
      <c r="A26" s="166" t="inlineStr">
        <is>
          <t>Outlaw Field, Clarksville (CKV)</t>
        </is>
      </c>
      <c r="B26" s="166" t="inlineStr">
        <is>
          <t>17/35</t>
        </is>
      </c>
      <c r="C26" s="166" t="inlineStr">
        <is>
          <t>5,999 x 100</t>
        </is>
      </c>
      <c r="D26" s="167" t="n">
        <v>66656</v>
      </c>
      <c r="E26" s="166" t="inlineStr">
        <is>
          <t>GA, Middle</t>
        </is>
      </c>
      <c r="F26" s="166" t="inlineStr">
        <is>
          <t>used in the new-project test</t>
        </is>
      </c>
      <c r="G26" s="169" t="inlineStr">
        <is>
          <t>https://en.wikipedia.org/wiki/Clarksville%E2%80%93Montgomery_County_Regional_Airport</t>
        </is>
      </c>
    </row>
    <row r="27">
      <c r="A27" s="166" t="inlineStr">
        <is>
          <t>McKellar-Sipes Regional (MKL)</t>
        </is>
      </c>
      <c r="B27" s="166" t="inlineStr">
        <is>
          <t>2/20</t>
        </is>
      </c>
      <c r="C27" s="166" t="inlineStr">
        <is>
          <t>6,005 x 150</t>
        </is>
      </c>
      <c r="D27" s="167" t="n">
        <v>100083</v>
      </c>
      <c r="E27" s="166" t="inlineStr">
        <is>
          <t>GA, West</t>
        </is>
      </c>
      <c r="F27" s="166" t="inlineStr">
        <is>
          <t>rebuilt 2024, ~$28M all-in</t>
        </is>
      </c>
      <c r="G27" s="169" t="inlineStr">
        <is>
          <t>https://www.wbbjtv.com/2024/08/28/mckellar-sipes-regional-airport-set-to-complete-runway-2-20-paving-preparing-for-new-jet-service/</t>
        </is>
      </c>
    </row>
    <row r="28">
      <c r="A28" s="166" t="inlineStr">
        <is>
          <t>Smyrna (MQY)</t>
        </is>
      </c>
      <c r="B28" s="166" t="inlineStr">
        <is>
          <t>1/19</t>
        </is>
      </c>
      <c r="C28" s="166" t="inlineStr">
        <is>
          <t>5,546 x 100</t>
        </is>
      </c>
      <c r="D28" s="167" t="n">
        <v>61622</v>
      </c>
      <c r="E28" s="166" t="inlineStr">
        <is>
          <t>GA, Middle</t>
        </is>
      </c>
      <c r="F28" s="166" t="inlineStr">
        <is>
          <t>reconstructed 2025, ~$13M all-in</t>
        </is>
      </c>
      <c r="G28" s="169" t="inlineStr">
        <is>
          <t>https://www.smyrnaairport.com/news-events/smyrna-airport-runway-119-grand-opening</t>
        </is>
      </c>
    </row>
    <row r="29">
      <c r="A29" s="166" t="inlineStr">
        <is>
          <t>Smyrna (MQY)</t>
        </is>
      </c>
      <c r="B29" s="166" t="inlineStr">
        <is>
          <t>14/32</t>
        </is>
      </c>
      <c r="C29" s="166" t="inlineStr">
        <is>
          <t>8,038 x 150</t>
        </is>
      </c>
      <c r="D29" s="167" t="n">
        <v>133967</v>
      </c>
      <c r="E29" s="166" t="inlineStr">
        <is>
          <t>GA, Middle</t>
        </is>
      </c>
      <c r="F29" s="166" t="inlineStr">
        <is>
          <t>former military</t>
        </is>
      </c>
      <c r="G29" s="169" t="inlineStr">
        <is>
          <t>https://en.wikipedia.org/wiki/Smyrna_Airport_(Tennessee)</t>
        </is>
      </c>
    </row>
    <row r="30">
      <c r="A30" s="166" t="inlineStr">
        <is>
          <t>Typical TN GA runway</t>
        </is>
      </c>
      <c r="B30" s="166" t="inlineStr"/>
      <c r="C30" s="166" t="inlineStr">
        <is>
          <t>4,000 to 6,000 x 75 or 100</t>
        </is>
      </c>
      <c r="D30" s="166" t="inlineStr">
        <is>
          <t>33,000 to 67,000</t>
        </is>
      </c>
      <c r="E30" s="166" t="inlineStr"/>
      <c r="F30" s="166" t="inlineStr">
        <is>
          <t>TASP Regional Service minimum width 100 ft</t>
        </is>
      </c>
      <c r="G30" s="169" t="inlineStr">
        <is>
          <t>https://www.tasp2040.com/wp-content/uploads/2020/12/Chapter-7-Airport-Classifications-and-NPIAS-Evaluation.pdf</t>
        </is>
      </c>
    </row>
    <row r="31">
      <c r="A31" s="166" t="inlineStr">
        <is>
          <t>Markings area rule of thumb</t>
        </is>
      </c>
      <c r="B31" s="166" t="inlineStr"/>
      <c r="C31" s="166" t="inlineStr"/>
      <c r="D31" s="166" t="inlineStr"/>
      <c r="E31" s="166" t="inlineStr"/>
      <c r="F31" s="166" t="inlineStr">
        <is>
          <t>2,000 to 3,000 SF per 1,000 ft of runway for a full runway marking set (centerline, thresholds, designators, aiming points, TDZ where applicable); use the marking plan quantity when available</t>
        </is>
      </c>
      <c r="G31" s="166" t="inlineStr">
        <is>
          <t>engineering judgement; verify with the marking plan</t>
        </is>
      </c>
    </row>
    <row r="32" ht="26" customHeight="1">
      <c r="A32" s="162" t="inlineStr">
        <is>
          <t>Mainline area = length x width / 9. Shoulders (D27) are usually unpaved at TN GA airports; enter paved shoulders only. Area drives the closure-day defaults on the alternative sheets.</t>
        </is>
      </c>
    </row>
    <row r="34">
      <c r="A34" s="163" t="inlineStr">
        <is>
          <t>3. Unit costs: workbook defaults (Pay_Items, column F) against recent bids</t>
        </is>
      </c>
      <c r="B34" s="164" t="n"/>
      <c r="C34" s="164" t="n"/>
      <c r="D34" s="164" t="n"/>
      <c r="E34" s="164" t="n"/>
      <c r="F34" s="164" t="n"/>
      <c r="G34" s="164" t="n"/>
    </row>
    <row r="35">
      <c r="A35" s="165" t="inlineStr">
        <is>
          <t>Pay item</t>
        </is>
      </c>
      <c r="B35" s="165" t="inlineStr">
        <is>
          <t>Workbook default (live)</t>
        </is>
      </c>
      <c r="C35" s="165" t="inlineStr">
        <is>
          <t>Unit</t>
        </is>
      </c>
      <c r="D35" s="165" t="inlineStr">
        <is>
          <t>Recent bid range</t>
        </is>
      </c>
      <c r="E35" s="165" t="inlineStr">
        <is>
          <t>Year</t>
        </is>
      </c>
      <c r="F35" s="165" t="inlineStr">
        <is>
          <t>Reading</t>
        </is>
      </c>
      <c r="G35" s="165" t="inlineStr">
        <is>
          <t>Source</t>
        </is>
      </c>
    </row>
    <row r="36">
      <c r="A36" s="166" t="inlineStr">
        <is>
          <t>P-401 Asphalt Surface Course</t>
        </is>
      </c>
      <c r="B36" s="170">
        <f>IFERROR(VLOOKUP("Asphalt Surface Course",Pay_Items!$D:$F,3,0),"")</f>
        <v/>
      </c>
      <c r="C36" s="166" t="inlineStr">
        <is>
          <t>$/ton</t>
        </is>
      </c>
      <c r="D36" s="166" t="inlineStr">
        <is>
          <t>185 (low bid) to 232 (engineer's estimate)</t>
        </is>
      </c>
      <c r="E36" s="167" t="n">
        <v>2025</v>
      </c>
      <c r="F36" s="166" t="inlineStr">
        <is>
          <t>Workbook default looks low against 2025 southeastern bids; confirm before relying on the default</t>
        </is>
      </c>
      <c r="G36" s="169" t="inlineStr">
        <is>
          <t>https://aeronautics.sc.gov/sites/default/files/2025-05/250521_FLO_Rehab_Twy_A.pdf</t>
        </is>
      </c>
    </row>
    <row r="37">
      <c r="A37" s="166" t="inlineStr">
        <is>
          <t>P-401 Asphalt Base Course</t>
        </is>
      </c>
      <c r="B37" s="170">
        <f>IFERROR(VLOOKUP("Asphalt Base Course",Pay_Items!$D:$F,3,0),"")</f>
        <v/>
      </c>
      <c r="C37" s="166" t="inlineStr">
        <is>
          <t>$/ton</t>
        </is>
      </c>
      <c r="D37" s="166" t="inlineStr">
        <is>
          <t>typically 5 to 10% below surface course</t>
        </is>
      </c>
      <c r="E37" s="166" t="inlineStr"/>
      <c r="F37" s="166" t="inlineStr"/>
      <c r="G37" s="169" t="inlineStr">
        <is>
          <t>https://aeronautics.sc.gov/airport-development/sc-airport-capital-project-bid-tabulations</t>
        </is>
      </c>
    </row>
    <row r="38">
      <c r="A38" s="166" t="inlineStr">
        <is>
          <t>P-501 Concrete Pavement, 9-inch</t>
        </is>
      </c>
      <c r="B38" s="170">
        <f>IFERROR(VLOOKUP("Concrete Pavement, 9-inch",Pay_Items!$D:$F,3,0),"")</f>
        <v/>
      </c>
      <c r="C38" s="166" t="inlineStr">
        <is>
          <t>$/SY</t>
        </is>
      </c>
      <c r="D38" s="166" t="inlineStr">
        <is>
          <t>165 (8-in doweled apron, planning value)</t>
        </is>
      </c>
      <c r="E38" s="167" t="n">
        <v>2023</v>
      </c>
      <c r="F38" s="166" t="inlineStr">
        <is>
          <t>Planning value from another state DOT; obtain a TN or southeastern PCC bid before use</t>
        </is>
      </c>
      <c r="G38" s="169" t="inlineStr">
        <is>
          <t>https://www.dot.state.mn.us/aero/planning/documents/sasp/saspappendixf.pdf</t>
        </is>
      </c>
    </row>
    <row r="39">
      <c r="A39" s="166" t="inlineStr">
        <is>
          <t>P-209 Crushed Aggregate Base Course</t>
        </is>
      </c>
      <c r="B39" s="170">
        <f>IFERROR(VLOOKUP("Crushed Aggregate Base Course",Pay_Items!$D:$F,3,0),"")</f>
        <v/>
      </c>
      <c r="C39" s="166" t="inlineStr">
        <is>
          <t>$/CY</t>
        </is>
      </c>
      <c r="D39" s="166" t="inlineStr">
        <is>
          <t>not found in open sources; see SC bid tabs</t>
        </is>
      </c>
      <c r="E39" s="166" t="inlineStr"/>
      <c r="F39" s="166" t="inlineStr"/>
      <c r="G39" s="169" t="inlineStr">
        <is>
          <t>https://aeronautics.sc.gov/airport-development/sc-airport-capital-project-bid-tabulations</t>
        </is>
      </c>
    </row>
    <row r="40">
      <c r="A40" s="166" t="inlineStr">
        <is>
          <t>P-154 Subbase Course</t>
        </is>
      </c>
      <c r="B40" s="170">
        <f>IFERROR(VLOOKUP("Subbase Course",Pay_Items!$D:$F,3,0),"")</f>
        <v/>
      </c>
      <c r="C40" s="166" t="inlineStr">
        <is>
          <t>$/CY</t>
        </is>
      </c>
      <c r="D40" s="166" t="inlineStr">
        <is>
          <t>not found in open sources; see SC bid tabs</t>
        </is>
      </c>
      <c r="E40" s="166" t="inlineStr"/>
      <c r="F40" s="166" t="inlineStr"/>
      <c r="G40" s="169" t="inlineStr">
        <is>
          <t>https://aeronautics.sc.gov/airport-development/sc-airport-capital-project-bid-tabulations</t>
        </is>
      </c>
    </row>
    <row r="41">
      <c r="A41" s="166" t="inlineStr">
        <is>
          <t>P-101 Cold Milling</t>
        </is>
      </c>
      <c r="B41" s="170">
        <f>IFERROR(VLOOKUP("Cold Milling",Pay_Items!$D:$F,3,0),"")</f>
        <v/>
      </c>
      <c r="C41" s="166" t="inlineStr">
        <is>
          <t>$/SY</t>
        </is>
      </c>
      <c r="D41" s="166" t="inlineStr">
        <is>
          <t>4.70 (3-in, low bid) to 10.00 (variable depth, EE)</t>
        </is>
      </c>
      <c r="E41" s="167" t="n">
        <v>2025</v>
      </c>
      <c r="F41" s="166" t="inlineStr"/>
      <c r="G41" s="169" t="inlineStr">
        <is>
          <t>https://aeronautics.sc.gov/sites/default/files/2025-05/250521_FLO_Rehab_Twy_A.pdf</t>
        </is>
      </c>
    </row>
    <row r="42">
      <c r="A42" s="166" t="inlineStr">
        <is>
          <t>P-608 Emulsified Asphalt Surface Treatment</t>
        </is>
      </c>
      <c r="B42" s="170">
        <f>IFERROR(VLOOKUP("Emulsified Asphalt Surface Treatment",Pay_Items!$D:$F,3,0),"")</f>
        <v/>
      </c>
      <c r="C42" s="166" t="inlineStr">
        <is>
          <t>$/SY</t>
        </is>
      </c>
      <c r="D42" s="166" t="inlineStr">
        <is>
          <t>TDOT APMM 2022 Summary of Bids</t>
        </is>
      </c>
      <c r="E42" s="167" t="n">
        <v>2022</v>
      </c>
      <c r="F42" s="166" t="inlineStr">
        <is>
          <t>State maintenance contract prices apply to seal coats and crack sealing</t>
        </is>
      </c>
      <c r="G42" s="169" t="inlineStr">
        <is>
          <t>https://www.tn.gov/tdot/aeronautics/apmm-contract.html</t>
        </is>
      </c>
    </row>
    <row r="43">
      <c r="A43" s="166" t="inlineStr">
        <is>
          <t>P-620 Markings (reflective)</t>
        </is>
      </c>
      <c r="B43" s="170">
        <f>IFERROR(VLOOKUP("Markings (prep, markings, reflective media)",Pay_Items!$D:$F,3,0),"")</f>
        <v/>
      </c>
      <c r="C43" s="166" t="inlineStr">
        <is>
          <t>$/SF</t>
        </is>
      </c>
      <c r="D43" s="166" t="inlineStr">
        <is>
          <t>TDOT APMM 2022 Summary of Bids</t>
        </is>
      </c>
      <c r="E43" s="167" t="n">
        <v>2022</v>
      </c>
      <c r="F43" s="166" t="inlineStr"/>
      <c r="G43" s="169" t="inlineStr">
        <is>
          <t>https://www.tn.gov/tdot/aeronautics/apmm-contract.html</t>
        </is>
      </c>
    </row>
    <row r="44">
      <c r="A44" s="166" t="inlineStr">
        <is>
          <t>All-in runway reconstruction, TN 2024-2025 (pavement + lighting + grading)</t>
        </is>
      </c>
      <c r="B44" s="166" t="inlineStr"/>
      <c r="C44" s="166" t="inlineStr">
        <is>
          <t>$/SY</t>
        </is>
      </c>
      <c r="D44" s="166" t="inlineStr">
        <is>
          <t>210 (Smyrna 1/19) to 280 (MKL 2/20)</t>
        </is>
      </c>
      <c r="E44" s="167" t="n">
        <v>2025</v>
      </c>
      <c r="F44" s="166" t="inlineStr">
        <is>
          <t>Project-level figures; the LCCA compares pavement pay items only</t>
        </is>
      </c>
      <c r="G44" s="169" t="inlineStr">
        <is>
          <t>https://www.smyrnaairport.com/news-events/smyrna-airport-runway-119-grand-opening</t>
        </is>
      </c>
    </row>
    <row r="45">
      <c r="A45" s="166" t="inlineStr">
        <is>
          <t>State maintenance project example (Dyersburg): &gt;200,000 LF crack seal, &gt;121,000 SY seal coat, markings</t>
        </is>
      </c>
      <c r="B45" s="167" t="n">
        <v>820000</v>
      </c>
      <c r="C45" s="166" t="inlineStr">
        <is>
          <t>$</t>
        </is>
      </c>
      <c r="D45" s="166" t="inlineStr"/>
      <c r="E45" s="167" t="n">
        <v>2023</v>
      </c>
      <c r="F45" s="166" t="inlineStr">
        <is>
          <t>about $5/SY of runway treated</t>
        </is>
      </c>
      <c r="G45" s="169" t="inlineStr">
        <is>
          <t>https://www.stategazette.com/news/regional-airport-receives-state-grant/article_5fd852fd-1d67-525c-b6fc-b32fbc676bdc.html</t>
        </is>
      </c>
    </row>
    <row r="46" ht="26" customHeight="1">
      <c r="A46" s="162" t="inlineStr">
        <is>
          <t>Pay_Items column F holds the default unit cost used by the alternative sheets (regional columns G:I are blank in v1.2.0). The defaults date from the 2022 framework; the 2025 comparison rows suggest the asphalt default is below current bids. Updating Pay_Items is the only place a cost needs to change.</t>
        </is>
      </c>
    </row>
    <row r="48">
      <c r="A48" s="163" t="inlineStr">
        <is>
          <t>4. Closure-day defaults built into the alternative sheets (cells F4:F10; override with project-specific values)</t>
        </is>
      </c>
      <c r="B48" s="164" t="n"/>
      <c r="C48" s="164" t="n"/>
      <c r="D48" s="164" t="n"/>
      <c r="E48" s="164" t="n"/>
      <c r="F48" s="164" t="n"/>
      <c r="G48" s="164" t="n"/>
    </row>
    <row r="49">
      <c r="A49" s="165" t="inlineStr">
        <is>
          <t>Operation</t>
        </is>
      </c>
      <c r="B49" s="165" t="inlineStr">
        <is>
          <t>Production rate in the formula</t>
        </is>
      </c>
      <c r="C49" s="165" t="inlineStr">
        <is>
          <t>Days for a 6,000 x 100 ft runway (66,667 SY, 15,000 SF markings)</t>
        </is>
      </c>
      <c r="D49" s="165" t="inlineStr">
        <is>
          <t>Where used</t>
        </is>
      </c>
      <c r="E49" s="165" t="inlineStr">
        <is>
          <t>Note</t>
        </is>
      </c>
      <c r="F49" s="165" t="inlineStr"/>
      <c r="G49" s="165" t="inlineStr">
        <is>
          <t>Source</t>
        </is>
      </c>
    </row>
    <row r="50">
      <c r="A50" s="166" t="inlineStr">
        <is>
          <t>Surface treatment (seal coat)</t>
        </is>
      </c>
      <c r="B50" s="166" t="inlineStr">
        <is>
          <t>15,000 SY/day</t>
        </is>
      </c>
      <c r="C50" s="166">
        <f>ROUNDUP(66667/15000,0)</f>
        <v/>
      </c>
      <c r="D50" s="166" t="inlineStr">
        <is>
          <t>HMA Maintenance 1-6</t>
        </is>
      </c>
      <c r="E50" s="166" t="inlineStr">
        <is>
          <t>each operation is rounded up to whole days</t>
        </is>
      </c>
      <c r="F50" s="166" t="inlineStr"/>
      <c r="G50" s="166" t="inlineStr">
        <is>
          <t>this workbook (MBT and SRB runs)</t>
        </is>
      </c>
    </row>
    <row r="51">
      <c r="A51" s="166" t="inlineStr">
        <is>
          <t>Markings: paint / layout and removal</t>
        </is>
      </c>
      <c r="B51" s="166" t="inlineStr">
        <is>
          <t>20,000 SF/day and 50,000 SF/day</t>
        </is>
      </c>
      <c r="C51" s="166">
        <f>ROUNDUP(15000/20000,0)+ROUNDUP(15000/50000,0)</f>
        <v/>
      </c>
      <c r="D51" s="166" t="inlineStr">
        <is>
          <t>every HMA activity</t>
        </is>
      </c>
      <c r="E51" s="166" t="inlineStr"/>
      <c r="F51" s="166" t="inlineStr"/>
      <c r="G51" s="166" t="inlineStr">
        <is>
          <t>this workbook</t>
        </is>
      </c>
    </row>
    <row r="52">
      <c r="A52" s="166" t="inlineStr">
        <is>
          <t>Patching</t>
        </is>
      </c>
      <c r="B52" s="166" t="inlineStr">
        <is>
          <t>10,000 SY of pavement per day at the policy rate (0.75% to 1.25% of area)</t>
        </is>
      </c>
      <c r="C52" s="166">
        <f>ROUNDUP(66667*0.0075/10000,0)</f>
        <v/>
      </c>
      <c r="D52" s="166" t="inlineStr">
        <is>
          <t>HMA Maintenance 3, 4, 6</t>
        </is>
      </c>
      <c r="E52" s="166" t="inlineStr"/>
      <c r="F52" s="166" t="inlineStr"/>
      <c r="G52" s="166" t="inlineStr">
        <is>
          <t>this workbook</t>
        </is>
      </c>
    </row>
    <row r="53">
      <c r="A53" s="166" t="inlineStr">
        <is>
          <t>Crack sealing</t>
        </is>
      </c>
      <c r="B53" s="166" t="inlineStr">
        <is>
          <t>5,000 SY of pavement per day at the policy rate (3.25% to 4% of area)</t>
        </is>
      </c>
      <c r="C53" s="166">
        <f>ROUNDUP(66667*0.0325/5000,0)</f>
        <v/>
      </c>
      <c r="D53" s="166" t="inlineStr">
        <is>
          <t>HMA Maintenance 3, 4, 6</t>
        </is>
      </c>
      <c r="E53" s="166" t="inlineStr"/>
      <c r="F53" s="166" t="inlineStr"/>
      <c r="G53" s="166" t="inlineStr">
        <is>
          <t>this workbook</t>
        </is>
      </c>
    </row>
    <row r="54">
      <c r="A54" s="166" t="inlineStr">
        <is>
          <t>Mill and overlay (4 in)</t>
        </is>
      </c>
      <c r="B54" s="166" t="inlineStr">
        <is>
          <t>3,800 SY/day</t>
        </is>
      </c>
      <c r="C54" s="166">
        <f>ROUNDUP(66667/3800,0)+ROUNDUP(15000/50000,0)</f>
        <v/>
      </c>
      <c r="D54" s="166" t="inlineStr">
        <is>
          <t>HMA Rehabilitation 1</t>
        </is>
      </c>
      <c r="E54" s="166" t="inlineStr">
        <is>
          <t>the largest HMA closure</t>
        </is>
      </c>
      <c r="F54" s="166" t="inlineStr"/>
      <c r="G54" s="166" t="inlineStr">
        <is>
          <t>this workbook</t>
        </is>
      </c>
    </row>
    <row r="55">
      <c r="A55" s="166" t="inlineStr">
        <is>
          <t>PCC joint resealing</t>
        </is>
      </c>
      <c r="B55" s="166" t="inlineStr">
        <is>
          <t>about 1 LF of joint per SY of slab, 10,000 LF/day</t>
        </is>
      </c>
      <c r="C55" s="166">
        <f>ROUNDUP(66667*550/(50*100/9)/10000,0)</f>
        <v/>
      </c>
      <c r="D55" s="166" t="inlineStr">
        <is>
          <t>PCC Maintenance 1 and Rehabilitation 1</t>
        </is>
      </c>
      <c r="E55" s="166" t="inlineStr"/>
      <c r="F55" s="166" t="inlineStr"/>
      <c r="G55" s="166" t="inlineStr">
        <is>
          <t>this workbook</t>
        </is>
      </c>
    </row>
    <row r="56">
      <c r="A56" s="166" t="inlineStr">
        <is>
          <t>PCC crack sealing, partial- and full-depth patching</t>
        </is>
      </c>
      <c r="B56" s="166" t="inlineStr">
        <is>
          <t>5,000 to 10,000 SY of pavement per day at the policy rate</t>
        </is>
      </c>
      <c r="C56" s="166">
        <f>ROUNDUP(66667*0.003/10000,0)+ROUNDUP(66667*0.0013/5000,0)+ROUNDUP(66667*0.0025/5000,0)</f>
        <v/>
      </c>
      <c r="D56" s="166" t="inlineStr">
        <is>
          <t>PCC Maintenance 1</t>
        </is>
      </c>
      <c r="E56" s="166" t="inlineStr"/>
      <c r="F56" s="166" t="inlineStr"/>
      <c r="G56" s="166" t="inlineStr">
        <is>
          <t>this workbook</t>
        </is>
      </c>
    </row>
    <row r="57">
      <c r="A57" s="166" t="inlineStr">
        <is>
          <t>PCC slab replacement (2% of area) + cure</t>
        </is>
      </c>
      <c r="B57" s="166" t="inlineStr">
        <is>
          <t>1,000 SY/day plus 7 days cure</t>
        </is>
      </c>
      <c r="C57" s="166">
        <f>ROUNDUP(66667*0.02/1000,0)+7</f>
        <v/>
      </c>
      <c r="D57" s="166" t="inlineStr">
        <is>
          <t>PCC Rehabilitation 1</t>
        </is>
      </c>
      <c r="E57" s="166" t="inlineStr">
        <is>
          <t>the largest PCC closure</t>
        </is>
      </c>
      <c r="F57" s="166" t="inlineStr"/>
      <c r="G57" s="166" t="inlineStr">
        <is>
          <t>this workbook</t>
        </is>
      </c>
    </row>
    <row r="58">
      <c r="A58" s="166" t="inlineStr">
        <is>
          <t>Typical totals over 30 years</t>
        </is>
      </c>
      <c r="B58" s="166" t="inlineStr"/>
      <c r="C58" s="166" t="inlineStr">
        <is>
          <t>HMA 57 to 67 days in 7 closures; PCC 27 to 29 days in 2 closures</t>
        </is>
      </c>
      <c r="D58" s="166" t="inlineStr">
        <is>
          <t>Summary column Q</t>
        </is>
      </c>
      <c r="E58" s="166" t="inlineStr">
        <is>
          <t>MBT (52,778 SY) and CKV test (66,667 SY)</t>
        </is>
      </c>
      <c r="F58" s="166" t="inlineStr"/>
      <c r="G58" s="166" t="inlineStr">
        <is>
          <t>this workbook</t>
        </is>
      </c>
    </row>
    <row r="59" ht="26" customHeight="1">
      <c r="A59" s="162" t="inlineStr">
        <is>
          <t>Initial construction is not a closure in the model (the runway is assumed closed for construction regardless of alternative). Lost revenue = closure days x airport daily revenue x 100%; a per-category "share lost" factor is a policy decision listed in the change notes.</t>
        </is>
      </c>
    </row>
    <row r="61">
      <c r="A61" s="163" t="inlineStr">
        <is>
          <t>5. Economic parameters (D33 analysis period, D34 discount rate, salvage)</t>
        </is>
      </c>
      <c r="B61" s="164" t="n"/>
      <c r="C61" s="164" t="n"/>
      <c r="D61" s="164" t="n"/>
      <c r="E61" s="164" t="n"/>
      <c r="F61" s="164" t="n"/>
      <c r="G61" s="164" t="n"/>
    </row>
    <row r="62">
      <c r="A62" s="165" t="inlineStr">
        <is>
          <t>Parameter</t>
        </is>
      </c>
      <c r="B62" s="165" t="inlineStr">
        <is>
          <t>Value</t>
        </is>
      </c>
      <c r="C62" s="165" t="inlineStr">
        <is>
          <t>Applies to</t>
        </is>
      </c>
      <c r="D62" s="165" t="inlineStr">
        <is>
          <t>Year</t>
        </is>
      </c>
      <c r="E62" s="165" t="inlineStr"/>
      <c r="F62" s="165" t="inlineStr">
        <is>
          <t>Reading</t>
        </is>
      </c>
      <c r="G62" s="165" t="inlineStr">
        <is>
          <t>Source</t>
        </is>
      </c>
    </row>
    <row r="63">
      <c r="A63" s="166" t="inlineStr">
        <is>
          <t>TDOT policy discount rate (workbook default)</t>
        </is>
      </c>
      <c r="B63" s="170">
        <f>'General Information'!$D$34</f>
        <v/>
      </c>
      <c r="C63" s="166" t="inlineStr">
        <is>
          <t>%</t>
        </is>
      </c>
      <c r="D63" s="166" t="inlineStr"/>
      <c r="E63" s="166" t="inlineStr"/>
      <c r="F63" s="166" t="inlineStr">
        <is>
          <t>live from General Information D34</t>
        </is>
      </c>
      <c r="G63" s="166" t="inlineStr">
        <is>
          <t>this workbook</t>
        </is>
      </c>
    </row>
    <row r="64">
      <c r="A64" s="166" t="inlineStr">
        <is>
          <t>TDOT policy analysis period (workbook default)</t>
        </is>
      </c>
      <c r="B64" s="170">
        <f>'General Information'!$D$33</f>
        <v/>
      </c>
      <c r="C64" s="166" t="inlineStr">
        <is>
          <t>years</t>
        </is>
      </c>
      <c r="D64" s="166" t="inlineStr"/>
      <c r="E64" s="166" t="inlineStr"/>
      <c r="F64" s="166" t="inlineStr">
        <is>
          <t>live from General Information D33</t>
        </is>
      </c>
      <c r="G64" s="166" t="inlineStr">
        <is>
          <t>this workbook</t>
        </is>
      </c>
    </row>
    <row r="65">
      <c r="A65" s="166" t="inlineStr">
        <is>
          <t>FAA AIP: discount rate for pavement cost-effectiveness (PGL 22-01, June 2022)</t>
        </is>
      </c>
      <c r="B65" s="166" t="inlineStr">
        <is>
          <t>OMB Circular A-94 Appendix C real rate for the analysis period</t>
        </is>
      </c>
      <c r="C65" s="166" t="inlineStr">
        <is>
          <t>%</t>
        </is>
      </c>
      <c r="D65" s="168" t="n">
        <v>2022</v>
      </c>
      <c r="E65" s="166" t="inlineStr"/>
      <c r="F65" s="166" t="inlineStr">
        <is>
          <t>Replaced the fixed 7% rule; the analysis period is now the engineer's choice (the fixed 20-year requirement was removed)</t>
        </is>
      </c>
      <c r="G65" s="169" t="inlineStr">
        <is>
          <t>https://www.faa.gov/airports/aip/guidance_letters/aip_pgl_22_01</t>
        </is>
      </c>
    </row>
    <row r="66">
      <c r="A66" s="166" t="inlineStr">
        <is>
          <t>OMB A-94 Appendix C real rate, 20-year and 30-year (calendar 2026)</t>
        </is>
      </c>
      <c r="B66" s="167" t="n">
        <v>2</v>
      </c>
      <c r="C66" s="166" t="inlineStr">
        <is>
          <t>%</t>
        </is>
      </c>
      <c r="D66" s="168" t="n">
        <v>2026</v>
      </c>
      <c r="E66" s="166" t="inlineStr"/>
      <c r="F66" s="166" t="inlineStr">
        <is>
          <t>Revised March 2026 (OMB memo M-26-09); 2025 values were 1.8% (10-yr) and 2.3% (30-yr)</t>
        </is>
      </c>
      <c r="G66" s="169" t="inlineStr">
        <is>
          <t>https://www.whitehouse.gov/wp-content/uploads/2026/03/CircularA-94Appendix-C.pdf</t>
        </is>
      </c>
    </row>
    <row r="67">
      <c r="A67" s="166" t="inlineStr">
        <is>
          <t>Legacy FAA AIP rule before PGL 22-01</t>
        </is>
      </c>
      <c r="B67" s="166" t="inlineStr">
        <is>
          <t>7% and 20 years</t>
        </is>
      </c>
      <c r="C67" s="166" t="inlineStr"/>
      <c r="D67" s="168" t="n">
        <v>2014</v>
      </c>
      <c r="E67" s="166" t="inlineStr"/>
      <c r="F67" s="166" t="inlineStr">
        <is>
          <t>AIP Handbook (Order 5100.38D) pavement LCCA table; also the 1992 A-94 benefit-cost base case reinstated by OMB M-25-23 (April 2025) for BCA, not for cost-effectiveness</t>
        </is>
      </c>
      <c r="G67" s="169" t="inlineStr">
        <is>
          <t>https://www.whitehouse.gov/wp-content/uploads/2025/02/M-25-23-Rescission-and-Reinstatement-of-Circular-No.-A-94.pdf</t>
        </is>
      </c>
    </row>
    <row r="68">
      <c r="A68" s="166" t="inlineStr">
        <is>
          <t>FAA AC 150/5320-6E Appendix 1 (superseded)</t>
        </is>
      </c>
      <c r="B68" s="166" t="inlineStr">
        <is>
          <t>4% and 20 years; straight-line residual value</t>
        </is>
      </c>
      <c r="C68" s="166" t="inlineStr"/>
      <c r="D68" s="168" t="n">
        <v>2009</v>
      </c>
      <c r="E68" s="166" t="inlineStr"/>
      <c r="F68" s="166" t="inlineStr">
        <is>
          <t>Dropped in 6F/6G; still widely cited</t>
        </is>
      </c>
      <c r="G68" s="169" t="inlineStr">
        <is>
          <t>https://www.faa.gov/documentLibrary/media/Advisory_Circular/150_5320_6e_part4.pdf</t>
        </is>
      </c>
    </row>
    <row r="69">
      <c r="A69" s="166" t="inlineStr">
        <is>
          <t>AAPTP 06-06 airport LCCA guide (Auburn/NCAT)</t>
        </is>
      </c>
      <c r="B69" s="166" t="inlineStr">
        <is>
          <t>4%, 20 years, NPW, remaining-life salvage; user cost includes lost airport revenue</t>
        </is>
      </c>
      <c r="C69" s="166" t="inlineStr"/>
      <c r="D69" s="168" t="n">
        <v>2011</v>
      </c>
      <c r="E69" s="166" t="inlineStr"/>
      <c r="F69" s="166" t="inlineStr">
        <is>
          <t>Basis for the "airport daily revenue" approach used here</t>
        </is>
      </c>
      <c r="G69" s="169" t="inlineStr">
        <is>
          <t>https://www.eng.auburn.edu/research/centers/ncat/files/aaptp/Report.Final.06-06.pdf</t>
        </is>
      </c>
    </row>
    <row r="70">
      <c r="A70" s="166" t="inlineStr">
        <is>
          <t>Caltrans LCCA manual / RealCost</t>
        </is>
      </c>
      <c r="B70" s="166" t="inlineStr">
        <is>
          <t>4% real; 20 / 35 / 55 years (CAPM / rehabilitation / new construction)</t>
        </is>
      </c>
      <c r="C70" s="166" t="inlineStr"/>
      <c r="D70" s="168" t="n">
        <v>2013</v>
      </c>
      <c r="E70" s="166" t="inlineStr"/>
      <c r="F70" s="166" t="inlineStr">
        <is>
          <t>Agency and user costs reported as present value and EUAC; the Summary comparison block follows that layout</t>
        </is>
      </c>
      <c r="G70" s="169" t="inlineStr">
        <is>
          <t>https://dot.ca.gov/-/media/dot-media/programs/maintenance/documents/office-of-concrete-pavement/life-cycle-cost-analysis/lcca-25ca-manual-final-aug-1-2013-v2-a11y.pdf</t>
        </is>
      </c>
    </row>
    <row r="71">
      <c r="A71" s="166" t="inlineStr">
        <is>
          <t>Structural design life (FAARFIELD, AC 150/5320-6G)</t>
        </is>
      </c>
      <c r="B71" s="167" t="n">
        <v>20</v>
      </c>
      <c r="C71" s="166" t="inlineStr">
        <is>
          <t>years</t>
        </is>
      </c>
      <c r="D71" s="168" t="n">
        <v>2021</v>
      </c>
      <c r="E71" s="166" t="inlineStr"/>
      <c r="F71" s="166" t="inlineStr">
        <is>
          <t>design life, not service life</t>
        </is>
      </c>
      <c r="G71" s="169" t="inlineStr">
        <is>
          <t>https://www.faa.gov/documentLibrary/media/Advisory_Circular/150-5320-6G-Pavement-Design.pdf</t>
        </is>
      </c>
    </row>
    <row r="72">
      <c r="A72" s="166" t="inlineStr">
        <is>
          <t>Salvage: HMA</t>
        </is>
      </c>
      <c r="B72" s="170">
        <f>'Maintenance Policies'!$D$32</f>
        <v/>
      </c>
      <c r="C72" s="166" t="inlineStr">
        <is>
          <t>fraction of the last mill-and-overlay</t>
        </is>
      </c>
      <c r="D72" s="166" t="inlineStr"/>
      <c r="E72" s="166" t="inlineStr"/>
      <c r="F72" s="166" t="inlineStr">
        <is>
          <t>computed in Maintenance Policies D32: remaining life of the year-20 overlay at the analysis period, over a 16-year overlay life</t>
        </is>
      </c>
      <c r="G72" s="166" t="inlineStr">
        <is>
          <t>this workbook</t>
        </is>
      </c>
    </row>
    <row r="73">
      <c r="A73" s="166" t="inlineStr">
        <is>
          <t>Salvage: PCC</t>
        </is>
      </c>
      <c r="B73" s="170">
        <f>'Maintenance Policies'!$D$46</f>
        <v/>
      </c>
      <c r="C73" s="166" t="inlineStr">
        <is>
          <t>fraction of initial construction</t>
        </is>
      </c>
      <c r="D73" s="166" t="inlineStr"/>
      <c r="E73" s="166" t="inlineStr"/>
      <c r="F73" s="166" t="inlineStr">
        <is>
          <t>computed in Maintenance Policies D46: remaining life of the initial construction at the analysis period, over a 40-year life</t>
        </is>
      </c>
      <c r="G73" s="166" t="inlineStr">
        <is>
          <t>this workbook</t>
        </is>
      </c>
    </row>
    <row r="74">
      <c r="A74" s="166" t="inlineStr">
        <is>
          <t>Salvage method in FAA / AAPTP guidance</t>
        </is>
      </c>
      <c r="B74" s="166" t="inlineStr">
        <is>
          <t>remaining life / expected life x cost of the last treatment (straight line)</t>
        </is>
      </c>
      <c r="C74" s="166" t="inlineStr"/>
      <c r="D74" s="168" t="n">
        <v>2011</v>
      </c>
      <c r="E74" s="166" t="inlineStr"/>
      <c r="F74" s="166" t="inlineStr">
        <is>
          <t>the method is theirs, and from v1.2.0 the workbook computes it rather than carrying the two fractions as constants</t>
        </is>
      </c>
      <c r="G74" s="169" t="inlineStr">
        <is>
          <t>https://www.eng.auburn.edu/research/centers/ncat/files/aaptp/Report.Final.06-06.pdf</t>
        </is>
      </c>
    </row>
    <row r="75" ht="26" customHeight="1">
      <c r="A75" s="162" t="inlineStr">
        <is>
          <t>The Summary sensitivity chart runs 2% to 8% so both the current FAA rate (about 2%) and the legacy 7% are on the curve. G10 on the Summary states whether the lowest-cost alternative changes at either rate.</t>
        </is>
      </c>
    </row>
    <row r="77">
      <c r="A77" s="163" t="inlineStr">
        <is>
          <t>6. Maintenance timing and service life (Maintenance Policies sheet against published experience)</t>
        </is>
      </c>
      <c r="B77" s="164" t="n"/>
      <c r="C77" s="164" t="n"/>
      <c r="D77" s="164" t="n"/>
      <c r="E77" s="164" t="n"/>
      <c r="F77" s="164" t="n"/>
      <c r="G77" s="164" t="n"/>
    </row>
    <row r="78">
      <c r="A78" s="165" t="inlineStr">
        <is>
          <t>Item</t>
        </is>
      </c>
      <c r="B78" s="165" t="inlineStr">
        <is>
          <t>Workbook policy (live)</t>
        </is>
      </c>
      <c r="C78" s="165" t="inlineStr">
        <is>
          <t>Published range</t>
        </is>
      </c>
      <c r="D78" s="165" t="inlineStr">
        <is>
          <t>Year</t>
        </is>
      </c>
      <c r="E78" s="165" t="inlineStr"/>
      <c r="F78" s="165" t="inlineStr">
        <is>
          <t>Reading</t>
        </is>
      </c>
      <c r="G78" s="165" t="inlineStr">
        <is>
          <t>Source</t>
        </is>
      </c>
    </row>
    <row r="79">
      <c r="A79" s="166" t="inlineStr">
        <is>
          <t>HMA surface treatment / markings</t>
        </is>
      </c>
      <c r="B79" s="170">
        <f>"years "&amp;'Maintenance Policies'!$E$10&amp;", "&amp;'Maintenance Policies'!$E$12&amp;", "&amp;'Maintenance Policies'!$E$26</f>
        <v/>
      </c>
      <c r="C79" s="166" t="inlineStr">
        <is>
          <t>preventive-maintenance window PCI 60-80; inspect PCI every 3 years (AIP airports)</t>
        </is>
      </c>
      <c r="D79" s="168" t="n">
        <v>2014</v>
      </c>
      <c r="E79" s="166" t="inlineStr"/>
      <c r="F79" s="166" t="inlineStr">
        <is>
          <t>FAA ACs give the PCI window, not fixed year intervals; 4-year cycles are the TDOT policy</t>
        </is>
      </c>
      <c r="G79" s="169" t="inlineStr">
        <is>
          <t>https://www.faa.gov/documentlibrary/media/advisory_circular/150-5380-7b.pdf</t>
        </is>
      </c>
    </row>
    <row r="80">
      <c r="A80" s="166" t="inlineStr">
        <is>
          <t>HMA patching + crack sealing + treatment</t>
        </is>
      </c>
      <c r="B80" s="170">
        <f>"years "&amp;'Maintenance Policies'!$E$14&amp;", "&amp;'Maintenance Policies'!$E$18&amp;", "&amp;'Maintenance Policies'!$E$28</f>
        <v/>
      </c>
      <c r="C80" s="166" t="inlineStr">
        <is>
          <t>crack sealing, patching, seal coats per AC 150/5380-6C</t>
        </is>
      </c>
      <c r="D80" s="168" t="n">
        <v>2014</v>
      </c>
      <c r="E80" s="166" t="inlineStr"/>
      <c r="F80" s="166" t="inlineStr"/>
      <c r="G80" s="169" t="inlineStr">
        <is>
          <t>https://www.faa.gov/documentlibrary/media/advisory_circular/150-5380-6c.pdf</t>
        </is>
      </c>
    </row>
    <row r="81">
      <c r="A81" s="166" t="inlineStr">
        <is>
          <t>HMA mill and overlay</t>
        </is>
      </c>
      <c r="B81" s="170">
        <f>"year "&amp;'Maintenance Policies'!$E$22</f>
        <v/>
      </c>
      <c r="C81" s="166" t="inlineStr">
        <is>
          <t>asphalt runways reach PCI 70 in about 12 to 15 years (FAA 2014 performance trends)</t>
        </is>
      </c>
      <c r="D81" s="168" t="n">
        <v>2014</v>
      </c>
      <c r="E81" s="166" t="inlineStr"/>
      <c r="F81" s="166" t="inlineStr">
        <is>
          <t>policy year 20 is at the optimistic end of the published range</t>
        </is>
      </c>
      <c r="G81" s="169" t="inlineStr">
        <is>
          <t>https://www.acpa.org/wp-content/uploads/2025/03/ACPA-Achieving-the-Goals-of-the-FAAs-Extended-Airport-Pavement-Life-Program.pdf</t>
        </is>
      </c>
    </row>
    <row r="82">
      <c r="A82" s="166" t="inlineStr">
        <is>
          <t>PCC joint resealing + patching</t>
        </is>
      </c>
      <c r="B82" s="170">
        <f>"year "&amp;'Maintenance Policies'!$E$37</f>
        <v/>
      </c>
      <c r="C82" s="166" t="inlineStr">
        <is>
          <t>hot-pour sealant 3-8 yr; silicone 8-15 yr; compression seals 15-20 yr</t>
        </is>
      </c>
      <c r="D82" s="166" t="inlineStr"/>
      <c r="E82" s="166" t="inlineStr"/>
      <c r="F82" s="166" t="inlineStr">
        <is>
          <t>policy year 19 assumes silicone-class sealant life</t>
        </is>
      </c>
      <c r="G82" s="169" t="inlineStr">
        <is>
          <t>https://www.tarmacview.com/glossary/joint-sealant/</t>
        </is>
      </c>
    </row>
    <row r="83">
      <c r="A83" s="166" t="inlineStr">
        <is>
          <t>PCC slab replacement (2%) + joints</t>
        </is>
      </c>
      <c r="B83" s="170">
        <f>"year "&amp;'Maintenance Policies'!$E$41</f>
        <v/>
      </c>
      <c r="C83" s="166" t="inlineStr">
        <is>
          <t>PCC runways reach PCI 70 at about 40 years (FAA 2014)</t>
        </is>
      </c>
      <c r="D83" s="168" t="n">
        <v>2014</v>
      </c>
      <c r="E83" s="166" t="inlineStr"/>
      <c r="F83" s="166" t="inlineStr"/>
      <c r="G83" s="169" t="inlineStr">
        <is>
          <t>https://www.acpa.org/wp-content/uploads/2025/03/ACPA-Achieving-the-Goals-of-the-FAAs-Extended-Airport-Pavement-Life-Program.pdf</t>
        </is>
      </c>
    </row>
    <row r="84">
      <c r="A84" s="166" t="inlineStr">
        <is>
          <t>Expected service life</t>
        </is>
      </c>
      <c r="B84" s="166" t="inlineStr">
        <is>
          <t>HMA 20 yr design; PCC 30-40 yr</t>
        </is>
      </c>
      <c r="C84" s="166" t="inlineStr">
        <is>
          <t>FAA Extended Airport Pavement Life program targets 40 years</t>
        </is>
      </c>
      <c r="D84" s="168" t="n">
        <v>2024</v>
      </c>
      <c r="E84" s="166" t="inlineStr"/>
      <c r="F84" s="166" t="inlineStr"/>
      <c r="G84" s="169" t="inlineStr">
        <is>
          <t>https://www.airporttech.tc.faa.gov/Portals/0/FactSheets/Extended%20Airport%20Pavement%20Life%20Factsheet_May%202024.pdf</t>
        </is>
      </c>
    </row>
    <row r="85">
      <c r="A85" s="166" t="inlineStr">
        <is>
          <t>Treatment fact sheets with life and cost by treatment</t>
        </is>
      </c>
      <c r="B85" s="166" t="inlineStr"/>
      <c r="C85" s="166" t="inlineStr">
        <is>
          <t>ACRP Report 159 (GA airports) and ACRP Synthesis 22</t>
        </is>
      </c>
      <c r="D85" s="168" t="n">
        <v>2016</v>
      </c>
      <c r="E85" s="166" t="inlineStr"/>
      <c r="F85" s="166" t="inlineStr">
        <is>
          <t>use for project-specific overrides of the policy years</t>
        </is>
      </c>
      <c r="G85" s="169" t="inlineStr">
        <is>
          <t>https://nap.nationalacademies.org/catalog/23649/</t>
        </is>
      </c>
    </row>
    <row r="86">
      <c r="A86" s="166" t="inlineStr">
        <is>
          <t>Minimum layer thickness, AC 150/5320-6G</t>
        </is>
      </c>
      <c r="B86" s="166" t="inlineStr"/>
      <c r="C86" s="166" t="inlineStr">
        <is>
          <t>P-401 surface 4 in (&gt;= 12,500 lb); P-209 base 6 in; P-501 6 in (5 in under 12,500 lb)</t>
        </is>
      </c>
      <c r="D86" s="168" t="n">
        <v>2021</v>
      </c>
      <c r="E86" s="166" t="inlineStr"/>
      <c r="F86" s="166" t="inlineStr">
        <is>
          <t>check the pay-item quantities against these minimums</t>
        </is>
      </c>
      <c r="G86" s="169" t="inlineStr">
        <is>
          <t>https://www.faa.gov/documentLibrary/media/Advisory_Circular/150-5320-6G-Pavement-Design.pdf</t>
        </is>
      </c>
    </row>
    <row r="87" ht="26" customHeight="1">
      <c r="A87" s="162" t="inlineStr">
        <is>
          <t>Maintenance Policies drives every activity year and rate; this section only shows them next to the published ranges. Sources were read from search excerpts in September 2026 because the FAA and OMB sites could not be opened from the build environment; confirm the cited paragraphs before quoting them to FAA.</t>
        </is>
      </c>
    </row>
    <row r="89">
      <c r="A89" s="163" t="inlineStr">
        <is>
          <t>Airport daily revenue used for lost-revenue cost (the 17 airports with revenue data; live from RevenueData)</t>
        </is>
      </c>
      <c r="B89" s="164" t="n"/>
      <c r="C89" s="164" t="n"/>
      <c r="D89" s="164" t="n"/>
      <c r="E89" s="164" t="n"/>
      <c r="F89" s="164" t="n"/>
      <c r="G89" s="164" t="n"/>
    </row>
    <row r="90">
      <c r="A90" s="165" t="inlineStr">
        <is>
          <t>Airport ID</t>
        </is>
      </c>
      <c r="B90" s="165" t="inlineStr">
        <is>
          <t>Daily revenue ($/day)</t>
        </is>
      </c>
      <c r="C90" s="165" t="inlineStr">
        <is>
          <t>Lost revenue, 7-day closure ($)</t>
        </is>
      </c>
      <c r="D90" s="165" t="inlineStr">
        <is>
          <t>Lost revenue, 19-day closure ($)</t>
        </is>
      </c>
      <c r="E90" s="165" t="inlineStr">
        <is>
          <t>Columns holding text (counted as $0)</t>
        </is>
      </c>
      <c r="F90" s="165" t="inlineStr"/>
      <c r="G90" s="165" t="inlineStr">
        <is>
          <t>Source</t>
        </is>
      </c>
    </row>
    <row r="91">
      <c r="A91" s="166">
        <f>IF(RevenueData!A2="","",RevenueData!A2)</f>
        <v/>
      </c>
      <c r="B91" s="170">
        <f>IF(A91="","",SUMIF(RevenueData!$A:$A,A91,RevenueData!$B:$B)+SUMIF(RevenueData!$A:$A,A91,RevenueData!$C:$C)+SUMIF(RevenueData!$A:$A,A91,RevenueData!$D:$D)+SUMIF(RevenueData!$A:$A,A91,RevenueData!$E:$E)+SUMIF(RevenueData!$A:$A,A91,RevenueData!$F:$F)+SUMIF(RevenueData!$A:$A,A91,RevenueData!$G:$G)+SUMIF(RevenueData!$A:$A,A91,RevenueData!$H:$H))</f>
        <v/>
      </c>
      <c r="C91" s="166">
        <f>IF(A91="","",B91*7)</f>
        <v/>
      </c>
      <c r="D91" s="166">
        <f>IF(A91="","",B91*19)</f>
        <v/>
      </c>
      <c r="E91" s="166">
        <f>IF(A91="","",TRIM(IF(ISNUMBER(RevenueData!B2),"","100LL ")&amp;IF(ISNUMBER(RevenueData!C2),"","Jet-A ")&amp;IF(ISNUMBER(RevenueData!G2),"","tenant ")&amp;IF(ISNUMBER(RevenueData!H2),"","other")))</f>
        <v/>
      </c>
      <c r="F91" s="166" t="inlineStr"/>
      <c r="G91" s="166" t="inlineStr">
        <is>
          <t>RevenueData sheet in this workbook (hidden)</t>
        </is>
      </c>
    </row>
    <row r="92">
      <c r="A92" s="166">
        <f>IF(RevenueData!A3="","",RevenueData!A3)</f>
        <v/>
      </c>
      <c r="B92" s="170">
        <f>IF(A92="","",SUMIF(RevenueData!$A:$A,A92,RevenueData!$B:$B)+SUMIF(RevenueData!$A:$A,A92,RevenueData!$C:$C)+SUMIF(RevenueData!$A:$A,A92,RevenueData!$D:$D)+SUMIF(RevenueData!$A:$A,A92,RevenueData!$E:$E)+SUMIF(RevenueData!$A:$A,A92,RevenueData!$F:$F)+SUMIF(RevenueData!$A:$A,A92,RevenueData!$G:$G)+SUMIF(RevenueData!$A:$A,A92,RevenueData!$H:$H))</f>
        <v/>
      </c>
      <c r="C92" s="166">
        <f>IF(A92="","",B92*7)</f>
        <v/>
      </c>
      <c r="D92" s="166">
        <f>IF(A92="","",B92*19)</f>
        <v/>
      </c>
      <c r="E92" s="166">
        <f>IF(A92="","",TRIM(IF(ISNUMBER(RevenueData!B3),"","100LL ")&amp;IF(ISNUMBER(RevenueData!C3),"","Jet-A ")&amp;IF(ISNUMBER(RevenueData!G3),"","tenant ")&amp;IF(ISNUMBER(RevenueData!H3),"","other")))</f>
        <v/>
      </c>
      <c r="F92" s="166" t="inlineStr"/>
      <c r="G92" s="166" t="inlineStr">
        <is>
          <t>RevenueData sheet in this workbook (hidden)</t>
        </is>
      </c>
    </row>
    <row r="93">
      <c r="A93" s="166">
        <f>IF(RevenueData!A4="","",RevenueData!A4)</f>
        <v/>
      </c>
      <c r="B93" s="170">
        <f>IF(A93="","",SUMIF(RevenueData!$A:$A,A93,RevenueData!$B:$B)+SUMIF(RevenueData!$A:$A,A93,RevenueData!$C:$C)+SUMIF(RevenueData!$A:$A,A93,RevenueData!$D:$D)+SUMIF(RevenueData!$A:$A,A93,RevenueData!$E:$E)+SUMIF(RevenueData!$A:$A,A93,RevenueData!$F:$F)+SUMIF(RevenueData!$A:$A,A93,RevenueData!$G:$G)+SUMIF(RevenueData!$A:$A,A93,RevenueData!$H:$H))</f>
        <v/>
      </c>
      <c r="C93" s="166">
        <f>IF(A93="","",B93*7)</f>
        <v/>
      </c>
      <c r="D93" s="166">
        <f>IF(A93="","",B93*19)</f>
        <v/>
      </c>
      <c r="E93" s="166">
        <f>IF(A93="","",TRIM(IF(ISNUMBER(RevenueData!B4),"","100LL ")&amp;IF(ISNUMBER(RevenueData!C4),"","Jet-A ")&amp;IF(ISNUMBER(RevenueData!G4),"","tenant ")&amp;IF(ISNUMBER(RevenueData!H4),"","other")))</f>
        <v/>
      </c>
      <c r="F93" s="166" t="inlineStr"/>
      <c r="G93" s="166" t="inlineStr">
        <is>
          <t>RevenueData sheet in this workbook (hidden)</t>
        </is>
      </c>
    </row>
    <row r="94">
      <c r="A94" s="166">
        <f>IF(RevenueData!A5="","",RevenueData!A5)</f>
        <v/>
      </c>
      <c r="B94" s="170">
        <f>IF(A94="","",SUMIF(RevenueData!$A:$A,A94,RevenueData!$B:$B)+SUMIF(RevenueData!$A:$A,A94,RevenueData!$C:$C)+SUMIF(RevenueData!$A:$A,A94,RevenueData!$D:$D)+SUMIF(RevenueData!$A:$A,A94,RevenueData!$E:$E)+SUMIF(RevenueData!$A:$A,A94,RevenueData!$F:$F)+SUMIF(RevenueData!$A:$A,A94,RevenueData!$G:$G)+SUMIF(RevenueData!$A:$A,A94,RevenueData!$H:$H))</f>
        <v/>
      </c>
      <c r="C94" s="166">
        <f>IF(A94="","",B94*7)</f>
        <v/>
      </c>
      <c r="D94" s="166">
        <f>IF(A94="","",B94*19)</f>
        <v/>
      </c>
      <c r="E94" s="166">
        <f>IF(A94="","",TRIM(IF(ISNUMBER(RevenueData!B5),"","100LL ")&amp;IF(ISNUMBER(RevenueData!C5),"","Jet-A ")&amp;IF(ISNUMBER(RevenueData!G5),"","tenant ")&amp;IF(ISNUMBER(RevenueData!H5),"","other")))</f>
        <v/>
      </c>
      <c r="F94" s="166" t="inlineStr"/>
      <c r="G94" s="166" t="inlineStr">
        <is>
          <t>RevenueData sheet in this workbook (hidden)</t>
        </is>
      </c>
    </row>
    <row r="95">
      <c r="A95" s="166">
        <f>IF(RevenueData!A6="","",RevenueData!A6)</f>
        <v/>
      </c>
      <c r="B95" s="170">
        <f>IF(A95="","",SUMIF(RevenueData!$A:$A,A95,RevenueData!$B:$B)+SUMIF(RevenueData!$A:$A,A95,RevenueData!$C:$C)+SUMIF(RevenueData!$A:$A,A95,RevenueData!$D:$D)+SUMIF(RevenueData!$A:$A,A95,RevenueData!$E:$E)+SUMIF(RevenueData!$A:$A,A95,RevenueData!$F:$F)+SUMIF(RevenueData!$A:$A,A95,RevenueData!$G:$G)+SUMIF(RevenueData!$A:$A,A95,RevenueData!$H:$H))</f>
        <v/>
      </c>
      <c r="C95" s="166">
        <f>IF(A95="","",B95*7)</f>
        <v/>
      </c>
      <c r="D95" s="166">
        <f>IF(A95="","",B95*19)</f>
        <v/>
      </c>
      <c r="E95" s="166">
        <f>IF(A95="","",TRIM(IF(ISNUMBER(RevenueData!B6),"","100LL ")&amp;IF(ISNUMBER(RevenueData!C6),"","Jet-A ")&amp;IF(ISNUMBER(RevenueData!G6),"","tenant ")&amp;IF(ISNUMBER(RevenueData!H6),"","other")))</f>
        <v/>
      </c>
      <c r="F95" s="166" t="inlineStr"/>
      <c r="G95" s="166" t="inlineStr">
        <is>
          <t>RevenueData sheet in this workbook (hidden)</t>
        </is>
      </c>
    </row>
    <row r="96">
      <c r="A96" s="166">
        <f>IF(RevenueData!A7="","",RevenueData!A7)</f>
        <v/>
      </c>
      <c r="B96" s="170">
        <f>IF(A96="","",SUMIF(RevenueData!$A:$A,A96,RevenueData!$B:$B)+SUMIF(RevenueData!$A:$A,A96,RevenueData!$C:$C)+SUMIF(RevenueData!$A:$A,A96,RevenueData!$D:$D)+SUMIF(RevenueData!$A:$A,A96,RevenueData!$E:$E)+SUMIF(RevenueData!$A:$A,A96,RevenueData!$F:$F)+SUMIF(RevenueData!$A:$A,A96,RevenueData!$G:$G)+SUMIF(RevenueData!$A:$A,A96,RevenueData!$H:$H))</f>
        <v/>
      </c>
      <c r="C96" s="166">
        <f>IF(A96="","",B96*7)</f>
        <v/>
      </c>
      <c r="D96" s="166">
        <f>IF(A96="","",B96*19)</f>
        <v/>
      </c>
      <c r="E96" s="166">
        <f>IF(A96="","",TRIM(IF(ISNUMBER(RevenueData!B7),"","100LL ")&amp;IF(ISNUMBER(RevenueData!C7),"","Jet-A ")&amp;IF(ISNUMBER(RevenueData!G7),"","tenant ")&amp;IF(ISNUMBER(RevenueData!H7),"","other")))</f>
        <v/>
      </c>
      <c r="F96" s="166" t="inlineStr"/>
      <c r="G96" s="166" t="inlineStr">
        <is>
          <t>RevenueData sheet in this workbook (hidden)</t>
        </is>
      </c>
    </row>
    <row r="97">
      <c r="A97" s="166">
        <f>IF(RevenueData!A8="","",RevenueData!A8)</f>
        <v/>
      </c>
      <c r="B97" s="170">
        <f>IF(A97="","",SUMIF(RevenueData!$A:$A,A97,RevenueData!$B:$B)+SUMIF(RevenueData!$A:$A,A97,RevenueData!$C:$C)+SUMIF(RevenueData!$A:$A,A97,RevenueData!$D:$D)+SUMIF(RevenueData!$A:$A,A97,RevenueData!$E:$E)+SUMIF(RevenueData!$A:$A,A97,RevenueData!$F:$F)+SUMIF(RevenueData!$A:$A,A97,RevenueData!$G:$G)+SUMIF(RevenueData!$A:$A,A97,RevenueData!$H:$H))</f>
        <v/>
      </c>
      <c r="C97" s="166">
        <f>IF(A97="","",B97*7)</f>
        <v/>
      </c>
      <c r="D97" s="166">
        <f>IF(A97="","",B97*19)</f>
        <v/>
      </c>
      <c r="E97" s="166">
        <f>IF(A97="","",TRIM(IF(ISNUMBER(RevenueData!B8),"","100LL ")&amp;IF(ISNUMBER(RevenueData!C8),"","Jet-A ")&amp;IF(ISNUMBER(RevenueData!G8),"","tenant ")&amp;IF(ISNUMBER(RevenueData!H8),"","other")))</f>
        <v/>
      </c>
      <c r="F97" s="166" t="inlineStr"/>
      <c r="G97" s="166" t="inlineStr">
        <is>
          <t>RevenueData sheet in this workbook (hidden)</t>
        </is>
      </c>
    </row>
    <row r="98">
      <c r="A98" s="166">
        <f>IF(RevenueData!A9="","",RevenueData!A9)</f>
        <v/>
      </c>
      <c r="B98" s="170">
        <f>IF(A98="","",SUMIF(RevenueData!$A:$A,A98,RevenueData!$B:$B)+SUMIF(RevenueData!$A:$A,A98,RevenueData!$C:$C)+SUMIF(RevenueData!$A:$A,A98,RevenueData!$D:$D)+SUMIF(RevenueData!$A:$A,A98,RevenueData!$E:$E)+SUMIF(RevenueData!$A:$A,A98,RevenueData!$F:$F)+SUMIF(RevenueData!$A:$A,A98,RevenueData!$G:$G)+SUMIF(RevenueData!$A:$A,A98,RevenueData!$H:$H))</f>
        <v/>
      </c>
      <c r="C98" s="166">
        <f>IF(A98="","",B98*7)</f>
        <v/>
      </c>
      <c r="D98" s="166">
        <f>IF(A98="","",B98*19)</f>
        <v/>
      </c>
      <c r="E98" s="166">
        <f>IF(A98="","",TRIM(IF(ISNUMBER(RevenueData!B9),"","100LL ")&amp;IF(ISNUMBER(RevenueData!C9),"","Jet-A ")&amp;IF(ISNUMBER(RevenueData!G9),"","tenant ")&amp;IF(ISNUMBER(RevenueData!H9),"","other")))</f>
        <v/>
      </c>
      <c r="F98" s="166" t="inlineStr"/>
      <c r="G98" s="166" t="inlineStr">
        <is>
          <t>RevenueData sheet in this workbook (hidden)</t>
        </is>
      </c>
    </row>
    <row r="99">
      <c r="A99" s="166">
        <f>IF(RevenueData!A10="","",RevenueData!A10)</f>
        <v/>
      </c>
      <c r="B99" s="170">
        <f>IF(A99="","",SUMIF(RevenueData!$A:$A,A99,RevenueData!$B:$B)+SUMIF(RevenueData!$A:$A,A99,RevenueData!$C:$C)+SUMIF(RevenueData!$A:$A,A99,RevenueData!$D:$D)+SUMIF(RevenueData!$A:$A,A99,RevenueData!$E:$E)+SUMIF(RevenueData!$A:$A,A99,RevenueData!$F:$F)+SUMIF(RevenueData!$A:$A,A99,RevenueData!$G:$G)+SUMIF(RevenueData!$A:$A,A99,RevenueData!$H:$H))</f>
        <v/>
      </c>
      <c r="C99" s="166">
        <f>IF(A99="","",B99*7)</f>
        <v/>
      </c>
      <c r="D99" s="166">
        <f>IF(A99="","",B99*19)</f>
        <v/>
      </c>
      <c r="E99" s="166">
        <f>IF(A99="","",TRIM(IF(ISNUMBER(RevenueData!B10),"","100LL ")&amp;IF(ISNUMBER(RevenueData!C10),"","Jet-A ")&amp;IF(ISNUMBER(RevenueData!G10),"","tenant ")&amp;IF(ISNUMBER(RevenueData!H10),"","other")))</f>
        <v/>
      </c>
      <c r="F99" s="166" t="inlineStr"/>
      <c r="G99" s="166" t="inlineStr">
        <is>
          <t>RevenueData sheet in this workbook (hidden)</t>
        </is>
      </c>
    </row>
    <row r="100">
      <c r="A100" s="166">
        <f>IF(RevenueData!A11="","",RevenueData!A11)</f>
        <v/>
      </c>
      <c r="B100" s="170">
        <f>IF(A100="","",SUMIF(RevenueData!$A:$A,A100,RevenueData!$B:$B)+SUMIF(RevenueData!$A:$A,A100,RevenueData!$C:$C)+SUMIF(RevenueData!$A:$A,A100,RevenueData!$D:$D)+SUMIF(RevenueData!$A:$A,A100,RevenueData!$E:$E)+SUMIF(RevenueData!$A:$A,A100,RevenueData!$F:$F)+SUMIF(RevenueData!$A:$A,A100,RevenueData!$G:$G)+SUMIF(RevenueData!$A:$A,A100,RevenueData!$H:$H))</f>
        <v/>
      </c>
      <c r="C100" s="166">
        <f>IF(A100="","",B100*7)</f>
        <v/>
      </c>
      <c r="D100" s="166">
        <f>IF(A100="","",B100*19)</f>
        <v/>
      </c>
      <c r="E100" s="166">
        <f>IF(A100="","",TRIM(IF(ISNUMBER(RevenueData!B11),"","100LL ")&amp;IF(ISNUMBER(RevenueData!C11),"","Jet-A ")&amp;IF(ISNUMBER(RevenueData!G11),"","tenant ")&amp;IF(ISNUMBER(RevenueData!H11),"","other")))</f>
        <v/>
      </c>
      <c r="F100" s="166" t="inlineStr"/>
      <c r="G100" s="166" t="inlineStr">
        <is>
          <t>RevenueData sheet in this workbook (hidden)</t>
        </is>
      </c>
    </row>
    <row r="101">
      <c r="A101" s="166">
        <f>IF(RevenueData!A12="","",RevenueData!A12)</f>
        <v/>
      </c>
      <c r="B101" s="170">
        <f>IF(A101="","",SUMIF(RevenueData!$A:$A,A101,RevenueData!$B:$B)+SUMIF(RevenueData!$A:$A,A101,RevenueData!$C:$C)+SUMIF(RevenueData!$A:$A,A101,RevenueData!$D:$D)+SUMIF(RevenueData!$A:$A,A101,RevenueData!$E:$E)+SUMIF(RevenueData!$A:$A,A101,RevenueData!$F:$F)+SUMIF(RevenueData!$A:$A,A101,RevenueData!$G:$G)+SUMIF(RevenueData!$A:$A,A101,RevenueData!$H:$H))</f>
        <v/>
      </c>
      <c r="C101" s="166">
        <f>IF(A101="","",B101*7)</f>
        <v/>
      </c>
      <c r="D101" s="166">
        <f>IF(A101="","",B101*19)</f>
        <v/>
      </c>
      <c r="E101" s="166">
        <f>IF(A101="","",TRIM(IF(ISNUMBER(RevenueData!B12),"","100LL ")&amp;IF(ISNUMBER(RevenueData!C12),"","Jet-A ")&amp;IF(ISNUMBER(RevenueData!G12),"","tenant ")&amp;IF(ISNUMBER(RevenueData!H12),"","other")))</f>
        <v/>
      </c>
      <c r="F101" s="166" t="inlineStr"/>
      <c r="G101" s="166" t="inlineStr">
        <is>
          <t>RevenueData sheet in this workbook (hidden)</t>
        </is>
      </c>
    </row>
    <row r="102">
      <c r="A102" s="166">
        <f>IF(RevenueData!A13="","",RevenueData!A13)</f>
        <v/>
      </c>
      <c r="B102" s="170">
        <f>IF(A102="","",SUMIF(RevenueData!$A:$A,A102,RevenueData!$B:$B)+SUMIF(RevenueData!$A:$A,A102,RevenueData!$C:$C)+SUMIF(RevenueData!$A:$A,A102,RevenueData!$D:$D)+SUMIF(RevenueData!$A:$A,A102,RevenueData!$E:$E)+SUMIF(RevenueData!$A:$A,A102,RevenueData!$F:$F)+SUMIF(RevenueData!$A:$A,A102,RevenueData!$G:$G)+SUMIF(RevenueData!$A:$A,A102,RevenueData!$H:$H))</f>
        <v/>
      </c>
      <c r="C102" s="166">
        <f>IF(A102="","",B102*7)</f>
        <v/>
      </c>
      <c r="D102" s="166">
        <f>IF(A102="","",B102*19)</f>
        <v/>
      </c>
      <c r="E102" s="166">
        <f>IF(A102="","",TRIM(IF(ISNUMBER(RevenueData!B13),"","100LL ")&amp;IF(ISNUMBER(RevenueData!C13),"","Jet-A ")&amp;IF(ISNUMBER(RevenueData!G13),"","tenant ")&amp;IF(ISNUMBER(RevenueData!H13),"","other")))</f>
        <v/>
      </c>
      <c r="F102" s="166" t="inlineStr"/>
      <c r="G102" s="166" t="inlineStr">
        <is>
          <t>RevenueData sheet in this workbook (hidden)</t>
        </is>
      </c>
    </row>
    <row r="103">
      <c r="A103" s="166">
        <f>IF(RevenueData!A14="","",RevenueData!A14)</f>
        <v/>
      </c>
      <c r="B103" s="170">
        <f>IF(A103="","",SUMIF(RevenueData!$A:$A,A103,RevenueData!$B:$B)+SUMIF(RevenueData!$A:$A,A103,RevenueData!$C:$C)+SUMIF(RevenueData!$A:$A,A103,RevenueData!$D:$D)+SUMIF(RevenueData!$A:$A,A103,RevenueData!$E:$E)+SUMIF(RevenueData!$A:$A,A103,RevenueData!$F:$F)+SUMIF(RevenueData!$A:$A,A103,RevenueData!$G:$G)+SUMIF(RevenueData!$A:$A,A103,RevenueData!$H:$H))</f>
        <v/>
      </c>
      <c r="C103" s="166">
        <f>IF(A103="","",B103*7)</f>
        <v/>
      </c>
      <c r="D103" s="166">
        <f>IF(A103="","",B103*19)</f>
        <v/>
      </c>
      <c r="E103" s="166">
        <f>IF(A103="","",TRIM(IF(ISNUMBER(RevenueData!B14),"","100LL ")&amp;IF(ISNUMBER(RevenueData!C14),"","Jet-A ")&amp;IF(ISNUMBER(RevenueData!G14),"","tenant ")&amp;IF(ISNUMBER(RevenueData!H14),"","other")))</f>
        <v/>
      </c>
      <c r="F103" s="166" t="inlineStr"/>
      <c r="G103" s="166" t="inlineStr">
        <is>
          <t>RevenueData sheet in this workbook (hidden)</t>
        </is>
      </c>
    </row>
    <row r="104">
      <c r="A104" s="166">
        <f>IF(RevenueData!A15="","",RevenueData!A15)</f>
        <v/>
      </c>
      <c r="B104" s="170">
        <f>IF(A104="","",SUMIF(RevenueData!$A:$A,A104,RevenueData!$B:$B)+SUMIF(RevenueData!$A:$A,A104,RevenueData!$C:$C)+SUMIF(RevenueData!$A:$A,A104,RevenueData!$D:$D)+SUMIF(RevenueData!$A:$A,A104,RevenueData!$E:$E)+SUMIF(RevenueData!$A:$A,A104,RevenueData!$F:$F)+SUMIF(RevenueData!$A:$A,A104,RevenueData!$G:$G)+SUMIF(RevenueData!$A:$A,A104,RevenueData!$H:$H))</f>
        <v/>
      </c>
      <c r="C104" s="166">
        <f>IF(A104="","",B104*7)</f>
        <v/>
      </c>
      <c r="D104" s="166">
        <f>IF(A104="","",B104*19)</f>
        <v/>
      </c>
      <c r="E104" s="166">
        <f>IF(A104="","",TRIM(IF(ISNUMBER(RevenueData!B15),"","100LL ")&amp;IF(ISNUMBER(RevenueData!C15),"","Jet-A ")&amp;IF(ISNUMBER(RevenueData!G15),"","tenant ")&amp;IF(ISNUMBER(RevenueData!H15),"","other")))</f>
        <v/>
      </c>
      <c r="F104" s="166" t="inlineStr"/>
      <c r="G104" s="166" t="inlineStr">
        <is>
          <t>RevenueData sheet in this workbook (hidden)</t>
        </is>
      </c>
    </row>
    <row r="105">
      <c r="A105" s="166">
        <f>IF(RevenueData!A16="","",RevenueData!A16)</f>
        <v/>
      </c>
      <c r="B105" s="170">
        <f>IF(A105="","",SUMIF(RevenueData!$A:$A,A105,RevenueData!$B:$B)+SUMIF(RevenueData!$A:$A,A105,RevenueData!$C:$C)+SUMIF(RevenueData!$A:$A,A105,RevenueData!$D:$D)+SUMIF(RevenueData!$A:$A,A105,RevenueData!$E:$E)+SUMIF(RevenueData!$A:$A,A105,RevenueData!$F:$F)+SUMIF(RevenueData!$A:$A,A105,RevenueData!$G:$G)+SUMIF(RevenueData!$A:$A,A105,RevenueData!$H:$H))</f>
        <v/>
      </c>
      <c r="C105" s="166">
        <f>IF(A105="","",B105*7)</f>
        <v/>
      </c>
      <c r="D105" s="166">
        <f>IF(A105="","",B105*19)</f>
        <v/>
      </c>
      <c r="E105" s="166">
        <f>IF(A105="","",TRIM(IF(ISNUMBER(RevenueData!B16),"","100LL ")&amp;IF(ISNUMBER(RevenueData!C16),"","Jet-A ")&amp;IF(ISNUMBER(RevenueData!G16),"","tenant ")&amp;IF(ISNUMBER(RevenueData!H16),"","other")))</f>
        <v/>
      </c>
      <c r="F105" s="166" t="inlineStr"/>
      <c r="G105" s="166" t="inlineStr">
        <is>
          <t>RevenueData sheet in this workbook (hidden)</t>
        </is>
      </c>
    </row>
    <row r="106">
      <c r="A106" s="166">
        <f>IF(RevenueData!A17="","",RevenueData!A17)</f>
        <v/>
      </c>
      <c r="B106" s="170">
        <f>IF(A106="","",SUMIF(RevenueData!$A:$A,A106,RevenueData!$B:$B)+SUMIF(RevenueData!$A:$A,A106,RevenueData!$C:$C)+SUMIF(RevenueData!$A:$A,A106,RevenueData!$D:$D)+SUMIF(RevenueData!$A:$A,A106,RevenueData!$E:$E)+SUMIF(RevenueData!$A:$A,A106,RevenueData!$F:$F)+SUMIF(RevenueData!$A:$A,A106,RevenueData!$G:$G)+SUMIF(RevenueData!$A:$A,A106,RevenueData!$H:$H))</f>
        <v/>
      </c>
      <c r="C106" s="166">
        <f>IF(A106="","",B106*7)</f>
        <v/>
      </c>
      <c r="D106" s="166">
        <f>IF(A106="","",B106*19)</f>
        <v/>
      </c>
      <c r="E106" s="166">
        <f>IF(A106="","",TRIM(IF(ISNUMBER(RevenueData!B17),"","100LL ")&amp;IF(ISNUMBER(RevenueData!C17),"","Jet-A ")&amp;IF(ISNUMBER(RevenueData!G17),"","tenant ")&amp;IF(ISNUMBER(RevenueData!H17),"","other")))</f>
        <v/>
      </c>
      <c r="F106" s="166" t="inlineStr"/>
      <c r="G106" s="166" t="inlineStr">
        <is>
          <t>RevenueData sheet in this workbook (hidden)</t>
        </is>
      </c>
    </row>
    <row r="107">
      <c r="A107" s="166">
        <f>IF(RevenueData!A18="","",RevenueData!A18)</f>
        <v/>
      </c>
      <c r="B107" s="170">
        <f>IF(A107="","",SUMIF(RevenueData!$A:$A,A107,RevenueData!$B:$B)+SUMIF(RevenueData!$A:$A,A107,RevenueData!$C:$C)+SUMIF(RevenueData!$A:$A,A107,RevenueData!$D:$D)+SUMIF(RevenueData!$A:$A,A107,RevenueData!$E:$E)+SUMIF(RevenueData!$A:$A,A107,RevenueData!$F:$F)+SUMIF(RevenueData!$A:$A,A107,RevenueData!$G:$G)+SUMIF(RevenueData!$A:$A,A107,RevenueData!$H:$H))</f>
        <v/>
      </c>
      <c r="C107" s="166">
        <f>IF(A107="","",B107*7)</f>
        <v/>
      </c>
      <c r="D107" s="166">
        <f>IF(A107="","",B107*19)</f>
        <v/>
      </c>
      <c r="E107" s="166">
        <f>IF(A107="","",TRIM(IF(ISNUMBER(RevenueData!B18),"","100LL ")&amp;IF(ISNUMBER(RevenueData!C18),"","Jet-A ")&amp;IF(ISNUMBER(RevenueData!G18),"","tenant ")&amp;IF(ISNUMBER(RevenueData!H18),"","other")))</f>
        <v/>
      </c>
      <c r="F107" s="166" t="inlineStr"/>
      <c r="G107" s="166" t="inlineStr">
        <is>
          <t>RevenueData sheet in this workbook (hidden)</t>
        </is>
      </c>
    </row>
    <row r="108" ht="26" customHeight="1">
      <c r="A108" s="162" t="inlineStr">
        <is>
          <t>Same SUMIF chain as General Information D39: text entries in RevenueData (" $-   ", " NA ", descriptions on XNX and M54) count as zero. 7 days is a typical surface-treatment closure and 19 days a mill-and-overlay closure for a 6,000 x 100 ft runway (see production rates).</t>
        </is>
      </c>
    </row>
    <row r="110">
      <c r="A110" s="163" t="inlineStr">
        <is>
          <t>Airports in the General Information dropdown</t>
        </is>
      </c>
      <c r="B110" s="164" t="n"/>
      <c r="C110" s="164" t="n"/>
      <c r="D110" s="164" t="n"/>
      <c r="E110" s="164" t="n"/>
      <c r="F110" s="164" t="n"/>
      <c r="G110" s="164" t="n"/>
    </row>
    <row r="111">
      <c r="A111" s="165" t="inlineStr">
        <is>
          <t>Item</t>
        </is>
      </c>
      <c r="B111" s="165" t="inlineStr">
        <is>
          <t>Value</t>
        </is>
      </c>
      <c r="C111" s="165" t="inlineStr"/>
      <c r="D111" s="165" t="inlineStr"/>
      <c r="E111" s="165" t="inlineStr"/>
      <c r="F111" s="165" t="inlineStr"/>
      <c r="G111" s="165" t="inlineStr">
        <is>
          <t>Source</t>
        </is>
      </c>
    </row>
    <row r="112">
      <c r="A112" s="166" t="inlineStr">
        <is>
          <t>Airports selectable in D9</t>
        </is>
      </c>
      <c r="B112" s="170">
        <f>COUNTA('General Information'!$L$10:$L$88)</f>
        <v/>
      </c>
      <c r="C112" s="166" t="inlineStr"/>
      <c r="D112" s="166" t="inlineStr"/>
      <c r="E112" s="166" t="inlineStr"/>
      <c r="F112" s="166" t="inlineStr"/>
      <c r="G112" s="166" t="inlineStr">
        <is>
          <t>General Information, hidden columns L:P</t>
        </is>
      </c>
    </row>
    <row r="113">
      <c r="A113" s="166" t="inlineStr">
        <is>
          <t>Airports with revenue data</t>
        </is>
      </c>
      <c r="B113" s="170">
        <f>COUNTA(RevenueData!$A$2:$A$60)</f>
        <v/>
      </c>
      <c r="C113" s="166" t="inlineStr"/>
      <c r="D113" s="166" t="inlineStr"/>
      <c r="E113" s="166" t="inlineStr"/>
      <c r="F113" s="166" t="inlineStr"/>
      <c r="G113" s="166" t="inlineStr">
        <is>
          <t>RevenueData</t>
        </is>
      </c>
    </row>
    <row r="114">
      <c r="A114" s="166" t="inlineStr">
        <is>
          <t>Airports with a Middle / West / East region tag</t>
        </is>
      </c>
      <c r="B114" s="170">
        <f>COUNTIF('General Information'!$P$10:$P$88,"Middle")&amp;" / "&amp;COUNTIF('General Information'!$P$10:$P$88,"West")&amp;" / "&amp;COUNTIF('General Information'!$P$10:$P$88,"East")</f>
        <v/>
      </c>
      <c r="C114" s="166" t="inlineStr"/>
      <c r="D114" s="166" t="inlineStr"/>
      <c r="E114" s="166" t="inlineStr"/>
      <c r="F114" s="166" t="inlineStr"/>
      <c r="G114" s="166" t="inlineStr">
        <is>
          <t>General Information, hidden columns L:P</t>
        </is>
      </c>
    </row>
  </sheetData>
  <mergeCells count="8">
    <mergeCell ref="A32:G32"/>
    <mergeCell ref="A87:G87"/>
    <mergeCell ref="A4:G4"/>
    <mergeCell ref="A75:G75"/>
    <mergeCell ref="A59:G59"/>
    <mergeCell ref="A19:G19"/>
    <mergeCell ref="A108:G108"/>
    <mergeCell ref="A46:G46"/>
  </mergeCells>
  <pageMargins left="0.75" right="0.75" top="1" bottom="1" header="0.5" footer="0.5"/>
  <pageSetup orientation="landscape" fitToWidth="1" fitToHeight="0"/>
  <drawing r:id="rId1"/>
</worksheet>
</file>

<file path=xl/worksheets/sheet16.xml><?xml version="1.0" encoding="utf-8"?>
<worksheet xmlns:r="http://schemas.openxmlformats.org/officeDocument/2006/relationships" xmlns="http://schemas.openxmlformats.org/spreadsheetml/2006/main">
  <sheetPr>
    <tabColor rgb="FFBFBFBF"/>
    <outlinePr summaryBelow="1" summaryRight="1"/>
    <pageSetUpPr fitToPage="1"/>
  </sheetPr>
  <dimension ref="A1:E105"/>
  <sheetViews>
    <sheetView workbookViewId="0">
      <pane ySplit="4" topLeftCell="A5" activePane="bottomLeft" state="frozen"/>
      <selection pane="bottomLeft" activeCell="A1" sqref="A1"/>
    </sheetView>
  </sheetViews>
  <sheetFormatPr baseColWidth="8" defaultRowHeight="15"/>
  <cols>
    <col width="34" customWidth="1" min="1" max="1"/>
    <col width="30" customWidth="1" min="2" max="2"/>
    <col width="56" customWidth="1" min="3" max="3"/>
    <col width="66" customWidth="1" min="4" max="4"/>
    <col width="30" customWidth="1" min="5" max="5"/>
  </cols>
  <sheetData>
    <row r="1" ht="40" customHeight="1">
      <c r="A1" s="172">
        <f>HYPERLINK("#'General Information'!D9","◄ General Information")</f>
        <v/>
      </c>
      <c r="B1" s="173">
        <f>HYPERLINK("#Summary!G1","Summary")</f>
        <v/>
      </c>
    </row>
    <row r="2">
      <c r="A2" s="174" t="inlineStr">
        <is>
          <t>Reference sheet: nothing here feeds the calculation.</t>
        </is>
      </c>
    </row>
    <row r="3">
      <c r="A3" s="175" t="inlineStr">
        <is>
          <t>METHOD: WHAT THIS WORKBOOK CALCULATES, AND WHY</t>
        </is>
      </c>
    </row>
    <row r="4" ht="42" customHeight="1">
      <c r="A4" s="176" t="inlineStr">
        <is>
          <t>Every calculation in the framework, written once: the formula as it stands in the cell, the rule in plain English, and where the rule comes from. Sections 2 to 8 follow one alternative from the quantities you type to its net present worth; section 9 covers what the Summary adds; section 10 reads the current settings live; section 11 lists the assumptions a reviewer will ask about. To see a formula in the workbook itself, go to the cell named in column B, or press Ctrl + ` on any sheet to show all of its formulas at once.</t>
        </is>
      </c>
    </row>
    <row r="6">
      <c r="A6" s="177" t="inlineStr">
        <is>
          <t>1. The answer the workbook produces</t>
        </is>
      </c>
      <c r="B6" s="178" t="n"/>
      <c r="C6" s="178" t="n"/>
      <c r="D6" s="178" t="n"/>
      <c r="E6" s="178" t="n"/>
    </row>
    <row r="7">
      <c r="A7" s="179" t="inlineStr">
        <is>
          <t>Step / quantity</t>
        </is>
      </c>
      <c r="B7" s="179" t="inlineStr">
        <is>
          <t>Where it lives</t>
        </is>
      </c>
      <c r="C7" s="179" t="inlineStr">
        <is>
          <t>Formula as it stands</t>
        </is>
      </c>
      <c r="D7" s="179" t="inlineStr">
        <is>
          <t>What it means</t>
        </is>
      </c>
      <c r="E7" s="179" t="inlineStr">
        <is>
          <t>Source of the rule</t>
        </is>
      </c>
    </row>
    <row r="8">
      <c r="A8" s="180" t="inlineStr">
        <is>
          <t>Net present worth (NPW)</t>
        </is>
      </c>
      <c r="B8" s="180" t="inlineStr">
        <is>
          <t>Alt sheet E52 (HMA), E43 (PCC)</t>
        </is>
      </c>
      <c r="C8" s="181" t="inlineStr">
        <is>
          <t>=SUM(E36:E51)</t>
        </is>
      </c>
      <c r="D8" s="180" t="inlineStr">
        <is>
          <t>Today's value of everything the alternative costs over the analysis period: initial construction, every maintenance and rehabilitation event, the airport revenue lost while the runway is closed, less the salvage credit. The alternative with the lowest NPW is the economic choice.</t>
        </is>
      </c>
      <c r="E8" s="180" t="inlineStr">
        <is>
          <t>FHWA LCCA Primer; TDOT framework</t>
        </is>
      </c>
    </row>
    <row r="9">
      <c r="A9" s="180" t="inlineStr">
        <is>
          <t>Where it is reported</t>
        </is>
      </c>
      <c r="B9" s="180" t="inlineStr">
        <is>
          <t>Summary O4:O7 and D4:D7</t>
        </is>
      </c>
      <c r="C9" s="181" t="inlineStr">
        <is>
          <t>=IFERROR(INDEX(INDIRECT("'"&amp;$G4&amp;"'!$E$1:$E$70"),MATCH("Net Present Worth",...)),0)</t>
        </is>
      </c>
      <c r="D9" s="180" t="inlineStr">
        <is>
          <t>The Summary reads the NPW out of each alternative worksheet by name, so it follows whatever alternatives exist.</t>
        </is>
      </c>
      <c r="E9" s="180" t="inlineStr">
        <is>
          <t>Summary, v1.2.0</t>
        </is>
      </c>
    </row>
    <row r="10">
      <c r="A10" s="180" t="inlineStr">
        <is>
          <t>Everything else is presentation</t>
        </is>
      </c>
      <c r="B10" s="180" t="inlineStr">
        <is>
          <t>Summary G3:R7, G12:O17, charts 1 to 7</t>
        </is>
      </c>
      <c r="C10" s="181" t="inlineStr"/>
      <c r="D10" s="180" t="inlineStr">
        <is>
          <t>The results table, the comparison block, the five cost charts and the two section charts all restate the same numbers. No chart or block feeds a cost back into the calculation.</t>
        </is>
      </c>
      <c r="E10" s="180" t="inlineStr">
        <is>
          <t>Summary, v1.2.0</t>
        </is>
      </c>
    </row>
    <row r="11" ht="26" customHeight="1">
      <c r="A11" s="176" t="inlineStr">
        <is>
          <t>Read the steps below in order: they follow the money from the quantities you type to the NPW.</t>
        </is>
      </c>
    </row>
    <row r="13">
      <c r="A13" s="177" t="inlineStr">
        <is>
          <t>2. Step 1: initial construction cost</t>
        </is>
      </c>
      <c r="B13" s="178" t="n"/>
      <c r="C13" s="178" t="n"/>
      <c r="D13" s="178" t="n"/>
      <c r="E13" s="178" t="n"/>
    </row>
    <row r="14">
      <c r="A14" s="179" t="inlineStr">
        <is>
          <t>Step / quantity</t>
        </is>
      </c>
      <c r="B14" s="179" t="inlineStr">
        <is>
          <t>Where it lives</t>
        </is>
      </c>
      <c r="C14" s="179" t="inlineStr">
        <is>
          <t>Formula as it stands</t>
        </is>
      </c>
      <c r="D14" s="179" t="inlineStr">
        <is>
          <t>What it means</t>
        </is>
      </c>
      <c r="E14" s="179" t="inlineStr">
        <is>
          <t>Source of the rule</t>
        </is>
      </c>
    </row>
    <row r="15">
      <c r="A15" s="180" t="inlineStr">
        <is>
          <t>Item cost</t>
        </is>
      </c>
      <c r="B15" s="180" t="inlineStr">
        <is>
          <t>Alt sheet G13:G22</t>
        </is>
      </c>
      <c r="C15" s="181" t="inlineStr">
        <is>
          <t>=IF(B13&lt;&gt;0,F13*E13,0)</t>
        </is>
      </c>
      <c r="D15" s="180" t="inlineStr">
        <is>
          <t>The quantity you type in column E times the unit cost the item carries on Pay_Items. Ten item lines are available.</t>
        </is>
      </c>
      <c r="E15" s="180" t="inlineStr">
        <is>
          <t>Alternative worksheet</t>
        </is>
      </c>
    </row>
    <row r="16">
      <c r="A16" s="180" t="inlineStr">
        <is>
          <t>Unit cost, item number, unit</t>
        </is>
      </c>
      <c r="B16" s="180" t="inlineStr">
        <is>
          <t>Alt sheet B, D and F columns</t>
        </is>
      </c>
      <c r="C16" s="181" t="inlineStr">
        <is>
          <t>=IF(C13="","N/A",IF(INDEX(UnitCostGrid,MATCH(C13,PayItemKeys,0),$I$11)="",INDEX(UnitCostGrid,MATCH(C13,PayItemKeys,0),1),INDEX(UnitCostGrid,MATCH(C13,PayItemKeys,0),$I$11)))</t>
        </is>
      </c>
      <c r="D16" s="180" t="inlineStr">
        <is>
          <t>Unit costs are never typed on an alternative sheet. Picking a description in column C pulls the item number, the unit and the price from Pay_Items, so a price change for every future project is one edit on Pay_Items. UnitCostGrid is Table2[[Unit Cost]:[East]], the four price columns; I11 turns the division picked in C11 into which of them to read.</t>
        </is>
      </c>
      <c r="E16" s="180" t="inlineStr">
        <is>
          <t>Pay_Items (Table2), columns F to I</t>
        </is>
      </c>
    </row>
    <row r="17">
      <c r="A17" s="180" t="inlineStr">
        <is>
          <t>Which division the alternative is priced from</t>
        </is>
      </c>
      <c r="B17" s="180" t="inlineStr">
        <is>
          <t>Alt sheet C11 and I11</t>
        </is>
      </c>
      <c r="C17" s="181" t="inlineStr">
        <is>
          <t>=IFERROR(MATCH($C$11,PriceSources,0),1)</t>
        </is>
      </c>
      <c r="D17" s="180" t="inlineStr">
        <is>
          <t>C11 is a list: Regular, Middle, West or East. Regular is the statewide Unit Cost column and is what a new alternative ships with. Any item the chosen division leaves blank is priced from Unit Cost instead, so filling one regional cost prices that item regionally and changes nothing else. An empty C11 reads as Regular.</t>
        </is>
      </c>
      <c r="E17" s="180" t="inlineStr">
        <is>
          <t>v1.2.0, Pay_Items columns F to I</t>
        </is>
      </c>
    </row>
    <row r="18">
      <c r="A18" s="180" t="inlineStr">
        <is>
          <t>Pay-item subtotal</t>
        </is>
      </c>
      <c r="B18" s="180" t="inlineStr">
        <is>
          <t>Alt sheet G24</t>
        </is>
      </c>
      <c r="C18" s="181" t="inlineStr">
        <is>
          <t>=SUM(G13:G22)</t>
        </is>
      </c>
      <c r="D18" s="180" t="inlineStr">
        <is>
          <t>The ten item lines. (In v1.1.2 this summed G14:G22 and silently dropped item 1.)</t>
        </is>
      </c>
      <c r="E18" s="180" t="inlineStr">
        <is>
          <t>v1.2.0 fix 1</t>
        </is>
      </c>
    </row>
    <row r="19">
      <c r="A19" s="180" t="inlineStr">
        <is>
          <t>Mobilization</t>
        </is>
      </c>
      <c r="B19" s="180" t="inlineStr">
        <is>
          <t>Alt sheet G25</t>
        </is>
      </c>
      <c r="C19" s="181" t="inlineStr">
        <is>
          <t>=('General Information'!$D$36/100)*G24</t>
        </is>
      </c>
      <c r="D19" s="180" t="inlineStr">
        <is>
          <t>A percentage of the pay-item subtotal. Default 10 percent, set on General Information D36.</t>
        </is>
      </c>
      <c r="E19" s="180" t="inlineStr">
        <is>
          <t>General Information D36</t>
        </is>
      </c>
    </row>
    <row r="20">
      <c r="A20" s="180" t="inlineStr">
        <is>
          <t>Engineering</t>
        </is>
      </c>
      <c r="B20" s="180" t="inlineStr">
        <is>
          <t>Alt sheet G26</t>
        </is>
      </c>
      <c r="C20" s="181" t="inlineStr">
        <is>
          <t>=('General Information'!$D$37/100)*G24</t>
        </is>
      </c>
      <c r="D20" s="180" t="inlineStr">
        <is>
          <t>A percentage of the pay-item subtotal. Default 5 percent, set on General Information D37. Applied to initial construction from v1.2.0; before that it was charged only on later work.</t>
        </is>
      </c>
      <c r="E20" s="180" t="inlineStr">
        <is>
          <t>General Information D37; v1.2.0 fix 2</t>
        </is>
      </c>
    </row>
    <row r="21">
      <c r="A21" s="180" t="inlineStr">
        <is>
          <t>Initial construction total</t>
        </is>
      </c>
      <c r="B21" s="180" t="inlineStr">
        <is>
          <t>Alt sheet G27</t>
        </is>
      </c>
      <c r="C21" s="181" t="inlineStr">
        <is>
          <t>=SUM(G24:G26)</t>
        </is>
      </c>
      <c r="D21" s="180" t="inlineStr">
        <is>
          <t>Subtotal plus mobilization plus engineering. This is the "Initial construction" column on the Summary and the year-0 row of the life-cycle table.</t>
        </is>
      </c>
      <c r="E21" s="180" t="inlineStr">
        <is>
          <t>Alternative worksheet</t>
        </is>
      </c>
    </row>
    <row r="23">
      <c r="A23" s="177" t="inlineStr">
        <is>
          <t>3. Step 2: when the later work happens</t>
        </is>
      </c>
      <c r="B23" s="178" t="n"/>
      <c r="C23" s="178" t="n"/>
      <c r="D23" s="178" t="n"/>
      <c r="E23" s="178" t="n"/>
    </row>
    <row r="24">
      <c r="A24" s="179" t="inlineStr">
        <is>
          <t>Step / quantity</t>
        </is>
      </c>
      <c r="B24" s="179" t="inlineStr">
        <is>
          <t>Where it lives</t>
        </is>
      </c>
      <c r="C24" s="179" t="inlineStr">
        <is>
          <t>Formula as it stands</t>
        </is>
      </c>
      <c r="D24" s="179" t="inlineStr">
        <is>
          <t>What it means</t>
        </is>
      </c>
      <c r="E24" s="179" t="inlineStr">
        <is>
          <t>Source of the rule</t>
        </is>
      </c>
    </row>
    <row r="25">
      <c r="A25" s="180" t="inlineStr">
        <is>
          <t>Year of each event</t>
        </is>
      </c>
      <c r="B25" s="180" t="inlineStr">
        <is>
          <t>Alt sheet C37:C51</t>
        </is>
      </c>
      <c r="C25" s="181" t="inlineStr">
        <is>
          <t>='Maintenance Policies'!E10</t>
        </is>
      </c>
      <c r="D25" s="180" t="inlineStr">
        <is>
          <t>Years come from the maintenance policy tables, not from the project. New HMA: maintenance at 4, 8, 12 and 16, mill-and-overlay rehabilitation at 20, maintenance at 24 and 28, salvage at 30. New PCC: maintenance at 19, rehabilitation at 27, salvage at 30.</t>
        </is>
      </c>
      <c r="E25" s="180" t="inlineStr">
        <is>
          <t>Maintenance Policies, Tables 1 and 2</t>
        </is>
      </c>
    </row>
    <row r="26">
      <c r="A26" s="180" t="inlineStr">
        <is>
          <t>The year is an offset</t>
        </is>
      </c>
      <c r="B26" s="180" t="inlineStr">
        <is>
          <t>Alt sheet column C</t>
        </is>
      </c>
      <c r="C26" s="181" t="inlineStr"/>
      <c r="D26" s="180" t="inlineStr">
        <is>
          <t>Column C counts years after construction, not calendar years. Calendar years appear only on the Summary charts, where the construction year is added back.</t>
        </is>
      </c>
      <c r="E26" s="180" t="inlineStr">
        <is>
          <t>Alternative worksheet</t>
        </is>
      </c>
    </row>
    <row r="27">
      <c r="A27" s="180" t="inlineStr">
        <is>
          <t>Events beyond the analysis period</t>
        </is>
      </c>
      <c r="B27" s="180" t="inlineStr">
        <is>
          <t>Alt sheet column E</t>
        </is>
      </c>
      <c r="C27" s="181" t="inlineStr">
        <is>
          <t>=IF(C37&gt;'General Information'!$D$33,0,...)</t>
        </is>
      </c>
      <c r="D27" s="180" t="inlineStr">
        <is>
          <t>An event later than the analysis period is dropped to zero. A 20-year run therefore drops HMA maintenance 5 and 6 and the PCC rehabilitation. Added in v1.2.0; before that every event was counted whatever the period.</t>
        </is>
      </c>
      <c r="E27" s="180" t="inlineStr">
        <is>
          <t>General Information D33; v1.2.0 fix 3</t>
        </is>
      </c>
    </row>
    <row r="28" ht="26" customHeight="1">
      <c r="A28" s="176" t="inlineStr">
        <is>
          <t>Changing a policy year on Maintenance Policies moves the event everywhere: the cost, the chart and the closure.</t>
        </is>
      </c>
    </row>
    <row r="30">
      <c r="A30" s="177" t="inlineStr">
        <is>
          <t>4. Step 3: what each maintenance and rehabilitation event costs</t>
        </is>
      </c>
      <c r="B30" s="178" t="n"/>
      <c r="C30" s="178" t="n"/>
      <c r="D30" s="178" t="n"/>
      <c r="E30" s="178" t="n"/>
    </row>
    <row r="31">
      <c r="A31" s="179" t="inlineStr">
        <is>
          <t>Step / quantity</t>
        </is>
      </c>
      <c r="B31" s="179" t="inlineStr">
        <is>
          <t>Where it lives</t>
        </is>
      </c>
      <c r="C31" s="179" t="inlineStr">
        <is>
          <t>Formula as it stands</t>
        </is>
      </c>
      <c r="D31" s="179" t="inlineStr">
        <is>
          <t>What it means</t>
        </is>
      </c>
      <c r="E31" s="179" t="inlineStr">
        <is>
          <t>Source of the rule</t>
        </is>
      </c>
    </row>
    <row r="32">
      <c r="A32" s="180" t="inlineStr">
        <is>
          <t>HMA maintenance 1 and 2 (years 4, 8)</t>
        </is>
      </c>
      <c r="B32" s="180" t="inlineStr">
        <is>
          <t>Alt sheet J13:P19 and R13:X19 (hidden to the right)</t>
        </is>
      </c>
      <c r="C32" s="181" t="inlineStr">
        <is>
          <t>qty = 'Maintenance Policies'!D10*$C$5 ; cost = unit cost x qty</t>
        </is>
      </c>
      <c r="D32" s="180" t="inlineStr">
        <is>
          <t>Surface treatment over 100 percent of the mainline area, the old markings removed and 100 percent of the markings repainted. The treatment product is the one chosen in C7.</t>
        </is>
      </c>
      <c r="E32" s="180" t="inlineStr">
        <is>
          <t>Maintenance Policies rows 10 to 13</t>
        </is>
      </c>
    </row>
    <row r="33">
      <c r="A33" s="180" t="inlineStr">
        <is>
          <t>HMA maintenance 3 and 4 (years 12, 16)</t>
        </is>
      </c>
      <c r="B33" s="180" t="inlineStr">
        <is>
          <t>Alt sheet Z13:AD20 and AH13:AN21</t>
        </is>
      </c>
      <c r="C33" s="181" t="inlineStr">
        <is>
          <t>qty = 'Maintenance Policies'!D14*($C$5*9)</t>
        </is>
      </c>
      <c r="D33" s="180" t="inlineStr">
        <is>
          <t>Patching 0.75 and 1.00 percent of the area (converted to square feet, hence x9), crack sealing 3.25 and 3.50 percent of the area as linear feet, then a full surface treatment and markings.</t>
        </is>
      </c>
      <c r="E33" s="180" t="inlineStr">
        <is>
          <t>Maintenance Policies rows 14 to 21</t>
        </is>
      </c>
    </row>
    <row r="34">
      <c r="A34" s="180" t="inlineStr">
        <is>
          <t>HMA rehabilitation 1 (year 20)</t>
        </is>
      </c>
      <c r="B34" s="180" t="inlineStr">
        <is>
          <t>Alt sheet AP13:AV22</t>
        </is>
      </c>
      <c r="C34" s="181" t="inlineStr">
        <is>
          <t>qty = 'Maintenance Policies'!D22*$C$5</t>
        </is>
      </c>
      <c r="D34" s="180" t="inlineStr">
        <is>
          <t>4-inch cold mill, tack coat and asphalt overlay over 100 percent of the area, with pre-overlay crack repair on 1.5 percent and patching on 0.5 percent, plus markings.</t>
        </is>
      </c>
      <c r="E34" s="180" t="inlineStr">
        <is>
          <t>Maintenance Policies rows 22 to 25</t>
        </is>
      </c>
    </row>
    <row r="35">
      <c r="A35" s="180" t="inlineStr">
        <is>
          <t>PCC maintenance 1 (year 19)</t>
        </is>
      </c>
      <c r="B35" s="180" t="inlineStr">
        <is>
          <t>Alt sheet J13:P20</t>
        </is>
      </c>
      <c r="C35" s="181" t="inlineStr">
        <is>
          <t>qty = K8*'Maintenance Policies'!D37 and 'Maintenance Policies'!D38*(C5*9)</t>
        </is>
      </c>
      <c r="D35" s="180" t="inlineStr">
        <is>
          <t>Joint resealing over the whole estimated joint length, crack sealing 0.25 percent of the area as linear feet, partial-depth patching 0.13 percent and full-depth patching 0.30 percent.</t>
        </is>
      </c>
      <c r="E35" s="180" t="inlineStr">
        <is>
          <t>Maintenance Policies rows 37 to 40</t>
        </is>
      </c>
    </row>
    <row r="36">
      <c r="A36" s="180" t="inlineStr">
        <is>
          <t>PCC rehabilitation 1 (year 27)</t>
        </is>
      </c>
      <c r="B36" s="180" t="inlineStr">
        <is>
          <t>Alt sheet R13:X21</t>
        </is>
      </c>
      <c r="C36" s="181" t="inlineStr">
        <is>
          <t>qty = 'Maintenance Policies'!D41*C5 (slabs) and 'Maintenance Policies'!D45*K8 (joints)</t>
        </is>
      </c>
      <c r="D36" s="180" t="inlineStr">
        <is>
          <t>Slab replacement on 2 percent of the area, full-depth patching 0.30 percent, partial-depth 0.13 percent, crack sealing 0.30 percent as linear feet and joint sealing over the full joint length.</t>
        </is>
      </c>
      <c r="E36" s="180" t="inlineStr">
        <is>
          <t>Maintenance Policies rows 41 to 45</t>
        </is>
      </c>
    </row>
    <row r="37">
      <c r="A37" s="180" t="inlineStr">
        <is>
          <t>Joint length (PCC only)</t>
        </is>
      </c>
      <c r="B37" s="180" t="inlineStr">
        <is>
          <t>Alt sheet K7 and K8</t>
        </is>
      </c>
      <c r="C37" s="181" t="inlineStr">
        <is>
          <t>=C5/((12.5*12.5)/9) then =K7*25+((K7/8)*12.5)</t>
        </is>
      </c>
      <c r="D37" s="180" t="inlineStr">
        <is>
          <t>Slabs are assumed 12.5 x 12.5 ft; the joint length follows from the panel count. Nothing asks the user for a joint layout.</t>
        </is>
      </c>
      <c r="E37" s="180" t="inlineStr">
        <is>
          <t>Alternative worksheet (PCC)</t>
        </is>
      </c>
    </row>
    <row r="38">
      <c r="A38" s="180" t="inlineStr">
        <is>
          <t>Mobilization and engineering on each event</t>
        </is>
      </c>
      <c r="B38" s="180" t="inlineStr">
        <is>
          <t>Alt sheet P17, P18 and the matching cells in each block</t>
        </is>
      </c>
      <c r="C38" s="181" t="inlineStr">
        <is>
          <t>=('General Information'!$D$36/100)*P16</t>
        </is>
      </c>
      <c r="D38" s="180" t="inlineStr">
        <is>
          <t>Every maintenance and rehabilitation event carries the same mobilization and engineering percentages as initial construction.</t>
        </is>
      </c>
      <c r="E38" s="180" t="inlineStr">
        <is>
          <t>General Information D36, D37</t>
        </is>
      </c>
    </row>
    <row r="39" ht="26" customHeight="1">
      <c r="A39" s="176" t="inlineStr">
        <is>
          <t>The quantities of later work are computed from the policy rates and the project area. They are not typed anywhere.</t>
        </is>
      </c>
    </row>
    <row r="41">
      <c r="A41" s="177" t="inlineStr">
        <is>
          <t>5. Step 4: how long the runway closes</t>
        </is>
      </c>
      <c r="B41" s="178" t="n"/>
      <c r="C41" s="178" t="n"/>
      <c r="D41" s="178" t="n"/>
      <c r="E41" s="178" t="n"/>
    </row>
    <row r="42">
      <c r="A42" s="179" t="inlineStr">
        <is>
          <t>Step / quantity</t>
        </is>
      </c>
      <c r="B42" s="179" t="inlineStr">
        <is>
          <t>Where it lives</t>
        </is>
      </c>
      <c r="C42" s="179" t="inlineStr">
        <is>
          <t>Formula as it stands</t>
        </is>
      </c>
      <c r="D42" s="179" t="inlineStr">
        <is>
          <t>What it means</t>
        </is>
      </c>
      <c r="E42" s="179" t="inlineStr">
        <is>
          <t>Source of the rule</t>
        </is>
      </c>
    </row>
    <row r="43">
      <c r="A43" s="180" t="inlineStr">
        <is>
          <t>HMA surface treatment (F4, F5, F9)</t>
        </is>
      </c>
      <c r="B43" s="180" t="inlineStr">
        <is>
          <t>Alt sheet F4:F10 (grey, editable)</t>
        </is>
      </c>
      <c r="C43" s="181" t="inlineStr">
        <is>
          <t>=ROUNDUP((C5/15000),0)+ROUNDUP((C8/20000),0)+ROUNDUP((C8/50000),0)</t>
        </is>
      </c>
      <c r="D43" s="180" t="inlineStr">
        <is>
          <t>Production rates: 15,000 S.Y. a day of surface treatment, plus the two marking operations at 20,000 and 50,000 S.F. a day.</t>
        </is>
      </c>
      <c r="E43" s="180" t="inlineStr">
        <is>
          <t>v1.2.0 defaults, taken from the MBT and SRB runs</t>
        </is>
      </c>
    </row>
    <row r="44">
      <c r="A44" s="180" t="inlineStr">
        <is>
          <t>HMA with patching and crack sealing (F6, F7, F10)</t>
        </is>
      </c>
      <c r="B44" s="180" t="inlineStr">
        <is>
          <t>Alt sheet F6, F7, F10</t>
        </is>
      </c>
      <c r="C44" s="181" t="inlineStr">
        <is>
          <t>... +ROUNDUP((C5*'Maintenance Policies'!D15/10000),0)+ROUNDUP((C5*'Maintenance Policies'!D14/5000),0)</t>
        </is>
      </c>
      <c r="D44" s="180" t="inlineStr">
        <is>
          <t>Adds crack sealing at 10,000 L.F. a day and patching at 5,000 S.Y. a day, on the policy quantities for that event.</t>
        </is>
      </c>
      <c r="E44" s="180" t="inlineStr">
        <is>
          <t>v1.2.0 defaults</t>
        </is>
      </c>
    </row>
    <row r="45">
      <c r="A45" s="180" t="inlineStr">
        <is>
          <t>HMA mill and overlay (F8)</t>
        </is>
      </c>
      <c r="B45" s="180" t="inlineStr">
        <is>
          <t>Alt sheet F8</t>
        </is>
      </c>
      <c r="C45" s="181" t="inlineStr">
        <is>
          <t>=ROUNDUP((C5/3800),0)+ROUNDUP((C8/50000),0)</t>
        </is>
      </c>
      <c r="D45" s="180" t="inlineStr">
        <is>
          <t>Mill and overlay at 3,800 S.Y. a day, plus markings.</t>
        </is>
      </c>
      <c r="E45" s="180" t="inlineStr">
        <is>
          <t>v1.2.0 defaults</t>
        </is>
      </c>
    </row>
    <row r="46">
      <c r="A46" s="180" t="inlineStr">
        <is>
          <t>PCC (F4, F5)</t>
        </is>
      </c>
      <c r="B46" s="180" t="inlineStr">
        <is>
          <t>Alt sheet F4, F5</t>
        </is>
      </c>
      <c r="C46" s="181" t="inlineStr">
        <is>
          <t>=ROUNDUP(C5*550/(50*100/9)/10000,0)+... +7 on F5</t>
        </is>
      </c>
      <c r="D46" s="180" t="inlineStr">
        <is>
          <t>Joint work at 10,000 L.F. a day, patching and sealing at 5,000 a day, slab replacement at 1,000 S.Y. a day, plus seven days of cure before the runway reopens.</t>
        </is>
      </c>
      <c r="E46" s="180" t="inlineStr">
        <is>
          <t>v1.2.0 defaults</t>
        </is>
      </c>
    </row>
    <row r="47">
      <c r="A47" s="180" t="inlineStr">
        <is>
          <t>These are inputs</t>
        </is>
      </c>
      <c r="B47" s="180" t="inlineStr">
        <is>
          <t>Alt sheet F4:F10</t>
        </is>
      </c>
      <c r="C47" s="181" t="inlineStr"/>
      <c r="D47" s="180" t="inlineStr">
        <is>
          <t>The cells are grey because a project can override them. Type a number and the formula is replaced for that alternative only.</t>
        </is>
      </c>
      <c r="E47" s="180" t="inlineStr">
        <is>
          <t>Alternative worksheet</t>
        </is>
      </c>
    </row>
    <row r="48" ht="26" customHeight="1">
      <c r="A48" s="176" t="inlineStr">
        <is>
          <t>Closure days matter only when lost revenue is switched on, but they are always reported on the Summary.</t>
        </is>
      </c>
    </row>
    <row r="50">
      <c r="A50" s="177" t="inlineStr">
        <is>
          <t>6. Step 5: lost airport revenue (the "indirect cost")</t>
        </is>
      </c>
      <c r="B50" s="178" t="n"/>
      <c r="C50" s="178" t="n"/>
      <c r="D50" s="178" t="n"/>
      <c r="E50" s="178" t="n"/>
    </row>
    <row r="51">
      <c r="A51" s="179" t="inlineStr">
        <is>
          <t>Step / quantity</t>
        </is>
      </c>
      <c r="B51" s="179" t="inlineStr">
        <is>
          <t>Where it lives</t>
        </is>
      </c>
      <c r="C51" s="179" t="inlineStr">
        <is>
          <t>Formula as it stands</t>
        </is>
      </c>
      <c r="D51" s="179" t="inlineStr">
        <is>
          <t>What it means</t>
        </is>
      </c>
      <c r="E51" s="179" t="inlineStr">
        <is>
          <t>Source of the rule</t>
        </is>
      </c>
    </row>
    <row r="52">
      <c r="A52" s="180" t="inlineStr">
        <is>
          <t>Switch</t>
        </is>
      </c>
      <c r="B52" s="180" t="inlineStr">
        <is>
          <t>General Information D38</t>
        </is>
      </c>
      <c r="C52" s="181" t="inlineStr"/>
      <c r="D52" s="180" t="inlineStr">
        <is>
          <t>Yes adds a lost-revenue row beside every maintenance and rehabilitation event. No leaves the analysis as agency cost only.</t>
        </is>
      </c>
      <c r="E52" s="180" t="inlineStr">
        <is>
          <t>General Information D38</t>
        </is>
      </c>
    </row>
    <row r="53">
      <c r="A53" s="180" t="inlineStr">
        <is>
          <t>Daily revenue</t>
        </is>
      </c>
      <c r="B53" s="180" t="inlineStr">
        <is>
          <t>Alt sheet F2</t>
        </is>
      </c>
      <c r="C53" s="181" t="inlineStr">
        <is>
          <t>=IF('General Information'!$D$38="Yes",SUMIF(RevenueData!$A:$A,'General Information'!$D$10,RevenueData!$B:$B)+... ,0)</t>
        </is>
      </c>
      <c r="D53" s="180" t="inlineStr">
        <is>
          <t>Adds the airport's revenue lines on the hidden RevenueData sheet (fuel, tenant, other). Only 17 of the 79 airports have revenue data; text entries such as " NA " count as zero.</t>
        </is>
      </c>
      <c r="E53" s="180" t="inlineStr">
        <is>
          <t>RevenueData (hidden); v1.2.0 fix 5</t>
        </is>
      </c>
    </row>
    <row r="54">
      <c r="A54" s="180" t="inlineStr">
        <is>
          <t>Warning when there is no data</t>
        </is>
      </c>
      <c r="B54" s="180" t="inlineStr">
        <is>
          <t>Alt sheet G2</t>
        </is>
      </c>
      <c r="C54" s="181" t="inlineStr">
        <is>
          <t>=IF(AND('General Information'!$D$38="Yes",F2=0),"No revenue data for this airport...","")</t>
        </is>
      </c>
      <c r="D54" s="180" t="inlineStr">
        <is>
          <t>An airport outside the 17 returns $0 lost revenue with a visible warning, instead of the not-available error it produced before.</t>
        </is>
      </c>
      <c r="E54" s="180" t="inlineStr">
        <is>
          <t>v1.2.0 fix 5</t>
        </is>
      </c>
    </row>
    <row r="55">
      <c r="A55" s="180" t="inlineStr">
        <is>
          <t>Cost of one closure</t>
        </is>
      </c>
      <c r="B55" s="180" t="inlineStr">
        <is>
          <t>Alt sheet D38, D40, D42 ... (the "Indirect Cost" rows)</t>
        </is>
      </c>
      <c r="C55" s="181" t="inlineStr">
        <is>
          <t>=F2*F4</t>
        </is>
      </c>
      <c r="D55" s="180" t="inlineStr">
        <is>
          <t>Daily revenue times the closure days for that event, then discounted like any other cost.</t>
        </is>
      </c>
      <c r="E55" s="180" t="inlineStr">
        <is>
          <t>Alternative worksheet</t>
        </is>
      </c>
    </row>
    <row r="56" ht="26" customHeight="1">
      <c r="A56" s="176" t="inlineStr">
        <is>
          <t>This is the airport-side counterpart of the road user delay cost in the Caltrans and FHWA RealCost method.</t>
        </is>
      </c>
    </row>
    <row r="58">
      <c r="A58" s="177" t="inlineStr">
        <is>
          <t>7. Step 6: salvage value</t>
        </is>
      </c>
      <c r="B58" s="178" t="n"/>
      <c r="C58" s="178" t="n"/>
      <c r="D58" s="178" t="n"/>
      <c r="E58" s="178" t="n"/>
    </row>
    <row r="59">
      <c r="A59" s="179" t="inlineStr">
        <is>
          <t>Step / quantity</t>
        </is>
      </c>
      <c r="B59" s="179" t="inlineStr">
        <is>
          <t>Where it lives</t>
        </is>
      </c>
      <c r="C59" s="179" t="inlineStr">
        <is>
          <t>Formula as it stands</t>
        </is>
      </c>
      <c r="D59" s="179" t="inlineStr">
        <is>
          <t>What it means</t>
        </is>
      </c>
      <c r="E59" s="179" t="inlineStr">
        <is>
          <t>Source of the rule</t>
        </is>
      </c>
    </row>
    <row r="60">
      <c r="A60" s="180" t="inlineStr">
        <is>
          <t>The rule</t>
        </is>
      </c>
      <c r="B60" s="180" t="inlineStr">
        <is>
          <t>Maintenance Policies D32 and D46</t>
        </is>
      </c>
      <c r="C60" s="181" t="inlineStr">
        <is>
          <t>=MAX(0,MIN(1,(placed+life-'General Information'!$D$33)/life))</t>
        </is>
      </c>
      <c r="D60" s="180" t="inlineStr">
        <is>
          <t>Remaining life over expected life, times the cost of the asset being salvaged. Both terms are live: the credit is taken at the analysis period and the HMA overlay happens in the year the policy sheet names, so the fraction is computed, never typed. The expected life it divides by sits in column F beside each salvage row.</t>
        </is>
      </c>
      <c r="E60" s="180" t="inlineStr">
        <is>
          <t>AAPTP 06-06 and FAA remaining-life salvage; v1.2.0 made it a formula</t>
        </is>
      </c>
    </row>
    <row r="61">
      <c r="A61" s="180" t="inlineStr">
        <is>
          <t>New HMA</t>
        </is>
      </c>
      <c r="B61" s="180" t="inlineStr">
        <is>
          <t>Alt sheet D51</t>
        </is>
      </c>
      <c r="C61" s="181" t="inlineStr">
        <is>
          <t>=-'Maintenance Policies'!D32*AV22</t>
        </is>
      </c>
      <c r="D61" s="180" t="inlineStr">
        <is>
          <t>A share of the mill-and-overlay cost. The overlay is laid in year 20 and lasts 16 years, so at a 30-year period 6 of 16 years remain and the credit is 37.5 percent. Through v1.2.0 this cell held a fixed 12.5 percent, which is what 16 years of life would leave from an overlay laid in year 16, not year 20.</t>
        </is>
      </c>
      <c r="E61" s="180" t="inlineStr">
        <is>
          <t>Maintenance Policies row 32</t>
        </is>
      </c>
    </row>
    <row r="62">
      <c r="A62" s="180" t="inlineStr">
        <is>
          <t>New PCC</t>
        </is>
      </c>
      <c r="B62" s="180" t="inlineStr">
        <is>
          <t>Alt sheet D42</t>
        </is>
      </c>
      <c r="C62" s="181" t="inlineStr">
        <is>
          <t>=-'Maintenance Policies'!D46*G27</t>
        </is>
      </c>
      <c r="D62" s="180" t="inlineStr">
        <is>
          <t>A share of the whole initial construction cost, on a 40-year life from year 0. At a 30-year period 10 of 40 years remain and the credit is 25 percent, which is what the cell held as a constant; it was right at 30 years and at no other period.</t>
        </is>
      </c>
      <c r="E62" s="180" t="inlineStr">
        <is>
          <t>Maintenance Policies row 46</t>
        </is>
      </c>
    </row>
    <row r="63">
      <c r="A63" s="180" t="inlineStr">
        <is>
          <t>What it does at other periods</t>
        </is>
      </c>
      <c r="B63" s="180" t="inlineStr">
        <is>
          <t>Maintenance Policies D32, D46</t>
        </is>
      </c>
      <c r="C63" s="181" t="inlineStr"/>
      <c r="D63" s="180" t="inlineStr">
        <is>
          <t>At 25 years the credits become 68.8 and 37.5 percent; at 20 years the HMA overlay is laid in the salvage year itself, so 100 and 50 percent; at 36 years the overlay is fully consumed and HMA credits nothing. A period that ends before the overlay is ever laid credits nothing for HMA, because there is no overlay to salvage.</t>
        </is>
      </c>
      <c r="E63" s="180" t="inlineStr">
        <is>
          <t>v1.2.0</t>
        </is>
      </c>
    </row>
    <row r="64">
      <c r="A64" s="180" t="inlineStr">
        <is>
          <t>The two rehabilitation tables</t>
        </is>
      </c>
      <c r="B64" s="180" t="inlineStr">
        <is>
          <t>Maintenance Policies D71 and D85</t>
        </is>
      </c>
      <c r="C64" s="181" t="inlineStr">
        <is>
          <t>0</t>
        </is>
      </c>
      <c r="D64" s="180" t="inlineStr">
        <is>
          <t>Tables 3 and 4 credit no salvage at all. That is a stated policy, "need for reconstruction", not a remaining-life calculation, and it is left as it was.</t>
        </is>
      </c>
      <c r="E64" s="180" t="inlineStr">
        <is>
          <t>Pre-existing policy</t>
        </is>
      </c>
    </row>
    <row r="65">
      <c r="A65" s="180" t="inlineStr">
        <is>
          <t>When it is credited</t>
        </is>
      </c>
      <c r="B65" s="180" t="inlineStr">
        <is>
          <t>Alt sheet C51 (HMA), C42 (PCC)</t>
        </is>
      </c>
      <c r="C65" s="181" t="inlineStr">
        <is>
          <t>='General Information'!D33</t>
        </is>
      </c>
      <c r="D65" s="180" t="inlineStr">
        <is>
          <t>Always at the last year of the analysis period, so it is discounted the hardest of any line.</t>
        </is>
      </c>
      <c r="E65" s="180" t="inlineStr">
        <is>
          <t>General Information D33</t>
        </is>
      </c>
    </row>
    <row r="66" ht="26" customHeight="1">
      <c r="A66" s="176" t="inlineStr">
        <is>
          <t>The two rules are not symmetric: concrete recovers a share of everything spent up front, asphalt a share of one rehabilitation. See section 11.</t>
        </is>
      </c>
    </row>
    <row r="68">
      <c r="A68" s="177" t="inlineStr">
        <is>
          <t>8. Step 7: discounting and the total</t>
        </is>
      </c>
      <c r="B68" s="178" t="n"/>
      <c r="C68" s="178" t="n"/>
      <c r="D68" s="178" t="n"/>
      <c r="E68" s="178" t="n"/>
    </row>
    <row r="69">
      <c r="A69" s="179" t="inlineStr">
        <is>
          <t>Step / quantity</t>
        </is>
      </c>
      <c r="B69" s="179" t="inlineStr">
        <is>
          <t>Where it lives</t>
        </is>
      </c>
      <c r="C69" s="179" t="inlineStr">
        <is>
          <t>Formula as it stands</t>
        </is>
      </c>
      <c r="D69" s="179" t="inlineStr">
        <is>
          <t>What it means</t>
        </is>
      </c>
      <c r="E69" s="179" t="inlineStr">
        <is>
          <t>Source of the rule</t>
        </is>
      </c>
    </row>
    <row r="70">
      <c r="A70" s="180" t="inlineStr">
        <is>
          <t>Present worth of one event</t>
        </is>
      </c>
      <c r="B70" s="180" t="inlineStr">
        <is>
          <t>Alt sheet column E</t>
        </is>
      </c>
      <c r="C70" s="181" t="inlineStr">
        <is>
          <t>=IF(C37&gt;'General Information'!$D$33,0,D37/(1+('General Information'!$D$34/100))^C37)</t>
        </is>
      </c>
      <c r="D70" s="180" t="inlineStr">
        <is>
          <t>Cost divided by (1 + rate) raised to the number of years after construction. Constant-dollar costs with a real discount rate: no inflation is added anywhere in the workbook.</t>
        </is>
      </c>
      <c r="E70" s="180" t="inlineStr">
        <is>
          <t>General Information D33, D34</t>
        </is>
      </c>
    </row>
    <row r="71">
      <c r="A71" s="180" t="inlineStr">
        <is>
          <t>Discount rate</t>
        </is>
      </c>
      <c r="B71" s="180" t="inlineStr">
        <is>
          <t>General Information D34</t>
        </is>
      </c>
      <c r="C71" s="181" t="inlineStr"/>
      <c r="D71" s="180" t="inlineStr">
        <is>
          <t>TDOT uses 3 percent. FAA PGL 22-01 (June 2022) replaced the fixed 7 percent with the OMB Circular A-94 Appendix C real rate, 2.0 percent for 2026. Chart 2 on the Summary shows the answer from 2 to 8 percent.</t>
        </is>
      </c>
      <c r="E71" s="180" t="inlineStr">
        <is>
          <t>TDOT policy; FAA PGL 22-01; OMB A-94</t>
        </is>
      </c>
    </row>
    <row r="72">
      <c r="A72" s="180" t="inlineStr">
        <is>
          <t>Analysis period</t>
        </is>
      </c>
      <c r="B72" s="180" t="inlineStr">
        <is>
          <t>General Information D33</t>
        </is>
      </c>
      <c r="C72" s="181" t="inlineStr"/>
      <c r="D72" s="180" t="inlineStr">
        <is>
          <t>TDOT uses 30 years. FAA leaves the period to the engineer. Events beyond it are dropped, salvage moves with it.</t>
        </is>
      </c>
      <c r="E72" s="180" t="inlineStr">
        <is>
          <t>TDOT policy</t>
        </is>
      </c>
    </row>
    <row r="73">
      <c r="A73" s="180" t="inlineStr">
        <is>
          <t>Net present worth</t>
        </is>
      </c>
      <c r="B73" s="180" t="inlineStr">
        <is>
          <t>Alt sheet E52 (HMA), E43 (PCC)</t>
        </is>
      </c>
      <c r="C73" s="181" t="inlineStr">
        <is>
          <t>=SUM(E36:E51)</t>
        </is>
      </c>
      <c r="D73" s="180" t="inlineStr">
        <is>
          <t>The sum of the discounted column, initial construction included.</t>
        </is>
      </c>
      <c r="E73" s="180" t="inlineStr">
        <is>
          <t>Alternative worksheet</t>
        </is>
      </c>
    </row>
    <row r="75">
      <c r="A75" s="177" t="inlineStr">
        <is>
          <t>9. What the Summary adds on top</t>
        </is>
      </c>
      <c r="B75" s="178" t="n"/>
      <c r="C75" s="178" t="n"/>
      <c r="D75" s="178" t="n"/>
      <c r="E75" s="178" t="n"/>
    </row>
    <row r="76">
      <c r="A76" s="179" t="inlineStr">
        <is>
          <t>Step / quantity</t>
        </is>
      </c>
      <c r="B76" s="179" t="inlineStr">
        <is>
          <t>Where it lives</t>
        </is>
      </c>
      <c r="C76" s="179" t="inlineStr">
        <is>
          <t>Formula as it stands</t>
        </is>
      </c>
      <c r="D76" s="179" t="inlineStr">
        <is>
          <t>What it means</t>
        </is>
      </c>
      <c r="E76" s="179" t="inlineStr">
        <is>
          <t>Source of the rule</t>
        </is>
      </c>
    </row>
    <row r="77">
      <c r="A77" s="180" t="inlineStr">
        <is>
          <t>Results table</t>
        </is>
      </c>
      <c r="B77" s="180" t="inlineStr">
        <is>
          <t>Summary G3:R7</t>
        </is>
      </c>
      <c r="C77" s="181" t="inlineStr">
        <is>
          <t>=IFERROR(SUMIFS(INDIRECT("'"&amp;$G4&amp;"'!$E$37:$E$52"),...),0)</t>
        </is>
      </c>
      <c r="D77" s="180" t="inlineStr">
        <is>
          <t>Splits the same NPW into initial construction, maintenance, rehabilitation, lost revenue and salvage by matching the activity labels, so the five columns always add back to the NPW. Also difference to the lowest, closure days inside the period and runway availability.</t>
        </is>
      </c>
      <c r="E77" s="180" t="inlineStr">
        <is>
          <t>Summary, v1.2.0</t>
        </is>
      </c>
    </row>
    <row r="78">
      <c r="A78" s="180" t="inlineStr">
        <is>
          <t>Which alternatives exist</t>
        </is>
      </c>
      <c r="B78" s="180" t="inlineStr">
        <is>
          <t>Summary G4:I7</t>
        </is>
      </c>
      <c r="C78" s="181" t="inlineStr">
        <is>
          <t>=INDEX(Database!$D:$D,4)</t>
        </is>
      </c>
      <c r="D78" s="180" t="inlineStr">
        <is>
          <t>Names and worksheet names come from the hidden Database sheet that the Alternative Setup form writes. INDEX on whole columns survives the row deletion the form performs when an alternative is removed.</t>
        </is>
      </c>
      <c r="E78" s="180" t="inlineStr">
        <is>
          <t>Database (hidden)</t>
        </is>
      </c>
    </row>
    <row r="79">
      <c r="A79" s="180" t="inlineStr">
        <is>
          <t>Verdict</t>
        </is>
      </c>
      <c r="B79" s="180" t="inlineStr">
        <is>
          <t>Summary G9, G10</t>
        </is>
      </c>
      <c r="C79" s="181" t="inlineStr"/>
      <c r="D79" s="180" t="inlineStr">
        <is>
          <t>Names the lowest-NPW alternative, the margin to the next, the rate and period, and whether the same alternative still wins at 2 and at 7 percent.</t>
        </is>
      </c>
      <c r="E79" s="180" t="inlineStr">
        <is>
          <t>Summary, v1.2.0</t>
        </is>
      </c>
    </row>
    <row r="80">
      <c r="A80" s="180" t="inlineStr">
        <is>
          <t>Comparison block (RealCost layout)</t>
        </is>
      </c>
      <c r="B80" s="180" t="inlineStr">
        <is>
          <t>Summary G13:O17</t>
        </is>
      </c>
      <c r="C80" s="181" t="inlineStr">
        <is>
          <t>=H14*(('General Information'!$D$34/100)*(1+'General Information'!$D$34/100)^'General Information'!$D$33)/((1+'General Information'!$D$34/100)^'General Information'!$D$33-1)</t>
        </is>
      </c>
      <c r="D80" s="180" t="inlineStr">
        <is>
          <t>Agency cost (initial + maintenance + rehabilitation + salvage) and user cost (lost revenue) as present worth and as equivalent uniform annual cost. EUAC = PW x capital recovery factor.</t>
        </is>
      </c>
      <c r="E80" s="180" t="inlineStr">
        <is>
          <t>Caltrans / FHWA RealCost layout</t>
        </is>
      </c>
    </row>
    <row r="81">
      <c r="A81" s="180" t="inlineStr">
        <is>
          <t>Sensitivity to the discount rate</t>
        </is>
      </c>
      <c r="B81" s="180" t="inlineStr">
        <is>
          <t>Summary W10:AA36, chart 2</t>
        </is>
      </c>
      <c r="C81" s="181" t="inlineStr">
        <is>
          <t>=SUMPRODUCT((year&lt;=period)*cost/(1+r)^year)</t>
        </is>
      </c>
      <c r="D81" s="180" t="inlineStr">
        <is>
          <t>Recomputes every alternative at 25 rates from 2 to 8 percent without touching the alternative sheets.</t>
        </is>
      </c>
      <c r="E81" s="180" t="inlineStr">
        <is>
          <t>Summary, v1.2.0</t>
        </is>
      </c>
    </row>
    <row r="82">
      <c r="A82" s="180" t="inlineStr">
        <is>
          <t>By calendar year</t>
        </is>
      </c>
      <c r="B82" s="180" t="inlineStr">
        <is>
          <t>Summary W39:AJ71, charts 3, 4 and 5</t>
        </is>
      </c>
      <c r="C82" s="181" t="inlineStr">
        <is>
          <t>=SUMIF(year applied, ...)</t>
        </is>
      </c>
      <c r="D82" s="180" t="inlineStr">
        <is>
          <t>Spend by year undiscounted, cumulative discounted cost (the payback crossing) and closure days by year.</t>
        </is>
      </c>
      <c r="E82" s="180" t="inlineStr">
        <is>
          <t>Summary, v1.2.0</t>
        </is>
      </c>
    </row>
    <row r="83">
      <c r="A83" s="180" t="inlineStr">
        <is>
          <t>Pavement section read-back</t>
        </is>
      </c>
      <c r="B83" s="180" t="inlineStr">
        <is>
          <t>Summary G80:Q86, charts 6 and 7</t>
        </is>
      </c>
      <c r="C83" s="181" t="inlineStr">
        <is>
          <t>=36*C.Y./mainline S.Y. ; =2666.6667*tons/(pcf*mainline S.Y.)</t>
        </is>
      </c>
      <c r="D83" s="180" t="inlineStr">
        <is>
          <t>Derives each layer thickness from the quantities already entered, totals the section, cross-checks it against the excavation quantity and writes the section out as a string for the alternative description. Display only.</t>
        </is>
      </c>
      <c r="E83" s="180" t="inlineStr">
        <is>
          <t>Summary, v1.2.0</t>
        </is>
      </c>
    </row>
    <row r="85">
      <c r="A85" s="177" t="inlineStr">
        <is>
          <t>10. Current settings in this file (live)</t>
        </is>
      </c>
      <c r="B85" s="178" t="n"/>
      <c r="C85" s="178" t="n"/>
      <c r="D85" s="178" t="n"/>
      <c r="E85" s="178" t="n"/>
    </row>
    <row r="86">
      <c r="A86" s="179" t="inlineStr">
        <is>
          <t>Step / quantity</t>
        </is>
      </c>
      <c r="B86" s="179" t="inlineStr">
        <is>
          <t>Where it lives</t>
        </is>
      </c>
      <c r="C86" s="179" t="inlineStr">
        <is>
          <t>Formula as it stands</t>
        </is>
      </c>
      <c r="D86" s="179" t="inlineStr">
        <is>
          <t>What it means</t>
        </is>
      </c>
      <c r="E86" s="179" t="inlineStr">
        <is>
          <t>Source of the rule</t>
        </is>
      </c>
    </row>
    <row r="87">
      <c r="A87" s="180" t="inlineStr">
        <is>
          <t>Analysis period, years</t>
        </is>
      </c>
      <c r="B87" s="180" t="inlineStr">
        <is>
          <t>General Information D33</t>
        </is>
      </c>
      <c r="C87" s="182">
        <f>'General Information'!$D$33</f>
        <v/>
      </c>
      <c r="D87" s="180" t="inlineStr">
        <is>
          <t>The period every alternative is measured over.</t>
        </is>
      </c>
      <c r="E87" s="180" t="inlineStr"/>
    </row>
    <row r="88">
      <c r="A88" s="180" t="inlineStr">
        <is>
          <t>Discount rate, percent</t>
        </is>
      </c>
      <c r="B88" s="180" t="inlineStr">
        <is>
          <t>General Information D34</t>
        </is>
      </c>
      <c r="C88" s="183">
        <f>'General Information'!$D$34</f>
        <v/>
      </c>
      <c r="D88" s="180" t="inlineStr">
        <is>
          <t>The real rate used for every present worth above.</t>
        </is>
      </c>
      <c r="E88" s="180" t="inlineStr"/>
    </row>
    <row r="89">
      <c r="A89" s="180" t="inlineStr">
        <is>
          <t>Capital recovery factor</t>
        </is>
      </c>
      <c r="B89" s="180" t="inlineStr">
        <is>
          <t>computed here</t>
        </is>
      </c>
      <c r="C89" s="184">
        <f>IF('General Information'!$D$34=0,0,('General Information'!$D$34/100)*(1+'General Information'!$D$34/100)^'General Information'!$D$33/((1+'General Information'!$D$34/100)^'General Information'!$D$33-1))</f>
        <v/>
      </c>
      <c r="D89" s="180" t="inlineStr">
        <is>
          <t>Multiply any present worth by this to get the equivalent uniform annual cost.</t>
        </is>
      </c>
      <c r="E89" s="180" t="inlineStr"/>
    </row>
    <row r="90">
      <c r="A90" s="180" t="inlineStr">
        <is>
          <t>Present worth of $1 spent at year 20</t>
        </is>
      </c>
      <c r="B90" s="180" t="inlineStr">
        <is>
          <t>computed here</t>
        </is>
      </c>
      <c r="C90" s="184">
        <f>1/(1+'General Information'!$D$34/100)^20</f>
        <v/>
      </c>
      <c r="D90" s="180" t="inlineStr">
        <is>
          <t>What a dollar of rehabilitation at year 20 is worth today at the current rate.</t>
        </is>
      </c>
      <c r="E90" s="180" t="inlineStr"/>
    </row>
    <row r="91">
      <c r="A91" s="180" t="inlineStr">
        <is>
          <t>Lost revenue counted</t>
        </is>
      </c>
      <c r="B91" s="180" t="inlineStr">
        <is>
          <t>General Information D38</t>
        </is>
      </c>
      <c r="C91" s="181">
        <f>'General Information'!$D$38</f>
        <v/>
      </c>
      <c r="D91" s="180" t="inlineStr">
        <is>
          <t>Yes adds the closure cost rows.</t>
        </is>
      </c>
      <c r="E91" s="180" t="inlineStr"/>
    </row>
    <row r="92">
      <c r="A92" s="180" t="inlineStr">
        <is>
          <t>Alternatives registered</t>
        </is>
      </c>
      <c r="B92" s="180" t="inlineStr">
        <is>
          <t>Database A4:A7</t>
        </is>
      </c>
      <c r="C92" s="182">
        <f>COUNTA(Database!$A$4:$A$7)</f>
        <v/>
      </c>
      <c r="D92" s="180" t="inlineStr">
        <is>
          <t>How many alternatives the form has created.</t>
        </is>
      </c>
      <c r="E92" s="180" t="inlineStr"/>
    </row>
    <row r="93" ht="26" customHeight="1">
      <c r="A93" s="176" t="inlineStr">
        <is>
          <t>These cells read the workbook as it stands right now, so they change with the inputs.</t>
        </is>
      </c>
    </row>
    <row r="95">
      <c r="A95" s="177" t="inlineStr">
        <is>
          <t>11. Assumptions and policy choices worth knowing</t>
        </is>
      </c>
      <c r="B95" s="178" t="n"/>
      <c r="C95" s="178" t="n"/>
      <c r="D95" s="178" t="n"/>
      <c r="E95" s="178" t="n"/>
    </row>
    <row r="96">
      <c r="A96" s="179" t="inlineStr">
        <is>
          <t>Step / quantity</t>
        </is>
      </c>
      <c r="B96" s="179" t="inlineStr">
        <is>
          <t>Where it lives</t>
        </is>
      </c>
      <c r="C96" s="179" t="inlineStr">
        <is>
          <t>Formula as it stands</t>
        </is>
      </c>
      <c r="D96" s="179" t="inlineStr">
        <is>
          <t>What it means</t>
        </is>
      </c>
      <c r="E96" s="179" t="inlineStr">
        <is>
          <t>Source of the rule</t>
        </is>
      </c>
    </row>
    <row r="97">
      <c r="A97" s="185" t="inlineStr">
        <is>
          <t>Engineering on initial construction</t>
        </is>
      </c>
      <c r="B97" s="180" t="inlineStr">
        <is>
          <t>Alt sheet G26</t>
        </is>
      </c>
      <c r="C97" s="181" t="inlineStr"/>
      <c r="D97" s="180" t="inlineStr">
        <is>
          <t>v1.2.0 charges engineering on initial construction as well as on later work. It raises every initial cost by the engineering percentage against v1.1.2 results, and it affects PCC more than HMA because PCC salvage is a share of initial cost.</t>
        </is>
      </c>
      <c r="E97" s="180" t="inlineStr">
        <is>
          <t>v1.2.0 fix 2</t>
        </is>
      </c>
    </row>
    <row r="98">
      <c r="A98" s="185" t="inlineStr">
        <is>
          <t>Salvage is not symmetric, but it is now computed</t>
        </is>
      </c>
      <c r="B98" s="180" t="inlineStr">
        <is>
          <t>Maintenance Policies D32 and D46</t>
        </is>
      </c>
      <c r="C98" s="181" t="inlineStr"/>
      <c r="D98" s="180" t="inlineStr">
        <is>
          <t>Concrete salvages a share of its whole initial construction; asphalt salvages a share of one overlay. Concrete therefore carries a large end-of-period credit that moves with the discount rate in step with its costs, which is why the concrete curves in chart 2 are nearly flat while the asphalt curve falls. The asymmetry of the basis is a real modelling choice and is unchanged. What changed in v1.2.0 is that both fractions are now computed from remaining life instead of being typed in: the HMA figure had been 12.5 percent against a table that places the overlay at year 20, where 37.5 percent is the arithmetic, and the PCC figure had been right only at exactly a 30-year period.</t>
        </is>
      </c>
      <c r="E98" s="180" t="inlineStr">
        <is>
          <t>Corrected in v1.2.0; the basis remains a policy choice</t>
        </is>
      </c>
    </row>
    <row r="99">
      <c r="A99" s="185" t="inlineStr">
        <is>
          <t>Lost revenue is gross revenue</t>
        </is>
      </c>
      <c r="B99" s="180" t="inlineStr">
        <is>
          <t>RevenueData; Alt sheet F2</t>
        </is>
      </c>
      <c r="C99" s="181" t="inlineStr"/>
      <c r="D99" s="180" t="inlineStr">
        <is>
          <t>The whole of the airport's fuel, tenant and other revenue is treated as lost for every closure day. A percentage lost by category would be more defensible.</t>
        </is>
      </c>
      <c r="E99" s="180" t="inlineStr">
        <is>
          <t>Pre-existing; flagged for decision</t>
        </is>
      </c>
    </row>
    <row r="100">
      <c r="A100" s="185" t="inlineStr">
        <is>
          <t>PCC joint length is estimated two ways</t>
        </is>
      </c>
      <c r="B100" s="180" t="inlineStr">
        <is>
          <t>Alt sheet K8 versus F4 and F5</t>
        </is>
      </c>
      <c r="C100" s="181" t="inlineStr"/>
      <c r="D100" s="180" t="inlineStr">
        <is>
          <t>The cost side assumes 12.5 x 12.5 ft slabs; the closure-day formula assumes 550 L.F. of joint per 50 x 100 ft panel. The closure formula therefore produces about a third less joint length than the cost formula, which understates PCC closure days and the lost revenue that follows from them.</t>
        </is>
      </c>
      <c r="E100" s="180" t="inlineStr">
        <is>
          <t>Pre-existing; worth a decision</t>
        </is>
      </c>
    </row>
    <row r="101">
      <c r="A101" s="185" t="inlineStr">
        <is>
          <t>Closure production rates are defaults</t>
        </is>
      </c>
      <c r="B101" s="180" t="inlineStr">
        <is>
          <t>Alt sheet F4:F10</t>
        </is>
      </c>
      <c r="C101" s="181" t="inlineStr"/>
      <c r="D101" s="180" t="inlineStr">
        <is>
          <t>They reproduce the durations used in the completed Murfreesboro and Upper Cumberland runs. A project with unusual phasing should override them.</t>
        </is>
      </c>
      <c r="E101" s="180" t="inlineStr">
        <is>
          <t>v1.2.0 defaults</t>
        </is>
      </c>
    </row>
    <row r="102">
      <c r="A102" s="185" t="inlineStr">
        <is>
          <t>Asphalt unit weight for the section read-back</t>
        </is>
      </c>
      <c r="B102" s="180" t="inlineStr">
        <is>
          <t>Summary J81</t>
        </is>
      </c>
      <c r="C102" s="181" t="inlineStr"/>
      <c r="D102" s="180" t="inlineStr">
        <is>
          <t>145 pcf, the value that reproduces the Murfreesboro section exactly. It affects the displayed thickness only, never a cost.</t>
        </is>
      </c>
      <c r="E102" s="180" t="inlineStr">
        <is>
          <t>Summary, v1.2.0</t>
        </is>
      </c>
    </row>
    <row r="103">
      <c r="A103" s="185" t="inlineStr">
        <is>
          <t>The division columns are wired but empty</t>
        </is>
      </c>
      <c r="B103" s="180" t="inlineStr">
        <is>
          <t>Pay_Items columns G, H, I</t>
        </is>
      </c>
      <c r="C103" s="181" t="inlineStr"/>
      <c r="D103" s="180" t="inlineStr">
        <is>
          <t>Middle, West and East are read from v1.2.0: each alternative picks one in C11 and prices from it. They ship empty, and a blank cell falls back to the statewide Unit Cost, so until Aeronautics fills them every division still prices the same. The locator map on the Summary colors the airports by division, and General Information D13 names the one the selected airport sits in.</t>
        </is>
      </c>
      <c r="E103" s="180" t="inlineStr">
        <is>
          <t>v1.2.0; the numbers are still a decision</t>
        </is>
      </c>
    </row>
    <row r="104">
      <c r="A104" s="185" t="inlineStr">
        <is>
          <t>Unit costs date from the 2022 framework</t>
        </is>
      </c>
      <c r="B104" s="180" t="inlineStr">
        <is>
          <t>Pay_Items column F</t>
        </is>
      </c>
      <c r="C104" s="181" t="inlineStr"/>
      <c r="D104" s="180" t="inlineStr">
        <is>
          <t>The Typical Values sheet compares them with recent bid prices. The asphalt defaults look low against 2025 southeastern bids.</t>
        </is>
      </c>
      <c r="E104" s="180" t="inlineStr">
        <is>
          <t>Typical Values, section 3</t>
        </is>
      </c>
    </row>
    <row r="105">
      <c r="A105" s="185" t="inlineStr">
        <is>
          <t>No inflation, no risk analysis</t>
        </is>
      </c>
      <c r="B105" s="180" t="inlineStr">
        <is>
          <t>throughout</t>
        </is>
      </c>
      <c r="C105" s="181" t="inlineStr"/>
      <c r="D105" s="180" t="inlineStr">
        <is>
          <t>Costs are constant dollars discounted at a real rate, and every input is a single value. There is no probabilistic treatment of cost or timing.</t>
        </is>
      </c>
      <c r="E105" s="180" t="inlineStr">
        <is>
          <t>FHWA LCCA Primer, deterministic method</t>
        </is>
      </c>
    </row>
  </sheetData>
  <mergeCells count="8">
    <mergeCell ref="A39:E39"/>
    <mergeCell ref="A4:E4"/>
    <mergeCell ref="A48:E48"/>
    <mergeCell ref="A28:E28"/>
    <mergeCell ref="A11:E11"/>
    <mergeCell ref="A93:E93"/>
    <mergeCell ref="A66:E66"/>
    <mergeCell ref="A56:E56"/>
  </mergeCells>
  <pageMargins left="0.75" right="0.75" top="1" bottom="1" header="0.5" footer="0.5"/>
  <pageSetup orientation="landscape" fitToWidth="1" fitToHeight="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TDOT Aeronautics Division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TDOT Aeronautics Division / Applied Research Associates</dc:creator>
  <cp:lastModifiedBy>ARA</cp:lastModifiedBy>
  <dcterms:created xsi:type="dcterms:W3CDTF">2021-03-15T15:18:27Z</dcterms:created>
  <dcterms:modified xsi:type="dcterms:W3CDTF">2026-09-14T02:27:02Z</dcterms:modified>
</cp:coreProperties>
</file>
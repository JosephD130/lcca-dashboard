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<sst xmlns="http://schemas.openxmlformats.org/spreadsheetml/2006/main" count="1480" uniqueCount="637">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</sst>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40">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xf>
    <xf numFmtId="174" xfId="0" applyNumberFormat="1" fontId="54" applyFont="1" fillId="35" applyFill="1" borderId="54" applyBorder="1" applyAlignment="1">
      <alignment horizontal="right" vertical="center"/>
    </xf>
    <xf numFmtId="0" xfId="0" fontId="55" applyFont="1" applyAlignment="1">
      <alignment horizontal="left" vertical="center" wrapText="1"/>
    </xf>
    <xf numFmtId="0" xfId="0" fontId="56" applyFont="1"/>
    <xf numFmtId="0" xfId="0" fontId="57" applyFont="1" fillId="36" applyFill="1" applyAlignment="1">
      <alignment horizontal="left" vertical="center" wrapText="1"/>
    </xf>
    <xf numFmtId="0" xfId="0" fontId="58" applyFont="1" fillId="37" applyFill="1" applyAlignment="1">
      <alignment horizontal="left" vertical="center" wrapText="1"/>
    </xf>
    <xf numFmtId="175" xfId="0" applyNumberFormat="1" fontId="59" applyFont="1" fillId="38" applyFill="1" borderId="55" applyBorder="1" applyAlignment="1">
      <alignment horizontal="right" vertical="center"/>
    </xf>
    <xf numFmtId="0" xfId="0" fontId="60" applyFont="1" fillId="39" applyFill="1" applyAlignment="1">
      <alignment horizontal="left" vertical="center" wrapText="1"/>
    </xf>
    <xf numFmtId="0" xfId="0" fontId="61" applyFont="1" applyAlignment="1">
      <alignment horizontal="left" vertical="center"/>
    </xf>
    <xf numFmtId="0" xfId="0" fontId="62"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What the framework does and the rules behind it. Read this and Instructions, then go to General Information.</t>
        </is>
      </c>
    </row>
    <row r="3" spans="2:5" x14ac:dyDescent="0.2">
      <c r="B3" s="203" t="s">
        <v>360</v>
      </c>
    </row>
    <row r="4" spans="2:5" x14ac:dyDescent="0.2">
      <c r="B4" s="203" t="s">
        <v>361</v>
      </c>
    </row>
    <row r="5" spans="2:5" x14ac:dyDescent="0.2">
      <c r="B5" s="203" t="s">
        <v>362</v>
      </c>
    </row>
    <row r="6" spans="2:5" x14ac:dyDescent="0.2">
      <c r="B6" s="203" t="s">
        <v>363</v>
      </c>
    </row>
    <row r="7" spans="2:5" ht="15" x14ac:dyDescent="0.25">
      <c r="B7" s="203" t="s">
        <v>364</v>
      </c>
    </row>
    <row r="8">
      <c r="B8" s="203"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How to run an analysis, start to finish. When you are ready, go to General Information and fill in the grey cells.</t>
        </is>
      </c>
    </row>
    <row r="3" spans="2:5" x14ac:dyDescent="0.2">
      <c r="B3" s="203" t="s">
        <v>360</v>
      </c>
    </row>
    <row r="4" spans="2:5" x14ac:dyDescent="0.2">
      <c r="B4" s="203" t="s">
        <v>361</v>
      </c>
    </row>
    <row r="5" spans="2:5" x14ac:dyDescent="0.2">
      <c r="B5" s="203" t="s">
        <v>362</v>
      </c>
    </row>
    <row r="6" spans="2:5" x14ac:dyDescent="0.2">
      <c r="B6" s="203" t="s">
        <v>363</v>
      </c>
    </row>
    <row r="7" spans="2:5" x14ac:dyDescent="0.2">
      <c r="B7" s="203" t="s">
        <v>364</v>
      </c>
    </row>
    <row r="8">
      <c r="B8" s="203"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7" t="inlineStr">
        <is>
          <t xml:space="preserve">STEP 3 of 5</t>
        </is>
      </c>
      <c r="D1" s="197"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1" t="s">
        <v>453</v>
      </c>
      <c r="G3" s="196"/>
      <c r="H3" s="196"/>
      <c r="I3" s="196"/>
    </row>
    <row r="4" spans="1:10" x14ac:dyDescent="0.2">
      <c r="A4" s="199" t="s">
        <v>10</v>
      </c>
      <c r="B4" s="5" t="s">
        <v>54</v>
      </c>
      <c r="C4" s="1" t="s">
        <v>317</v>
      </c>
      <c r="D4" s="2" t="s">
        <v>63</v>
      </c>
      <c r="E4" s="3" t="s">
        <v>6</v>
      </c>
      <c r="F4" s="201">
        <v>4.2</v>
      </c>
      <c r="G4" s="196"/>
      <c r="H4" s="196"/>
      <c r="I4" s="196"/>
      <c r="J4" s="5" t="s">
        <v>590</v>
      </c>
    </row>
    <row r="5" spans="1:10" x14ac:dyDescent="0.2">
      <c r="B5" s="5" t="s">
        <v>54</v>
      </c>
      <c r="C5" s="1" t="s">
        <v>318</v>
      </c>
      <c r="D5" s="2" t="s">
        <v>62</v>
      </c>
      <c r="E5" s="3" t="s">
        <v>6</v>
      </c>
      <c r="F5" s="201"/>
      <c r="G5" s="196"/>
      <c r="H5" s="196"/>
      <c r="I5" s="196"/>
      <c r="J5" s="5" t="s">
        <v>590</v>
      </c>
    </row>
    <row r="6" spans="1:10" x14ac:dyDescent="0.2">
      <c r="B6" s="5" t="s">
        <v>54</v>
      </c>
      <c r="C6" s="1" t="s">
        <v>329</v>
      </c>
      <c r="D6" s="2" t="s">
        <v>331</v>
      </c>
      <c r="E6" s="3" t="s">
        <v>7</v>
      </c>
      <c r="F6" s="201">
        <v>4</v>
      </c>
      <c r="G6" s="196"/>
      <c r="H6" s="196"/>
      <c r="I6" s="196"/>
    </row>
    <row r="7" spans="1:10" x14ac:dyDescent="0.2">
      <c r="B7" s="5" t="s">
        <v>54</v>
      </c>
      <c r="C7" s="1" t="s">
        <v>330</v>
      </c>
      <c r="D7" s="2" t="s">
        <v>332</v>
      </c>
      <c r="E7" s="3" t="s">
        <v>7</v>
      </c>
      <c r="F7" s="201">
        <v>6.5</v>
      </c>
      <c r="G7" s="196"/>
      <c r="H7" s="196"/>
      <c r="I7" s="196"/>
    </row>
    <row r="8" spans="1:10" x14ac:dyDescent="0.2">
      <c r="B8" s="5" t="s">
        <v>54</v>
      </c>
      <c r="C8" s="1" t="s">
        <v>333</v>
      </c>
      <c r="D8" s="2" t="s">
        <v>335</v>
      </c>
      <c r="E8" s="3" t="s">
        <v>7</v>
      </c>
      <c r="F8" s="201">
        <v>8</v>
      </c>
      <c r="G8" s="196"/>
      <c r="H8" s="196"/>
      <c r="I8" s="196"/>
    </row>
    <row r="9" spans="1:10" x14ac:dyDescent="0.2">
      <c r="B9" s="5" t="s">
        <v>54</v>
      </c>
      <c r="C9" s="1" t="s">
        <v>334</v>
      </c>
      <c r="D9" s="2" t="s">
        <v>336</v>
      </c>
      <c r="E9" s="3" t="s">
        <v>7</v>
      </c>
      <c r="F9" s="201">
        <v>8.5</v>
      </c>
      <c r="G9" s="196"/>
      <c r="H9" s="196"/>
      <c r="I9" s="196"/>
    </row>
    <row r="10" spans="1:10" x14ac:dyDescent="0.2">
      <c r="B10" s="5" t="s">
        <v>54</v>
      </c>
      <c r="C10" s="1" t="s">
        <v>11</v>
      </c>
      <c r="D10" s="2" t="s">
        <v>359</v>
      </c>
      <c r="E10" s="3" t="s">
        <v>12</v>
      </c>
      <c r="F10" s="201">
        <f>7/9</f>
        <v>0.77777777777777779</v>
      </c>
      <c r="G10" s="196"/>
      <c r="H10" s="196"/>
      <c r="I10" s="196"/>
    </row>
    <row r="11" spans="1:10" x14ac:dyDescent="0.2">
      <c r="B11" s="5" t="s">
        <v>54</v>
      </c>
      <c r="C11" s="1" t="s">
        <v>488</v>
      </c>
      <c r="D11" s="2" t="s">
        <v>337</v>
      </c>
      <c r="E11" s="3" t="s">
        <v>12</v>
      </c>
      <c r="F11" s="201">
        <v>8.5</v>
      </c>
      <c r="G11" s="196"/>
      <c r="H11" s="196"/>
      <c r="I11" s="196"/>
      <c r="J11" s="5" t="s">
        <v>590</v>
      </c>
    </row>
    <row r="12" spans="1:10" x14ac:dyDescent="0.2">
      <c r="B12" s="5" t="s">
        <v>54</v>
      </c>
      <c r="C12" s="1" t="s">
        <v>489</v>
      </c>
      <c r="D12" s="2" t="s">
        <v>490</v>
      </c>
      <c r="E12" s="3" t="s">
        <v>12</v>
      </c>
      <c r="F12" s="201"/>
      <c r="G12" s="196"/>
      <c r="H12" s="196"/>
      <c r="I12" s="196"/>
      <c r="J12" s="5" t="s">
        <v>593</v>
      </c>
    </row>
    <row r="13" spans="1:10" x14ac:dyDescent="0.2">
      <c r="B13" s="5" t="s">
        <v>54</v>
      </c>
      <c r="C13" s="1" t="s">
        <v>341</v>
      </c>
      <c r="D13" s="2" t="s">
        <v>338</v>
      </c>
      <c r="E13" s="3" t="s">
        <v>12</v>
      </c>
      <c r="F13" s="201">
        <v>60</v>
      </c>
      <c r="G13" s="196"/>
      <c r="H13" s="196"/>
      <c r="I13" s="196"/>
      <c r="J13" s="5" t="s">
        <v>590</v>
      </c>
    </row>
    <row r="14" spans="1:10" x14ac:dyDescent="0.2">
      <c r="B14" s="5" t="s">
        <v>54</v>
      </c>
      <c r="C14" s="1" t="s">
        <v>342</v>
      </c>
      <c r="D14" s="2" t="s">
        <v>339</v>
      </c>
      <c r="E14" s="3" t="s">
        <v>6</v>
      </c>
      <c r="F14" s="201">
        <v>120</v>
      </c>
      <c r="G14" s="196"/>
      <c r="H14" s="196"/>
      <c r="I14" s="196"/>
      <c r="J14" s="5" t="s">
        <v>590</v>
      </c>
    </row>
    <row r="15" spans="1:10" x14ac:dyDescent="0.2">
      <c r="B15" s="5" t="s">
        <v>54</v>
      </c>
      <c r="C15" s="1" t="s">
        <v>343</v>
      </c>
      <c r="D15" s="2" t="s">
        <v>340</v>
      </c>
      <c r="E15" s="3" t="s">
        <v>6</v>
      </c>
      <c r="F15" s="201">
        <v>100</v>
      </c>
      <c r="G15" s="196"/>
      <c r="H15" s="196"/>
      <c r="I15" s="196"/>
    </row>
    <row r="16" spans="1:10" x14ac:dyDescent="0.2">
      <c r="B16" s="5" t="s">
        <v>54</v>
      </c>
      <c r="C16" s="1" t="s">
        <v>1</v>
      </c>
      <c r="D16" s="2" t="s">
        <v>13</v>
      </c>
      <c r="E16" s="3" t="s">
        <v>6</v>
      </c>
      <c r="F16" s="201">
        <f>10/2</f>
        <v>5</v>
      </c>
      <c r="G16" s="196"/>
      <c r="H16" s="196"/>
      <c r="I16" s="196"/>
      <c r="J16" s="5" t="s">
        <v>590</v>
      </c>
    </row>
    <row r="17" spans="1:10" x14ac:dyDescent="0.2">
      <c r="B17" s="5" t="s">
        <v>54</v>
      </c>
      <c r="C17" s="1" t="s">
        <v>14</v>
      </c>
      <c r="D17" s="2" t="s">
        <v>316</v>
      </c>
      <c r="E17" s="3" t="s">
        <v>8</v>
      </c>
      <c r="F17" s="201"/>
      <c r="G17" s="196"/>
      <c r="H17" s="196"/>
      <c r="I17" s="196"/>
    </row>
    <row r="18" spans="1:10" x14ac:dyDescent="0.2">
      <c r="B18" s="5" t="s">
        <v>54</v>
      </c>
      <c r="C18" s="1" t="s">
        <v>15</v>
      </c>
      <c r="D18" s="2" t="s">
        <v>315</v>
      </c>
      <c r="E18" s="3" t="s">
        <v>8</v>
      </c>
      <c r="F18" s="201"/>
      <c r="G18" s="196"/>
      <c r="H18" s="196"/>
      <c r="I18" s="196"/>
    </row>
    <row r="19" spans="1:10" x14ac:dyDescent="0.2">
      <c r="B19" s="5" t="s">
        <v>54</v>
      </c>
      <c r="C19" s="1" t="s">
        <v>16</v>
      </c>
      <c r="D19" s="2" t="s">
        <v>17</v>
      </c>
      <c r="E19" s="3" t="s">
        <v>8</v>
      </c>
      <c r="F19" s="201">
        <v>55</v>
      </c>
      <c r="G19" s="196"/>
      <c r="H19" s="196"/>
      <c r="I19" s="196"/>
    </row>
    <row r="20" spans="1:10" x14ac:dyDescent="0.2">
      <c r="B20" s="5" t="s">
        <v>54</v>
      </c>
      <c r="C20" s="1" t="s">
        <v>18</v>
      </c>
      <c r="D20" s="2" t="s">
        <v>633</v>
      </c>
      <c r="E20" s="3" t="s">
        <v>6</v>
      </c>
      <c r="F20" s="201"/>
      <c r="G20" s="196"/>
      <c r="H20" s="196"/>
      <c r="I20" s="196"/>
    </row>
    <row r="21" spans="1:10" x14ac:dyDescent="0.2">
      <c r="B21" s="5" t="s">
        <v>54</v>
      </c>
      <c r="C21" s="1" t="s">
        <v>20</v>
      </c>
      <c r="D21" s="2" t="s">
        <v>21</v>
      </c>
      <c r="E21" s="3" t="s">
        <v>6</v>
      </c>
      <c r="F21" s="201">
        <v>10</v>
      </c>
      <c r="G21" s="196"/>
      <c r="H21" s="196"/>
      <c r="I21" s="196"/>
      <c r="J21" s="5" t="s">
        <v>590</v>
      </c>
    </row>
    <row r="22" spans="1:10" x14ac:dyDescent="0.2">
      <c r="B22" s="5" t="s">
        <v>54</v>
      </c>
      <c r="C22" s="1" t="s">
        <v>22</v>
      </c>
      <c r="D22" s="2" t="s">
        <v>309</v>
      </c>
      <c r="E22" s="3" t="s">
        <v>6</v>
      </c>
      <c r="F22" s="201"/>
      <c r="G22" s="196"/>
      <c r="H22" s="196"/>
      <c r="I22" s="196"/>
      <c r="J22" s="5" t="s">
        <v>590</v>
      </c>
    </row>
    <row r="23" spans="1:10" x14ac:dyDescent="0.2">
      <c r="B23" s="5" t="s">
        <v>54</v>
      </c>
      <c r="C23" s="1" t="s">
        <v>310</v>
      </c>
      <c r="D23" s="2" t="s">
        <v>312</v>
      </c>
      <c r="E23" s="3" t="s">
        <v>6</v>
      </c>
      <c r="F23" s="201"/>
      <c r="G23" s="196"/>
      <c r="H23" s="196"/>
      <c r="I23" s="196"/>
      <c r="J23" s="5" t="s">
        <v>590</v>
      </c>
    </row>
    <row r="24" spans="1:10" x14ac:dyDescent="0.2">
      <c r="B24" s="5" t="s">
        <v>54</v>
      </c>
      <c r="C24" s="1" t="s">
        <v>311</v>
      </c>
      <c r="D24" s="2" t="s">
        <v>313</v>
      </c>
      <c r="E24" s="3" t="s">
        <v>6</v>
      </c>
      <c r="F24" s="201"/>
      <c r="G24" s="196"/>
      <c r="H24" s="196"/>
      <c r="I24" s="196"/>
      <c r="J24" s="5" t="s">
        <v>590</v>
      </c>
    </row>
    <row r="25" spans="1:10" x14ac:dyDescent="0.2">
      <c r="B25" s="5" t="s">
        <v>54</v>
      </c>
      <c r="C25" s="1" t="s">
        <v>23</v>
      </c>
      <c r="D25" s="2" t="s">
        <v>314</v>
      </c>
      <c r="E25" s="3" t="s">
        <v>6</v>
      </c>
      <c r="F25" s="201"/>
      <c r="G25" s="196"/>
      <c r="H25" s="196"/>
      <c r="I25" s="196"/>
      <c r="J25" s="5" t="s">
        <v>590</v>
      </c>
    </row>
    <row r="26" spans="1:10" ht="12.6" customHeight="1" x14ac:dyDescent="0.2">
      <c r="A26" s="199" t="s">
        <v>24</v>
      </c>
      <c r="B26" s="5" t="s">
        <v>289</v>
      </c>
      <c r="C26" s="1" t="s">
        <v>2</v>
      </c>
      <c r="D26" s="2" t="s">
        <v>288</v>
      </c>
      <c r="E26" s="3" t="s">
        <v>6</v>
      </c>
      <c r="F26" s="201"/>
      <c r="G26" s="196"/>
      <c r="H26" s="196"/>
      <c r="I26" s="196"/>
      <c r="J26" s="5" t="s">
        <v>590</v>
      </c>
    </row>
    <row r="27" spans="1:10" x14ac:dyDescent="0.2">
      <c r="B27" s="5" t="s">
        <v>289</v>
      </c>
      <c r="C27" s="1" t="s">
        <v>25</v>
      </c>
      <c r="D27" s="2" t="s">
        <v>26</v>
      </c>
      <c r="E27" s="3" t="s">
        <v>8</v>
      </c>
      <c r="F27" s="201"/>
      <c r="G27" s="196"/>
      <c r="H27" s="196"/>
      <c r="I27" s="196"/>
    </row>
    <row r="28" spans="1:10" x14ac:dyDescent="0.2">
      <c r="B28" s="5" t="s">
        <v>289</v>
      </c>
      <c r="C28" s="1" t="s">
        <v>27</v>
      </c>
      <c r="D28" s="2" t="s">
        <v>634</v>
      </c>
      <c r="E28" s="3" t="s">
        <v>6</v>
      </c>
      <c r="F28" s="201"/>
      <c r="G28" s="196"/>
      <c r="H28" s="196"/>
      <c r="I28" s="196"/>
    </row>
    <row r="29" spans="1:10" x14ac:dyDescent="0.2">
      <c r="B29" s="5" t="s">
        <v>289</v>
      </c>
      <c r="C29" s="1" t="s">
        <v>0</v>
      </c>
      <c r="D29" s="2" t="s">
        <v>29</v>
      </c>
      <c r="E29" s="3" t="s">
        <v>8</v>
      </c>
      <c r="F29" s="201">
        <v>65</v>
      </c>
      <c r="G29" s="196"/>
      <c r="H29" s="196"/>
      <c r="I29" s="196"/>
    </row>
    <row r="30" spans="1:10" x14ac:dyDescent="0.2">
      <c r="B30" s="5" t="s">
        <v>289</v>
      </c>
      <c r="C30" s="1" t="s">
        <v>30</v>
      </c>
      <c r="D30" s="2" t="s">
        <v>635</v>
      </c>
      <c r="E30" s="3" t="s">
        <v>6</v>
      </c>
      <c r="F30" s="201"/>
      <c r="G30" s="196"/>
      <c r="H30" s="196"/>
      <c r="I30" s="196"/>
    </row>
    <row r="31" spans="1:10" x14ac:dyDescent="0.2">
      <c r="B31" s="5" t="s">
        <v>289</v>
      </c>
      <c r="C31" s="1" t="s">
        <v>31</v>
      </c>
      <c r="D31" s="2" t="s">
        <v>32</v>
      </c>
      <c r="E31" s="3" t="s">
        <v>8</v>
      </c>
      <c r="F31" s="201"/>
      <c r="G31" s="196"/>
      <c r="H31" s="196"/>
      <c r="I31" s="196"/>
    </row>
    <row r="32" spans="1:10" x14ac:dyDescent="0.2">
      <c r="B32" s="5" t="s">
        <v>289</v>
      </c>
      <c r="C32" s="1" t="s">
        <v>33</v>
      </c>
      <c r="D32" s="2" t="s">
        <v>636</v>
      </c>
      <c r="E32" s="3" t="s">
        <v>6</v>
      </c>
      <c r="F32" s="201"/>
      <c r="G32" s="196"/>
      <c r="H32" s="196"/>
      <c r="I32" s="196"/>
    </row>
    <row r="33" spans="1:10" x14ac:dyDescent="0.2">
      <c r="B33" s="5" t="s">
        <v>289</v>
      </c>
      <c r="C33" s="1" t="s">
        <v>34</v>
      </c>
      <c r="D33" s="2" t="s">
        <v>291</v>
      </c>
      <c r="E33" s="3" t="s">
        <v>6</v>
      </c>
      <c r="F33" s="201"/>
      <c r="G33" s="196"/>
      <c r="H33" s="196"/>
      <c r="I33" s="196"/>
      <c r="J33" s="5" t="s">
        <v>590</v>
      </c>
    </row>
    <row r="34" spans="1:10" x14ac:dyDescent="0.2">
      <c r="A34" s="199" t="s">
        <v>35</v>
      </c>
      <c r="B34" s="5" t="s">
        <v>290</v>
      </c>
      <c r="C34" s="1" t="s">
        <v>36</v>
      </c>
      <c r="D34" s="2" t="s">
        <v>292</v>
      </c>
      <c r="E34" s="3" t="s">
        <v>8</v>
      </c>
      <c r="F34" s="201"/>
      <c r="G34" s="196"/>
      <c r="H34" s="196"/>
      <c r="I34" s="196"/>
      <c r="J34" s="5" t="s">
        <v>592</v>
      </c>
    </row>
    <row r="35" spans="1:10" x14ac:dyDescent="0.2">
      <c r="B35" s="5" t="s">
        <v>290</v>
      </c>
      <c r="C35" s="1" t="s">
        <v>37</v>
      </c>
      <c r="D35" s="2" t="s">
        <v>293</v>
      </c>
      <c r="E35" s="3" t="s">
        <v>8</v>
      </c>
      <c r="F35" s="201"/>
      <c r="G35" s="196"/>
      <c r="H35" s="196"/>
      <c r="I35" s="196"/>
      <c r="J35" s="5" t="s">
        <v>592</v>
      </c>
    </row>
    <row r="36" spans="1:10" x14ac:dyDescent="0.2">
      <c r="B36" s="5" t="s">
        <v>290</v>
      </c>
      <c r="C36" s="1" t="s">
        <v>38</v>
      </c>
      <c r="D36" s="2" t="s">
        <v>294</v>
      </c>
      <c r="E36" s="3" t="s">
        <v>8</v>
      </c>
      <c r="F36" s="201"/>
      <c r="G36" s="196"/>
      <c r="H36" s="196"/>
      <c r="I36" s="196"/>
      <c r="J36" s="5" t="s">
        <v>592</v>
      </c>
    </row>
    <row r="37" spans="1:10" x14ac:dyDescent="0.2">
      <c r="A37" s="199" t="s">
        <v>39</v>
      </c>
      <c r="B37" s="5" t="s">
        <v>307</v>
      </c>
      <c r="C37" s="1" t="s">
        <v>301</v>
      </c>
      <c r="D37" s="2" t="s">
        <v>304</v>
      </c>
      <c r="E37" s="3" t="s">
        <v>5</v>
      </c>
      <c r="F37" s="201">
        <v>130</v>
      </c>
      <c r="G37" s="196"/>
      <c r="H37" s="196"/>
      <c r="I37" s="196"/>
    </row>
    <row r="38" spans="1:10" x14ac:dyDescent="0.2">
      <c r="B38" s="5" t="s">
        <v>307</v>
      </c>
      <c r="C38" s="1" t="s">
        <v>302</v>
      </c>
      <c r="D38" s="2" t="s">
        <v>305</v>
      </c>
      <c r="E38" s="3" t="s">
        <v>5</v>
      </c>
      <c r="F38" s="201">
        <v>120</v>
      </c>
      <c r="G38" s="196"/>
      <c r="H38" s="196"/>
      <c r="I38" s="196"/>
    </row>
    <row r="39" spans="1:10" x14ac:dyDescent="0.2">
      <c r="B39" s="5" t="s">
        <v>307</v>
      </c>
      <c r="C39" s="1" t="s">
        <v>303</v>
      </c>
      <c r="D39" s="2" t="s">
        <v>306</v>
      </c>
      <c r="E39" s="3" t="s">
        <v>5</v>
      </c>
      <c r="F39" s="201">
        <v>110</v>
      </c>
      <c r="G39" s="196"/>
      <c r="H39" s="196"/>
      <c r="I39" s="196"/>
    </row>
    <row r="40" spans="1:10" x14ac:dyDescent="0.2">
      <c r="B40" s="5" t="s">
        <v>307</v>
      </c>
      <c r="C40" s="1" t="s">
        <v>295</v>
      </c>
      <c r="D40" s="2" t="s">
        <v>298</v>
      </c>
      <c r="E40" s="3" t="s">
        <v>5</v>
      </c>
      <c r="F40" s="201"/>
      <c r="G40" s="196"/>
      <c r="H40" s="196"/>
      <c r="I40" s="196"/>
    </row>
    <row r="41" spans="1:10" x14ac:dyDescent="0.2">
      <c r="B41" s="5" t="s">
        <v>307</v>
      </c>
      <c r="C41" s="1" t="s">
        <v>296</v>
      </c>
      <c r="D41" s="2" t="s">
        <v>299</v>
      </c>
      <c r="E41" s="3" t="s">
        <v>5</v>
      </c>
      <c r="F41" s="201"/>
      <c r="G41" s="196"/>
      <c r="H41" s="196"/>
      <c r="I41" s="196"/>
    </row>
    <row r="42" spans="1:10" x14ac:dyDescent="0.2">
      <c r="B42" s="5" t="s">
        <v>307</v>
      </c>
      <c r="C42" s="1" t="s">
        <v>297</v>
      </c>
      <c r="D42" s="2" t="s">
        <v>300</v>
      </c>
      <c r="E42" s="3" t="s">
        <v>5</v>
      </c>
      <c r="F42" s="201"/>
      <c r="G42" s="196"/>
      <c r="H42" s="196"/>
      <c r="I42" s="196"/>
    </row>
    <row r="43" spans="1:10" x14ac:dyDescent="0.2">
      <c r="B43" s="5" t="s">
        <v>307</v>
      </c>
      <c r="C43" s="1" t="s">
        <v>50</v>
      </c>
      <c r="D43" s="2" t="s">
        <v>308</v>
      </c>
      <c r="E43" s="3" t="s">
        <v>5</v>
      </c>
      <c r="F43" s="201"/>
      <c r="G43" s="196"/>
      <c r="H43" s="196"/>
      <c r="I43" s="196"/>
    </row>
    <row r="44" spans="1:10" x14ac:dyDescent="0.2">
      <c r="A44" s="199" t="s">
        <v>40</v>
      </c>
      <c r="B44" s="5" t="s">
        <v>55</v>
      </c>
      <c r="C44" s="1" t="s">
        <v>464</v>
      </c>
      <c r="D44" s="2" t="s">
        <v>463</v>
      </c>
      <c r="E44" s="3" t="s">
        <v>6</v>
      </c>
      <c r="F44" s="201">
        <v>79</v>
      </c>
      <c r="G44" s="196"/>
      <c r="H44" s="196"/>
      <c r="I44" s="196"/>
      <c r="J44" s="5" t="s">
        <v>590</v>
      </c>
    </row>
    <row r="45" spans="1:10" x14ac:dyDescent="0.2">
      <c r="A45" s="6"/>
      <c r="B45" s="5" t="s">
        <v>55</v>
      </c>
      <c r="C45" s="1" t="s">
        <v>465</v>
      </c>
      <c r="D45" s="2" t="s">
        <v>468</v>
      </c>
      <c r="E45" s="3" t="s">
        <v>6</v>
      </c>
      <c r="F45" s="201">
        <v>82</v>
      </c>
      <c r="G45" s="196"/>
      <c r="H45" s="196"/>
      <c r="I45" s="196"/>
      <c r="J45" s="5" t="s">
        <v>590</v>
      </c>
    </row>
    <row r="46" spans="1:10" x14ac:dyDescent="0.2">
      <c r="A46" s="6"/>
      <c r="B46" s="5" t="s">
        <v>55</v>
      </c>
      <c r="C46" s="1" t="s">
        <v>466</v>
      </c>
      <c r="D46" s="2" t="s">
        <v>469</v>
      </c>
      <c r="E46" s="3" t="s">
        <v>6</v>
      </c>
      <c r="F46" s="201">
        <v>85</v>
      </c>
      <c r="G46" s="196"/>
      <c r="H46" s="196"/>
      <c r="I46" s="196"/>
      <c r="J46" s="5" t="s">
        <v>590</v>
      </c>
    </row>
    <row r="47" spans="1:10" x14ac:dyDescent="0.2">
      <c r="A47" s="6"/>
      <c r="B47" s="5" t="s">
        <v>55</v>
      </c>
      <c r="C47" s="1" t="s">
        <v>467</v>
      </c>
      <c r="D47" s="2" t="s">
        <v>470</v>
      </c>
      <c r="E47" s="3" t="s">
        <v>6</v>
      </c>
      <c r="F47" s="201">
        <v>91</v>
      </c>
      <c r="G47" s="196"/>
      <c r="H47" s="196"/>
      <c r="I47" s="196"/>
      <c r="J47" s="5" t="s">
        <v>590</v>
      </c>
    </row>
    <row r="48" spans="1:10" x14ac:dyDescent="0.2">
      <c r="A48" s="199" t="s">
        <v>41</v>
      </c>
      <c r="B48" s="5" t="s">
        <v>280</v>
      </c>
      <c r="C48" s="1" t="s">
        <v>42</v>
      </c>
      <c r="D48" s="2" t="s">
        <v>276</v>
      </c>
      <c r="E48" s="3" t="s">
        <v>6</v>
      </c>
      <c r="F48" s="201">
        <v>4</v>
      </c>
      <c r="G48" s="196"/>
      <c r="H48" s="196"/>
      <c r="I48" s="196"/>
    </row>
    <row r="49" spans="1:10" x14ac:dyDescent="0.2">
      <c r="B49" s="5" t="s">
        <v>280</v>
      </c>
      <c r="C49" s="1" t="s">
        <v>43</v>
      </c>
      <c r="D49" s="2" t="s">
        <v>277</v>
      </c>
      <c r="E49" s="3" t="s">
        <v>6</v>
      </c>
      <c r="F49" s="201">
        <v>5</v>
      </c>
      <c r="G49" s="196"/>
      <c r="H49" s="196"/>
      <c r="I49" s="196"/>
    </row>
    <row r="50" spans="1:10" x14ac:dyDescent="0.2">
      <c r="B50" s="5" t="s">
        <v>280</v>
      </c>
      <c r="C50" s="1" t="s">
        <v>44</v>
      </c>
      <c r="D50" s="2" t="s">
        <v>278</v>
      </c>
      <c r="E50" s="3" t="s">
        <v>6</v>
      </c>
      <c r="F50" s="201">
        <v>7</v>
      </c>
      <c r="G50" s="196"/>
      <c r="H50" s="196"/>
      <c r="I50" s="196"/>
    </row>
    <row r="51" spans="1:10" x14ac:dyDescent="0.2">
      <c r="B51" s="5" t="s">
        <v>280</v>
      </c>
      <c r="C51" s="1" t="s">
        <v>45</v>
      </c>
      <c r="D51" s="2" t="s">
        <v>279</v>
      </c>
      <c r="E51" s="3" t="s">
        <v>6</v>
      </c>
      <c r="F51" s="201"/>
      <c r="G51" s="196"/>
      <c r="H51" s="196"/>
      <c r="I51" s="196"/>
    </row>
    <row r="52" spans="1:10" ht="12.6" customHeight="1" x14ac:dyDescent="0.2">
      <c r="B52" s="5" t="s">
        <v>280</v>
      </c>
      <c r="C52" s="1" t="s">
        <v>282</v>
      </c>
      <c r="D52" s="2" t="s">
        <v>281</v>
      </c>
      <c r="E52" s="3" t="s">
        <v>6</v>
      </c>
      <c r="F52" s="201"/>
      <c r="G52" s="196"/>
      <c r="H52" s="196"/>
      <c r="I52" s="196"/>
    </row>
    <row r="53" spans="1:10" ht="12.6" customHeight="1" x14ac:dyDescent="0.2">
      <c r="B53" s="5" t="s">
        <v>280</v>
      </c>
      <c r="C53" s="1" t="s">
        <v>283</v>
      </c>
      <c r="D53" s="2" t="s">
        <v>284</v>
      </c>
      <c r="E53" s="3" t="s">
        <v>6</v>
      </c>
      <c r="F53" s="201"/>
      <c r="G53" s="196"/>
      <c r="H53" s="196"/>
      <c r="I53" s="196"/>
    </row>
    <row r="54" spans="1:10" x14ac:dyDescent="0.2">
      <c r="A54" s="199" t="s">
        <v>46</v>
      </c>
      <c r="B54" s="5" t="s">
        <v>61</v>
      </c>
      <c r="C54" s="1" t="s">
        <v>3</v>
      </c>
      <c r="D54" s="2" t="s">
        <v>4</v>
      </c>
      <c r="E54" s="3" t="s">
        <v>274</v>
      </c>
      <c r="F54" s="201">
        <v>4.5</v>
      </c>
      <c r="G54" s="196"/>
      <c r="H54" s="196"/>
      <c r="I54" s="196"/>
      <c r="J54" s="5" t="s">
        <v>591</v>
      </c>
    </row>
    <row r="55" spans="1:10" x14ac:dyDescent="0.2">
      <c r="B55" s="5" t="s">
        <v>285</v>
      </c>
      <c r="C55" s="1" t="s">
        <v>275</v>
      </c>
      <c r="D55" s="2" t="s">
        <v>286</v>
      </c>
      <c r="E55" s="3" t="s">
        <v>7</v>
      </c>
      <c r="F55" s="201">
        <v>7</v>
      </c>
      <c r="G55" s="196"/>
      <c r="H55" s="196"/>
      <c r="I55" s="196"/>
      <c r="J55" s="5" t="s">
        <v>287</v>
      </c>
    </row>
    <row r="56" spans="1:10" x14ac:dyDescent="0.2">
      <c r="B56" s="5" t="s">
        <v>48</v>
      </c>
      <c r="C56" s="1" t="s">
        <v>47</v>
      </c>
      <c r="D56" s="2" t="s">
        <v>60</v>
      </c>
      <c r="E56" s="3" t="s">
        <v>12</v>
      </c>
      <c r="F56" s="201">
        <f>6/9</f>
        <v>0.66666666666666663</v>
      </c>
      <c r="G56" s="196"/>
      <c r="H56" s="196"/>
      <c r="I56" s="196"/>
    </row>
    <row r="57" spans="1:10" x14ac:dyDescent="0.2">
      <c r="B57" s="5" t="s">
        <v>48</v>
      </c>
      <c r="C57" s="1" t="s">
        <v>272</v>
      </c>
      <c r="D57" s="2" t="s">
        <v>273</v>
      </c>
      <c r="E57" s="3" t="s">
        <v>12</v>
      </c>
      <c r="F57" s="201"/>
      <c r="G57" s="196"/>
      <c r="H57" s="196"/>
      <c r="I57" s="196"/>
    </row>
    <row r="58" spans="1:10" x14ac:dyDescent="0.2">
      <c r="B58" s="5" t="s">
        <v>49</v>
      </c>
      <c r="C58" s="1" t="s">
        <v>58</v>
      </c>
      <c r="D58" s="2" t="s">
        <v>56</v>
      </c>
      <c r="E58" s="3" t="s">
        <v>6</v>
      </c>
      <c r="F58" s="201"/>
      <c r="G58" s="196"/>
      <c r="H58" s="196"/>
      <c r="I58" s="196"/>
    </row>
    <row r="59" spans="1:10" x14ac:dyDescent="0.2">
      <c r="B59" s="5" t="s">
        <v>49</v>
      </c>
      <c r="C59" s="1" t="s">
        <v>59</v>
      </c>
      <c r="D59" s="2" t="s">
        <v>57</v>
      </c>
      <c r="E59" s="3" t="s">
        <v>6</v>
      </c>
      <c r="F59" s="201"/>
      <c r="G59" s="196"/>
      <c r="H59" s="196"/>
      <c r="I59" s="196"/>
    </row>
    <row r="61" ht="30" customHeight="1">
      <c r="A61" s="197" t="inlineStr">
        <is>
          <t xml:space="preserve">Every alternative worksheet prices its quantities from the Unit Cost column above, by looking up the pay item description. Change a cost here and every alternative reprices when the workbook recalculates.</t>
        </is>
      </c>
      <c r="B61" s="197"/>
      <c r="C61" s="197"/>
      <c r="D61" s="197"/>
      <c r="E61" s="197"/>
      <c r="F61" s="197"/>
      <c r="G61" s="197"/>
      <c r="H61" s="197"/>
      <c r="I61" s="197"/>
      <c r="J61" s="197"/>
    </row>
    <row r="62" ht="30" customHeight="1">
      <c r="A62" s="197"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7"/>
      <c r="C62" s="197"/>
      <c r="D62" s="197"/>
      <c r="E62" s="197"/>
      <c r="F62" s="197"/>
      <c r="G62" s="197"/>
      <c r="H62" s="197"/>
      <c r="I62" s="197"/>
      <c r="J62" s="197"/>
    </row>
    <row r="63" ht="30" customHeight="1">
      <c r="A63" s="202" t="inlineStr">
        <is>
          <t xml:space="preserve">29 of the 56 pay items carry no unit cost. An alternative that uses one of them prices it at $0, so check the Unit Cost column before entering quantities.</t>
        </is>
      </c>
      <c r="B63" s="202"/>
      <c r="C63" s="202"/>
      <c r="D63" s="202"/>
      <c r="E63" s="202"/>
      <c r="F63" s="202"/>
      <c r="G63" s="202"/>
      <c r="H63" s="202"/>
      <c r="I63" s="202"/>
      <c r="J63" s="202"/>
    </row>
    <row r="64" ht="30" customHeight="1">
      <c r="A64" s="197" t="inlineStr">
        <is>
          <t xml:space="preserve">Typical ranges and the published sources behind these costs are on the Typical Values sheet.</t>
        </is>
      </c>
      <c r="B64" s="197"/>
      <c r="C64" s="197"/>
      <c r="D64" s="197"/>
      <c r="E64" s="197"/>
      <c r="F64" s="197"/>
      <c r="G64" s="197"/>
      <c r="H64" s="197"/>
      <c r="I64" s="197"/>
      <c r="J64" s="197"/>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8" t="inlineStr">
        <is>
          <t xml:space="preserve">MAINTENANCE AND REHABILITATION POLICIES</t>
        </is>
      </c>
    </row>
    <row r="3" ht="36" customHeight="1">
      <c r="C3" s="197"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7" t="inlineStr">
        <is>
          <t xml:space="preserve">Table 1 drives a New HMA alternative, Table 2 a New PCC alternative, Table 3 an HMA overlay and Table 4 a PCC rehabilitation. Alternative Setup copies the matching template.</t>
        </is>
      </c>
    </row>
    <row r="5" ht="34" customHeight="1">
      <c r="C5" s="197"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7" t="inlineStr">
        <is>
          <t xml:space="preserve">Closure days come from the production rates on Typical Values, not from this sheet.</t>
        </is>
      </c>
    </row>
    <row r="7"/>
    <row r="8" spans="2:5" ht="13.5" thickBot="1" x14ac:dyDescent="0.25">
      <c r="B8" s="198" t="s">
        <v>494</v>
      </c>
    </row>
    <row r="9" ht="30" customHeight="1" spans="2:5" thickTop="1" thickBot="1" x14ac:dyDescent="0.25">
      <c r="B9" s="200" t="s">
        <v>96</v>
      </c>
      <c r="C9" s="200" t="s">
        <v>95</v>
      </c>
      <c r="D9" s="200" t="s">
        <v>106</v>
      </c>
      <c r="E9" s="200" t="s">
        <v>259</v>
      </c>
      <c r="F9" s="200"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8" t="s">
        <v>495</v>
      </c>
    </row>
    <row r="36" ht="30" customHeight="1" spans="2:5" thickTop="1" thickBot="1" x14ac:dyDescent="0.25">
      <c r="B36" s="200" t="s">
        <v>105</v>
      </c>
      <c r="C36" s="200" t="s">
        <v>95</v>
      </c>
      <c r="D36" s="200" t="s">
        <v>106</v>
      </c>
      <c r="E36" s="200" t="s">
        <v>259</v>
      </c>
      <c r="F36" s="200"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8" t="s">
        <v>496</v>
      </c>
    </row>
    <row r="50" ht="30" customHeight="1" spans="2:5" thickTop="1" thickBot="1" x14ac:dyDescent="0.25">
      <c r="B50" s="200" t="s">
        <v>96</v>
      </c>
      <c r="C50" s="200" t="s">
        <v>95</v>
      </c>
      <c r="D50" s="200" t="s">
        <v>106</v>
      </c>
      <c r="E50" s="200" t="s">
        <v>259</v>
      </c>
      <c r="F50" s="200"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8" t="s">
        <v>497</v>
      </c>
    </row>
    <row r="75" ht="30" customHeight="1" spans="2:5" thickTop="1" thickBot="1" x14ac:dyDescent="0.25">
      <c r="B75" s="200" t="s">
        <v>105</v>
      </c>
      <c r="C75" s="200" t="s">
        <v>95</v>
      </c>
      <c r="D75" s="200" t="s">
        <v>106</v>
      </c>
      <c r="E75" s="200" t="s">
        <v>259</v>
      </c>
      <c r="F75" s="200"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2026-09-14T01:36:37Z</dcterms:modified>
</cp:coreProperties>
</file>
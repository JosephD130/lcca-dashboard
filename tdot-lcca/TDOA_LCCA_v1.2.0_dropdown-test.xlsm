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<sst xmlns="http://schemas.openxmlformats.org/spreadsheetml/2006/main" count="1480" uniqueCount="637">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</sst>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63"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s>
  <fills count="40">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s>
  <borders count="56">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5">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xf>
    <xf numFmtId="174" xfId="0" applyNumberFormat="1" fontId="54" applyFont="1" fillId="35" applyFill="1" borderId="54" applyBorder="1" applyAlignment="1">
      <alignment horizontal="right" vertical="center"/>
    </xf>
    <xf numFmtId="0" xfId="0" fontId="55" applyFont="1" applyAlignment="1">
      <alignment horizontal="left" vertical="center" wrapText="1"/>
    </xf>
    <xf numFmtId="0" xfId="0" fontId="56" applyFont="1"/>
    <xf numFmtId="0" xfId="0" fontId="57" applyFont="1" fillId="36" applyFill="1" applyAlignment="1">
      <alignment horizontal="left" vertical="center" wrapText="1"/>
    </xf>
    <xf numFmtId="0" xfId="0" fontId="58" applyFont="1" fillId="37" applyFill="1" applyAlignment="1">
      <alignment horizontal="left" vertical="center" wrapText="1"/>
    </xf>
    <xf numFmtId="175" xfId="0" applyNumberFormat="1" fontId="59" applyFont="1" fillId="38" applyFill="1" borderId="55" applyBorder="1" applyAlignment="1">
      <alignment horizontal="right" vertical="center"/>
    </xf>
    <xf numFmtId="0" xfId="0" fontId="60" applyFont="1" fillId="39" applyFill="1" applyAlignment="1">
      <alignment horizontal="left" vertical="center" wrapText="1"/>
    </xf>
    <xf numFmtId="0" xfId="0" fontId="61" applyFont="1" applyAlignment="1">
      <alignment horizontal="left" vertical="center"/>
    </xf>
    <xf numFmtId="0" xfId="0" fontId="62" applyFont="1" applyAlignment="1">
      <alignment horizontal="left" vertical="center"/>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a:pPr>
            <a:r>
              <a:t>8. Unit cost against published Tennessee runway work</a:t>
            </a:r>
          </a:p>
        </rich>
      </tx>
    </title>
    <plotArea>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crossAx val="100"/>
        <lblOffset val="100"/>
      </catAx>
      <valAx>
        <axId val="100"/>
        <scaling>
          <orientation val="minMax"/>
        </scaling>
        <delete val="0"/>
        <axPos val="l"/>
        <title>
          <tx>
            <rich>
              <a:bodyPr xmlns:a="http://schemas.openxmlformats.org/drawingml/2006/main"/>
              <a:p xmlns:a="http://schemas.openxmlformats.org/drawingml/2006/main">
                <a:pPr>
                  <a:defRPr/>
                </a:pPr>
                <a:r>
                  <a:t>Initial construction / mainline S.Y.</a:t>
                </a:r>
              </a:p>
            </rich>
          </tx>
        </title>
        <numFmt formatCode="$#,##0" sourceLinked="0"/>
        <majorTickMark val="none"/>
        <minorTickMark val="none"/>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211238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29</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47</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65</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99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99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13</xdr:col>
      <xdr:colOff>0</xdr:colOff>
      <xdr:row>65</xdr:row>
      <xdr:rowOff>0</xdr:rowOff>
    </xdr:from>
    <xdr:ext cx="5940000" cy="288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96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topLeftCell="A16" workbookViewId="0">
      <selection activeCell="J7" sqref="J7"/>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7" t="inlineStr">
        <is>
          <t xml:space="preserve">STEP 1 of 5</t>
        </is>
      </c>
    </row>
    <row r="2" spans="2:5" x14ac:dyDescent="0.2">
      <c r="B2" s="204" t="inlineStr">
        <is>
          <t xml:space="preserve">What the framework does and the rules behind it. Read this and Instructions, then go to General Information.</t>
        </is>
      </c>
    </row>
    <row r="3" spans="2:5" x14ac:dyDescent="0.2">
      <c r="B3" s="203" t="s">
        <v>360</v>
      </c>
    </row>
    <row r="4" spans="2:5" x14ac:dyDescent="0.2">
      <c r="B4" s="203" t="s">
        <v>361</v>
      </c>
    </row>
    <row r="5" spans="2:5" x14ac:dyDescent="0.2">
      <c r="B5" s="203" t="s">
        <v>362</v>
      </c>
    </row>
    <row r="6" spans="2:5" x14ac:dyDescent="0.2">
      <c r="B6" s="203" t="s">
        <v>363</v>
      </c>
    </row>
    <row r="7" spans="2:5" ht="15" x14ac:dyDescent="0.25">
      <c r="B7" s="203" t="s">
        <v>364</v>
      </c>
    </row>
    <row r="8">
      <c r="B8" s="203"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topLeftCell="A22" workbookViewId="0">
      <selection activeCell="R38" sqref="R38"/>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7" t="inlineStr">
        <is>
          <t xml:space="preserve">STEP 1 of 5</t>
        </is>
      </c>
    </row>
    <row r="2" spans="2:5" x14ac:dyDescent="0.2">
      <c r="B2" s="204" t="inlineStr">
        <is>
          <t xml:space="preserve">How to run an analysis, start to finish. When you are ready, go to General Information and fill in the grey cells.</t>
        </is>
      </c>
    </row>
    <row r="3" spans="2:5" x14ac:dyDescent="0.2">
      <c r="B3" s="203" t="s">
        <v>360</v>
      </c>
    </row>
    <row r="4" spans="2:5" x14ac:dyDescent="0.2">
      <c r="B4" s="203" t="s">
        <v>361</v>
      </c>
    </row>
    <row r="5" spans="2:5" x14ac:dyDescent="0.2">
      <c r="B5" s="203" t="s">
        <v>362</v>
      </c>
    </row>
    <row r="6" spans="2:5" x14ac:dyDescent="0.2">
      <c r="B6" s="203" t="s">
        <v>363</v>
      </c>
    </row>
    <row r="7" spans="2:5" x14ac:dyDescent="0.2">
      <c r="B7" s="203" t="s">
        <v>364</v>
      </c>
    </row>
    <row r="8">
      <c r="B8" s="203"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B1" s="190" t="inlineStr">
        <is>
          <t xml:space="preserve">STEP 2 of 5: the project and the LCCA parameters. Fill in the grey cells below.</t>
        </is>
      </c>
    </row>
    <row r="2">
      <c r="F2" s="186" t="inlineStr">
        <is>
          <t>HOW TO USE THIS WORKBOOK</t>
        </is>
      </c>
    </row>
    <row r="3" ht="21"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1" customHeight="1"/>
    <row r="5" ht="21" customHeight="1"/>
    <row r="6" ht="21" customHeight="1"/>
    <row r="7" spans="2:19" x14ac:dyDescent="0.2" ht="21" customHeight="1">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D35" s="190"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topLeftCell="B1" workbookViewId="0">
      <pane xSplit="0" ySplit="2" topLeftCell="A3" activePane="bottomRight" state="frozen"/>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ht="40" customHeight="1" spans="1:10" x14ac:dyDescent="0.2">
      <c r="A1" s="119" t="str">
        <f>HYPERLINK("#'General Information'!D9","◄ General Information")</f>
        <v>◄ General Information</v>
      </c>
      <c r="B1" s="120" t="str">
        <f>HYPERLINK("#Summary!G1","Summary")</f>
        <v>Summary</v>
      </c>
      <c r="C1" s="197" t="inlineStr">
        <is>
          <t xml:space="preserve">STEP 3 of 5</t>
        </is>
      </c>
      <c r="D1" s="197"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1" t="s">
        <v>453</v>
      </c>
      <c r="G3" s="196"/>
      <c r="H3" s="196"/>
      <c r="I3" s="196"/>
    </row>
    <row r="4" spans="1:10" x14ac:dyDescent="0.2">
      <c r="A4" s="199" t="s">
        <v>10</v>
      </c>
      <c r="B4" s="5" t="s">
        <v>54</v>
      </c>
      <c r="C4" s="1" t="s">
        <v>317</v>
      </c>
      <c r="D4" s="2" t="s">
        <v>63</v>
      </c>
      <c r="E4" s="3" t="s">
        <v>6</v>
      </c>
      <c r="F4" s="201">
        <v>4.2</v>
      </c>
      <c r="G4" s="196"/>
      <c r="H4" s="196"/>
      <c r="I4" s="196"/>
      <c r="J4" s="5" t="s">
        <v>590</v>
      </c>
    </row>
    <row r="5" spans="1:10" x14ac:dyDescent="0.2">
      <c r="B5" s="5" t="s">
        <v>54</v>
      </c>
      <c r="C5" s="1" t="s">
        <v>318</v>
      </c>
      <c r="D5" s="2" t="s">
        <v>62</v>
      </c>
      <c r="E5" s="3" t="s">
        <v>6</v>
      </c>
      <c r="F5" s="201"/>
      <c r="G5" s="196"/>
      <c r="H5" s="196"/>
      <c r="I5" s="196"/>
      <c r="J5" s="5" t="s">
        <v>590</v>
      </c>
    </row>
    <row r="6" spans="1:10" x14ac:dyDescent="0.2">
      <c r="B6" s="5" t="s">
        <v>54</v>
      </c>
      <c r="C6" s="1" t="s">
        <v>329</v>
      </c>
      <c r="D6" s="2" t="s">
        <v>331</v>
      </c>
      <c r="E6" s="3" t="s">
        <v>7</v>
      </c>
      <c r="F6" s="201">
        <v>4</v>
      </c>
      <c r="G6" s="196"/>
      <c r="H6" s="196"/>
      <c r="I6" s="196"/>
    </row>
    <row r="7" spans="1:10" x14ac:dyDescent="0.2">
      <c r="B7" s="5" t="s">
        <v>54</v>
      </c>
      <c r="C7" s="1" t="s">
        <v>330</v>
      </c>
      <c r="D7" s="2" t="s">
        <v>332</v>
      </c>
      <c r="E7" s="3" t="s">
        <v>7</v>
      </c>
      <c r="F7" s="201">
        <v>6.5</v>
      </c>
      <c r="G7" s="196"/>
      <c r="H7" s="196"/>
      <c r="I7" s="196"/>
    </row>
    <row r="8" spans="1:10" x14ac:dyDescent="0.2">
      <c r="B8" s="5" t="s">
        <v>54</v>
      </c>
      <c r="C8" s="1" t="s">
        <v>333</v>
      </c>
      <c r="D8" s="2" t="s">
        <v>335</v>
      </c>
      <c r="E8" s="3" t="s">
        <v>7</v>
      </c>
      <c r="F8" s="201">
        <v>8</v>
      </c>
      <c r="G8" s="196"/>
      <c r="H8" s="196"/>
      <c r="I8" s="196"/>
    </row>
    <row r="9" spans="1:10" x14ac:dyDescent="0.2">
      <c r="B9" s="5" t="s">
        <v>54</v>
      </c>
      <c r="C9" s="1" t="s">
        <v>334</v>
      </c>
      <c r="D9" s="2" t="s">
        <v>336</v>
      </c>
      <c r="E9" s="3" t="s">
        <v>7</v>
      </c>
      <c r="F9" s="201">
        <v>8.5</v>
      </c>
      <c r="G9" s="196"/>
      <c r="H9" s="196"/>
      <c r="I9" s="196"/>
    </row>
    <row r="10" spans="1:10" x14ac:dyDescent="0.2">
      <c r="B10" s="5" t="s">
        <v>54</v>
      </c>
      <c r="C10" s="1" t="s">
        <v>11</v>
      </c>
      <c r="D10" s="2" t="s">
        <v>359</v>
      </c>
      <c r="E10" s="3" t="s">
        <v>12</v>
      </c>
      <c r="F10" s="201">
        <f>7/9</f>
        <v>0.77777777777777779</v>
      </c>
      <c r="G10" s="196"/>
      <c r="H10" s="196"/>
      <c r="I10" s="196"/>
    </row>
    <row r="11" spans="1:10" x14ac:dyDescent="0.2">
      <c r="B11" s="5" t="s">
        <v>54</v>
      </c>
      <c r="C11" s="1" t="s">
        <v>488</v>
      </c>
      <c r="D11" s="2" t="s">
        <v>337</v>
      </c>
      <c r="E11" s="3" t="s">
        <v>12</v>
      </c>
      <c r="F11" s="201">
        <v>8.5</v>
      </c>
      <c r="G11" s="196"/>
      <c r="H11" s="196"/>
      <c r="I11" s="196"/>
      <c r="J11" s="5" t="s">
        <v>590</v>
      </c>
    </row>
    <row r="12" spans="1:10" x14ac:dyDescent="0.2">
      <c r="B12" s="5" t="s">
        <v>54</v>
      </c>
      <c r="C12" s="1" t="s">
        <v>489</v>
      </c>
      <c r="D12" s="2" t="s">
        <v>490</v>
      </c>
      <c r="E12" s="3" t="s">
        <v>12</v>
      </c>
      <c r="F12" s="201"/>
      <c r="G12" s="196"/>
      <c r="H12" s="196"/>
      <c r="I12" s="196"/>
      <c r="J12" s="5" t="s">
        <v>593</v>
      </c>
    </row>
    <row r="13" spans="1:10" x14ac:dyDescent="0.2">
      <c r="B13" s="5" t="s">
        <v>54</v>
      </c>
      <c r="C13" s="1" t="s">
        <v>341</v>
      </c>
      <c r="D13" s="2" t="s">
        <v>338</v>
      </c>
      <c r="E13" s="3" t="s">
        <v>12</v>
      </c>
      <c r="F13" s="201">
        <v>60</v>
      </c>
      <c r="G13" s="196"/>
      <c r="H13" s="196"/>
      <c r="I13" s="196"/>
      <c r="J13" s="5" t="s">
        <v>590</v>
      </c>
    </row>
    <row r="14" spans="1:10" x14ac:dyDescent="0.2">
      <c r="B14" s="5" t="s">
        <v>54</v>
      </c>
      <c r="C14" s="1" t="s">
        <v>342</v>
      </c>
      <c r="D14" s="2" t="s">
        <v>339</v>
      </c>
      <c r="E14" s="3" t="s">
        <v>6</v>
      </c>
      <c r="F14" s="201">
        <v>120</v>
      </c>
      <c r="G14" s="196"/>
      <c r="H14" s="196"/>
      <c r="I14" s="196"/>
      <c r="J14" s="5" t="s">
        <v>590</v>
      </c>
    </row>
    <row r="15" spans="1:10" x14ac:dyDescent="0.2">
      <c r="B15" s="5" t="s">
        <v>54</v>
      </c>
      <c r="C15" s="1" t="s">
        <v>343</v>
      </c>
      <c r="D15" s="2" t="s">
        <v>340</v>
      </c>
      <c r="E15" s="3" t="s">
        <v>6</v>
      </c>
      <c r="F15" s="201">
        <v>100</v>
      </c>
      <c r="G15" s="196"/>
      <c r="H15" s="196"/>
      <c r="I15" s="196"/>
    </row>
    <row r="16" spans="1:10" x14ac:dyDescent="0.2">
      <c r="B16" s="5" t="s">
        <v>54</v>
      </c>
      <c r="C16" s="1" t="s">
        <v>1</v>
      </c>
      <c r="D16" s="2" t="s">
        <v>13</v>
      </c>
      <c r="E16" s="3" t="s">
        <v>6</v>
      </c>
      <c r="F16" s="201">
        <f>10/2</f>
        <v>5</v>
      </c>
      <c r="G16" s="196"/>
      <c r="H16" s="196"/>
      <c r="I16" s="196"/>
      <c r="J16" s="5" t="s">
        <v>590</v>
      </c>
    </row>
    <row r="17" spans="1:10" x14ac:dyDescent="0.2">
      <c r="B17" s="5" t="s">
        <v>54</v>
      </c>
      <c r="C17" s="1" t="s">
        <v>14</v>
      </c>
      <c r="D17" s="2" t="s">
        <v>316</v>
      </c>
      <c r="E17" s="3" t="s">
        <v>8</v>
      </c>
      <c r="F17" s="201"/>
      <c r="G17" s="196"/>
      <c r="H17" s="196"/>
      <c r="I17" s="196"/>
    </row>
    <row r="18" spans="1:10" x14ac:dyDescent="0.2">
      <c r="B18" s="5" t="s">
        <v>54</v>
      </c>
      <c r="C18" s="1" t="s">
        <v>15</v>
      </c>
      <c r="D18" s="2" t="s">
        <v>315</v>
      </c>
      <c r="E18" s="3" t="s">
        <v>8</v>
      </c>
      <c r="F18" s="201"/>
      <c r="G18" s="196"/>
      <c r="H18" s="196"/>
      <c r="I18" s="196"/>
    </row>
    <row r="19" spans="1:10" x14ac:dyDescent="0.2">
      <c r="B19" s="5" t="s">
        <v>54</v>
      </c>
      <c r="C19" s="1" t="s">
        <v>16</v>
      </c>
      <c r="D19" s="2" t="s">
        <v>17</v>
      </c>
      <c r="E19" s="3" t="s">
        <v>8</v>
      </c>
      <c r="F19" s="201">
        <v>55</v>
      </c>
      <c r="G19" s="196"/>
      <c r="H19" s="196"/>
      <c r="I19" s="196"/>
    </row>
    <row r="20" spans="1:10" x14ac:dyDescent="0.2">
      <c r="B20" s="5" t="s">
        <v>54</v>
      </c>
      <c r="C20" s="1" t="s">
        <v>18</v>
      </c>
      <c r="D20" s="2" t="s">
        <v>633</v>
      </c>
      <c r="E20" s="3" t="s">
        <v>6</v>
      </c>
      <c r="F20" s="201"/>
      <c r="G20" s="196"/>
      <c r="H20" s="196"/>
      <c r="I20" s="196"/>
    </row>
    <row r="21" spans="1:10" x14ac:dyDescent="0.2">
      <c r="B21" s="5" t="s">
        <v>54</v>
      </c>
      <c r="C21" s="1" t="s">
        <v>20</v>
      </c>
      <c r="D21" s="2" t="s">
        <v>21</v>
      </c>
      <c r="E21" s="3" t="s">
        <v>6</v>
      </c>
      <c r="F21" s="201">
        <v>10</v>
      </c>
      <c r="G21" s="196"/>
      <c r="H21" s="196"/>
      <c r="I21" s="196"/>
      <c r="J21" s="5" t="s">
        <v>590</v>
      </c>
    </row>
    <row r="22" spans="1:10" x14ac:dyDescent="0.2">
      <c r="B22" s="5" t="s">
        <v>54</v>
      </c>
      <c r="C22" s="1" t="s">
        <v>22</v>
      </c>
      <c r="D22" s="2" t="s">
        <v>309</v>
      </c>
      <c r="E22" s="3" t="s">
        <v>6</v>
      </c>
      <c r="F22" s="201"/>
      <c r="G22" s="196"/>
      <c r="H22" s="196"/>
      <c r="I22" s="196"/>
      <c r="J22" s="5" t="s">
        <v>590</v>
      </c>
    </row>
    <row r="23" spans="1:10" x14ac:dyDescent="0.2">
      <c r="B23" s="5" t="s">
        <v>54</v>
      </c>
      <c r="C23" s="1" t="s">
        <v>310</v>
      </c>
      <c r="D23" s="2" t="s">
        <v>312</v>
      </c>
      <c r="E23" s="3" t="s">
        <v>6</v>
      </c>
      <c r="F23" s="201"/>
      <c r="G23" s="196"/>
      <c r="H23" s="196"/>
      <c r="I23" s="196"/>
      <c r="J23" s="5" t="s">
        <v>590</v>
      </c>
    </row>
    <row r="24" spans="1:10" x14ac:dyDescent="0.2">
      <c r="B24" s="5" t="s">
        <v>54</v>
      </c>
      <c r="C24" s="1" t="s">
        <v>311</v>
      </c>
      <c r="D24" s="2" t="s">
        <v>313</v>
      </c>
      <c r="E24" s="3" t="s">
        <v>6</v>
      </c>
      <c r="F24" s="201"/>
      <c r="G24" s="196"/>
      <c r="H24" s="196"/>
      <c r="I24" s="196"/>
      <c r="J24" s="5" t="s">
        <v>590</v>
      </c>
    </row>
    <row r="25" spans="1:10" x14ac:dyDescent="0.2">
      <c r="B25" s="5" t="s">
        <v>54</v>
      </c>
      <c r="C25" s="1" t="s">
        <v>23</v>
      </c>
      <c r="D25" s="2" t="s">
        <v>314</v>
      </c>
      <c r="E25" s="3" t="s">
        <v>6</v>
      </c>
      <c r="F25" s="201"/>
      <c r="G25" s="196"/>
      <c r="H25" s="196"/>
      <c r="I25" s="196"/>
      <c r="J25" s="5" t="s">
        <v>590</v>
      </c>
    </row>
    <row r="26" spans="1:10" ht="12.6" customHeight="1" x14ac:dyDescent="0.2">
      <c r="A26" s="199" t="s">
        <v>24</v>
      </c>
      <c r="B26" s="5" t="s">
        <v>289</v>
      </c>
      <c r="C26" s="1" t="s">
        <v>2</v>
      </c>
      <c r="D26" s="2" t="s">
        <v>288</v>
      </c>
      <c r="E26" s="3" t="s">
        <v>6</v>
      </c>
      <c r="F26" s="201"/>
      <c r="G26" s="196"/>
      <c r="H26" s="196"/>
      <c r="I26" s="196"/>
      <c r="J26" s="5" t="s">
        <v>590</v>
      </c>
    </row>
    <row r="27" spans="1:10" x14ac:dyDescent="0.2">
      <c r="B27" s="5" t="s">
        <v>289</v>
      </c>
      <c r="C27" s="1" t="s">
        <v>25</v>
      </c>
      <c r="D27" s="2" t="s">
        <v>26</v>
      </c>
      <c r="E27" s="3" t="s">
        <v>8</v>
      </c>
      <c r="F27" s="201"/>
      <c r="G27" s="196"/>
      <c r="H27" s="196"/>
      <c r="I27" s="196"/>
    </row>
    <row r="28" spans="1:10" x14ac:dyDescent="0.2">
      <c r="B28" s="5" t="s">
        <v>289</v>
      </c>
      <c r="C28" s="1" t="s">
        <v>27</v>
      </c>
      <c r="D28" s="2" t="s">
        <v>634</v>
      </c>
      <c r="E28" s="3" t="s">
        <v>6</v>
      </c>
      <c r="F28" s="201"/>
      <c r="G28" s="196"/>
      <c r="H28" s="196"/>
      <c r="I28" s="196"/>
    </row>
    <row r="29" spans="1:10" x14ac:dyDescent="0.2">
      <c r="B29" s="5" t="s">
        <v>289</v>
      </c>
      <c r="C29" s="1" t="s">
        <v>0</v>
      </c>
      <c r="D29" s="2" t="s">
        <v>29</v>
      </c>
      <c r="E29" s="3" t="s">
        <v>8</v>
      </c>
      <c r="F29" s="201">
        <v>65</v>
      </c>
      <c r="G29" s="196"/>
      <c r="H29" s="196"/>
      <c r="I29" s="196"/>
    </row>
    <row r="30" spans="1:10" x14ac:dyDescent="0.2">
      <c r="B30" s="5" t="s">
        <v>289</v>
      </c>
      <c r="C30" s="1" t="s">
        <v>30</v>
      </c>
      <c r="D30" s="2" t="s">
        <v>635</v>
      </c>
      <c r="E30" s="3" t="s">
        <v>6</v>
      </c>
      <c r="F30" s="201"/>
      <c r="G30" s="196"/>
      <c r="H30" s="196"/>
      <c r="I30" s="196"/>
    </row>
    <row r="31" spans="1:10" x14ac:dyDescent="0.2">
      <c r="B31" s="5" t="s">
        <v>289</v>
      </c>
      <c r="C31" s="1" t="s">
        <v>31</v>
      </c>
      <c r="D31" s="2" t="s">
        <v>32</v>
      </c>
      <c r="E31" s="3" t="s">
        <v>8</v>
      </c>
      <c r="F31" s="201"/>
      <c r="G31" s="196"/>
      <c r="H31" s="196"/>
      <c r="I31" s="196"/>
    </row>
    <row r="32" spans="1:10" x14ac:dyDescent="0.2">
      <c r="B32" s="5" t="s">
        <v>289</v>
      </c>
      <c r="C32" s="1" t="s">
        <v>33</v>
      </c>
      <c r="D32" s="2" t="s">
        <v>636</v>
      </c>
      <c r="E32" s="3" t="s">
        <v>6</v>
      </c>
      <c r="F32" s="201"/>
      <c r="G32" s="196"/>
      <c r="H32" s="196"/>
      <c r="I32" s="196"/>
    </row>
    <row r="33" spans="1:10" x14ac:dyDescent="0.2">
      <c r="B33" s="5" t="s">
        <v>289</v>
      </c>
      <c r="C33" s="1" t="s">
        <v>34</v>
      </c>
      <c r="D33" s="2" t="s">
        <v>291</v>
      </c>
      <c r="E33" s="3" t="s">
        <v>6</v>
      </c>
      <c r="F33" s="201"/>
      <c r="G33" s="196"/>
      <c r="H33" s="196"/>
      <c r="I33" s="196"/>
      <c r="J33" s="5" t="s">
        <v>590</v>
      </c>
    </row>
    <row r="34" spans="1:10" x14ac:dyDescent="0.2">
      <c r="A34" s="199" t="s">
        <v>35</v>
      </c>
      <c r="B34" s="5" t="s">
        <v>290</v>
      </c>
      <c r="C34" s="1" t="s">
        <v>36</v>
      </c>
      <c r="D34" s="2" t="s">
        <v>292</v>
      </c>
      <c r="E34" s="3" t="s">
        <v>8</v>
      </c>
      <c r="F34" s="201"/>
      <c r="G34" s="196"/>
      <c r="H34" s="196"/>
      <c r="I34" s="196"/>
      <c r="J34" s="5" t="s">
        <v>592</v>
      </c>
    </row>
    <row r="35" spans="1:10" x14ac:dyDescent="0.2">
      <c r="B35" s="5" t="s">
        <v>290</v>
      </c>
      <c r="C35" s="1" t="s">
        <v>37</v>
      </c>
      <c r="D35" s="2" t="s">
        <v>293</v>
      </c>
      <c r="E35" s="3" t="s">
        <v>8</v>
      </c>
      <c r="F35" s="201"/>
      <c r="G35" s="196"/>
      <c r="H35" s="196"/>
      <c r="I35" s="196"/>
      <c r="J35" s="5" t="s">
        <v>592</v>
      </c>
    </row>
    <row r="36" spans="1:10" x14ac:dyDescent="0.2">
      <c r="B36" s="5" t="s">
        <v>290</v>
      </c>
      <c r="C36" s="1" t="s">
        <v>38</v>
      </c>
      <c r="D36" s="2" t="s">
        <v>294</v>
      </c>
      <c r="E36" s="3" t="s">
        <v>8</v>
      </c>
      <c r="F36" s="201"/>
      <c r="G36" s="196"/>
      <c r="H36" s="196"/>
      <c r="I36" s="196"/>
      <c r="J36" s="5" t="s">
        <v>592</v>
      </c>
    </row>
    <row r="37" spans="1:10" x14ac:dyDescent="0.2">
      <c r="A37" s="199" t="s">
        <v>39</v>
      </c>
      <c r="B37" s="5" t="s">
        <v>307</v>
      </c>
      <c r="C37" s="1" t="s">
        <v>301</v>
      </c>
      <c r="D37" s="2" t="s">
        <v>304</v>
      </c>
      <c r="E37" s="3" t="s">
        <v>5</v>
      </c>
      <c r="F37" s="201">
        <v>130</v>
      </c>
      <c r="G37" s="196"/>
      <c r="H37" s="196"/>
      <c r="I37" s="196"/>
    </row>
    <row r="38" spans="1:10" x14ac:dyDescent="0.2">
      <c r="B38" s="5" t="s">
        <v>307</v>
      </c>
      <c r="C38" s="1" t="s">
        <v>302</v>
      </c>
      <c r="D38" s="2" t="s">
        <v>305</v>
      </c>
      <c r="E38" s="3" t="s">
        <v>5</v>
      </c>
      <c r="F38" s="201">
        <v>120</v>
      </c>
      <c r="G38" s="196"/>
      <c r="H38" s="196"/>
      <c r="I38" s="196"/>
    </row>
    <row r="39" spans="1:10" x14ac:dyDescent="0.2">
      <c r="B39" s="5" t="s">
        <v>307</v>
      </c>
      <c r="C39" s="1" t="s">
        <v>303</v>
      </c>
      <c r="D39" s="2" t="s">
        <v>306</v>
      </c>
      <c r="E39" s="3" t="s">
        <v>5</v>
      </c>
      <c r="F39" s="201">
        <v>110</v>
      </c>
      <c r="G39" s="196"/>
      <c r="H39" s="196"/>
      <c r="I39" s="196"/>
    </row>
    <row r="40" spans="1:10" x14ac:dyDescent="0.2">
      <c r="B40" s="5" t="s">
        <v>307</v>
      </c>
      <c r="C40" s="1" t="s">
        <v>295</v>
      </c>
      <c r="D40" s="2" t="s">
        <v>298</v>
      </c>
      <c r="E40" s="3" t="s">
        <v>5</v>
      </c>
      <c r="F40" s="201"/>
      <c r="G40" s="196"/>
      <c r="H40" s="196"/>
      <c r="I40" s="196"/>
    </row>
    <row r="41" spans="1:10" x14ac:dyDescent="0.2">
      <c r="B41" s="5" t="s">
        <v>307</v>
      </c>
      <c r="C41" s="1" t="s">
        <v>296</v>
      </c>
      <c r="D41" s="2" t="s">
        <v>299</v>
      </c>
      <c r="E41" s="3" t="s">
        <v>5</v>
      </c>
      <c r="F41" s="201"/>
      <c r="G41" s="196"/>
      <c r="H41" s="196"/>
      <c r="I41" s="196"/>
    </row>
    <row r="42" spans="1:10" x14ac:dyDescent="0.2">
      <c r="B42" s="5" t="s">
        <v>307</v>
      </c>
      <c r="C42" s="1" t="s">
        <v>297</v>
      </c>
      <c r="D42" s="2" t="s">
        <v>300</v>
      </c>
      <c r="E42" s="3" t="s">
        <v>5</v>
      </c>
      <c r="F42" s="201"/>
      <c r="G42" s="196"/>
      <c r="H42" s="196"/>
      <c r="I42" s="196"/>
    </row>
    <row r="43" spans="1:10" x14ac:dyDescent="0.2">
      <c r="B43" s="5" t="s">
        <v>307</v>
      </c>
      <c r="C43" s="1" t="s">
        <v>50</v>
      </c>
      <c r="D43" s="2" t="s">
        <v>308</v>
      </c>
      <c r="E43" s="3" t="s">
        <v>5</v>
      </c>
      <c r="F43" s="201"/>
      <c r="G43" s="196"/>
      <c r="H43" s="196"/>
      <c r="I43" s="196"/>
    </row>
    <row r="44" spans="1:10" x14ac:dyDescent="0.2">
      <c r="A44" s="199" t="s">
        <v>40</v>
      </c>
      <c r="B44" s="5" t="s">
        <v>55</v>
      </c>
      <c r="C44" s="1" t="s">
        <v>464</v>
      </c>
      <c r="D44" s="2" t="s">
        <v>463</v>
      </c>
      <c r="E44" s="3" t="s">
        <v>6</v>
      </c>
      <c r="F44" s="201">
        <v>79</v>
      </c>
      <c r="G44" s="196"/>
      <c r="H44" s="196"/>
      <c r="I44" s="196"/>
      <c r="J44" s="5" t="s">
        <v>590</v>
      </c>
    </row>
    <row r="45" spans="1:10" x14ac:dyDescent="0.2">
      <c r="A45" s="6"/>
      <c r="B45" s="5" t="s">
        <v>55</v>
      </c>
      <c r="C45" s="1" t="s">
        <v>465</v>
      </c>
      <c r="D45" s="2" t="s">
        <v>468</v>
      </c>
      <c r="E45" s="3" t="s">
        <v>6</v>
      </c>
      <c r="F45" s="201">
        <v>82</v>
      </c>
      <c r="G45" s="196"/>
      <c r="H45" s="196"/>
      <c r="I45" s="196"/>
      <c r="J45" s="5" t="s">
        <v>590</v>
      </c>
    </row>
    <row r="46" spans="1:10" x14ac:dyDescent="0.2">
      <c r="A46" s="6"/>
      <c r="B46" s="5" t="s">
        <v>55</v>
      </c>
      <c r="C46" s="1" t="s">
        <v>466</v>
      </c>
      <c r="D46" s="2" t="s">
        <v>469</v>
      </c>
      <c r="E46" s="3" t="s">
        <v>6</v>
      </c>
      <c r="F46" s="201">
        <v>85</v>
      </c>
      <c r="G46" s="196"/>
      <c r="H46" s="196"/>
      <c r="I46" s="196"/>
      <c r="J46" s="5" t="s">
        <v>590</v>
      </c>
    </row>
    <row r="47" spans="1:10" x14ac:dyDescent="0.2">
      <c r="A47" s="6"/>
      <c r="B47" s="5" t="s">
        <v>55</v>
      </c>
      <c r="C47" s="1" t="s">
        <v>467</v>
      </c>
      <c r="D47" s="2" t="s">
        <v>470</v>
      </c>
      <c r="E47" s="3" t="s">
        <v>6</v>
      </c>
      <c r="F47" s="201">
        <v>91</v>
      </c>
      <c r="G47" s="196"/>
      <c r="H47" s="196"/>
      <c r="I47" s="196"/>
      <c r="J47" s="5" t="s">
        <v>590</v>
      </c>
    </row>
    <row r="48" spans="1:10" x14ac:dyDescent="0.2">
      <c r="A48" s="199" t="s">
        <v>41</v>
      </c>
      <c r="B48" s="5" t="s">
        <v>280</v>
      </c>
      <c r="C48" s="1" t="s">
        <v>42</v>
      </c>
      <c r="D48" s="2" t="s">
        <v>276</v>
      </c>
      <c r="E48" s="3" t="s">
        <v>6</v>
      </c>
      <c r="F48" s="201">
        <v>4</v>
      </c>
      <c r="G48" s="196"/>
      <c r="H48" s="196"/>
      <c r="I48" s="196"/>
    </row>
    <row r="49" spans="1:10" x14ac:dyDescent="0.2">
      <c r="B49" s="5" t="s">
        <v>280</v>
      </c>
      <c r="C49" s="1" t="s">
        <v>43</v>
      </c>
      <c r="D49" s="2" t="s">
        <v>277</v>
      </c>
      <c r="E49" s="3" t="s">
        <v>6</v>
      </c>
      <c r="F49" s="201">
        <v>5</v>
      </c>
      <c r="G49" s="196"/>
      <c r="H49" s="196"/>
      <c r="I49" s="196"/>
    </row>
    <row r="50" spans="1:10" x14ac:dyDescent="0.2">
      <c r="B50" s="5" t="s">
        <v>280</v>
      </c>
      <c r="C50" s="1" t="s">
        <v>44</v>
      </c>
      <c r="D50" s="2" t="s">
        <v>278</v>
      </c>
      <c r="E50" s="3" t="s">
        <v>6</v>
      </c>
      <c r="F50" s="201">
        <v>7</v>
      </c>
      <c r="G50" s="196"/>
      <c r="H50" s="196"/>
      <c r="I50" s="196"/>
    </row>
    <row r="51" spans="1:10" x14ac:dyDescent="0.2">
      <c r="B51" s="5" t="s">
        <v>280</v>
      </c>
      <c r="C51" s="1" t="s">
        <v>45</v>
      </c>
      <c r="D51" s="2" t="s">
        <v>279</v>
      </c>
      <c r="E51" s="3" t="s">
        <v>6</v>
      </c>
      <c r="F51" s="201"/>
      <c r="G51" s="196"/>
      <c r="H51" s="196"/>
      <c r="I51" s="196"/>
    </row>
    <row r="52" spans="1:10" ht="12.6" customHeight="1" x14ac:dyDescent="0.2">
      <c r="B52" s="5" t="s">
        <v>280</v>
      </c>
      <c r="C52" s="1" t="s">
        <v>282</v>
      </c>
      <c r="D52" s="2" t="s">
        <v>281</v>
      </c>
      <c r="E52" s="3" t="s">
        <v>6</v>
      </c>
      <c r="F52" s="201"/>
      <c r="G52" s="196"/>
      <c r="H52" s="196"/>
      <c r="I52" s="196"/>
    </row>
    <row r="53" spans="1:10" ht="12.6" customHeight="1" x14ac:dyDescent="0.2">
      <c r="B53" s="5" t="s">
        <v>280</v>
      </c>
      <c r="C53" s="1" t="s">
        <v>283</v>
      </c>
      <c r="D53" s="2" t="s">
        <v>284</v>
      </c>
      <c r="E53" s="3" t="s">
        <v>6</v>
      </c>
      <c r="F53" s="201"/>
      <c r="G53" s="196"/>
      <c r="H53" s="196"/>
      <c r="I53" s="196"/>
    </row>
    <row r="54" spans="1:10" x14ac:dyDescent="0.2">
      <c r="A54" s="199" t="s">
        <v>46</v>
      </c>
      <c r="B54" s="5" t="s">
        <v>61</v>
      </c>
      <c r="C54" s="1" t="s">
        <v>3</v>
      </c>
      <c r="D54" s="2" t="s">
        <v>4</v>
      </c>
      <c r="E54" s="3" t="s">
        <v>274</v>
      </c>
      <c r="F54" s="201">
        <v>4.5</v>
      </c>
      <c r="G54" s="196"/>
      <c r="H54" s="196"/>
      <c r="I54" s="196"/>
      <c r="J54" s="5" t="s">
        <v>591</v>
      </c>
    </row>
    <row r="55" spans="1:10" x14ac:dyDescent="0.2">
      <c r="B55" s="5" t="s">
        <v>285</v>
      </c>
      <c r="C55" s="1" t="s">
        <v>275</v>
      </c>
      <c r="D55" s="2" t="s">
        <v>286</v>
      </c>
      <c r="E55" s="3" t="s">
        <v>7</v>
      </c>
      <c r="F55" s="201">
        <v>7</v>
      </c>
      <c r="G55" s="196"/>
      <c r="H55" s="196"/>
      <c r="I55" s="196"/>
      <c r="J55" s="5" t="s">
        <v>287</v>
      </c>
    </row>
    <row r="56" spans="1:10" x14ac:dyDescent="0.2">
      <c r="B56" s="5" t="s">
        <v>48</v>
      </c>
      <c r="C56" s="1" t="s">
        <v>47</v>
      </c>
      <c r="D56" s="2" t="s">
        <v>60</v>
      </c>
      <c r="E56" s="3" t="s">
        <v>12</v>
      </c>
      <c r="F56" s="201">
        <f>6/9</f>
        <v>0.66666666666666663</v>
      </c>
      <c r="G56" s="196"/>
      <c r="H56" s="196"/>
      <c r="I56" s="196"/>
    </row>
    <row r="57" spans="1:10" x14ac:dyDescent="0.2">
      <c r="B57" s="5" t="s">
        <v>48</v>
      </c>
      <c r="C57" s="1" t="s">
        <v>272</v>
      </c>
      <c r="D57" s="2" t="s">
        <v>273</v>
      </c>
      <c r="E57" s="3" t="s">
        <v>12</v>
      </c>
      <c r="F57" s="201"/>
      <c r="G57" s="196"/>
      <c r="H57" s="196"/>
      <c r="I57" s="196"/>
    </row>
    <row r="58" spans="1:10" x14ac:dyDescent="0.2">
      <c r="B58" s="5" t="s">
        <v>49</v>
      </c>
      <c r="C58" s="1" t="s">
        <v>58</v>
      </c>
      <c r="D58" s="2" t="s">
        <v>56</v>
      </c>
      <c r="E58" s="3" t="s">
        <v>6</v>
      </c>
      <c r="F58" s="201"/>
      <c r="G58" s="196"/>
      <c r="H58" s="196"/>
      <c r="I58" s="196"/>
    </row>
    <row r="59" spans="1:10" x14ac:dyDescent="0.2">
      <c r="B59" s="5" t="s">
        <v>49</v>
      </c>
      <c r="C59" s="1" t="s">
        <v>59</v>
      </c>
      <c r="D59" s="2" t="s">
        <v>57</v>
      </c>
      <c r="E59" s="3" t="s">
        <v>6</v>
      </c>
      <c r="F59" s="201"/>
      <c r="G59" s="196"/>
      <c r="H59" s="196"/>
      <c r="I59" s="196"/>
    </row>
    <row r="61" ht="30" customHeight="1">
      <c r="A61" s="197" t="inlineStr">
        <is>
          <t xml:space="preserve">Every alternative worksheet prices its quantities from the Unit Cost column above, by looking up the pay item description. Change a cost here and every alternative reprices when the workbook recalculates.</t>
        </is>
      </c>
      <c r="B61" s="197"/>
      <c r="C61" s="197"/>
      <c r="D61" s="197"/>
      <c r="E61" s="197"/>
      <c r="F61" s="197"/>
      <c r="G61" s="197"/>
      <c r="H61" s="197"/>
      <c r="I61" s="197"/>
      <c r="J61" s="197"/>
    </row>
    <row r="62" ht="30" customHeight="1">
      <c r="A62" s="197"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7"/>
      <c r="C62" s="197"/>
      <c r="D62" s="197"/>
      <c r="E62" s="197"/>
      <c r="F62" s="197"/>
      <c r="G62" s="197"/>
      <c r="H62" s="197"/>
      <c r="I62" s="197"/>
      <c r="J62" s="197"/>
    </row>
    <row r="63" ht="30" customHeight="1">
      <c r="A63" s="202" t="inlineStr">
        <is>
          <t xml:space="preserve">29 of the 56 pay items carry no unit cost. An alternative that uses one of them prices it at $0, so check the Unit Cost column before entering quantities.</t>
        </is>
      </c>
      <c r="B63" s="202"/>
      <c r="C63" s="202"/>
      <c r="D63" s="202"/>
      <c r="E63" s="202"/>
      <c r="F63" s="202"/>
      <c r="G63" s="202"/>
      <c r="H63" s="202"/>
      <c r="I63" s="202"/>
      <c r="J63" s="202"/>
    </row>
    <row r="64" ht="30" customHeight="1">
      <c r="A64" s="197" t="inlineStr">
        <is>
          <t xml:space="preserve">Typical ranges and the published sources behind these costs are on the Typical Values sheet.</t>
        </is>
      </c>
      <c r="B64" s="197"/>
      <c r="C64" s="197"/>
      <c r="D64" s="197"/>
      <c r="E64" s="197"/>
      <c r="F64" s="197"/>
      <c r="G64" s="197"/>
      <c r="H64" s="197"/>
      <c r="I64" s="197"/>
      <c r="J64" s="197"/>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topLeftCell="A51" workbookViewId="0">
      <pane xSplit="0" ySplit="7" topLeftCell="A8" activePane="bottomRight" state="frozen"/>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1" ht="40" customHeight="1">
      <c r="B1" s="119" t="str">
        <f>HYPERLINK("#'General Information'!D9","◄ General Information")</f>
        <v>◄ General Information</v>
      </c>
      <c r="C1" s="120" t="str">
        <f>HYPERLINK("#Summary!G1","Summary")</f>
        <v>Summary</v>
      </c>
    </row>
    <row r="2" ht="20" customHeight="1">
      <c r="C2" s="198" t="inlineStr">
        <is>
          <t xml:space="preserve">MAINTENANCE AND REHABILITATION POLICIES</t>
        </is>
      </c>
    </row>
    <row r="3" ht="36" customHeight="1">
      <c r="C3" s="197" t="inlineStr">
        <is>
          <t xml:space="preserve">Reference: what each alternative type does to the pavement and when. The schedules themselves live in the hidden alternative templates, so editing a number here changes nothing.</t>
        </is>
      </c>
    </row>
    <row r="4" ht="28" customHeight="1">
      <c r="C4" s="197" t="inlineStr">
        <is>
          <t xml:space="preserve">Table 1 drives a New HMA alternative, Table 2 a New PCC alternative, Table 3 an HMA overlay and Table 4 a PCC rehabilitation. Alternative Setup copies the matching template.</t>
        </is>
      </c>
    </row>
    <row r="5" ht="34" customHeight="1">
      <c r="C5" s="197" t="inlineStr">
        <is>
          <t xml:space="preserve">Rate is the share of the quantity the activity covers: 1 means the whole mainline area, the whole markings area or the whole joint length; 0.0075 means three quarters of one percent of it. Year Applied counts years after construction.</t>
        </is>
      </c>
    </row>
    <row r="6" ht="16" customHeight="1">
      <c r="C6" s="197" t="inlineStr">
        <is>
          <t xml:space="preserve">Closure days come from the production rates on Typical Values, not from this sheet.</t>
        </is>
      </c>
    </row>
    <row r="7"/>
    <row r="8" spans="2:5" ht="13.5" thickBot="1" x14ac:dyDescent="0.25">
      <c r="B8" s="198" t="s">
        <v>494</v>
      </c>
    </row>
    <row r="9" ht="20" customHeight="1" spans="2:5" thickTop="1" thickBot="1" x14ac:dyDescent="0.25">
      <c r="B9" s="200" t="s">
        <v>96</v>
      </c>
      <c r="C9" s="200" t="s">
        <v>95</v>
      </c>
      <c r="D9" s="200" t="s">
        <v>106</v>
      </c>
      <c r="E9" s="200"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198" t="s">
        <v>495</v>
      </c>
    </row>
    <row r="36" ht="20" customHeight="1" spans="2:5" thickTop="1" thickBot="1" x14ac:dyDescent="0.25">
      <c r="B36" s="200" t="s">
        <v>105</v>
      </c>
      <c r="C36" s="200" t="s">
        <v>95</v>
      </c>
      <c r="D36" s="200" t="s">
        <v>106</v>
      </c>
      <c r="E36" s="200"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198" t="s">
        <v>496</v>
      </c>
    </row>
    <row r="50" ht="20" customHeight="1" spans="2:5" thickTop="1" thickBot="1" x14ac:dyDescent="0.25">
      <c r="B50" s="200" t="s">
        <v>96</v>
      </c>
      <c r="C50" s="200" t="s">
        <v>95</v>
      </c>
      <c r="D50" s="200" t="s">
        <v>106</v>
      </c>
      <c r="E50" s="200"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198" t="s">
        <v>497</v>
      </c>
    </row>
    <row r="75" ht="20" customHeight="1" spans="2:5" thickTop="1" thickBot="1" x14ac:dyDescent="0.25">
      <c r="B75" s="200" t="s">
        <v>105</v>
      </c>
      <c r="C75" s="200" t="s">
        <v>95</v>
      </c>
      <c r="D75" s="200" t="s">
        <v>106</v>
      </c>
      <c r="E75" s="200"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40" customHeight="1">
      <c r="A3" s="191" t="inlineStr">
        <is>
          <t xml:space="preserve">TEST COPY. This alternative worksheet is normally hidden; it is visible here so the pay item picker can be checked without running Alternative Setup. Click a grey box in column C: the list should show the pay item number and the whole description. Then try Price from in C11. Nothing on this copy feeds a real analysis.</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4"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6" t="n"/>
      <c r="J3" s="127" t="n"/>
      <c r="K3" s="125" t="inlineStr">
        <is>
          <t>MARGIN TO NEXT</t>
        </is>
      </c>
      <c r="L3" s="126" t="n"/>
      <c r="M3" s="126" t="n"/>
      <c r="N3" s="127" t="n"/>
      <c r="O3" s="125" t="inlineStr">
        <is>
          <t>EQUIVALENT ANNUAL COST</t>
        </is>
      </c>
      <c r="P3" s="126" t="n"/>
      <c r="Q3" s="126" t="n"/>
      <c r="R3" s="127" t="n"/>
      <c r="W3" s="122" t="inlineStr">
        <is>
          <t>Present worth by category</t>
        </is>
      </c>
    </row>
    <row r="4" ht="24" customHeight="1">
      <c r="G4" s="128">
        <f>IF(COUNT($O$12:$O$15)=0,"-",TEXT(MIN($O$12:$O$15),"$#,##0"))</f>
        <v/>
      </c>
      <c r="H4" s="129" t="n"/>
      <c r="I4" s="129" t="n"/>
      <c r="J4" s="130" t="n"/>
      <c r="K4" s="128">
        <f>IF(COUNT($O$12:$O$15)&lt;2,"-",TEXT(IF(COUNT($O$12:$O$15)&lt;2,0,SMALL($O$12:$O$15,2)-MIN($O$12:$O$15)),"$#,##0"))</f>
        <v/>
      </c>
      <c r="L4" s="129" t="n"/>
      <c r="M4" s="129" t="n"/>
      <c r="N4" s="130" t="n"/>
      <c r="O4" s="128">
        <f>IF(COUNT($O$12:$O$15)=0,"-",TEXT(MIN($O$12:$O$15)*(('General Information'!$D$34/100)*(1+'General Information'!$D$34/100)^'General Information'!$D$33/((1+'General Information'!$D$34/100)^'General Information'!$D$33-1)),"$#,##0"))</f>
        <v/>
      </c>
      <c r="P4" s="129" t="n"/>
      <c r="Q4" s="129" t="n"/>
      <c r="R4" s="130" t="n"/>
      <c r="W4" s="124" t="inlineStr">
        <is>
          <t>Category</t>
        </is>
      </c>
      <c r="X4" s="124">
        <f>IF($H$12="","",$H$12)</f>
        <v/>
      </c>
      <c r="Y4" s="124">
        <f>IF($H$13="","",$H$13)</f>
        <v/>
      </c>
      <c r="Z4" s="124">
        <f>IF($H$14="","",$H$14)</f>
        <v/>
      </c>
      <c r="AA4" s="124">
        <f>IF($H$15="","",$H$15)</f>
        <v/>
      </c>
    </row>
    <row r="5" ht="15" customHeight="1">
      <c r="G5" s="131">
        <f>IF(COUNT($O$12:$O$15)=0,"No alternatives yet",INDEX($H$12:$H$15,MATCH(MIN($O$12:$O$15),$O$12:$O$15,0))&amp;IF(INDEX($P$93:$P$96,MATCH(MIN($O$12:$O$15),$O$12:$O$15,0))="",""," - "&amp;INDEX($P$93:$P$96,MATCH(MIN($O$12:$O$15),$O$12:$O$15,0))))</f>
        <v/>
      </c>
      <c r="H5" s="132" t="n"/>
      <c r="I5" s="132" t="n"/>
      <c r="J5" s="133" t="n"/>
      <c r="K5" s="131">
        <f>IF(COUNT($O$12:$O$15)&lt;2,"only one alternative so far",TEXT(IF(COUNT($O$12:$O$15)&lt;2,0,SMALL($O$12:$O$15,2)-MIN($O$12:$O$15))/MIN($O$12:$O$15),"0.0%")&amp;IF(IF(COUNT($O$12:$O$15)&lt;2,0,SMALL($O$12:$O$15,2)-MIN($O$12:$O$15))/MIN($O$12:$O$15)&lt;0.05," - under 5%, treat the two as tied"," of the lowest present worth"))</f>
        <v/>
      </c>
      <c r="L5" s="132" t="n"/>
      <c r="M5" s="132" t="n"/>
      <c r="N5" s="133" t="n"/>
      <c r="O5" s="131">
        <f>"per year, "&amp;'General Information'!$D$33&amp;" years at "&amp;'General Information'!$D$34&amp;"%"</f>
        <v/>
      </c>
      <c r="P5" s="132" t="n"/>
      <c r="Q5" s="132" t="n"/>
      <c r="R5" s="133" t="n"/>
      <c r="W5" s="134" t="inlineStr">
        <is>
          <t>Initial construction</t>
        </is>
      </c>
      <c r="X5" s="135">
        <f>IF(J12="",0,J12)</f>
        <v/>
      </c>
      <c r="Y5" s="135">
        <f>IF(J13="",0,J13)</f>
        <v/>
      </c>
      <c r="Z5" s="135">
        <f>IF(J14="",0,J14)</f>
        <v/>
      </c>
      <c r="AA5" s="135">
        <f>IF(J15="",0,J15)</f>
        <v/>
      </c>
    </row>
    <row r="6" ht="6" customHeight="1">
      <c r="W6" s="134" t="inlineStr">
        <is>
          <t>Maintenance</t>
        </is>
      </c>
      <c r="X6" s="135">
        <f>IF(K12="",0,K12)</f>
        <v/>
      </c>
      <c r="Y6" s="135">
        <f>IF(K13="",0,K13)</f>
        <v/>
      </c>
      <c r="Z6" s="135">
        <f>IF(K14="",0,K14)</f>
        <v/>
      </c>
      <c r="AA6" s="135">
        <f>IF(K15="",0,K15)</f>
        <v/>
      </c>
    </row>
    <row r="7" ht="14" customHeight="1">
      <c r="G7" s="125" t="inlineStr">
        <is>
          <t>INITIAL CONSTRUCTION</t>
        </is>
      </c>
      <c r="H7" s="126" t="n"/>
      <c r="I7" s="126" t="n"/>
      <c r="J7" s="127" t="n"/>
      <c r="K7" s="125" t="inlineStr">
        <is>
          <t>UNIT COST</t>
        </is>
      </c>
      <c r="L7" s="126" t="n"/>
      <c r="M7" s="126" t="n"/>
      <c r="N7" s="127" t="n"/>
      <c r="O7" s="125" t="inlineStr">
        <is>
          <t>RATE SENSITIVITY</t>
        </is>
      </c>
      <c r="P7" s="126" t="n"/>
      <c r="Q7" s="126" t="n"/>
      <c r="R7" s="127" t="n"/>
      <c r="W7" s="134" t="inlineStr">
        <is>
          <t>Rehabilitation</t>
        </is>
      </c>
      <c r="X7" s="135">
        <f>IF(L12="",0,L12)</f>
        <v/>
      </c>
      <c r="Y7" s="135">
        <f>IF(L13="",0,L13)</f>
        <v/>
      </c>
      <c r="Z7" s="135">
        <f>IF(L14="",0,L14)</f>
        <v/>
      </c>
      <c r="AA7" s="135">
        <f>IF(L15="",0,L15)</f>
        <v/>
      </c>
    </row>
    <row r="8" ht="24" customHeight="1">
      <c r="G8" s="128">
        <f>IF(COUNT($O$12:$O$15)=0,"-",TEXT(INDEX($J$12:$J$15,MATCH(MIN($O$12:$O$15),$O$12:$O$15,0)),"$#,##0"))</f>
        <v/>
      </c>
      <c r="H8" s="129" t="n"/>
      <c r="I8" s="129" t="n"/>
      <c r="J8" s="130" t="n"/>
      <c r="K8" s="128">
        <f>IF(OR(COUNT($O$12:$O$15)=0,'General Information'!$D$26=0,'General Information'!$D$26=""),"-",TEXT(INDEX($J$12:$J$15,MATCH(MIN($O$12:$O$15),$O$12:$O$15,0))/'General Information'!$D$26,"$#,##0")&amp;" / S.Y.")</f>
        <v/>
      </c>
      <c r="L8" s="129" t="n"/>
      <c r="M8" s="129" t="n"/>
      <c r="N8" s="130" t="n"/>
      <c r="O8" s="128">
        <f>IF(COUNT($O$12:$O$15)&lt;2,"-",IF(COUNTIF($AB$12:$AB$36,INDEX($H$12:$H$15,MATCH(MIN($O$12:$O$15),$O$12:$O$15,0)))=25,"holds 2-8%","the winner changes"))</f>
        <v/>
      </c>
      <c r="P8" s="129" t="n"/>
      <c r="Q8" s="129" t="n"/>
      <c r="R8" s="130" t="n"/>
      <c r="W8" s="134" t="inlineStr">
        <is>
          <t>Lost revenue</t>
        </is>
      </c>
      <c r="X8" s="135">
        <f>IF(M12="",0,M12)</f>
        <v/>
      </c>
      <c r="Y8" s="135">
        <f>IF(M13="",0,M13)</f>
        <v/>
      </c>
      <c r="Z8" s="135">
        <f>IF(M14="",0,M14)</f>
        <v/>
      </c>
      <c r="AA8" s="135">
        <f>IF(M15="",0,M15)</f>
        <v/>
      </c>
    </row>
    <row r="9" ht="15" customHeight="1">
      <c r="G9" s="131">
        <f>"of the lowest-cost alternative, including "&amp;'General Information'!$D$36&amp;"% mobilization and "&amp;'General Information'!$D$37&amp;"% engineering"</f>
        <v/>
      </c>
      <c r="H9" s="132" t="n"/>
      <c r="I9" s="132" t="n"/>
      <c r="J9" s="133" t="n"/>
      <c r="K9" s="131">
        <f>"initial construction over the mainline area; see the benchmark under chart 5"</f>
        <v/>
      </c>
      <c r="L9" s="132" t="n"/>
      <c r="M9" s="132" t="n"/>
      <c r="N9" s="133" t="n"/>
      <c r="O9" s="131">
        <f>IF(COUNT($O$12:$O$15)&lt;2,"needs two alternatives",IF(COUNTIF($AB$12:$AB$36,INDEX($H$12:$H$15,MATCH(MIN($O$12:$O$15),$O$12:$O$15,0)))=25,"the same alternative is lowest at all 25 rates tested, 2% to 8%","the lowest-cost alternative is not the same at every rate: see chart 2"))</f>
        <v/>
      </c>
      <c r="P9" s="132" t="n"/>
      <c r="Q9" s="132" t="n"/>
      <c r="R9" s="133" t="n"/>
      <c r="W9" s="134" t="inlineStr">
        <is>
          <t>Salvage</t>
        </is>
      </c>
      <c r="X9" s="135">
        <f>IF(N12="",0,N12)</f>
        <v/>
      </c>
      <c r="Y9" s="135">
        <f>IF(N13="",0,N13)</f>
        <v/>
      </c>
      <c r="Z9" s="135">
        <f>IF(N14="",0,N14)</f>
        <v/>
      </c>
      <c r="AA9" s="135">
        <f>IF(N15="",0,N15)</f>
        <v/>
      </c>
    </row>
    <row r="10" ht="13" customHeight="1">
      <c r="G10" s="136" t="inlineStr">
        <is>
          <t>STEP 5 of 5: the comparison. 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IF($G$12="","",IF(SUMIFS(INDIRECT("'"&amp;$G$12&amp;"'!$E$13:$E$22"),INDIRECT("'"&amp;$G$12&amp;"'!$D$13:$D$22"),"TON")&gt;0,SUMIFS(INDIRECT("'"&amp;$G$12&amp;"'!$E$13:$E$22"),INDIRECT("'"&amp;$G$12&amp;"'!$D$13:$D$22"),"TON")*2666.6667/($J$91*'General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G$12="","",36*(SUMIFS(INDIRECT("'"&amp;$G$12&amp;"'!$E$13:$E$22"),INDIRECT("'"&amp;$G$12&amp;"'!$D$13:$D$22"),"C.Y.",INDIRECT("'"&amp;$G$12&amp;"'!$B$13:$B$22"),"P-2*")+SUMIFS(INDIRECT("'"&amp;$G$12&amp;"'!$E$13:$E$22"),INDIRECT("'"&amp;$G$12&amp;"'!$D$13:$D$22"),"C.Y.",INDIRECT("'"&amp;$G$12&amp;"'!$B$13:$B$22"),"P-3*"))/'General Information'!$D$26)</f>
        <v/>
      </c>
      <c r="J93" s="155">
        <f>IF($G$12="","",36*SUMIFS(INDIRECT("'"&amp;$G$12&amp;"'!$E$13:$E$22"),INDIRECT("'"&amp;$G$12&amp;"'!$D$13:$D$22"),"C.Y.",INDIRECT("'"&amp;$G$12&amp;"'!$B$13:$B$22"),"P-154*")/'General Information'!$D$26)</f>
        <v/>
      </c>
      <c r="K93" s="155">
        <f>IF($G$12="","",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IF($G$12="","",H93+I93+J93)</f>
        <v/>
      </c>
      <c r="M93" s="155">
        <f>IF($G$12="","",36*SUMIFS(INDIRECT("'"&amp;$G$12&amp;"'!$E$13:$E$22"),INDIRECT("'"&amp;$G$12&amp;"'!$D$13:$D$22"),"C.Y.",INDIRECT("'"&amp;$G$12&amp;"'!$B$13:$B$22"),"P-152*")/'General Information'!$D$26)</f>
        <v/>
      </c>
      <c r="N93" s="137">
        <f>IF($G$12="","",IF(M93=0,"no excavation item",IF(ABS(M93-L93)&lt;=0.5,"agrees","differs by "&amp;TEXT(M93-L93,"0.0")&amp;" in")))</f>
        <v/>
      </c>
      <c r="P93" s="137">
        <f>IF($G$12="","",TEXT(H93,"0")&amp;"""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IF(OR($G$12="",'General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IF($G$13="","",IF(SUMIFS(INDIRECT("'"&amp;$G$13&amp;"'!$E$13:$E$22"),INDIRECT("'"&amp;$G$13&amp;"'!$D$13:$D$22"),"TON")&gt;0,SUMIFS(INDIRECT("'"&amp;$G$13&amp;"'!$E$13:$E$22"),INDIRECT("'"&amp;$G$13&amp;"'!$D$13:$D$22"),"TON")*2666.6667/($J$91*'General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G$13="","",36*(SUMIFS(INDIRECT("'"&amp;$G$13&amp;"'!$E$13:$E$22"),INDIRECT("'"&amp;$G$13&amp;"'!$D$13:$D$22"),"C.Y.",INDIRECT("'"&amp;$G$13&amp;"'!$B$13:$B$22"),"P-2*")+SUMIFS(INDIRECT("'"&amp;$G$13&amp;"'!$E$13:$E$22"),INDIRECT("'"&amp;$G$13&amp;"'!$D$13:$D$22"),"C.Y.",INDIRECT("'"&amp;$G$13&amp;"'!$B$13:$B$22"),"P-3*"))/'General Information'!$D$26)</f>
        <v/>
      </c>
      <c r="J94" s="155">
        <f>IF($G$13="","",36*SUMIFS(INDIRECT("'"&amp;$G$13&amp;"'!$E$13:$E$22"),INDIRECT("'"&amp;$G$13&amp;"'!$D$13:$D$22"),"C.Y.",INDIRECT("'"&amp;$G$13&amp;"'!$B$13:$B$22"),"P-154*")/'General Information'!$D$26)</f>
        <v/>
      </c>
      <c r="K94" s="155">
        <f>IF($G$13="","",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IF($G$13="","",H94+I94+J94)</f>
        <v/>
      </c>
      <c r="M94" s="155">
        <f>IF($G$13="","",36*SUMIFS(INDIRECT("'"&amp;$G$13&amp;"'!$E$13:$E$22"),INDIRECT("'"&amp;$G$13&amp;"'!$D$13:$D$22"),"C.Y.",INDIRECT("'"&amp;$G$13&amp;"'!$B$13:$B$22"),"P-152*")/'General Information'!$D$26)</f>
        <v/>
      </c>
      <c r="N94" s="137">
        <f>IF($G$13="","",IF(M94=0,"no excavation item",IF(ABS(M94-L94)&lt;=0.5,"agrees","differs by "&amp;TEXT(M94-L94,"0.0")&amp;" in")))</f>
        <v/>
      </c>
      <c r="P94" s="137">
        <f>IF($G$13="","",TEXT(H94,"0")&amp;"""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IF(OR($G$13="",'General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IF($G$14="","",IF(SUMIFS(INDIRECT("'"&amp;$G$14&amp;"'!$E$13:$E$22"),INDIRECT("'"&amp;$G$14&amp;"'!$D$13:$D$22"),"TON")&gt;0,SUMIFS(INDIRECT("'"&amp;$G$14&amp;"'!$E$13:$E$22"),INDIRECT("'"&amp;$G$14&amp;"'!$D$13:$D$22"),"TON")*2666.6667/($J$91*'General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G$14="","",36*(SUMIFS(INDIRECT("'"&amp;$G$14&amp;"'!$E$13:$E$22"),INDIRECT("'"&amp;$G$14&amp;"'!$D$13:$D$22"),"C.Y.",INDIRECT("'"&amp;$G$14&amp;"'!$B$13:$B$22"),"P-2*")+SUMIFS(INDIRECT("'"&amp;$G$14&amp;"'!$E$13:$E$22"),INDIRECT("'"&amp;$G$14&amp;"'!$D$13:$D$22"),"C.Y.",INDIRECT("'"&amp;$G$14&amp;"'!$B$13:$B$22"),"P-3*"))/'General Information'!$D$26)</f>
        <v/>
      </c>
      <c r="J95" s="155">
        <f>IF($G$14="","",36*SUMIFS(INDIRECT("'"&amp;$G$14&amp;"'!$E$13:$E$22"),INDIRECT("'"&amp;$G$14&amp;"'!$D$13:$D$22"),"C.Y.",INDIRECT("'"&amp;$G$14&amp;"'!$B$13:$B$22"),"P-154*")/'General Information'!$D$26)</f>
        <v/>
      </c>
      <c r="K95" s="155">
        <f>IF($G$14="","",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IF($G$14="","",H95+I95+J95)</f>
        <v/>
      </c>
      <c r="M95" s="155">
        <f>IF($G$14="","",36*SUMIFS(INDIRECT("'"&amp;$G$14&amp;"'!$E$13:$E$22"),INDIRECT("'"&amp;$G$14&amp;"'!$D$13:$D$22"),"C.Y.",INDIRECT("'"&amp;$G$14&amp;"'!$B$13:$B$22"),"P-152*")/'General Information'!$D$26)</f>
        <v/>
      </c>
      <c r="N95" s="137">
        <f>IF($G$14="","",IF(M95=0,"no excavation item",IF(ABS(M95-L95)&lt;=0.5,"agrees","differs by "&amp;TEXT(M95-L95,"0.0")&amp;" in")))</f>
        <v/>
      </c>
      <c r="P95" s="137">
        <f>IF($G$14="","",TEXT(H95,"0")&amp;"""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IF(OR($G$14="",'General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IF($G$15="","",IF(SUMIFS(INDIRECT("'"&amp;$G$15&amp;"'!$E$13:$E$22"),INDIRECT("'"&amp;$G$15&amp;"'!$D$13:$D$22"),"TON")&gt;0,SUMIFS(INDIRECT("'"&amp;$G$15&amp;"'!$E$13:$E$22"),INDIRECT("'"&amp;$G$15&amp;"'!$D$13:$D$22"),"TON")*2666.6667/($J$91*'General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G$15="","",36*(SUMIFS(INDIRECT("'"&amp;$G$15&amp;"'!$E$13:$E$22"),INDIRECT("'"&amp;$G$15&amp;"'!$D$13:$D$22"),"C.Y.",INDIRECT("'"&amp;$G$15&amp;"'!$B$13:$B$22"),"P-2*")+SUMIFS(INDIRECT("'"&amp;$G$15&amp;"'!$E$13:$E$22"),INDIRECT("'"&amp;$G$15&amp;"'!$D$13:$D$22"),"C.Y.",INDIRECT("'"&amp;$G$15&amp;"'!$B$13:$B$22"),"P-3*"))/'General Information'!$D$26)</f>
        <v/>
      </c>
      <c r="J96" s="155">
        <f>IF($G$15="","",36*SUMIFS(INDIRECT("'"&amp;$G$15&amp;"'!$E$13:$E$22"),INDIRECT("'"&amp;$G$15&amp;"'!$D$13:$D$22"),"C.Y.",INDIRECT("'"&amp;$G$15&amp;"'!$B$13:$B$22"),"P-154*")/'General Information'!$D$26)</f>
        <v/>
      </c>
      <c r="K96" s="155">
        <f>IF($G$15="","",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IF($G$15="","",H96+I96+J96)</f>
        <v/>
      </c>
      <c r="M96" s="155">
        <f>IF($G$15="","",36*SUMIFS(INDIRECT("'"&amp;$G$15&amp;"'!$E$13:$E$22"),INDIRECT("'"&amp;$G$15&amp;"'!$D$13:$D$22"),"C.Y.",INDIRECT("'"&amp;$G$15&amp;"'!$B$13:$B$22"),"P-152*")/'General Information'!$D$26)</f>
        <v/>
      </c>
      <c r="N96" s="137">
        <f>IF($G$15="","",IF(M96=0,"no excavation item",IF(ABS(M96-L96)&lt;=0.5,"agrees","differs by "&amp;TEXT(M96-L96,"0.0")&amp;" in")))</f>
        <v/>
      </c>
      <c r="P96" s="137">
        <f>IF($G$15="","",TEXT(H96,"0")&amp;"""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IF(OR($G$15="",'General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O8:R8"/>
    <mergeCell ref="G4:J4"/>
    <mergeCell ref="S30:V30"/>
    <mergeCell ref="S29:V29"/>
    <mergeCell ref="K7:N7"/>
    <mergeCell ref="K4:N4"/>
    <mergeCell ref="G9:J9"/>
    <mergeCell ref="K3:N3"/>
    <mergeCell ref="O7:R7"/>
    <mergeCell ref="O3:R3"/>
    <mergeCell ref="K9:N9"/>
    <mergeCell ref="K5:N5"/>
    <mergeCell ref="O9:R9"/>
    <mergeCell ref="G8:J8"/>
    <mergeCell ref="G7:J7"/>
    <mergeCell ref="O5:R5"/>
    <mergeCell ref="S28:V28"/>
    <mergeCell ref="O4:R4"/>
    <mergeCell ref="G3:J3"/>
    <mergeCell ref="K8:N8"/>
    <mergeCell ref="G5:J5"/>
  </mergeCells>
  <conditionalFormatting sqref="O12:O15">
    <cfRule type="dataBar" priority="1">
      <dataBar showValue="1">
        <cfvo type="num" val="0"/>
        <cfvo type="max"/>
        <color rgb="FFBBD4EE"/>
      </dataBar>
    </cfRule>
  </conditionalFormatting>
  <conditionalFormatting sqref="K3:N5">
    <cfRule type="expression" priority="2" dxfId="27" stopIfTrue="0">
      <formula>AND(COUNT($O$12:$O$15)&gt;1,(SMALL($O$12:$O$15,2)-MIN($O$12:$O$15))/MIN($O$12:$O$15)&lt;0.05)</formula>
    </cfRule>
  </conditionalFormatting>
  <conditionalFormatting sqref="O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live from Maintenance Policies D32 (policy: 2 of 16 years remaining; Table 1 overlays at year 20, which would leave 6 of 16)</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live from Maintenance Policies D46 (policy: 10 of 40 years remaining)</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the two fractions above are the workbook's own and are the decision flagged in the change notes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2"/>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New HMA</t>
        </is>
      </c>
      <c r="B60" s="180" t="inlineStr">
        <is>
          <t>Alt sheet D51</t>
        </is>
      </c>
      <c r="C60" s="181" t="inlineStr">
        <is>
          <t>=-'Maintenance Policies'!D32*AV22</t>
        </is>
      </c>
      <c r="D60" s="180" t="inlineStr">
        <is>
          <t>12.5 percent of the mill-and-overlay cost, credited at the end of the analysis period. The policy sheet describes it as two years of remaining life on a 16-year overlay.</t>
        </is>
      </c>
      <c r="E60" s="180" t="inlineStr">
        <is>
          <t>Maintenance Policies row 32</t>
        </is>
      </c>
    </row>
    <row r="61">
      <c r="A61" s="180" t="inlineStr">
        <is>
          <t>New PCC</t>
        </is>
      </c>
      <c r="B61" s="180" t="inlineStr">
        <is>
          <t>Alt sheet D42</t>
        </is>
      </c>
      <c r="C61" s="181" t="inlineStr">
        <is>
          <t>=-'Maintenance Policies'!D46*G27</t>
        </is>
      </c>
      <c r="D61" s="180" t="inlineStr">
        <is>
          <t>25 percent of the whole initial construction cost, credited at the end of the analysis period. The policy sheet describes it as ten years of remaining life.</t>
        </is>
      </c>
      <c r="E61" s="180" t="inlineStr">
        <is>
          <t>Maintenance Policies row 46</t>
        </is>
      </c>
    </row>
    <row r="62">
      <c r="A62" s="180" t="inlineStr">
        <is>
          <t>When it is credited</t>
        </is>
      </c>
      <c r="B62" s="180" t="inlineStr">
        <is>
          <t>Alt sheet C51 (HMA), C42 (PCC)</t>
        </is>
      </c>
      <c r="C62" s="181" t="inlineStr">
        <is>
          <t>='General Information'!D33</t>
        </is>
      </c>
      <c r="D62" s="180" t="inlineStr">
        <is>
          <t>Always at the last year of the analysis period, so it is discounted the hardest of any line.</t>
        </is>
      </c>
      <c r="E62" s="180" t="inlineStr">
        <is>
          <t>General Information D33</t>
        </is>
      </c>
    </row>
    <row r="63" ht="26" customHeight="1">
      <c r="A63" s="176" t="inlineStr">
        <is>
          <t>The two rules are not symmetric: concrete recovers a share of everything spent up front, asphalt a share of one rehabilitation. See section 11.</t>
        </is>
      </c>
    </row>
    <row r="65">
      <c r="A65" s="177" t="inlineStr">
        <is>
          <t>8. Step 7: discounting and the total</t>
        </is>
      </c>
      <c r="B65" s="178" t="n"/>
      <c r="C65" s="178" t="n"/>
      <c r="D65" s="178" t="n"/>
      <c r="E65" s="178" t="n"/>
    </row>
    <row r="66">
      <c r="A66" s="179" t="inlineStr">
        <is>
          <t>Step / quantity</t>
        </is>
      </c>
      <c r="B66" s="179" t="inlineStr">
        <is>
          <t>Where it lives</t>
        </is>
      </c>
      <c r="C66" s="179" t="inlineStr">
        <is>
          <t>Formula as it stands</t>
        </is>
      </c>
      <c r="D66" s="179" t="inlineStr">
        <is>
          <t>What it means</t>
        </is>
      </c>
      <c r="E66" s="179" t="inlineStr">
        <is>
          <t>Source of the rule</t>
        </is>
      </c>
    </row>
    <row r="67">
      <c r="A67" s="180" t="inlineStr">
        <is>
          <t>Present worth of one event</t>
        </is>
      </c>
      <c r="B67" s="180" t="inlineStr">
        <is>
          <t>Alt sheet column E</t>
        </is>
      </c>
      <c r="C67" s="181" t="inlineStr">
        <is>
          <t>=IF(C37&gt;'General Information'!$D$33,0,D37/(1+('General Information'!$D$34/100))^C37)</t>
        </is>
      </c>
      <c r="D67" s="180" t="inlineStr">
        <is>
          <t>Cost divided by (1 + rate) raised to the number of years after construction. Constant-dollar costs with a real discount rate: no inflation is added anywhere in the workbook.</t>
        </is>
      </c>
      <c r="E67" s="180" t="inlineStr">
        <is>
          <t>General Information D33, D34</t>
        </is>
      </c>
    </row>
    <row r="68">
      <c r="A68" s="180" t="inlineStr">
        <is>
          <t>Discount rate</t>
        </is>
      </c>
      <c r="B68" s="180" t="inlineStr">
        <is>
          <t>General Information D34</t>
        </is>
      </c>
      <c r="C68" s="181" t="inlineStr"/>
      <c r="D68" s="180" t="inlineStr">
        <is>
          <t>TDOT uses 3 percent. FAA PGL 22-01 (June 2022) replaced the fixed 7 percent with the OMB Circular A-94 Appendix C real rate, 2.0 percent for 2026. Chart 2 on the Summary shows the answer from 2 to 8 percent.</t>
        </is>
      </c>
      <c r="E68" s="180" t="inlineStr">
        <is>
          <t>TDOT policy; FAA PGL 22-01; OMB A-94</t>
        </is>
      </c>
    </row>
    <row r="69">
      <c r="A69" s="180" t="inlineStr">
        <is>
          <t>Analysis period</t>
        </is>
      </c>
      <c r="B69" s="180" t="inlineStr">
        <is>
          <t>General Information D33</t>
        </is>
      </c>
      <c r="C69" s="181" t="inlineStr"/>
      <c r="D69" s="180" t="inlineStr">
        <is>
          <t>TDOT uses 30 years. FAA leaves the period to the engineer. Events beyond it are dropped, salvage moves with it.</t>
        </is>
      </c>
      <c r="E69" s="180" t="inlineStr">
        <is>
          <t>TDOT policy</t>
        </is>
      </c>
    </row>
    <row r="70">
      <c r="A70" s="180" t="inlineStr">
        <is>
          <t>Net present worth</t>
        </is>
      </c>
      <c r="B70" s="180" t="inlineStr">
        <is>
          <t>Alt sheet E52 (HMA), E43 (PCC)</t>
        </is>
      </c>
      <c r="C70" s="181" t="inlineStr">
        <is>
          <t>=SUM(E36:E51)</t>
        </is>
      </c>
      <c r="D70" s="180" t="inlineStr">
        <is>
          <t>The sum of the discounted column, initial construction included.</t>
        </is>
      </c>
      <c r="E70" s="180" t="inlineStr">
        <is>
          <t>Alternative worksheet</t>
        </is>
      </c>
    </row>
    <row r="72">
      <c r="A72" s="177" t="inlineStr">
        <is>
          <t>9. What the Summary adds on top</t>
        </is>
      </c>
      <c r="B72" s="178" t="n"/>
      <c r="C72" s="178" t="n"/>
      <c r="D72" s="178" t="n"/>
      <c r="E72" s="178" t="n"/>
    </row>
    <row r="73">
      <c r="A73" s="179" t="inlineStr">
        <is>
          <t>Step / quantity</t>
        </is>
      </c>
      <c r="B73" s="179" t="inlineStr">
        <is>
          <t>Where it lives</t>
        </is>
      </c>
      <c r="C73" s="179" t="inlineStr">
        <is>
          <t>Formula as it stands</t>
        </is>
      </c>
      <c r="D73" s="179" t="inlineStr">
        <is>
          <t>What it means</t>
        </is>
      </c>
      <c r="E73" s="179" t="inlineStr">
        <is>
          <t>Source of the rule</t>
        </is>
      </c>
    </row>
    <row r="74">
      <c r="A74" s="180" t="inlineStr">
        <is>
          <t>Results table</t>
        </is>
      </c>
      <c r="B74" s="180" t="inlineStr">
        <is>
          <t>Summary G3:R7</t>
        </is>
      </c>
      <c r="C74" s="181" t="inlineStr">
        <is>
          <t>=IFERROR(SUMIFS(INDIRECT("'"&amp;$G4&amp;"'!$E$37:$E$52"),...),0)</t>
        </is>
      </c>
      <c r="D74"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4" s="180" t="inlineStr">
        <is>
          <t>Summary, v1.2.0</t>
        </is>
      </c>
    </row>
    <row r="75">
      <c r="A75" s="180" t="inlineStr">
        <is>
          <t>Which alternatives exist</t>
        </is>
      </c>
      <c r="B75" s="180" t="inlineStr">
        <is>
          <t>Summary G4:I7</t>
        </is>
      </c>
      <c r="C75" s="181" t="inlineStr">
        <is>
          <t>=INDEX(Database!$D:$D,4)</t>
        </is>
      </c>
      <c r="D75" s="180" t="inlineStr">
        <is>
          <t>Names and worksheet names come from the hidden Database sheet that the Alternative Setup form writes. INDEX on whole columns survives the row deletion the form performs when an alternative is removed.</t>
        </is>
      </c>
      <c r="E75" s="180" t="inlineStr">
        <is>
          <t>Database (hidden)</t>
        </is>
      </c>
    </row>
    <row r="76">
      <c r="A76" s="180" t="inlineStr">
        <is>
          <t>Verdict</t>
        </is>
      </c>
      <c r="B76" s="180" t="inlineStr">
        <is>
          <t>Summary G9, G10</t>
        </is>
      </c>
      <c r="C76" s="181" t="inlineStr"/>
      <c r="D76" s="180" t="inlineStr">
        <is>
          <t>Names the lowest-NPW alternative, the margin to the next, the rate and period, and whether the same alternative still wins at 2 and at 7 percent.</t>
        </is>
      </c>
      <c r="E76" s="180" t="inlineStr">
        <is>
          <t>Summary, v1.2.0</t>
        </is>
      </c>
    </row>
    <row r="77">
      <c r="A77" s="180" t="inlineStr">
        <is>
          <t>Comparison block (RealCost layout)</t>
        </is>
      </c>
      <c r="B77" s="180" t="inlineStr">
        <is>
          <t>Summary G13:O17</t>
        </is>
      </c>
      <c r="C77" s="181" t="inlineStr">
        <is>
          <t>=H14*(('General Information'!$D$34/100)*(1+'General Information'!$D$34/100)^'General Information'!$D$33)/((1+'General Information'!$D$34/100)^'General Information'!$D$33-1)</t>
        </is>
      </c>
      <c r="D77" s="180" t="inlineStr">
        <is>
          <t>Agency cost (initial + maintenance + rehabilitation + salvage) and user cost (lost revenue) as present worth and as equivalent uniform annual cost. EUAC = PW x capital recovery factor.</t>
        </is>
      </c>
      <c r="E77" s="180" t="inlineStr">
        <is>
          <t>Caltrans / FHWA RealCost layout</t>
        </is>
      </c>
    </row>
    <row r="78">
      <c r="A78" s="180" t="inlineStr">
        <is>
          <t>Sensitivity to the discount rate</t>
        </is>
      </c>
      <c r="B78" s="180" t="inlineStr">
        <is>
          <t>Summary W10:AA36, chart 2</t>
        </is>
      </c>
      <c r="C78" s="181" t="inlineStr">
        <is>
          <t>=SUMPRODUCT((year&lt;=period)*cost/(1+r)^year)</t>
        </is>
      </c>
      <c r="D78" s="180" t="inlineStr">
        <is>
          <t>Recomputes every alternative at 25 rates from 2 to 8 percent without touching the alternative sheets.</t>
        </is>
      </c>
      <c r="E78" s="180" t="inlineStr">
        <is>
          <t>Summary, v1.2.0</t>
        </is>
      </c>
    </row>
    <row r="79">
      <c r="A79" s="180" t="inlineStr">
        <is>
          <t>By calendar year</t>
        </is>
      </c>
      <c r="B79" s="180" t="inlineStr">
        <is>
          <t>Summary W39:AJ71, charts 3, 4 and 5</t>
        </is>
      </c>
      <c r="C79" s="181" t="inlineStr">
        <is>
          <t>=SUMIF(year applied, ...)</t>
        </is>
      </c>
      <c r="D79" s="180" t="inlineStr">
        <is>
          <t>Spend by year undiscounted, cumulative discounted cost (the payback crossing) and closure days by year.</t>
        </is>
      </c>
      <c r="E79" s="180" t="inlineStr">
        <is>
          <t>Summary, v1.2.0</t>
        </is>
      </c>
    </row>
    <row r="80">
      <c r="A80" s="180" t="inlineStr">
        <is>
          <t>Pavement section read-back</t>
        </is>
      </c>
      <c r="B80" s="180" t="inlineStr">
        <is>
          <t>Summary G80:Q86, charts 6 and 7</t>
        </is>
      </c>
      <c r="C80" s="181" t="inlineStr">
        <is>
          <t>=36*C.Y./mainline S.Y. ; =2666.6667*tons/(pcf*mainline S.Y.)</t>
        </is>
      </c>
      <c r="D80" s="180" t="inlineStr">
        <is>
          <t>Derives each layer thickness from the quantities already entered, totals the section, cross-checks it against the excavation quantity and writes the section out as a string for the alternative description. Display only.</t>
        </is>
      </c>
      <c r="E80" s="180" t="inlineStr">
        <is>
          <t>Summary, v1.2.0</t>
        </is>
      </c>
    </row>
    <row r="82">
      <c r="A82" s="177" t="inlineStr">
        <is>
          <t>10. Current settings in this file (live)</t>
        </is>
      </c>
      <c r="B82" s="178" t="n"/>
      <c r="C82" s="178" t="n"/>
      <c r="D82" s="178" t="n"/>
      <c r="E82" s="178" t="n"/>
    </row>
    <row r="83">
      <c r="A83" s="179" t="inlineStr">
        <is>
          <t>Step / quantity</t>
        </is>
      </c>
      <c r="B83" s="179" t="inlineStr">
        <is>
          <t>Where it lives</t>
        </is>
      </c>
      <c r="C83" s="179" t="inlineStr">
        <is>
          <t>Formula as it stands</t>
        </is>
      </c>
      <c r="D83" s="179" t="inlineStr">
        <is>
          <t>What it means</t>
        </is>
      </c>
      <c r="E83" s="179" t="inlineStr">
        <is>
          <t>Source of the rule</t>
        </is>
      </c>
    </row>
    <row r="84">
      <c r="A84" s="180" t="inlineStr">
        <is>
          <t>Analysis period, years</t>
        </is>
      </c>
      <c r="B84" s="180" t="inlineStr">
        <is>
          <t>General Information D33</t>
        </is>
      </c>
      <c r="C84" s="182">
        <f>'General Information'!$D$33</f>
        <v/>
      </c>
      <c r="D84" s="180" t="inlineStr">
        <is>
          <t>The period every alternative is measured over.</t>
        </is>
      </c>
      <c r="E84" s="180" t="inlineStr"/>
    </row>
    <row r="85">
      <c r="A85" s="180" t="inlineStr">
        <is>
          <t>Discount rate, percent</t>
        </is>
      </c>
      <c r="B85" s="180" t="inlineStr">
        <is>
          <t>General Information D34</t>
        </is>
      </c>
      <c r="C85" s="183">
        <f>'General Information'!$D$34</f>
        <v/>
      </c>
      <c r="D85" s="180" t="inlineStr">
        <is>
          <t>The real rate used for every present worth above.</t>
        </is>
      </c>
      <c r="E85" s="180" t="inlineStr"/>
    </row>
    <row r="86">
      <c r="A86" s="180" t="inlineStr">
        <is>
          <t>Capital recovery factor</t>
        </is>
      </c>
      <c r="B86" s="180" t="inlineStr">
        <is>
          <t>computed here</t>
        </is>
      </c>
      <c r="C86" s="184">
        <f>IF('General Information'!$D$34=0,0,('General Information'!$D$34/100)*(1+'General Information'!$D$34/100)^'General Information'!$D$33/((1+'General Information'!$D$34/100)^'General Information'!$D$33-1))</f>
        <v/>
      </c>
      <c r="D86" s="180" t="inlineStr">
        <is>
          <t>Multiply any present worth by this to get the equivalent uniform annual cost.</t>
        </is>
      </c>
      <c r="E86" s="180" t="inlineStr"/>
    </row>
    <row r="87">
      <c r="A87" s="180" t="inlineStr">
        <is>
          <t>Present worth of $1 spent at year 20</t>
        </is>
      </c>
      <c r="B87" s="180" t="inlineStr">
        <is>
          <t>computed here</t>
        </is>
      </c>
      <c r="C87" s="184">
        <f>1/(1+'General Information'!$D$34/100)^20</f>
        <v/>
      </c>
      <c r="D87" s="180" t="inlineStr">
        <is>
          <t>What a dollar of rehabilitation at year 20 is worth today at the current rate.</t>
        </is>
      </c>
      <c r="E87" s="180" t="inlineStr"/>
    </row>
    <row r="88">
      <c r="A88" s="180" t="inlineStr">
        <is>
          <t>Lost revenue counted</t>
        </is>
      </c>
      <c r="B88" s="180" t="inlineStr">
        <is>
          <t>General Information D38</t>
        </is>
      </c>
      <c r="C88" s="181">
        <f>'General Information'!$D$38</f>
        <v/>
      </c>
      <c r="D88" s="180" t="inlineStr">
        <is>
          <t>Yes adds the closure cost rows.</t>
        </is>
      </c>
      <c r="E88" s="180" t="inlineStr"/>
    </row>
    <row r="89">
      <c r="A89" s="180" t="inlineStr">
        <is>
          <t>Alternatives registered</t>
        </is>
      </c>
      <c r="B89" s="180" t="inlineStr">
        <is>
          <t>Database A4:A7</t>
        </is>
      </c>
      <c r="C89" s="182">
        <f>COUNTA(Database!$A$4:$A$7)</f>
        <v/>
      </c>
      <c r="D89" s="180" t="inlineStr">
        <is>
          <t>How many alternatives the form has created.</t>
        </is>
      </c>
      <c r="E89" s="180" t="inlineStr"/>
    </row>
    <row r="90" ht="26" customHeight="1">
      <c r="A90" s="176" t="inlineStr">
        <is>
          <t>These cells read the workbook as it stands right now, so they change with the inputs.</t>
        </is>
      </c>
    </row>
    <row r="92">
      <c r="A92" s="177" t="inlineStr">
        <is>
          <t>11. Assumptions and policy choices worth knowing</t>
        </is>
      </c>
      <c r="B92" s="178" t="n"/>
      <c r="C92" s="178" t="n"/>
      <c r="D92" s="178" t="n"/>
      <c r="E92" s="178" t="n"/>
    </row>
    <row r="93">
      <c r="A93" s="179" t="inlineStr">
        <is>
          <t>Step / quantity</t>
        </is>
      </c>
      <c r="B93" s="179" t="inlineStr">
        <is>
          <t>Where it lives</t>
        </is>
      </c>
      <c r="C93" s="179" t="inlineStr">
        <is>
          <t>Formula as it stands</t>
        </is>
      </c>
      <c r="D93" s="179" t="inlineStr">
        <is>
          <t>What it means</t>
        </is>
      </c>
      <c r="E93" s="179" t="inlineStr">
        <is>
          <t>Source of the rule</t>
        </is>
      </c>
    </row>
    <row r="94">
      <c r="A94" s="185" t="inlineStr">
        <is>
          <t>Engineering on initial construction</t>
        </is>
      </c>
      <c r="B94" s="180" t="inlineStr">
        <is>
          <t>Alt sheet G26</t>
        </is>
      </c>
      <c r="C94" s="181" t="inlineStr"/>
      <c r="D94" s="180" t="inlineStr">
        <is>
          <t>v1.2.0 charges engineering on initial construction as well as on later work. It raises every initial cost by the engineering percentage against v1.1.2 results, and it affects PCC more than HMA because PCC salvage is a share of initial cost.</t>
        </is>
      </c>
      <c r="E94" s="180" t="inlineStr">
        <is>
          <t>v1.2.0 fix 2</t>
        </is>
      </c>
    </row>
    <row r="95">
      <c r="A95" s="185" t="inlineStr">
        <is>
          <t>Salvage is not symmetric</t>
        </is>
      </c>
      <c r="B95" s="180" t="inlineStr">
        <is>
          <t>Maintenance Policies D32 and D46</t>
        </is>
      </c>
      <c r="C95" s="181" t="inlineStr"/>
      <c r="D95" s="180"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 The method is the remaining-life rule in AAPTP 06-06 and FAA guidance; the two fractions are this workbook's own. PCC checks out: 10 of 40 years left at year 30 is 25 percent. HMA does not. Table 1 places the mill and overlay at year 20, so a 16-year overlay life leaves 6 of 16 years at year 30, which is 37.5 percent, not 12.5. Two of 16 is what an overlay placed at year 16 would leave, the rehab year in Table 3.</t>
        </is>
      </c>
      <c r="E95" s="180" t="inlineStr">
        <is>
          <t>Pre-existing policy; flagged for decision</t>
        </is>
      </c>
    </row>
    <row r="96">
      <c r="A96" s="185" t="inlineStr">
        <is>
          <t>Lost revenue is gross revenue</t>
        </is>
      </c>
      <c r="B96" s="180" t="inlineStr">
        <is>
          <t>RevenueData; Alt sheet F2</t>
        </is>
      </c>
      <c r="C96" s="181" t="inlineStr"/>
      <c r="D96" s="180" t="inlineStr">
        <is>
          <t>The whole of the airport's fuel, tenant and other revenue is treated as lost for every closure day. A percentage lost by category would be more defensible.</t>
        </is>
      </c>
      <c r="E96" s="180" t="inlineStr">
        <is>
          <t>Pre-existing; flagged for decision</t>
        </is>
      </c>
    </row>
    <row r="97">
      <c r="A97" s="185" t="inlineStr">
        <is>
          <t>PCC joint length is estimated two ways</t>
        </is>
      </c>
      <c r="B97" s="180" t="inlineStr">
        <is>
          <t>Alt sheet K8 versus F4 and F5</t>
        </is>
      </c>
      <c r="C97" s="181" t="inlineStr"/>
      <c r="D97"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7" s="180" t="inlineStr">
        <is>
          <t>Pre-existing; worth a decision</t>
        </is>
      </c>
    </row>
    <row r="98">
      <c r="A98" s="185" t="inlineStr">
        <is>
          <t>Closure production rates are defaults</t>
        </is>
      </c>
      <c r="B98" s="180" t="inlineStr">
        <is>
          <t>Alt sheet F4:F10</t>
        </is>
      </c>
      <c r="C98" s="181" t="inlineStr"/>
      <c r="D98" s="180" t="inlineStr">
        <is>
          <t>They reproduce the durations used in the completed Murfreesboro and Upper Cumberland runs. A project with unusual phasing should override them.</t>
        </is>
      </c>
      <c r="E98" s="180" t="inlineStr">
        <is>
          <t>v1.2.0 defaults</t>
        </is>
      </c>
    </row>
    <row r="99">
      <c r="A99" s="185" t="inlineStr">
        <is>
          <t>Asphalt unit weight for the section read-back</t>
        </is>
      </c>
      <c r="B99" s="180" t="inlineStr">
        <is>
          <t>Summary J81</t>
        </is>
      </c>
      <c r="C99" s="181" t="inlineStr"/>
      <c r="D99" s="180" t="inlineStr">
        <is>
          <t>145 pcf, the value that reproduces the Murfreesboro section exactly. It affects the displayed thickness only, never a cost.</t>
        </is>
      </c>
      <c r="E99" s="180" t="inlineStr">
        <is>
          <t>Summary, v1.2.0</t>
        </is>
      </c>
    </row>
    <row r="100">
      <c r="A100" s="185" t="inlineStr">
        <is>
          <t>The division columns are wired but empty</t>
        </is>
      </c>
      <c r="B100" s="180" t="inlineStr">
        <is>
          <t>Pay_Items columns G, H, I</t>
        </is>
      </c>
      <c r="C100" s="181" t="inlineStr"/>
      <c r="D100"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0" s="180" t="inlineStr">
        <is>
          <t>v1.2.0; the numbers are still a decision</t>
        </is>
      </c>
    </row>
    <row r="101">
      <c r="A101" s="185" t="inlineStr">
        <is>
          <t>Unit costs date from the 2022 framework</t>
        </is>
      </c>
      <c r="B101" s="180" t="inlineStr">
        <is>
          <t>Pay_Items column F</t>
        </is>
      </c>
      <c r="C101" s="181" t="inlineStr"/>
      <c r="D101" s="180" t="inlineStr">
        <is>
          <t>The Typical Values sheet compares them with recent bid prices. The asphalt defaults look low against 2025 southeastern bids.</t>
        </is>
      </c>
      <c r="E101" s="180" t="inlineStr">
        <is>
          <t>Typical Values, section 3</t>
        </is>
      </c>
    </row>
    <row r="102">
      <c r="A102" s="185" t="inlineStr">
        <is>
          <t>No inflation, no risk analysis</t>
        </is>
      </c>
      <c r="B102" s="180" t="inlineStr">
        <is>
          <t>throughout</t>
        </is>
      </c>
      <c r="C102" s="181" t="inlineStr"/>
      <c r="D102" s="180" t="inlineStr">
        <is>
          <t>Costs are constant dollars discounted at a real rate, and every input is a single value. There is no probabilistic treatment of cost or timing.</t>
        </is>
      </c>
      <c r="E102" s="180" t="inlineStr">
        <is>
          <t>FHWA LCCA Primer, deterministic method</t>
        </is>
      </c>
    </row>
  </sheetData>
  <mergeCells count="8">
    <mergeCell ref="A39:E39"/>
    <mergeCell ref="A4:E4"/>
    <mergeCell ref="A48:E48"/>
    <mergeCell ref="A28:E28"/>
    <mergeCell ref="A90:E90"/>
    <mergeCell ref="A11:E11"/>
    <mergeCell ref="A63:E63"/>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2026-09-13T23:53:08Z</dcterms:modified>
</cp:coreProperties>
</file>
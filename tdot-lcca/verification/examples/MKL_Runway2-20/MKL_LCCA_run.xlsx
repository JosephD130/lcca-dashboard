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drawings/_rels/drawing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14.xml.rels" ContentType="application/vnd.openxmlformats-package.relationships+xml"/>
  <Override PartName="/xl/drawings/_rels/drawing9.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_rels/drawing3.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9.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HMA)" sheetId="19" state="visible" r:id="rId21"/>
    <sheet name="Alt 4 (New PCC)" sheetId="20" state="visible" r:id="rId22"/>
  </sheets>
  <definedNames>
    <definedName function="false" hidden="false" localSheetId="3" name="_xlnm.Print_Area" vbProcedure="false">'General Information'!$A$1:$J$52</definedName>
    <definedName function="false" hidden="false" localSheetId="4" name="_xlnm.Print_Titles" vbProcedure="false">Pay_Items!$2:$2</definedName>
    <definedName function="false" hidden="false" localSheetId="13" name="_xlnm.Print_Area" vbProcedure="false">Summary!$A$1:$V$141</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<sst xmlns="http://schemas.openxmlformats.org/spreadsheetml/2006/main" count="3010" uniqueCount="1279">
  <si>
    <t xml:space="preserve">  STEP 4 of 5: the quantities for this alternative. Grey cells are yours: C4 to C7 project data (filled from General Information), F4 and F5 closure days, C13 to C22 pay items and E13 to E22 quantities. Everything else calculates. Unit costs come from Pay_Items.</t>
  </si>
  <si>
    <t xml:space="preserve">Hidden</t>
  </si>
  <si>
    <t xml:space="preserve">Initial Construction Costs:</t>
  </si>
  <si>
    <t xml:space="preserve">Average Daily Revenue:  </t>
  </si>
  <si>
    <t xml:space="preserve">Maintenance 1</t>
  </si>
  <si>
    <t xml:space="preserve">Rehabilitation 1</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</si>
  <si>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</si>
  <si>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</si>
  <si>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</si>
  <si>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</si>
  <si>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</si>
  <si>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</si>
  <si>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</si>
  <si>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</si>
  <si>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</si>
  <si>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</si>
  <si>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</si>
  <si>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</si>
  <si>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</si>
  <si>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</si>
  <si>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</si>
  <si>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</si>
  <si>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</si>
  <si>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</si>
  <si>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</si>
  <si>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</si>
  <si>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</si>
  <si>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</si>
  <si>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</si>
  <si>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</si>
  <si>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</si>
  <si>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</si>
  <si>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</si>
  <si>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</si>
  <si>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</si>
  <si>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</si>
  <si>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</si>
  <si>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</si>
  <si>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</si>
  <si>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</si>
  <si>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</si>
  <si>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</si>
  <si>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STEP 1 of 5: what the framework does and the rules behind it. Read this and Instructions, then go to General Information.</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</si>
  <si>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</si>
  <si>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</si>
  <si>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</si>
  <si>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</si>
  <si>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</si>
  <si>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</si>
  <si>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</si>
  <si>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STEP 1 of 5: how to run an analysis, start to finish. When you are ready, go to General Information and fill in the grey cells.</t>
  </si>
  <si>
    <t xml:space="preserve">Instructions:</t>
  </si>
  <si>
    <t xml:space="preserve">HOW TO USE THIS WORKBOOK</t>
  </si>
  <si>
    <t xml:space="preserve">1.   Overview and Instructions: what the framework does and the rules behind it.
2.   General Information (this sheet): fill in the grey cells, D9 to D39.
3.   Pay_Items: check the unit costs your alternatives will be priced from.
4.   Alternative Setup: add each alternative, then enter its quantities on the sheet it creates.
5.   Summary: read the comparison. It updates by itself.
Grey cells are yours; white cells calculate. Typical Values has the usual ranges, Method every formula.</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</si>
  <si>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</si>
  <si>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</si>
  <si>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</si>
  <si>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</si>
  <si>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</si>
  <si>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</si>
  <si>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</si>
  <si>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</si>
  <si>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</si>
  <si>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McKellar-Sipes Regional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</si>
  <si>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</si>
  <si>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</si>
  <si>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</si>
  <si>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</si>
  <si>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</si>
  <si>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</si>
  <si>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</si>
  <si>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</si>
  <si>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</si>
  <si>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</si>
  <si>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</si>
  <si>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</si>
  <si>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</si>
  <si>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</si>
  <si>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</si>
  <si>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</si>
  <si>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</si>
  <si>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</si>
  <si>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</si>
  <si>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</si>
  <si>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</si>
  <si>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</si>
  <si>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</si>
  <si>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</si>
  <si>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</si>
  <si>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</si>
  <si>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</si>
  <si>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</si>
  <si>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</si>
  <si>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</si>
  <si>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</si>
  <si>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</si>
  <si>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</si>
  <si>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6102</t>
  </si>
  <si>
    <t xml:space="preserve">Carroll County Airport</t>
  </si>
  <si>
    <t xml:space="preserve">HZD</t>
  </si>
  <si>
    <t xml:space="preserve">Huntingdon</t>
  </si>
  <si>
    <t xml:space="preserve">Carroll</t>
  </si>
  <si>
    <t xml:space="preserve">Markings Type</t>
  </si>
  <si>
    <t xml:space="preserve">Project Name:</t>
  </si>
  <si>
    <t xml:space="preserve">Runway 2-20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</si>
  <si>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</si>
  <si>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</si>
  <si>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</si>
  <si>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</si>
  <si>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</si>
  <si>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</si>
  <si>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</si>
  <si>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</si>
  <si>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</si>
  <si>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</si>
  <si>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</si>
  <si>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</si>
  <si>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</si>
  <si>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</si>
  <si>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</si>
  <si>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</si>
  <si>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</si>
  <si>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</si>
  <si>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</si>
  <si>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</si>
  <si>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</si>
  <si>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</si>
  <si>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</si>
  <si>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</si>
  <si>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</si>
  <si>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</si>
  <si>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</si>
  <si>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</si>
  <si>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</si>
  <si>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</si>
  <si>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</si>
  <si>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2-20</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</si>
  <si>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</si>
  <si>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</si>
  <si>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</si>
  <si>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</si>
  <si>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</si>
  <si>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</si>
  <si>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</si>
  <si>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</si>
  <si>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</si>
  <si>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</si>
  <si>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</si>
  <si>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</si>
  <si>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6,005 x 150 ft with 25 ft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</si>
  <si>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</si>
  <si>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</si>
  <si>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</si>
  <si>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</si>
  <si>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</si>
  <si>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</si>
  <si>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</si>
  <si>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</si>
  <si>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</si>
  <si>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</si>
  <si>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</si>
  <si>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</si>
  <si>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</si>
  <si>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</si>
  <si>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</si>
  <si>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</si>
  <si>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</si>
  <si>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</si>
  <si>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</si>
  <si>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</si>
  <si>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</si>
  <si>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</si>
  <si>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</si>
  <si>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</si>
  <si>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</si>
  <si>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</si>
  <si>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</si>
  <si>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</si>
  <si>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</si>
  <si>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</si>
  <si>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</si>
  <si>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</si>
  <si>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</si>
  <si>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</si>
  <si>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</si>
  <si>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</si>
  <si>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</si>
  <si>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</si>
  <si>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</si>
  <si>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</si>
  <si>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</si>
  <si>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</si>
  <si>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</si>
  <si>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</si>
  <si>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</si>
  <si>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</si>
  <si>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</si>
  <si>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Gatlinburg-Pigeon Forge Airport</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</si>
  <si>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</si>
  <si>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</si>
  <si>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</si>
  <si>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</si>
  <si>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</si>
  <si>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</si>
  <si>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</si>
  <si>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</si>
  <si>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</si>
  <si>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</si>
  <si>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</si>
  <si>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</si>
  <si>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</si>
  <si>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</si>
  <si>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</si>
  <si>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</si>
  <si>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</si>
  <si>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</si>
  <si>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</si>
  <si>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</si>
  <si>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</si>
  <si>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</si>
  <si>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</si>
  <si>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</si>
  <si>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</si>
  <si>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</si>
  <si>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</si>
  <si>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</si>
  <si>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</si>
  <si>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</si>
  <si>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</si>
  <si>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</si>
  <si>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</si>
  <si>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</si>
  <si>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</si>
  <si>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</si>
  <si>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</si>
  <si>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</si>
  <si>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</si>
  <si>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</si>
  <si>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</si>
  <si>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</si>
  <si>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</si>
  <si>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</si>
  <si>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</si>
  <si>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</si>
  <si>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</si>
  <si>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</si>
  <si>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</si>
  <si>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</si>
  <si>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</si>
  <si>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</si>
  <si>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</si>
  <si>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</si>
  <si>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</si>
  <si>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</si>
  <si>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</si>
  <si>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</si>
  <si>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</si>
  <si>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</si>
  <si>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</si>
  <si>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</si>
  <si>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</si>
  <si>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</si>
  <si>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</si>
  <si>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</si>
  <si>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</si>
  <si>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</si>
  <si>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</si>
  <si>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</si>
  <si>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</si>
  <si>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</si>
  <si>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</si>
  <si>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</si>
  <si>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</si>
  <si>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</si>
  <si>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</si>
  <si>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</si>
  <si>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</si>
  <si>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</si>
  <si>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</si>
  <si>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Unit costs:</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</si>
  <si>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</si>
  <si>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</si>
  <si>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</si>
  <si>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</si>
  <si>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</si>
  <si>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</si>
  <si>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</si>
  <si>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</si>
  <si>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Maintenance policies:</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</si>
  <si>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</si>
  <si>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</si>
  <si>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</si>
  <si>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</si>
  <si>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</si>
  <si>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</si>
  <si>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</si>
  <si>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</si>
  <si>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</si>
  <si>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</si>
  <si>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</si>
  <si>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</si>
  <si>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</si>
  <si>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</si>
  <si>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</si>
  <si>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</si>
  <si>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</si>
  <si>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</si>
  <si>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</si>
  <si>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</si>
  <si>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</si>
  <si>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</si>
  <si>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</si>
  <si>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</si>
  <si>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</si>
  <si>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</si>
  <si>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</si>
  <si>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</si>
  <si>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</si>
  <si>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</si>
  <si>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</si>
  <si>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</si>
  <si>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</si>
  <si>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</si>
  <si>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</si>
  <si>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</si>
  <si>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</si>
  <si>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</si>
  <si>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</si>
  <si>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</si>
  <si>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</si>
  <si>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</si>
  <si>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</si>
  <si>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</si>
  <si>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</si>
  <si>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</si>
  <si>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</si>
  <si>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</si>
  <si>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</si>
  <si>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</si>
  <si>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</si>
  <si>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</si>
  <si>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</si>
  <si>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</si>
  <si>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</si>
  <si>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</si>
  <si>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</si>
  <si>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</si>
  <si>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</si>
  <si>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</si>
  <si>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</si>
  <si>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</si>
  <si>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</si>
  <si>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</si>
  <si>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</si>
  <si>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</si>
  <si>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</si>
  <si>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</si>
  <si>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</si>
  <si>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</si>
  <si>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</si>
  <si>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</si>
  <si>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</si>
  <si>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</si>
  <si>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</si>
  <si>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</si>
  <si>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</si>
  <si>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</si>
  <si>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</si>
  <si>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</si>
  <si>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</si>
  <si>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</si>
  <si>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</si>
  <si>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</si>
  <si>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</si>
  <si>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</si>
  <si>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</si>
  <si>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</si>
  <si>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</si>
  <si>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</si>
  <si>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</si>
  <si>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</si>
  <si>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</si>
  <si>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</si>
  <si>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</si>
  <si>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</si>
  <si>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</si>
  <si>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</si>
  <si>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</si>
  <si>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</si>
  <si>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</si>
  <si>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</si>
  <si>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</si>
  <si>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</si>
  <si>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</si>
  <si>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</si>
  <si>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</si>
  <si>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</si>
  <si>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</si>
  <si>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</si>
  <si>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</si>
  <si>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</si>
  <si>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</si>
  <si>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</si>
  <si>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</si>
  <si>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</si>
  <si>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</si>
  <si>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</si>
  <si>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</si>
  <si>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</si>
  <si>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</si>
  <si>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</si>
  <si>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</si>
  <si>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</si>
  <si>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</si>
  <si>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</si>
  <si>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</si>
  <si>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</si>
  <si>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</si>
  <si>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</si>
  <si>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</si>
  <si>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  STEP 3 of 5: the unit costs every alternative is priced from. The grey column is the one to edit.</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</si>
  <si>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</si>
  <si>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</si>
  <si>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</si>
  <si>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</si>
  <si>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</si>
  <si>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</si>
  <si>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</si>
  <si>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</si>
  <si>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</si>
  <si>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</si>
  <si>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</si>
  <si>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</si>
  <si>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</si>
  <si>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</si>
  <si>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</si>
  <si>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</si>
  <si>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</si>
  <si>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</si>
  <si>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</si>
  <si>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</si>
  <si>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</si>
  <si>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</si>
  <si>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</si>
  <si>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</si>
  <si>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</si>
  <si>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</si>
  <si>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</si>
  <si>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</si>
  <si>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</si>
  <si>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</si>
  <si>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</si>
  <si>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</si>
  <si>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</si>
  <si>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</si>
  <si>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</si>
  <si>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</si>
  <si>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</si>
  <si>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</si>
  <si>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</si>
  <si>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</si>
  <si>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</si>
  <si>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</si>
  <si>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</si>
  <si>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</si>
  <si>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</si>
  <si>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</si>
  <si>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</si>
  <si>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</si>
  <si>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</si>
  <si>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</si>
  <si>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</si>
  <si>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</si>
  <si>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</si>
  <si>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</si>
  <si>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</si>
  <si>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</si>
  <si>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</si>
  <si>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</si>
  <si>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</si>
  <si>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</si>
  <si>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</si>
  <si>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</si>
  <si>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</si>
  <si>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</si>
  <si>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</si>
  <si>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</si>
  <si>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</si>
  <si>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</si>
  <si>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</si>
  <si>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</si>
  <si>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</si>
  <si>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</si>
  <si>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</si>
  <si>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</si>
  <si>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</si>
  <si>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</si>
  <si>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</si>
  <si>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</si>
  <si>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</si>
  <si>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</si>
  <si>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</si>
  <si>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</si>
  <si>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</si>
  <si>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</si>
  <si>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</si>
  <si>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</si>
  <si>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</si>
  <si>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</si>
  <si>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</si>
  <si>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</si>
  <si>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</si>
  <si>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</si>
  <si>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</si>
  <si>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</si>
  <si>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</si>
  <si>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</si>
  <si>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</si>
  <si>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</si>
  <si>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</si>
  <si>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</si>
  <si>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</si>
  <si>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</si>
  <si>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</si>
  <si>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</si>
  <si>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</si>
  <si>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</si>
  <si>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</si>
  <si>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</si>
  <si>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</si>
  <si>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</si>
  <si>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</si>
  <si>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</si>
  <si>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</si>
  <si>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</si>
  <si>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</si>
  <si>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</si>
  <si>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</si>
  <si>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</si>
  <si>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</si>
  <si>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</si>
  <si>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</si>
  <si>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</si>
  <si>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</si>
  <si>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</si>
  <si>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</si>
  <si>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</si>
  <si>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</si>
  <si>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</si>
  <si>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</si>
  <si>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</si>
  <si>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</si>
  <si>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</si>
  <si>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</si>
  <si>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</si>
  <si>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</si>
  <si>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</si>
  <si>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</si>
  <si>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</si>
  <si>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</si>
  <si>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</si>
  <si>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</si>
  <si>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</si>
  <si>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</si>
  <si>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</si>
  <si>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</si>
  <si>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Every alternative worksheet prices its quantities from the Unit Cost column above, by looking up the pay item description. Change a cost here and every alternative reprices when the workbook recalculates.</t>
  </si>
  <si>
    <t xml:space="preserve">The Middle, West and East columns under "Average Pay Item Unit Cost" are empty in this release, so a West division project is priced on the same statewide numbers as a Middle one. The Summary states this beside the locator map and the Method sheet carries it as an open assumption.</t>
  </si>
  <si>
    <t xml:space="preserve">29 of the 56 pay items carry no unit cost. An alternative that uses one of them prices it at $0, so check the Unit Cost column before entering quantities.</t>
  </si>
  <si>
    <t xml:space="preserve">Typical ranges and the published sources behind these costs are on the Typical Values sheet.</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</si>
  <si>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</si>
  <si>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</si>
  <si>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</si>
  <si>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</si>
  <si>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</si>
  <si>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</si>
  <si>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</si>
  <si>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</si>
  <si>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</si>
  <si>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</si>
  <si>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</si>
  <si>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HMA)</t>
  </si>
  <si>
    <t xml:space="preserve">Alternative 4</t>
  </si>
  <si>
    <t xml:space="preserve">Alt 4 (New PCC)</t>
  </si>
  <si>
    <t xml:space="preserve">MAINTENANCE AND REHABILITATION POLICIES</t>
  </si>
  <si>
    <t xml:space="preserve">Reference: what each alternative type does to the pavement and when. The schedules themselves live in the hidden alternative templates, so editing a number here changes nothing.</t>
  </si>
  <si>
    <t xml:space="preserve">Table 1 drives a New HMA alternative, Table 2 a New PCC alternative, Table 3 an HMA overlay and Table 4 a PCC rehabilitation. Alternative Setup copies the matching template.</t>
  </si>
  <si>
    <t xml:space="preserve">Rate is the share of the quantity the activity covers: 1 means the whole mainline area, the whole markings area or the whole joint length; 0.0075 means three quarters of one percent of it. Year Applied counts years after construction.</t>
  </si>
  <si>
    <t xml:space="preserve">Closure days come from the production rates on Typical Values, not from this sheet.</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</si>
  <si>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</si>
  <si>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</si>
  <si>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</si>
  <si>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</si>
  <si>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</si>
  <si>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</si>
  <si>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</si>
  <si>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</si>
  <si>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</si>
  <si>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</si>
  <si>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</si>
  <si>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</si>
  <si>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</si>
  <si>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</si>
  <si>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</si>
  <si>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</si>
  <si>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</si>
  <si>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</si>
  <si>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</si>
  <si>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</si>
  <si>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</si>
  <si>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</si>
  <si>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</si>
  <si>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</si>
  <si>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</si>
  <si>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</si>
  <si>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</si>
  <si>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</si>
  <si>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</si>
  <si>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</si>
  <si>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</si>
  <si>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</si>
  <si>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</si>
  <si>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</si>
  <si>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</si>
  <si>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</si>
  <si>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</si>
  <si>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</si>
  <si>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</si>
  <si>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</si>
  <si>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</si>
  <si>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</si>
  <si>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</si>
  <si>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  STEP 4 of 5: the quantities for this alternative. Grey cells are yours: C4 to C8 project data (filled from General Information), F4 to F10 closure days, C13 to C22 pay items and E13 to E22 quantities. Everything else calculates. Unit costs come from Pay_Items.</t>
  </si>
  <si>
    <t xml:space="preserve">Average Daily Revenue:</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</si>
  <si>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</si>
  <si>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</si>
  <si>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</si>
  <si>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</si>
  <si>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</si>
  <si>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</si>
  <si>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</si>
  <si>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</si>
  <si>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</si>
  <si>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</si>
  <si>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</si>
  <si>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</si>
  <si>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</si>
  <si>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</si>
  <si>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</si>
  <si>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</si>
  <si>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</si>
  <si>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</si>
  <si>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</si>
  <si>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</si>
  <si>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</si>
  <si>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</si>
  <si>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</si>
  <si>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</si>
  <si>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</si>
  <si>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</si>
  <si>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</si>
  <si>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</si>
  <si>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</si>
  <si>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</si>
  <si>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</si>
  <si>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</si>
  <si>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</si>
  <si>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</si>
  <si>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</si>
  <si>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</si>
  <si>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</si>
  <si>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</si>
  <si>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</si>
  <si>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</si>
  <si>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</si>
  <si>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</si>
  <si>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</si>
  <si>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</si>
  <si>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STEP 5 of 5: the comparison. 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</si>
  <si>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PROJECT LOCATION</t>
  </si>
  <si>
    <t xml:space="preserve">Alternative</t>
  </si>
  <si>
    <t xml:space="preserve">Present Worth</t>
  </si>
  <si>
    <t xml:space="preserve">Alternative Description</t>
  </si>
  <si>
    <t xml:space="preserve">LOWEST PRESENT WORTH</t>
  </si>
  <si>
    <t xml:space="preserve">MARGIN TO NEXT</t>
  </si>
  <si>
    <t xml:space="preserve">EQUIVALENT ANNUAL COST</t>
  </si>
  <si>
    <t xml:space="preserve">Present worth by category</t>
  </si>
  <si>
    <t xml:space="preserve">Alt 1</t>
  </si>
  <si>
    <t xml:space="preserve">3" P-401 surface + 5" P-401 base on 6" P-209 on 6" P-154 (mainline and shoulders)</t>
  </si>
  <si>
    <t xml:space="preserve">Category</t>
  </si>
  <si>
    <t xml:space="preserve">Alt 2</t>
  </si>
  <si>
    <t xml:space="preserve">9" P-501 mainline on 6" P-209 on 6" P-154 (base and subbase under the shoulders too)</t>
  </si>
  <si>
    <t xml:space="preserve">Initial construction</t>
  </si>
  <si>
    <t xml:space="preserve">Alt 3</t>
  </si>
  <si>
    <t xml:space="preserve">4" P-401 surface + 6" P-401 base on 10" P-209 on lime-treated subgrade (no excavation item)</t>
  </si>
  <si>
    <t xml:space="preserve">Maintenance</t>
  </si>
  <si>
    <t xml:space="preserve">Alt 4</t>
  </si>
  <si>
    <t xml:space="preserve">11" P-501 mainline on 6" P-209 on lime-treated subgrade</t>
  </si>
  <si>
    <t xml:space="preserve">INITIAL CONSTRUCTION</t>
  </si>
  <si>
    <t xml:space="preserve">UNIT COST</t>
  </si>
  <si>
    <t xml:space="preserve">RATE SENSITIVITY</t>
  </si>
  <si>
    <t xml:space="preserve">Rehabilitation</t>
  </si>
  <si>
    <t xml:space="preserve">Lost revenue</t>
  </si>
  <si>
    <t xml:space="preserve">Net present worth vs. discount rate</t>
  </si>
  <si>
    <t xml:space="preserve">Worksheet</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</si>
  <si>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</si>
  <si>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</si>
  <si>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</si>
  <si>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</si>
  <si>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</si>
  <si>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</si>
  <si>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</si>
  <si>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</si>
  <si>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Rate (%)</t>
  </si>
  <si>
    <t xml:space="preserve">■ West</t>
  </si>
  <si>
    <t xml:space="preserve">■ Middle</t>
  </si>
  <si>
    <t xml:space="preserve">■ East</t>
  </si>
  <si>
    <t xml:space="preserve">■ This project</t>
  </si>
  <si>
    <t xml:space="preserve">PROJECT</t>
  </si>
  <si>
    <t xml:space="preserve">COMPARISON  (RealCost layout: agency cost, user cost, total; present worth and equivalent uniform annual cost)</t>
  </si>
  <si>
    <t xml:space="preserve">Airport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</si>
  <si>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</si>
  <si>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</si>
  <si>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</si>
  <si>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</si>
  <si>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</si>
  <si>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</si>
  <si>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</si>
  <si>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</si>
  <si>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</si>
  <si>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City / county</t>
  </si>
  <si>
    <t xml:space="preserve">TDOT Grand Division</t>
  </si>
  <si>
    <t xml:space="preserve">Coordinates</t>
  </si>
  <si>
    <t xml:space="preserve">Elevation</t>
  </si>
  <si>
    <t xml:space="preserve">Branch /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</si>
  <si>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</si>
  <si>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Mainline area</t>
  </si>
  <si>
    <t xml:space="preserve">Runway width, ft</t>
  </si>
  <si>
    <t xml:space="preserve">CHARTS</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</si>
  <si>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</si>
  <si>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</si>
  <si>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</si>
  <si>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</si>
  <si>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</si>
  <si>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</si>
  <si>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</si>
  <si>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</si>
  <si>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Aggregate base</t>
  </si>
  <si>
    <t xml:space="preserve">Asphalt</t>
  </si>
  <si>
    <t xml:space="preserve">Concrete</t>
  </si>
  <si>
    <t xml:space="preserve">Shoulder reading (blank unless shoulder area is entered)</t>
  </si>
  <si>
    <t xml:space="preserve">Chart 8 divides each alternative's initial construction by the mainline area. The band is the all-in range for recent Tennessee runway work, $210 to $280 per S.Y. on Typical Values, which covers pavement, lighting and grading; this workbook prices the pavement contract, so every bar should sit below the band. Far below it, or above it, is worth a second look at the quantities.</t>
  </si>
  <si>
    <t xml:space="preserve">UNIT COST ($/S.Y.) against published Tennessee runway work (Typical Values, unit costs)</t>
  </si>
  <si>
    <t xml:space="preserve">PAVEMENT SECTION  (read back from the quantities already entered; nothing here changes a cost)</t>
  </si>
  <si>
    <t xml:space="preserve">Series</t>
  </si>
  <si>
    <t xml:space="preserve">TN 2024-25, all-in</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</si>
  <si>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</si>
  <si>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</si>
  <si>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Below the published range</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</si>
  <si>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</si>
  <si>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</si>
  <si>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</si>
  <si>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</si>
  <si>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</si>
  <si>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</si>
  <si>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</si>
  <si>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</si>
  <si>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</si>
  <si>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Unit cost / published range</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</si>
  <si>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</si>
  <si>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</si>
  <si>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Below: "Chart 1", the chart the Alternative Setup form draws and keeps up to date. It shows initial construction and net present worth per alternative, which chart 1 above shows with the categories broken out. It is left in place so the form keeps working.</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</si>
  <si>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</si>
  <si>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</si>
  <si>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</si>
  <si>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</si>
  <si>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</si>
  <si>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</si>
  <si>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</si>
  <si>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</si>
  <si>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</si>
  <si>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</si>
  <si>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</si>
  <si>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</si>
  <si>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</si>
  <si>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</si>
  <si>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</si>
  <si>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</si>
  <si>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</si>
  <si>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</si>
  <si>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</si>
  <si>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</si>
  <si>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</si>
  <si>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</si>
  <si>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</si>
  <si>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</si>
  <si>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</si>
  <si>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</si>
  <si>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</si>
  <si>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</si>
  <si>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</si>
  <si>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</si>
  <si>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</si>
  <si>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</si>
  <si>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</si>
  <si>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</si>
  <si>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</si>
  <si>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</si>
  <si>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</si>
  <si>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</si>
  <si>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</si>
  <si>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</si>
  <si>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</si>
  <si>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</si>
  <si>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</si>
  <si>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</si>
  <si>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</si>
  <si>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</si>
  <si>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</si>
  <si>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</si>
  <si>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</si>
  <si>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</si>
  <si>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</si>
  <si>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</si>
  <si>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</si>
  <si>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</si>
  <si>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</si>
  <si>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</si>
  <si>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</si>
  <si>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</si>
  <si>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</si>
  <si>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</si>
  <si>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</si>
  <si>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</si>
  <si>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</si>
  <si>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</si>
  <si>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</si>
  <si>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</si>
  <si>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</si>
  <si>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</si>
  <si>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</si>
  <si>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</si>
  <si>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</si>
  <si>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</si>
  <si>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</si>
  <si>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</si>
  <si>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</si>
  <si>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</si>
  <si>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</si>
  <si>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</si>
  <si>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</si>
  <si>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</si>
  <si>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</si>
  <si>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</si>
  <si>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</si>
  <si>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</si>
  <si>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</si>
  <si>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</si>
  <si>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</si>
  <si>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</si>
  <si>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</si>
  <si>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</si>
  <si>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</si>
  <si>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</si>
  <si>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</si>
  <si>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</si>
  <si>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</si>
  <si>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</si>
  <si>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</si>
  <si>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</si>
  <si>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</si>
  <si>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</si>
  <si>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</si>
  <si>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</si>
  <si>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</si>
  <si>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</si>
  <si>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</si>
  <si>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</si>
  <si>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</si>
  <si>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</si>
  <si>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</si>
  <si>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</si>
  <si>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</si>
  <si>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</si>
  <si>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</si>
  <si>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</si>
  <si>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</si>
  <si>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</si>
  <si>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</si>
  <si>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</si>
  <si>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</si>
  <si>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</si>
  <si>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</si>
  <si>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</si>
  <si>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</si>
  <si>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</si>
  <si>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</si>
  <si>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</si>
  <si>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</si>
  <si>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</si>
  <si>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</si>
  <si>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</si>
  <si>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</si>
  <si>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</si>
  <si>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</si>
  <si>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</si>
  <si>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</si>
  <si>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</si>
  <si>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</si>
  <si>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</si>
  <si>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</si>
  <si>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</si>
  <si>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</si>
  <si>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</si>
  <si>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</si>
  <si>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</si>
  <si>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</si>
  <si>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</si>
  <si>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</si>
  <si>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</si>
  <si>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</si>
  <si>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</si>
  <si>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</si>
  <si>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</si>
  <si>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</si>
  <si>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</si>
  <si>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</si>
  <si>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</si>
  <si>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</si>
  <si>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</si>
  <si>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</si>
  <si>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</si>
  <si>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</si>
  <si>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</si>
  <si>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</si>
  <si>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</si>
  <si>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</si>
  <si>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</si>
  <si>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</si>
  <si>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</si>
  <si>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</si>
  <si>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</si>
  <si>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</si>
  <si>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</si>
  <si>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</si>
  <si>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</si>
  <si>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</si>
  <si>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</si>
  <si>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</si>
  <si>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</si>
  <si>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</si>
  <si>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</si>
  <si>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</si>
  <si>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</si>
  <si>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</si>
  <si>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</si>
  <si>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</si>
  <si>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</si>
  <si>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</si>
  <si>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</si>
  <si>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</si>
  <si>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</si>
  <si>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</si>
  <si>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</si>
  <si>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</si>
  <si>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</si>
  <si>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</si>
  <si>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</si>
  <si>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</si>
  <si>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</si>
  <si>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</si>
  <si>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</si>
  <si>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</si>
  <si>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</si>
  <si>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</si>
  <si>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</si>
  <si>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</si>
  <si>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</si>
  <si>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</si>
  <si>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</si>
  <si>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</si>
  <si>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</si>
  <si>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</si>
  <si>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</si>
  <si>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</si>
  <si>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</si>
  <si>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</si>
  <si>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</si>
  <si>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</si>
  <si>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</si>
  <si>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</si>
  <si>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</si>
  <si>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</si>
  <si>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</si>
  <si>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</si>
  <si>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</si>
  <si>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</si>
  <si>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</si>
  <si>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</si>
  <si>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</si>
  <si>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</si>
  <si>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</si>
  <si>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</si>
  <si>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</si>
  <si>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</si>
  <si>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</si>
  <si>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</si>
  <si>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</si>
  <si>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</si>
  <si>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</si>
  <si>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</si>
  <si>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</si>
  <si>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</si>
  <si>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</si>
  <si>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</si>
  <si>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</si>
  <si>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</si>
  <si>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</si>
  <si>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</si>
  <si>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</si>
  <si>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</si>
  <si>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</si>
  <si>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</si>
  <si>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</si>
  <si>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</si>
  <si>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</si>
  <si>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</si>
  <si>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</si>
  <si>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</si>
  <si>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</si>
  <si>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</si>
  <si>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</si>
  <si>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</si>
  <si>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</si>
  <si>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</si>
  <si>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</si>
  <si>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</si>
  <si>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</si>
  <si>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</si>
  <si>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</si>
  <si>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</si>
  <si>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</si>
  <si>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</si>
  <si>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</si>
  <si>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</si>
  <si>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</si>
  <si>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</si>
  <si>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</si>
  <si>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</si>
  <si>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</si>
  <si>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</si>
  <si>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</si>
  <si>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</si>
  <si>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</si>
  <si>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</si>
  <si>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</si>
  <si>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</si>
  <si>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</si>
  <si>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</si>
  <si>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=VLOOKUP(C13,CHOOSE({1,2},Table2[Pay Item Description],Table2[Unit Cost]),2,0)</t>
  </si>
  <si>
    <t xml:space="preserve">Unit costs are never typed on an alternative sheet. Picking a description in column C pulls the item number, the unit and the price from Pay_Items, so a price change for every future project is one edit on Pay_Items column F.</t>
  </si>
  <si>
    <t xml:space="preserve">Pay_Items (Table2), column F</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</si>
  <si>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</si>
  <si>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</si>
  <si>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</si>
  <si>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</si>
  <si>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</si>
  <si>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</si>
  <si>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</si>
  <si>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</si>
  <si>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</si>
  <si>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</si>
  <si>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</si>
  <si>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</si>
  <si>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</si>
  <si>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</si>
  <si>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</si>
  <si>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</si>
  <si>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</si>
  <si>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</si>
  <si>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</si>
  <si>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</si>
  <si>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</si>
  <si>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</si>
  <si>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</si>
  <si>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</si>
  <si>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</si>
  <si>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</si>
  <si>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</si>
  <si>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</si>
  <si>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</si>
  <si>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</si>
  <si>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</si>
  <si>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</si>
  <si>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</si>
  <si>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</si>
  <si>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</si>
  <si>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</si>
  <si>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</si>
  <si>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</si>
  <si>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</si>
  <si>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</si>
  <si>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</si>
  <si>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</si>
  <si>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</si>
  <si>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</si>
  <si>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</si>
  <si>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</si>
  <si>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</si>
  <si>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</si>
  <si>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</si>
  <si>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</si>
  <si>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</si>
  <si>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</si>
  <si>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</si>
  <si>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</si>
  <si>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</si>
  <si>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</si>
  <si>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</si>
  <si>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</si>
  <si>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</si>
  <si>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</si>
  <si>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</si>
  <si>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</si>
  <si>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</si>
  <si>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</si>
  <si>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</si>
  <si>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</si>
  <si>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</si>
  <si>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</si>
  <si>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</si>
  <si>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</si>
  <si>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</si>
  <si>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</si>
  <si>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</si>
  <si>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</si>
  <si>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</si>
  <si>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</si>
  <si>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</si>
  <si>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</si>
  <si>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</si>
  <si>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</si>
  <si>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</si>
  <si>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</si>
  <si>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</si>
  <si>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</si>
  <si>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</si>
  <si>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</si>
  <si>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</si>
  <si>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</si>
  <si>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</si>
  <si>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</si>
  <si>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</si>
  <si>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</si>
  <si>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</si>
  <si>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</si>
  <si>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</si>
  <si>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</si>
  <si>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</si>
  <si>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</si>
  <si>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</si>
  <si>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</si>
  <si>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</si>
  <si>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</si>
  <si>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</si>
  <si>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</si>
  <si>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</si>
  <si>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</si>
  <si>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</si>
  <si>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</si>
  <si>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</si>
  <si>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</si>
  <si>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</si>
  <si>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</si>
  <si>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Alt sheet D51</t>
  </si>
  <si>
    <t xml:space="preserve">=-'Maintenance Policies'!D32*AV22</t>
  </si>
  <si>
    <t xml:space="preserve">12.5 percent of the mill-and-overlay cost, credited at the end of the analysis period. The policy sheet describes it as two years of remaining life on a 16-year overlay.</t>
  </si>
  <si>
    <t xml:space="preserve">Maintenance Policies row 32</t>
  </si>
  <si>
    <t xml:space="preserve">Alt sheet D42</t>
  </si>
  <si>
    <t xml:space="preserve">=-'Maintenance Policies'!D46*G27</t>
  </si>
  <si>
    <t xml:space="preserve">25 percent of the whole initial construction cost, credited at the end of the analysis period. The policy sheet describes it as ten years of remaining life.</t>
  </si>
  <si>
    <t xml:space="preserve">Maintenance Policies row 46</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</si>
  <si>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</si>
  <si>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</si>
  <si>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</si>
  <si>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</si>
  <si>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</si>
  <si>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</si>
  <si>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</si>
  <si>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</si>
  <si>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</si>
  <si>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</si>
  <si>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</si>
  <si>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</si>
  <si>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</si>
  <si>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</si>
  <si>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</si>
  <si>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</si>
  <si>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</si>
  <si>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</si>
  <si>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</si>
  <si>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</si>
  <si>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</si>
  <si>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</si>
  <si>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</si>
  <si>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</si>
  <si>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</si>
  <si>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</si>
  <si>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</si>
  <si>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</si>
  <si>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</si>
  <si>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</si>
  <si>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</si>
  <si>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</si>
  <si>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</si>
  <si>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</si>
  <si>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</si>
  <si>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</si>
  <si>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</si>
  <si>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</si>
  <si>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</si>
  <si>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</si>
  <si>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</si>
  <si>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</si>
  <si>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</si>
  <si>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</si>
  <si>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</si>
  <si>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</si>
  <si>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</si>
  <si>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</si>
  <si>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</si>
  <si>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</si>
  <si>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</si>
  <si>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</si>
  <si>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</si>
  <si>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</si>
  <si>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</si>
  <si>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</si>
  <si>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</si>
  <si>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</si>
  <si>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</si>
  <si>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</si>
  <si>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</si>
  <si>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</si>
  <si>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</si>
  <si>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</si>
  <si>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</si>
  <si>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</si>
  <si>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</si>
  <si>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</si>
  <si>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</si>
  <si>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t>
  </si>
  <si>
    <t xml:space="preserve">Maintenance Policies D32 and D46</t>
  </si>
  <si>
    <t xml:space="preserve">Concrete recovers 25 percent of total initial cost, asphalt 12.5 percent of one overlay. Concrete therefore carries a large year-30 credit that moves with the discount rate in step with its costs, which is why the concrete curves in chart 2 are nearly flat while the asphalt curve falls. In some projects this line alone decides the answer.</t>
  </si>
  <si>
    <t xml:space="preserve">Pre-existing policy; flagged for decision</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</si>
  <si>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</si>
  <si>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</si>
  <si>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</si>
  <si>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</si>
  <si>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</si>
  <si>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</si>
  <si>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</si>
  <si>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</si>
  <si>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</si>
  <si>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</si>
  <si>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</si>
  <si>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</si>
  <si>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</si>
  <si>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Unit costs are statewide, not regional</t>
  </si>
  <si>
    <t xml:space="preserve">Pay_Items columns G, H, I</t>
  </si>
  <si>
    <t xml:space="preserve">The sheet carries a header "Average Pay Item Unit Cost" spanning Middle, West and East columns, and all three are empty. Every alternative prices off the single Unit Cost column, so a West-division project is estimated on the same numbers as a Middle one. The locator map on the Summary colors the airports by division so the project's region sits beside the pricing basis.</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</si>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</sst>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1">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
    <numFmt numFmtId="181" formatCode="0.00000"/>
    <numFmt numFmtId="182" formatCode="\$#,##0.0,,\M"/>
    <numFmt numFmtId="183" formatCode=";;;"/>
    <numFmt numFmtId="184" formatCode="#,##0.00"/>
  </numFmts>
  <fonts count="5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u val="single"/>
      <sz val="11"/>
      <color theme="10"/>
      <name val="Calibri"/>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sz val="10"/>
      <color rgb="FF1D2733"/>
      <name val="Arial"/>
      <family val="2"/>
      <charset val="1"/>
    </font>
    <font>
      <sz val="9"/>
      <color rgb="FF7F6000"/>
      <name val="Arial"/>
      <family val="2"/>
      <charset val="1"/>
    </font>
    <font>
      <b val="true"/>
      <sz val="12"/>
      <color rgb="FF1D2733"/>
      <name val="Arial"/>
      <family val="2"/>
      <charset val="1"/>
    </font>
    <font>
      <b val="true"/>
      <sz val="11"/>
      <color theme="0"/>
      <name val="Calibri"/>
      <family val="2"/>
      <charset val="1"/>
    </font>
    <font>
      <b val="true"/>
      <sz val="12"/>
      <name val="Arial"/>
      <family val="0"/>
      <charset val="1"/>
    </font>
    <font>
      <b val="true"/>
      <sz val="10"/>
      <name val="Arial"/>
      <family val="0"/>
      <charset val="1"/>
    </font>
    <font>
      <b val="true"/>
      <sz val="8"/>
      <color rgb="FF595959"/>
      <name val="Arial"/>
      <family val="0"/>
      <charset val="1"/>
    </font>
    <font>
      <b val="true"/>
      <sz val="16"/>
      <color rgb="FF1D2733"/>
      <name val="Arial"/>
      <family val="0"/>
      <charset val="1"/>
    </font>
    <font>
      <sz val="9"/>
      <color rgb="FF595959"/>
      <name val="Arial"/>
      <family val="0"/>
      <charset val="1"/>
    </font>
    <font>
      <sz val="9"/>
      <color rgb="FF7F7F7F"/>
      <name val="Arial"/>
      <family val="0"/>
      <charset val="1"/>
    </font>
    <font>
      <b val="true"/>
      <sz val="16"/>
      <color rgb="FF2E8B1F"/>
      <name val="Arial"/>
      <family val="0"/>
      <charset val="1"/>
    </font>
    <font>
      <sz val="10"/>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name val="Courier New"/>
      <family val="0"/>
      <charset val="1"/>
    </font>
  </fonts>
  <fills count="14">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CBD5DF"/>
      </patternFill>
    </fill>
    <fill>
      <patternFill patternType="solid">
        <fgColor rgb="FFEAF2FB"/>
        <bgColor rgb="FFE8F6EC"/>
      </patternFill>
    </fill>
    <fill>
      <patternFill patternType="solid">
        <fgColor rgb="FFFFF3CD"/>
        <bgColor rgb="FFF5F7FA"/>
      </patternFill>
    </fill>
    <fill>
      <patternFill patternType="solid">
        <fgColor theme="0" tint="-0.25"/>
        <bgColor rgb="FFBFC7D1"/>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5F7FA"/>
        <bgColor rgb="FFEAF2FB"/>
      </patternFill>
    </fill>
  </fills>
  <borders count="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 diagonalUp="false" diagonalDown="false">
      <left style="thin">
        <color rgb="FFBFC7D1"/>
      </left>
      <right style="thin">
        <color rgb="FFBFC7D1"/>
      </right>
      <top style="thin">
        <color rgb="FFBFC7D1"/>
      </top>
      <bottom/>
      <diagonal/>
    </border>
    <border diagonalUp="false" diagonalDown="false">
      <left style="thin">
        <color rgb="FFBFC7D1"/>
      </left>
      <right style="thin">
        <color rgb="FFBFC7D1"/>
      </right>
      <top/>
      <bottom/>
      <diagonal/>
    </border>
    <border diagonalUp="false" diagonalDown="false">
      <left style="thin">
        <color rgb="FFBFC7D1"/>
      </left>
      <right style="thin">
        <color rgb="FFBFC7D1"/>
      </right>
      <top/>
      <bottom style="thin">
        <color rgb="FFBFC7D1"/>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xf numFmtId="164" fontId="15" fillId="0" borderId="0" applyFont="true" applyBorder="false" applyAlignment="true" applyProtection="false">
      <alignment horizontal="general" vertical="bottom" textRotation="0" wrapText="false" indent="0" shrinkToFit="false"/>
    </xf>
  </cellStyleXfs>
  <cellXfs count="17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8" fontId="0" fillId="5" borderId="0" xfId="0" applyFont="fals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8" fillId="0" borderId="8" xfId="0" applyFont="true" applyBorder="true" applyAlignment="true" applyProtection="false">
      <alignment horizontal="center" vertical="center" textRotation="0" wrapText="true" indent="0" shrinkToFit="false"/>
      <protection locked="true" hidden="false"/>
    </xf>
    <xf numFmtId="164" fontId="8" fillId="0" borderId="9"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center" vertical="center" textRotation="0" wrapText="true" indent="0" shrinkToFit="false"/>
      <protection locked="true" hidden="false"/>
    </xf>
    <xf numFmtId="164" fontId="8" fillId="0" borderId="11" xfId="0" applyFont="true" applyBorder="true" applyAlignment="true" applyProtection="false">
      <alignment horizontal="general" vertical="center" textRotation="0" wrapText="true" indent="0" shrinkToFit="false"/>
      <protection locked="true" hidden="false"/>
    </xf>
    <xf numFmtId="167" fontId="7" fillId="0" borderId="12" xfId="0" applyFont="true" applyBorder="true" applyAlignment="true" applyProtection="false">
      <alignment horizontal="center" vertical="center" textRotation="0" wrapText="true" indent="0" shrinkToFit="false"/>
      <protection locked="true" hidden="false"/>
    </xf>
    <xf numFmtId="170" fontId="7" fillId="0" borderId="12" xfId="0" applyFont="true" applyBorder="true" applyAlignment="true" applyProtection="false">
      <alignment horizontal="right" vertical="center" textRotation="0" wrapText="true" indent="0" shrinkToFit="false"/>
      <protection locked="true" hidden="false"/>
    </xf>
    <xf numFmtId="170" fontId="9" fillId="0" borderId="13" xfId="0" applyFont="true" applyBorder="true" applyAlignment="true" applyProtection="false">
      <alignment horizontal="general" vertical="center" textRotation="0" wrapText="false" indent="0" shrinkToFit="false"/>
      <protection locked="true" hidden="false"/>
    </xf>
    <xf numFmtId="164" fontId="10" fillId="0" borderId="14" xfId="0" applyFont="true" applyBorder="true" applyAlignment="true" applyProtection="false">
      <alignment horizontal="general" vertical="center" textRotation="0" wrapText="true" indent="0" shrinkToFit="false"/>
      <protection locked="true" hidden="false"/>
    </xf>
    <xf numFmtId="167" fontId="11" fillId="0" borderId="15" xfId="0" applyFont="true" applyBorder="true" applyAlignment="true" applyProtection="false">
      <alignment horizontal="center" vertical="center" textRotation="0" wrapText="true" indent="0" shrinkToFit="false"/>
      <protection locked="true" hidden="false"/>
    </xf>
    <xf numFmtId="170" fontId="11" fillId="0" borderId="15" xfId="0" applyFont="true" applyBorder="true" applyAlignment="true" applyProtection="false">
      <alignment horizontal="right" vertical="center" textRotation="0" wrapText="true" indent="0" shrinkToFit="false"/>
      <protection locked="true" hidden="false"/>
    </xf>
    <xf numFmtId="170" fontId="9"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0" fontId="6" fillId="0" borderId="19"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15" fillId="0"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true" applyAlignment="true" applyProtection="false">
      <alignment horizontal="left" vertical="center" textRotation="0" wrapText="false" indent="1" shrinkToFit="false"/>
      <protection locked="true" hidden="false"/>
    </xf>
    <xf numFmtId="164" fontId="21" fillId="6" borderId="0" xfId="0" applyFont="true" applyBorder="true" applyAlignment="true" applyProtection="false">
      <alignment horizontal="left" vertical="top" textRotation="0" wrapText="true" indent="1" shrinkToFit="false"/>
      <protection locked="true" hidden="false"/>
    </xf>
    <xf numFmtId="164" fontId="22" fillId="6" borderId="2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7" fillId="5" borderId="0" xfId="0" applyFont="true" applyBorder="false" applyAlignment="false" applyProtection="true">
      <alignment horizontal="general" vertical="bottom" textRotation="0" wrapText="false" indent="0" shrinkToFit="false"/>
      <protection locked="false" hidden="false"/>
    </xf>
    <xf numFmtId="164" fontId="22" fillId="6" borderId="20" xfId="0" applyFont="true" applyBorder="true" applyAlignment="true" applyProtection="false">
      <alignment horizontal="left" vertical="center" textRotation="0" wrapText="true" indent="1" shrinkToFit="false"/>
      <protection locked="true" hidden="false"/>
    </xf>
    <xf numFmtId="164" fontId="23" fillId="0"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false" applyProtection="true">
      <alignment horizontal="general" vertical="bottom" textRotation="0" wrapText="false" indent="0" shrinkToFit="false"/>
      <protection locked="false" hidden="false"/>
    </xf>
    <xf numFmtId="172" fontId="7" fillId="5" borderId="0" xfId="0" applyFont="true" applyBorder="false" applyAlignment="false" applyProtection="true">
      <alignment horizontal="general" vertical="bottom" textRotation="0" wrapText="false" indent="0" shrinkToFit="false"/>
      <protection locked="fals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23" fillId="0" borderId="0" xfId="17"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9" fontId="29" fillId="5" borderId="1" xfId="0" applyFont="true" applyBorder="true" applyAlignment="true" applyProtection="false">
      <alignment horizontal="right" vertical="center" textRotation="0" wrapText="false" indent="0" shrinkToFit="false"/>
      <protection locked="true" hidden="false"/>
    </xf>
    <xf numFmtId="164" fontId="22" fillId="6"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30" fillId="7"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20" fillId="3" borderId="0" xfId="0" applyFont="true" applyBorder="false" applyAlignment="true" applyProtection="false">
      <alignment horizontal="left" vertical="center" textRotation="0" wrapText="true" indent="0" shrinkToFit="false"/>
      <protection locked="true" hidden="false"/>
    </xf>
    <xf numFmtId="164" fontId="10" fillId="0" borderId="21" xfId="0" applyFont="true" applyBorder="true" applyAlignment="true" applyProtection="false">
      <alignment horizontal="general" vertical="center" textRotation="0" wrapText="true" indent="0" shrinkToFit="false"/>
      <protection locked="true" hidden="false"/>
    </xf>
    <xf numFmtId="164" fontId="11" fillId="0" borderId="22" xfId="0" applyFont="true" applyBorder="true" applyAlignment="true" applyProtection="false">
      <alignment horizontal="general" vertical="center" textRotation="0" wrapText="true" indent="0" shrinkToFit="false"/>
      <protection locked="true" hidden="false"/>
    </xf>
    <xf numFmtId="173" fontId="11" fillId="0" borderId="22" xfId="0" applyFont="true" applyBorder="true" applyAlignment="true" applyProtection="false">
      <alignment horizontal="center" vertical="center" textRotation="0" wrapText="true" indent="0" shrinkToFit="false"/>
      <protection locked="true" hidden="false"/>
    </xf>
    <xf numFmtId="164" fontId="11" fillId="0" borderId="23" xfId="0" applyFont="true" applyBorder="true" applyAlignment="true" applyProtection="false">
      <alignment horizontal="center" vertical="center" textRotation="0" wrapText="true" indent="0" shrinkToFit="false"/>
      <protection locked="true" hidden="false"/>
    </xf>
    <xf numFmtId="164" fontId="10" fillId="0" borderId="24" xfId="0" applyFont="true" applyBorder="true" applyAlignment="true" applyProtection="false">
      <alignment horizontal="general" vertical="center" textRotation="0" wrapText="true" indent="0" shrinkToFit="false"/>
      <protection locked="true" hidden="false"/>
    </xf>
    <xf numFmtId="164" fontId="11" fillId="0" borderId="25" xfId="0" applyFont="true" applyBorder="true" applyAlignment="true" applyProtection="false">
      <alignment horizontal="general" vertical="center" textRotation="0" wrapText="true" indent="0" shrinkToFit="false"/>
      <protection locked="true" hidden="false"/>
    </xf>
    <xf numFmtId="173" fontId="11" fillId="0" borderId="25" xfId="0" applyFont="true" applyBorder="true" applyAlignment="true" applyProtection="false">
      <alignment horizontal="center" vertical="center" textRotation="0" wrapText="true" indent="0" shrinkToFit="false"/>
      <protection locked="true" hidden="false"/>
    </xf>
    <xf numFmtId="164" fontId="11" fillId="0" borderId="26" xfId="0" applyFont="true" applyBorder="true" applyAlignment="true" applyProtection="false">
      <alignment horizontal="center" vertical="center" textRotation="0" wrapText="true" indent="0" shrinkToFit="false"/>
      <protection locked="true" hidden="false"/>
    </xf>
    <xf numFmtId="164" fontId="10" fillId="0" borderId="27" xfId="0" applyFont="true" applyBorder="true" applyAlignment="true" applyProtection="false">
      <alignment horizontal="general" vertical="center" textRotation="0" wrapText="true" indent="0" shrinkToFit="false"/>
      <protection locked="true" hidden="false"/>
    </xf>
    <xf numFmtId="164" fontId="11" fillId="0" borderId="28" xfId="0" applyFont="true" applyBorder="true" applyAlignment="true" applyProtection="false">
      <alignment horizontal="center" vertical="center" textRotation="0" wrapText="true" indent="0" shrinkToFit="false"/>
      <protection locked="true" hidden="false"/>
    </xf>
    <xf numFmtId="164" fontId="10" fillId="0" borderId="29" xfId="0" applyFont="true" applyBorder="true" applyAlignment="true" applyProtection="false">
      <alignment horizontal="general" vertical="center" textRotation="0" wrapText="true" indent="0" shrinkToFit="false"/>
      <protection locked="true" hidden="false"/>
    </xf>
    <xf numFmtId="164" fontId="11" fillId="0" borderId="30" xfId="0" applyFont="true" applyBorder="true" applyAlignment="true" applyProtection="false">
      <alignment horizontal="center" vertical="center" textRotation="0" wrapText="true" indent="0" shrinkToFit="false"/>
      <protection locked="true" hidden="false"/>
    </xf>
    <xf numFmtId="164" fontId="10" fillId="0" borderId="31" xfId="0" applyFont="true" applyBorder="true" applyAlignment="true" applyProtection="false">
      <alignment horizontal="general" vertical="center" textRotation="0" wrapText="true" indent="0" shrinkToFit="false"/>
      <protection locked="true" hidden="false"/>
    </xf>
    <xf numFmtId="164" fontId="11" fillId="0" borderId="32" xfId="0" applyFont="true" applyBorder="true" applyAlignment="true" applyProtection="false">
      <alignment horizontal="general" vertical="center" textRotation="0" wrapText="true" indent="0" shrinkToFit="false"/>
      <protection locked="true" hidden="false"/>
    </xf>
    <xf numFmtId="173" fontId="11" fillId="0" borderId="32" xfId="0" applyFont="true" applyBorder="true" applyAlignment="true" applyProtection="false">
      <alignment horizontal="center" vertical="center" textRotation="0" wrapText="true" indent="0" shrinkToFit="false"/>
      <protection locked="true" hidden="false"/>
    </xf>
    <xf numFmtId="164" fontId="11" fillId="0" borderId="32" xfId="0" applyFont="true" applyBorder="true" applyAlignment="true" applyProtection="false">
      <alignment horizontal="center" vertical="center" textRotation="0" wrapText="tru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7" fillId="0" borderId="22" xfId="0" applyFont="true" applyBorder="true" applyAlignment="true" applyProtection="false">
      <alignment horizontal="general" vertical="center" textRotation="0" wrapText="true" indent="0" shrinkToFit="false"/>
      <protection locked="true" hidden="false"/>
    </xf>
    <xf numFmtId="173" fontId="7" fillId="0" borderId="22" xfId="0" applyFont="true" applyBorder="true" applyAlignment="true" applyProtection="false">
      <alignment horizontal="center" vertical="center" textRotation="0" wrapText="true" indent="0" shrinkToFit="false"/>
      <protection locked="true" hidden="false"/>
    </xf>
    <xf numFmtId="164" fontId="7" fillId="0" borderId="23" xfId="0" applyFont="true" applyBorder="true" applyAlignment="true" applyProtection="false">
      <alignment horizontal="center" vertical="center" textRotation="0" wrapText="true" indent="0" shrinkToFit="false"/>
      <protection locked="true" hidden="false"/>
    </xf>
    <xf numFmtId="164" fontId="8" fillId="0" borderId="29" xfId="0" applyFont="true" applyBorder="true" applyAlignment="true" applyProtection="false">
      <alignment horizontal="general" vertical="center" textRotation="0" wrapText="true" indent="0" shrinkToFit="false"/>
      <protection locked="true" hidden="false"/>
    </xf>
    <xf numFmtId="164" fontId="7" fillId="0" borderId="30" xfId="0" applyFont="true" applyBorder="true" applyAlignment="true" applyProtection="false">
      <alignment horizontal="center" vertical="center" textRotation="0" wrapText="true" indent="0" shrinkToFit="false"/>
      <protection locked="true" hidden="false"/>
    </xf>
    <xf numFmtId="164" fontId="8" fillId="0" borderId="24" xfId="0" applyFont="true" applyBorder="true" applyAlignment="true" applyProtection="false">
      <alignment horizontal="general" vertical="center" textRotation="0" wrapText="true" indent="0" shrinkToFit="false"/>
      <protection locked="true" hidden="false"/>
    </xf>
    <xf numFmtId="164" fontId="7" fillId="0" borderId="25" xfId="0" applyFont="true" applyBorder="true" applyAlignment="true" applyProtection="false">
      <alignment horizontal="general" vertical="center" textRotation="0" wrapText="true" indent="0" shrinkToFit="false"/>
      <protection locked="true" hidden="false"/>
    </xf>
    <xf numFmtId="173" fontId="7" fillId="0" borderId="25" xfId="0" applyFont="true" applyBorder="true" applyAlignment="true" applyProtection="false">
      <alignment horizontal="center" vertical="center" textRotation="0" wrapText="true" indent="0" shrinkToFit="false"/>
      <protection locked="true" hidden="false"/>
    </xf>
    <xf numFmtId="164" fontId="7" fillId="0" borderId="26" xfId="0" applyFont="true" applyBorder="true" applyAlignment="true" applyProtection="false">
      <alignment horizontal="center" vertical="center" textRotation="0" wrapText="true" indent="0" shrinkToFit="false"/>
      <protection locked="true" hidden="false"/>
    </xf>
    <xf numFmtId="164" fontId="8" fillId="0" borderId="27" xfId="0" applyFont="true" applyBorder="true" applyAlignment="true" applyProtection="false">
      <alignment horizontal="general" vertical="center" textRotation="0" wrapText="true" indent="0" shrinkToFit="false"/>
      <protection locked="true" hidden="false"/>
    </xf>
    <xf numFmtId="164" fontId="7" fillId="0" borderId="28" xfId="0" applyFont="true" applyBorder="true" applyAlignment="true" applyProtection="false">
      <alignment horizontal="center" vertical="center" textRotation="0" wrapText="true" indent="0" shrinkToFit="false"/>
      <protection locked="true" hidden="false"/>
    </xf>
    <xf numFmtId="164" fontId="8" fillId="0" borderId="31" xfId="0" applyFont="true" applyBorder="true" applyAlignment="true" applyProtection="false">
      <alignment horizontal="general" vertical="center" textRotation="0" wrapText="true" indent="0" shrinkToFit="false"/>
      <protection locked="true" hidden="false"/>
    </xf>
    <xf numFmtId="164" fontId="7" fillId="0" borderId="32" xfId="0" applyFont="true" applyBorder="true" applyAlignment="true" applyProtection="false">
      <alignment horizontal="general" vertical="center" textRotation="0" wrapText="true" indent="0" shrinkToFit="false"/>
      <protection locked="true" hidden="false"/>
    </xf>
    <xf numFmtId="173" fontId="7" fillId="0" borderId="32" xfId="0" applyFont="true" applyBorder="true" applyAlignment="true" applyProtection="false">
      <alignment horizontal="center" vertical="center" textRotation="0" wrapText="true" indent="0" shrinkToFit="false"/>
      <protection locked="true" hidden="false"/>
    </xf>
    <xf numFmtId="164" fontId="7" fillId="0" borderId="32" xfId="0" applyFont="true" applyBorder="true" applyAlignment="true" applyProtection="false">
      <alignment horizontal="center" vertical="center" textRotation="0" wrapText="true" indent="0" shrinkToFit="false"/>
      <protection locked="true" hidden="false"/>
    </xf>
    <xf numFmtId="164" fontId="11" fillId="0" borderId="22" xfId="0" applyFont="true" applyBorder="true" applyAlignment="true" applyProtection="false">
      <alignment horizontal="center" vertical="center" textRotation="0" wrapText="true" indent="0" shrinkToFit="false"/>
      <protection locked="true" hidden="false"/>
    </xf>
    <xf numFmtId="164" fontId="0" fillId="8" borderId="0" xfId="0" applyFont="true" applyBorder="false" applyAlignment="true" applyProtection="false">
      <alignment horizontal="left"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7"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7" fillId="0"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70" fontId="0" fillId="9" borderId="0" xfId="0" applyFont="false" applyBorder="false" applyAlignment="false" applyProtection="false">
      <alignment horizontal="general" vertical="bottom" textRotation="0" wrapText="false" indent="0" shrinkToFit="false"/>
      <protection locked="true" hidden="false"/>
    </xf>
    <xf numFmtId="164" fontId="32" fillId="10" borderId="33" xfId="0" applyFont="true" applyBorder="true" applyAlignment="true" applyProtection="false">
      <alignment horizontal="center" vertical="bottom" textRotation="0" wrapText="false" indent="0" shrinkToFit="false"/>
      <protection locked="true" hidden="false"/>
    </xf>
    <xf numFmtId="168" fontId="32" fillId="11" borderId="33" xfId="0" applyFont="true" applyBorder="true" applyAlignment="true" applyProtection="false">
      <alignment horizontal="center" vertical="bottom" textRotation="0" wrapText="false" indent="0" shrinkToFit="false"/>
      <protection locked="true" hidden="false"/>
    </xf>
    <xf numFmtId="165" fontId="32" fillId="11" borderId="33" xfId="17" applyFont="true" applyBorder="true" applyAlignment="true" applyProtection="true">
      <alignment horizontal="center" vertical="bottom" textRotation="0" wrapText="false" indent="0" shrinkToFit="false"/>
      <protection locked="true" hidden="false"/>
    </xf>
    <xf numFmtId="164" fontId="0" fillId="12"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3" fillId="0" borderId="0"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4" fillId="5" borderId="1" xfId="0" applyFont="true" applyBorder="true" applyAlignment="true" applyProtection="false">
      <alignment horizontal="general" vertical="center" textRotation="0" wrapText="true" indent="0" shrinkToFit="false"/>
      <protection locked="true" hidden="false"/>
    </xf>
    <xf numFmtId="164" fontId="35" fillId="13" borderId="34" xfId="0" applyFont="true" applyBorder="true" applyAlignment="true" applyProtection="false">
      <alignment horizontal="general" vertical="center" textRotation="0" wrapText="false" indent="0" shrinkToFit="false"/>
      <protection locked="true" hidden="false"/>
    </xf>
    <xf numFmtId="164" fontId="36" fillId="13" borderId="35" xfId="0" applyFont="true" applyBorder="true" applyAlignment="true" applyProtection="false">
      <alignment horizontal="general" vertical="center" textRotation="0" wrapText="false" indent="0" shrinkToFit="false"/>
      <protection locked="true" hidden="false"/>
    </xf>
    <xf numFmtId="164" fontId="37" fillId="13" borderId="36" xfId="0" applyFont="true" applyBorder="true" applyAlignment="true" applyProtection="false">
      <alignment horizontal="general" vertical="center" textRotation="0" wrapText="true" indent="0" shrinkToFit="false"/>
      <protection locked="true" hidden="false"/>
    </xf>
    <xf numFmtId="164" fontId="38" fillId="0" borderId="0" xfId="0" applyFont="true" applyBorder="true" applyAlignment="false" applyProtection="false">
      <alignment horizontal="general" vertical="bottom" textRotation="0" wrapText="false" indent="0" shrinkToFit="false"/>
      <protection locked="true" hidden="false"/>
    </xf>
    <xf numFmtId="175" fontId="38" fillId="0" borderId="0" xfId="0" applyFont="true" applyBorder="true" applyAlignment="false" applyProtection="false">
      <alignment horizontal="general" vertical="bottom" textRotation="0" wrapText="false" indent="0" shrinkToFit="false"/>
      <protection locked="true" hidden="false"/>
    </xf>
    <xf numFmtId="164" fontId="39" fillId="13" borderId="35" xfId="0" applyFont="true" applyBorder="true" applyAlignment="true" applyProtection="false">
      <alignment horizontal="general" vertical="center" textRotation="0" wrapText="false" indent="0" shrinkToFit="false"/>
      <protection locked="true" hidden="false"/>
    </xf>
    <xf numFmtId="164" fontId="40" fillId="0" borderId="1" xfId="0" applyFont="true" applyBorder="true" applyAlignment="false" applyProtection="false">
      <alignment horizontal="general" vertical="bottom" textRotation="0" wrapText="false" indent="0" shrinkToFit="false"/>
      <protection locked="true" hidden="false"/>
    </xf>
    <xf numFmtId="175" fontId="40" fillId="0" borderId="1" xfId="0" applyFont="true" applyBorder="true" applyAlignment="false" applyProtection="false">
      <alignment horizontal="general" vertical="bottom" textRotation="0" wrapText="false" indent="0" shrinkToFit="false"/>
      <protection locked="true" hidden="false"/>
    </xf>
    <xf numFmtId="167" fontId="40" fillId="0" borderId="1" xfId="0" applyFont="true" applyBorder="true" applyAlignment="false" applyProtection="false">
      <alignment horizontal="general" vertical="bottom" textRotation="0" wrapText="false" indent="0" shrinkToFit="false"/>
      <protection locked="true" hidden="false"/>
    </xf>
    <xf numFmtId="176" fontId="40" fillId="0" borderId="1" xfId="0" applyFont="true" applyBorder="true" applyAlignment="false" applyProtection="false">
      <alignment horizontal="general" vertical="bottom" textRotation="0" wrapText="false" indent="0" shrinkToFit="false"/>
      <protection locked="true" hidden="false"/>
    </xf>
    <xf numFmtId="177" fontId="38" fillId="0" borderId="0" xfId="0" applyFont="true" applyBorder="true" applyAlignment="false" applyProtection="false">
      <alignment horizontal="general" vertical="bottom" textRotation="0" wrapText="false" indent="0" shrinkToFit="false"/>
      <protection locked="true" hidden="false"/>
    </xf>
    <xf numFmtId="164" fontId="34"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78" fontId="40" fillId="0" borderId="1" xfId="0" applyFont="true" applyBorder="true" applyAlignment="false" applyProtection="false">
      <alignment horizontal="general" vertical="bottom" textRotation="0" wrapText="false" indent="0" shrinkToFit="false"/>
      <protection locked="true" hidden="false"/>
    </xf>
    <xf numFmtId="166" fontId="40" fillId="5" borderId="1" xfId="0" applyFont="true" applyBorder="true" applyAlignment="false" applyProtection="false">
      <alignment horizontal="general" vertical="bottom" textRotation="0" wrapText="false" indent="0" shrinkToFit="false"/>
      <protection locked="true" hidden="false"/>
    </xf>
    <xf numFmtId="164" fontId="45" fillId="7"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6" fontId="38" fillId="0" borderId="0" xfId="0" applyFont="true" applyBorder="true" applyAlignment="false" applyProtection="false">
      <alignment horizontal="general" vertical="bottom" textRotation="0" wrapText="false" indent="0" shrinkToFit="false"/>
      <protection locked="true" hidden="false"/>
    </xf>
    <xf numFmtId="179" fontId="38" fillId="0" borderId="0" xfId="0" applyFont="true" applyBorder="true" applyAlignment="false" applyProtection="false">
      <alignment horizontal="general" vertical="bottom" textRotation="0" wrapText="false" indent="0" shrinkToFit="false"/>
      <protection locked="true" hidden="false"/>
    </xf>
    <xf numFmtId="180" fontId="38" fillId="0" borderId="0" xfId="0" applyFont="true" applyBorder="true" applyAlignment="false" applyProtection="false">
      <alignment horizontal="general" vertical="bottom" textRotation="0" wrapText="false" indent="0" shrinkToFit="false"/>
      <protection locked="true" hidden="false"/>
    </xf>
    <xf numFmtId="179" fontId="40" fillId="0" borderId="1" xfId="0" applyFont="true" applyBorder="true" applyAlignment="false" applyProtection="false">
      <alignment horizontal="general" vertical="bottom" textRotation="0" wrapText="false" indent="0" shrinkToFit="false"/>
      <protection locked="true" hidden="false"/>
    </xf>
    <xf numFmtId="181" fontId="38" fillId="0" borderId="0" xfId="0" applyFont="true" applyBorder="true" applyAlignment="false" applyProtection="false">
      <alignment horizontal="general" vertical="bottom" textRotation="0" wrapText="false" indent="0" shrinkToFit="false"/>
      <protection locked="true" hidden="false"/>
    </xf>
    <xf numFmtId="164" fontId="40" fillId="0" borderId="1" xfId="0" applyFont="true" applyBorder="true" applyAlignment="true" applyProtection="false">
      <alignment horizontal="general" vertical="top" textRotation="0" wrapText="true" indent="0" shrinkToFit="false"/>
      <protection locked="true" hidden="false"/>
    </xf>
    <xf numFmtId="168" fontId="40" fillId="0" borderId="1" xfId="0" applyFont="true" applyBorder="true" applyAlignment="true" applyProtection="false">
      <alignment horizontal="general" vertical="top" textRotation="0" wrapText="true" indent="0" shrinkToFit="false"/>
      <protection locked="true" hidden="false"/>
    </xf>
    <xf numFmtId="166" fontId="40" fillId="0" borderId="1" xfId="0" applyFont="true" applyBorder="true" applyAlignment="true" applyProtection="false">
      <alignment horizontal="general" vertical="top" textRotation="0" wrapText="true" indent="0" shrinkToFit="false"/>
      <protection locked="true" hidden="false"/>
    </xf>
    <xf numFmtId="164" fontId="37" fillId="0" borderId="1" xfId="0" applyFont="true" applyBorder="true" applyAlignment="true" applyProtection="false">
      <alignment horizontal="general" vertical="top" textRotation="0" wrapText="true" indent="0" shrinkToFit="false"/>
      <protection locked="true" hidden="false"/>
    </xf>
    <xf numFmtId="184" fontId="40" fillId="0" borderId="1" xfId="0" applyFont="true" applyBorder="true" applyAlignment="true" applyProtection="false">
      <alignment horizontal="general" vertical="top" textRotation="0" wrapText="true" indent="0" shrinkToFit="false"/>
      <protection locked="true" hidden="false"/>
    </xf>
    <xf numFmtId="164" fontId="49" fillId="0" borderId="1" xfId="0" applyFont="true" applyBorder="true" applyAlignment="true" applyProtection="false">
      <alignment horizontal="general" vertical="top" textRotation="0" wrapText="true" indent="0" shrinkToFit="false"/>
      <protection locked="true" hidden="false"/>
    </xf>
    <xf numFmtId="166" fontId="49" fillId="0" borderId="1" xfId="0" applyFont="true" applyBorder="true" applyAlignment="true" applyProtection="false">
      <alignment horizontal="general" vertical="top" textRotation="0" wrapText="true" indent="0" shrinkToFit="false"/>
      <protection locked="true" hidden="false"/>
    </xf>
    <xf numFmtId="179" fontId="49" fillId="0" borderId="1" xfId="0" applyFont="true" applyBorder="true" applyAlignment="true" applyProtection="false">
      <alignment horizontal="general" vertical="top" textRotation="0" wrapText="true" indent="0" shrinkToFit="false"/>
      <protection locked="true" hidden="false"/>
    </xf>
    <xf numFmtId="173" fontId="49" fillId="0" borderId="1" xfId="0" applyFont="true" applyBorder="true" applyAlignment="true" applyProtection="false">
      <alignment horizontal="general" vertical="top" textRotation="0" wrapText="true" indent="0" shrinkToFit="false"/>
      <protection locked="true" hidden="false"/>
    </xf>
    <xf numFmtId="164" fontId="40" fillId="7" borderId="1" xfId="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9">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ill>
        <patternFill patternType="solid">
          <fgColor rgb="FFD9D9D9"/>
          <bgColor rgb="FF000000"/>
        </patternFill>
      </fill>
    </dxf>
    <dxf>
      <fill>
        <patternFill patternType="solid">
          <fgColor rgb="FF1D2733"/>
          <bgColor rgb="FF000000"/>
        </patternFill>
      </fill>
    </dxf>
    <dxf>
      <font>
        <color rgb="FF9C0006"/>
      </font>
      <fill>
        <patternFill>
          <bgColor rgb="FFFFC7CE"/>
        </patternFill>
      </fill>
    </dxf>
    <dxf>
      <font>
        <b val="1"/>
        <color rgb="FF7F6000"/>
      </font>
      <fill>
        <patternFill>
          <bgColor rgb="FFFFF3CD"/>
        </patternFill>
      </fill>
    </dxf>
    <dxf>
      <font>
        <b val="1"/>
        <color rgb="FF1F3864"/>
      </font>
      <fill>
        <patternFill>
          <bgColor rgb="FFDDEBF7"/>
        </patternFill>
      </fill>
    </dxf>
  </dxfs>
  <colors>
    <indexedColors>
      <rgbColor rgb="FF000000"/>
      <rgbColor rgb="FFFFFFFF"/>
      <rgbColor rgb="FFFF0000"/>
      <rgbColor rgb="FFC4CDD5"/>
      <rgbColor rgb="FF0000FF"/>
      <rgbColor rgb="FFFFFF00"/>
      <rgbColor rgb="FFC6CBD0"/>
      <rgbColor rgb="FF8FAADC"/>
      <rgbColor rgb="FF9C0006"/>
      <rgbColor rgb="FF186A3B"/>
      <rgbColor rgb="FF000080"/>
      <rgbColor rgb="FF7F6000"/>
      <rgbColor rgb="FFD9E1F2"/>
      <rgbColor rgb="FF4472C4"/>
      <rgbColor rgb="FFBFBFBF"/>
      <rgbColor rgb="FF808080"/>
      <rgbColor rgb="FF8EA9DB"/>
      <rgbColor rgb="FF595959"/>
      <rgbColor rgb="FFFFF3CD"/>
      <rgbColor rgb="FFE8F6EC"/>
      <rgbColor rgb="FFEAF2FB"/>
      <rgbColor rgb="FFF39C7A"/>
      <rgbColor rgb="FF0563C1"/>
      <rgbColor rgb="FFBBD4EE"/>
      <rgbColor rgb="FF000080"/>
      <rgbColor rgb="FFCBD5DF"/>
      <rgbColor rgb="FFD9D9D9"/>
      <rgbColor rgb="FF98A4AF"/>
      <rgbColor rgb="FFDAE3F3"/>
      <rgbColor rgb="FFC00000"/>
      <rgbColor rgb="FF8B8B8B"/>
      <rgbColor rgb="FF0000FF"/>
      <rgbColor rgb="FF7FA8CF"/>
      <rgbColor rgb="FFDDEBF7"/>
      <rgbColor rgb="FFE4E9ED"/>
      <rgbColor rgb="FFF5F7FA"/>
      <rgbColor rgb="FFBFC7D1"/>
      <rgbColor rgb="FFC8A96E"/>
      <rgbColor rgb="FFA6A6A6"/>
      <rgbColor rgb="FFFFC7CE"/>
      <rgbColor rgb="FF2A78D6"/>
      <rgbColor rgb="FF6DA7EC"/>
      <rgbColor rgb="FFA5A5A5"/>
      <rgbColor rgb="FFDCCBA0"/>
      <rgbColor rgb="FFED7D31"/>
      <rgbColor rgb="FFEB6834"/>
      <rgbColor rgb="FF6B7A88"/>
      <rgbColor rgb="FF9AA0A6"/>
      <rgbColor rgb="FF1F3864"/>
      <rgbColor rgb="FF2E8B1F"/>
      <rgbColor rgb="FF3E4C59"/>
      <rgbColor rgb="FF1D2733"/>
      <rgbColor rgb="FFC1440E"/>
      <rgbColor rgb="FF7F7F7F"/>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50500206"/>
        <c:axId val="16885868"/>
      </c:barChart>
      <c:catAx>
        <c:axId val="50500206"/>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6885868"/>
        <c:crosses val="autoZero"/>
        <c:auto val="1"/>
        <c:lblAlgn val="ctr"/>
        <c:lblOffset val="100"/>
        <c:noMultiLvlLbl val="0"/>
      </c:catAx>
      <c:valAx>
        <c:axId val="16885868"/>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050020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85301160"/>
        <c:axId val="64850507"/>
      </c:barChart>
      <c:catAx>
        <c:axId val="8530116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4850507"/>
        <c:crosses val="autoZero"/>
        <c:auto val="1"/>
        <c:lblAlgn val="ctr"/>
        <c:lblOffset val="100"/>
        <c:noMultiLvlLbl val="0"/>
      </c:catAx>
      <c:valAx>
        <c:axId val="6485050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530116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gapWidth val="219"/>
        <c:overlap val="-27"/>
        <c:axId val="50618870"/>
        <c:axId val="65645412"/>
      </c:barChart>
      <c:catAx>
        <c:axId val="5061887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5645412"/>
        <c:crosses val="autoZero"/>
        <c:auto val="1"/>
        <c:lblAlgn val="ctr"/>
        <c:lblOffset val="100"/>
        <c:noMultiLvlLbl val="0"/>
      </c:catAx>
      <c:valAx>
        <c:axId val="6564541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061887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gapWidth val="219"/>
        <c:overlap val="-27"/>
        <c:axId val="80270962"/>
        <c:axId val="40882111"/>
      </c:barChart>
      <c:catAx>
        <c:axId val="8027096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0882111"/>
        <c:crosses val="autoZero"/>
        <c:auto val="1"/>
        <c:lblAlgn val="ctr"/>
        <c:lblOffset val="100"/>
        <c:noMultiLvlLbl val="0"/>
      </c:catAx>
      <c:valAx>
        <c:axId val="4088211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027096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'TMP(HMARehab)'!$L$37:$L$67</c:f>
              <c:numCache>
                <c:formatCode>\$#,##0</c:formatCode>
                <c:ptCount val="31"/>
                <c:pt idx="0">
                  <c:v>0</c:v>
                </c:pt>
                <c:pt idx="1">
                  <c:v>0</c:v>
                </c:pt>
                <c:pt idx="2">
                  <c:v>0</c:v>
                </c:pt>
                <c:pt idx="3">
                  <c:v>0</c:v>
                </c:pt>
                <c:pt idx="4">
                  <c:v>501909.577777778</c:v>
                </c:pt>
                <c:pt idx="5">
                  <c:v>0</c:v>
                </c:pt>
                <c:pt idx="6">
                  <c:v>0</c:v>
                </c:pt>
                <c:pt idx="7">
                  <c:v>0</c:v>
                </c:pt>
                <c:pt idx="8">
                  <c:v>777707.049840278</c:v>
                </c:pt>
                <c:pt idx="9">
                  <c:v>0</c:v>
                </c:pt>
                <c:pt idx="10">
                  <c:v>0</c:v>
                </c:pt>
                <c:pt idx="11">
                  <c:v>0</c:v>
                </c:pt>
                <c:pt idx="12">
                  <c:v>501909.577777778</c:v>
                </c:pt>
                <c:pt idx="13">
                  <c:v>0</c:v>
                </c:pt>
                <c:pt idx="14">
                  <c:v>0</c:v>
                </c:pt>
                <c:pt idx="15">
                  <c:v>0</c:v>
                </c:pt>
                <c:pt idx="16">
                  <c:v>2532563.55604167</c:v>
                </c:pt>
                <c:pt idx="17">
                  <c:v>0</c:v>
                </c:pt>
                <c:pt idx="18">
                  <c:v>0</c:v>
                </c:pt>
                <c:pt idx="19">
                  <c:v>0</c:v>
                </c:pt>
                <c:pt idx="20">
                  <c:v>501909.577777778</c:v>
                </c:pt>
                <c:pt idx="21">
                  <c:v>0</c:v>
                </c:pt>
                <c:pt idx="22">
                  <c:v>0</c:v>
                </c:pt>
                <c:pt idx="23">
                  <c:v>0</c:v>
                </c:pt>
                <c:pt idx="24">
                  <c:v>777707.049840278</c:v>
                </c:pt>
                <c:pt idx="25">
                  <c:v>0</c:v>
                </c:pt>
                <c:pt idx="26">
                  <c:v>0</c:v>
                </c:pt>
                <c:pt idx="27">
                  <c:v>0</c:v>
                </c:pt>
                <c:pt idx="28">
                  <c:v>501909.577777778</c:v>
                </c:pt>
                <c:pt idx="29">
                  <c:v>0</c:v>
                </c:pt>
                <c:pt idx="30">
                  <c:v>0</c:v>
                </c:pt>
              </c:numCache>
            </c:numRef>
          </c:val>
        </c:ser>
        <c:gapWidth val="219"/>
        <c:overlap val="-27"/>
        <c:axId val="72533459"/>
        <c:axId val="76221319"/>
      </c:barChart>
      <c:catAx>
        <c:axId val="7253345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6221319"/>
        <c:crosses val="autoZero"/>
        <c:auto val="1"/>
        <c:lblAlgn val="ctr"/>
        <c:lblOffset val="100"/>
        <c:noMultiLvlLbl val="0"/>
      </c:catAx>
      <c:valAx>
        <c:axId val="76221319"/>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253345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Summary!$C$4:$C$7</c:f>
              <c:numCache>
                <c:formatCode>\$#,##0</c:formatCode>
                <c:ptCount val="4"/>
                <c:pt idx="0">
                  <c:v>12372457.4666667</c:v>
                </c:pt>
                <c:pt idx="1">
                  <c:v>13830665.5166667</c:v>
                </c:pt>
                <c:pt idx="2">
                  <c:v>14671661.6666667</c:v>
                </c:pt>
                <c:pt idx="3">
                  <c:v>14418903.1666667</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Alt 4</c:v>
                </c:pt>
              </c:strCache>
            </c:strRef>
          </c:cat>
          <c:val>
            <c:numRef>
              <c:f>Summary!$D$4:$D$7</c:f>
              <c:numCache>
                <c:formatCode>\$#,##0</c:formatCode>
                <c:ptCount val="4"/>
                <c:pt idx="0">
                  <c:v>16528083.6250713</c:v>
                </c:pt>
                <c:pt idx="1">
                  <c:v>14066568.3801067</c:v>
                </c:pt>
                <c:pt idx="2">
                  <c:v>18827287.8250713</c:v>
                </c:pt>
                <c:pt idx="3">
                  <c:v>14594219.4992945</c:v>
                </c:pt>
              </c:numCache>
            </c:numRef>
          </c:val>
        </c:ser>
        <c:gapWidth val="219"/>
        <c:overlap val="-27"/>
        <c:axId val="8211062"/>
        <c:axId val="70996637"/>
      </c:barChart>
      <c:catAx>
        <c:axId val="821106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0996637"/>
        <c:crosses val="autoZero"/>
        <c:auto val="1"/>
        <c:lblAlgn val="ctr"/>
        <c:lblOffset val="100"/>
        <c:noMultiLvlLbl val="0"/>
      </c:catAx>
      <c:valAx>
        <c:axId val="7099663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21106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3e4c59"/>
            </a:solidFill>
            <a:ln w="0">
              <a:solidFill>
                <a:srgbClr val="3e4c59"/>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Summary!$X$5:$AA$5</c:f>
              <c:numCache>
                <c:formatCode>\$#,##0;"($"#,##0\);\-</c:formatCode>
                <c:ptCount val="4"/>
                <c:pt idx="0">
                  <c:v>12372457.4666667</c:v>
                </c:pt>
                <c:pt idx="1">
                  <c:v>13830665.5166667</c:v>
                </c:pt>
                <c:pt idx="2">
                  <c:v>14671661.6666667</c:v>
                </c:pt>
                <c:pt idx="3">
                  <c:v>14418903.1666667</c:v>
                </c:pt>
              </c:numCache>
            </c:numRef>
          </c:val>
        </c:ser>
        <c:ser>
          <c:idx val="1"/>
          <c:order val="1"/>
          <c:tx>
            <c:strRef>
              <c:f>Summary!W6</c:f>
              <c:strCache>
                <c:ptCount val="1"/>
                <c:pt idx="0">
                  <c:v>Maintenance</c:v>
                </c:pt>
              </c:strCache>
            </c:strRef>
          </c:tx>
          <c:spPr>
            <a:solidFill>
              <a:srgbClr val="6b7a88"/>
            </a:solidFill>
            <a:ln w="0">
              <a:solidFill>
                <a:srgbClr val="6b7a88"/>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Summary!$X$6:$AA$6</c:f>
              <c:numCache>
                <c:formatCode>\$#,##0;"($"#,##0\);\-</c:formatCode>
                <c:ptCount val="4"/>
                <c:pt idx="0">
                  <c:v>2379784.64860648</c:v>
                </c:pt>
                <c:pt idx="1">
                  <c:v>784497.330925104</c:v>
                </c:pt>
                <c:pt idx="2">
                  <c:v>2379784.64860648</c:v>
                </c:pt>
                <c:pt idx="3">
                  <c:v>784497.330925104</c:v>
                </c:pt>
              </c:numCache>
            </c:numRef>
          </c:val>
        </c:ser>
        <c:ser>
          <c:idx val="2"/>
          <c:order val="2"/>
          <c:tx>
            <c:strRef>
              <c:f>Summary!W7</c:f>
              <c:strCache>
                <c:ptCount val="1"/>
                <c:pt idx="0">
                  <c:v>Rehabilitation</c:v>
                </c:pt>
              </c:strCache>
            </c:strRef>
          </c:tx>
          <c:spPr>
            <a:solidFill>
              <a:srgbClr val="98a4af"/>
            </a:solidFill>
            <a:ln w="0">
              <a:solidFill>
                <a:srgbClr val="98a4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Summary!$X$7:$AA$7</c:f>
              <c:numCache>
                <c:formatCode>\$#,##0;"($"#,##0\);\-</c:formatCode>
                <c:ptCount val="4"/>
                <c:pt idx="0">
                  <c:v>1410821.98752729</c:v>
                </c:pt>
                <c:pt idx="1">
                  <c:v>724784.190874235</c:v>
                </c:pt>
                <c:pt idx="2">
                  <c:v>1410821.98752729</c:v>
                </c:pt>
                <c:pt idx="3">
                  <c:v>724784.190874235</c:v>
                </c:pt>
              </c:numCache>
            </c:numRef>
          </c:val>
        </c:ser>
        <c:ser>
          <c:idx val="3"/>
          <c:order val="3"/>
          <c:tx>
            <c:strRef>
              <c:f>Summary!W8</c:f>
              <c:strCache>
                <c:ptCount val="1"/>
                <c:pt idx="0">
                  <c:v>Lost revenue</c:v>
                </c:pt>
              </c:strCache>
            </c:strRef>
          </c:tx>
          <c:spPr>
            <a:solidFill>
              <a:srgbClr val="c4cdd5"/>
            </a:solidFill>
            <a:ln w="0">
              <a:solidFill>
                <a:srgbClr val="c4cd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Summary!$X$8:$AA$8</c:f>
              <c:numCache>
                <c:formatCode>\$#,##0;"($"#,##0\);\-</c:formatCode>
                <c:ptCount val="4"/>
                <c:pt idx="0">
                  <c:v>496242.529261035</c:v>
                </c:pt>
                <c:pt idx="1">
                  <c:v>151134.108680669</c:v>
                </c:pt>
                <c:pt idx="2">
                  <c:v>496242.529261035</c:v>
                </c:pt>
                <c:pt idx="3">
                  <c:v>151134.108680669</c:v>
                </c:pt>
              </c:numCache>
            </c:numRef>
          </c:val>
        </c:ser>
        <c:ser>
          <c:idx val="4"/>
          <c:order val="4"/>
          <c:tx>
            <c:strRef>
              <c:f>Summary!W9</c:f>
              <c:strCache>
                <c:ptCount val="1"/>
                <c:pt idx="0">
                  <c:v>Salvage</c:v>
                </c:pt>
              </c:strCache>
            </c:strRef>
          </c:tx>
          <c:spPr>
            <a:solidFill>
              <a:srgbClr val="e4e9ed"/>
            </a:solidFill>
            <a:ln w="0">
              <a:solidFill>
                <a:srgbClr val="e4e9e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Alternative 4</c:v>
                </c:pt>
              </c:strCache>
            </c:strRef>
          </c:cat>
          <c:val>
            <c:numRef>
              <c:f>Summary!$X$9:$AA$9</c:f>
              <c:numCache>
                <c:formatCode>\$#,##0;"($"#,##0\);\-</c:formatCode>
                <c:ptCount val="4"/>
                <c:pt idx="0">
                  <c:v>-131223.006990195</c:v>
                </c:pt>
                <c:pt idx="1">
                  <c:v>-1424512.76703997</c:v>
                </c:pt>
                <c:pt idx="2">
                  <c:v>-131223.006990195</c:v>
                </c:pt>
                <c:pt idx="3">
                  <c:v>-1485099.29785216</c:v>
                </c:pt>
              </c:numCache>
            </c:numRef>
          </c:val>
        </c:ser>
        <c:gapWidth val="60"/>
        <c:overlap val="100"/>
        <c:axId val="79016122"/>
        <c:axId val="80143576"/>
      </c:barChart>
      <c:catAx>
        <c:axId val="7901612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80143576"/>
        <c:crosses val="autoZero"/>
        <c:auto val="1"/>
        <c:lblAlgn val="ctr"/>
        <c:lblOffset val="100"/>
        <c:noMultiLvlLbl val="0"/>
      </c:catAx>
      <c:valAx>
        <c:axId val="80143576"/>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901612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17229417.1943786</c:v>
                </c:pt>
                <c:pt idx="1">
                  <c:v>17041189.8234528</c:v>
                </c:pt>
                <c:pt idx="2">
                  <c:v>16861867.575719</c:v>
                </c:pt>
                <c:pt idx="3">
                  <c:v>16690980.0340895</c:v>
                </c:pt>
                <c:pt idx="4">
                  <c:v>16528083.6250713</c:v>
                </c:pt>
                <c:pt idx="5">
                  <c:v>16372759.9897213</c:v>
                </c:pt>
                <c:pt idx="6">
                  <c:v>16224614.4587692</c:v>
                </c:pt>
                <c:pt idx="7">
                  <c:v>16083274.624933</c:v>
                </c:pt>
                <c:pt idx="8">
                  <c:v>15948389.005944</c:v>
                </c:pt>
                <c:pt idx="9">
                  <c:v>15819625.7922423</c:v>
                </c:pt>
                <c:pt idx="10">
                  <c:v>15696671.6737287</c:v>
                </c:pt>
                <c:pt idx="11">
                  <c:v>15579230.7403418</c:v>
                </c:pt>
                <c:pt idx="12">
                  <c:v>15467023.4515934</c:v>
                </c:pt>
                <c:pt idx="13">
                  <c:v>15359785.6705284</c:v>
                </c:pt>
                <c:pt idx="14">
                  <c:v>15257267.7578851</c:v>
                </c:pt>
                <c:pt idx="15">
                  <c:v>15159233.7225235</c:v>
                </c:pt>
                <c:pt idx="16">
                  <c:v>15065460.4244543</c:v>
                </c:pt>
                <c:pt idx="17">
                  <c:v>14975736.8270522</c:v>
                </c:pt>
                <c:pt idx="18">
                  <c:v>14889863.295268</c:v>
                </c:pt>
                <c:pt idx="19">
                  <c:v>14807650.9368703</c:v>
                </c:pt>
                <c:pt idx="20">
                  <c:v>14728920.9839463</c:v>
                </c:pt>
                <c:pt idx="21">
                  <c:v>14653504.2120786</c:v>
                </c:pt>
                <c:pt idx="22">
                  <c:v>14581240.3947873</c:v>
                </c:pt>
                <c:pt idx="23">
                  <c:v>14511977.7909877</c:v>
                </c:pt>
                <c:pt idx="24">
                  <c:v>14445572.6633656</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13999788.3012032</c:v>
                </c:pt>
                <c:pt idx="1">
                  <c:v>14020930.8610812</c:v>
                </c:pt>
                <c:pt idx="2">
                  <c:v>14038896.7540619</c:v>
                </c:pt>
                <c:pt idx="3">
                  <c:v>14054010.9355636</c:v>
                </c:pt>
                <c:pt idx="4">
                  <c:v>14066568.3801067</c:v>
                </c:pt>
                <c:pt idx="5">
                  <c:v>14076836.7549447</c:v>
                </c:pt>
                <c:pt idx="6">
                  <c:v>14085058.8570033</c:v>
                </c:pt>
                <c:pt idx="7">
                  <c:v>14091454.8341891</c:v>
                </c:pt>
                <c:pt idx="8">
                  <c:v>14096224.2102331</c:v>
                </c:pt>
                <c:pt idx="9">
                  <c:v>14099547.7305129</c:v>
                </c:pt>
                <c:pt idx="10">
                  <c:v>14101589.0447311</c:v>
                </c:pt>
                <c:pt idx="11">
                  <c:v>14102496.2409046</c:v>
                </c:pt>
                <c:pt idx="12">
                  <c:v>14102403.2438256</c:v>
                </c:pt>
                <c:pt idx="13">
                  <c:v>14101431.0899802</c:v>
                </c:pt>
                <c:pt idx="14">
                  <c:v>14099689.0898387</c:v>
                </c:pt>
                <c:pt idx="15">
                  <c:v>14097275.8874616</c:v>
                </c:pt>
                <c:pt idx="16">
                  <c:v>14094280.4264773</c:v>
                </c:pt>
                <c:pt idx="17">
                  <c:v>14090782.8306857</c:v>
                </c:pt>
                <c:pt idx="18">
                  <c:v>14086855.2068048</c:v>
                </c:pt>
                <c:pt idx="19">
                  <c:v>14082562.3762169</c:v>
                </c:pt>
                <c:pt idx="20">
                  <c:v>14077962.5419561</c:v>
                </c:pt>
                <c:pt idx="21">
                  <c:v>14073107.8966348</c:v>
                </c:pt>
                <c:pt idx="22">
                  <c:v>14068045.1764953</c:v>
                </c:pt>
                <c:pt idx="23">
                  <c:v>14062816.1663221</c:v>
                </c:pt>
                <c:pt idx="24">
                  <c:v>14057458.1595278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19528621.3943786</c:v>
                </c:pt>
                <c:pt idx="1">
                  <c:v>19340394.0234528</c:v>
                </c:pt>
                <c:pt idx="2">
                  <c:v>19161071.775719</c:v>
                </c:pt>
                <c:pt idx="3">
                  <c:v>18990184.2340895</c:v>
                </c:pt>
                <c:pt idx="4">
                  <c:v>18827287.8250713</c:v>
                </c:pt>
                <c:pt idx="5">
                  <c:v>18671964.1897213</c:v>
                </c:pt>
                <c:pt idx="6">
                  <c:v>18523818.6587692</c:v>
                </c:pt>
                <c:pt idx="7">
                  <c:v>18382478.824933</c:v>
                </c:pt>
                <c:pt idx="8">
                  <c:v>18247593.205944</c:v>
                </c:pt>
                <c:pt idx="9">
                  <c:v>18118829.9922423</c:v>
                </c:pt>
                <c:pt idx="10">
                  <c:v>17995875.8737287</c:v>
                </c:pt>
                <c:pt idx="11">
                  <c:v>17878434.9403418</c:v>
                </c:pt>
                <c:pt idx="12">
                  <c:v>17766227.6515934</c:v>
                </c:pt>
                <c:pt idx="13">
                  <c:v>17658989.8705284</c:v>
                </c:pt>
                <c:pt idx="14">
                  <c:v>17556471.9578851</c:v>
                </c:pt>
                <c:pt idx="15">
                  <c:v>17458437.9225235</c:v>
                </c:pt>
                <c:pt idx="16">
                  <c:v>17364664.6244543</c:v>
                </c:pt>
                <c:pt idx="17">
                  <c:v>17274941.0270522</c:v>
                </c:pt>
                <c:pt idx="18">
                  <c:v>17189067.495268</c:v>
                </c:pt>
                <c:pt idx="19">
                  <c:v>17106855.1368703</c:v>
                </c:pt>
                <c:pt idx="20">
                  <c:v>17028125.1839463</c:v>
                </c:pt>
                <c:pt idx="21">
                  <c:v>16952708.4120786</c:v>
                </c:pt>
                <c:pt idx="22">
                  <c:v>16880444.5947873</c:v>
                </c:pt>
                <c:pt idx="23">
                  <c:v>16811181.9909877</c:v>
                </c:pt>
                <c:pt idx="24">
                  <c:v>16744776.8633656</c:v>
                </c:pt>
              </c:numCache>
            </c:numRef>
          </c:val>
          <c:smooth val="0"/>
        </c:ser>
        <c:ser>
          <c:idx val="3"/>
          <c:order val="3"/>
          <c:tx>
            <c:strRef>
              <c:f>Summary!AA11</c:f>
              <c:strCache>
                <c:ptCount val="1"/>
                <c:pt idx="0">
                  <c:v>Alternative 4</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14506838.7306115</c:v>
                </c:pt>
                <c:pt idx="1">
                  <c:v>14533729.9621238</c:v>
                </c:pt>
                <c:pt idx="2">
                  <c:v>14557024.9048655</c:v>
                </c:pt>
                <c:pt idx="3">
                  <c:v>14577080.0577503</c:v>
                </c:pt>
                <c:pt idx="4">
                  <c:v>14594219.4992945</c:v>
                </c:pt>
                <c:pt idx="5">
                  <c:v>14608737.7551734</c:v>
                </c:pt>
                <c:pt idx="6">
                  <c:v>14620902.4132537</c:v>
                </c:pt>
                <c:pt idx="7">
                  <c:v>14630956.5084889</c:v>
                </c:pt>
                <c:pt idx="8">
                  <c:v>14639120.6980581</c:v>
                </c:pt>
                <c:pt idx="9">
                  <c:v>14645595.2452966</c:v>
                </c:pt>
                <c:pt idx="10">
                  <c:v>14650561.8293132</c:v>
                </c:pt>
                <c:pt idx="11">
                  <c:v>14654185.1956735</c:v>
                </c:pt>
                <c:pt idx="12">
                  <c:v>14656614.6621605</c:v>
                </c:pt>
                <c:pt idx="13">
                  <c:v>14657985.4923725</c:v>
                </c:pt>
                <c:pt idx="14">
                  <c:v>14658420.1487846</c:v>
                </c:pt>
                <c:pt idx="15">
                  <c:v>14658029.4358675</c:v>
                </c:pt>
                <c:pt idx="16">
                  <c:v>14656913.5429153</c:v>
                </c:pt>
                <c:pt idx="17">
                  <c:v>14655162.9953821</c:v>
                </c:pt>
                <c:pt idx="18">
                  <c:v>14652859.5227445</c:v>
                </c:pt>
                <c:pt idx="19">
                  <c:v>14650076.8502029</c:v>
                </c:pt>
                <c:pt idx="20">
                  <c:v>14646881.4208856</c:v>
                </c:pt>
                <c:pt idx="21">
                  <c:v>14643333.0546348</c:v>
                </c:pt>
                <c:pt idx="22">
                  <c:v>14639485.5489164</c:v>
                </c:pt>
                <c:pt idx="23">
                  <c:v>14635387.2269095</c:v>
                </c:pt>
                <c:pt idx="24">
                  <c:v>14631081.4373872</c:v>
                </c:pt>
              </c:numCache>
            </c:numRef>
          </c:val>
          <c:smooth val="0"/>
        </c:ser>
        <c:hiLowLines>
          <c:spPr>
            <a:ln w="0">
              <a:noFill/>
            </a:ln>
          </c:spPr>
        </c:hiLowLines>
        <c:marker val="0"/>
        <c:axId val="86490276"/>
        <c:axId val="5431832"/>
      </c:lineChart>
      <c:catAx>
        <c:axId val="8649027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431832"/>
        <c:crosses val="autoZero"/>
        <c:auto val="1"/>
        <c:lblAlgn val="ctr"/>
        <c:lblOffset val="100"/>
        <c:noMultiLvlLbl val="0"/>
      </c:catAx>
      <c:valAx>
        <c:axId val="543183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649027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Summary!$Y$41:$Y$71</c:f>
              <c:numCache>
                <c:formatCode>\$#,##0;"($"#,##0\);\-</c:formatCode>
                <c:ptCount val="31"/>
                <c:pt idx="0">
                  <c:v>12372457.4666667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Summary!$Z$41:$Z$71</c:f>
              <c:numCache>
                <c:formatCode>\$#,##0;"($"#,##0\);\-</c:formatCode>
                <c:ptCount val="31"/>
                <c:pt idx="0">
                  <c:v>13830665.5166667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-3457666.37916667</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Summary!$AA$41:$AA$71</c:f>
              <c:numCache>
                <c:formatCode>\$#,##0;"($"#,##0\);\-</c:formatCode>
                <c:ptCount val="31"/>
                <c:pt idx="0">
                  <c:v>14671661.6666667</c:v>
                </c:pt>
                <c:pt idx="1">
                  <c:v>0</c:v>
                </c:pt>
                <c:pt idx="2">
                  <c:v>0</c:v>
                </c:pt>
                <c:pt idx="3">
                  <c:v>0</c:v>
                </c:pt>
                <c:pt idx="4">
                  <c:v>586968.977777778</c:v>
                </c:pt>
                <c:pt idx="5">
                  <c:v>0</c:v>
                </c:pt>
                <c:pt idx="6">
                  <c:v>0</c:v>
                </c:pt>
                <c:pt idx="7">
                  <c:v>0</c:v>
                </c:pt>
                <c:pt idx="8">
                  <c:v>586968.977777778</c:v>
                </c:pt>
                <c:pt idx="9">
                  <c:v>0</c:v>
                </c:pt>
                <c:pt idx="10">
                  <c:v>0</c:v>
                </c:pt>
                <c:pt idx="11">
                  <c:v>0</c:v>
                </c:pt>
                <c:pt idx="12">
                  <c:v>804678.548715278</c:v>
                </c:pt>
                <c:pt idx="13">
                  <c:v>0</c:v>
                </c:pt>
                <c:pt idx="14">
                  <c:v>0</c:v>
                </c:pt>
                <c:pt idx="15">
                  <c:v>0</c:v>
                </c:pt>
                <c:pt idx="16">
                  <c:v>837049.144027778</c:v>
                </c:pt>
                <c:pt idx="17">
                  <c:v>0</c:v>
                </c:pt>
                <c:pt idx="18">
                  <c:v>0</c:v>
                </c:pt>
                <c:pt idx="19">
                  <c:v>0</c:v>
                </c:pt>
                <c:pt idx="20">
                  <c:v>2786267.76179167</c:v>
                </c:pt>
                <c:pt idx="21">
                  <c:v>0</c:v>
                </c:pt>
                <c:pt idx="22">
                  <c:v>0</c:v>
                </c:pt>
                <c:pt idx="23">
                  <c:v>0</c:v>
                </c:pt>
                <c:pt idx="24">
                  <c:v>586968.977777778</c:v>
                </c:pt>
                <c:pt idx="25">
                  <c:v>0</c:v>
                </c:pt>
                <c:pt idx="26">
                  <c:v>0</c:v>
                </c:pt>
                <c:pt idx="27">
                  <c:v>0</c:v>
                </c:pt>
                <c:pt idx="28">
                  <c:v>879778.329840278</c:v>
                </c:pt>
                <c:pt idx="29">
                  <c:v>0</c:v>
                </c:pt>
                <c:pt idx="30">
                  <c:v>-318512.680223958</c:v>
                </c:pt>
              </c:numCache>
            </c:numRef>
          </c:val>
        </c:ser>
        <c:ser>
          <c:idx val="3"/>
          <c:order val="3"/>
          <c:tx>
            <c:strRef>
              <c:f>Summary!AB40</c:f>
              <c:strCache>
                <c:ptCount val="1"/>
                <c:pt idx="0">
                  <c:v>Alternative 4 spend</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Summary!$AB$41:$AB$71</c:f>
              <c:numCache>
                <c:formatCode>\$#,##0;"($"#,##0\);\-</c:formatCode>
                <c:ptCount val="31"/>
                <c:pt idx="0">
                  <c:v>14418903.1666667</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1486198.0384</c:v>
                </c:pt>
                <c:pt idx="20">
                  <c:v>0</c:v>
                </c:pt>
                <c:pt idx="21">
                  <c:v>0</c:v>
                </c:pt>
                <c:pt idx="22">
                  <c:v>0</c:v>
                </c:pt>
                <c:pt idx="23">
                  <c:v>0</c:v>
                </c:pt>
                <c:pt idx="24">
                  <c:v>0</c:v>
                </c:pt>
                <c:pt idx="25">
                  <c:v>0</c:v>
                </c:pt>
                <c:pt idx="26">
                  <c:v>0</c:v>
                </c:pt>
                <c:pt idx="27">
                  <c:v>1805591.7746</c:v>
                </c:pt>
                <c:pt idx="28">
                  <c:v>0</c:v>
                </c:pt>
                <c:pt idx="29">
                  <c:v>0</c:v>
                </c:pt>
                <c:pt idx="30">
                  <c:v>-3604725.79166667</c:v>
                </c:pt>
              </c:numCache>
            </c:numRef>
          </c:val>
        </c:ser>
        <c:gapWidth val="40"/>
        <c:overlap val="0"/>
        <c:axId val="17875212"/>
        <c:axId val="74556550"/>
      </c:barChart>
      <c:catAx>
        <c:axId val="1787521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74556550"/>
        <c:crosses val="autoZero"/>
        <c:auto val="1"/>
        <c:lblAlgn val="ctr"/>
        <c:lblOffset val="100"/>
        <c:noMultiLvlLbl val="0"/>
      </c:catAx>
      <c:valAx>
        <c:axId val="7455655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787521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Summary!$AC$41:$AC$71</c:f>
              <c:numCache>
                <c:formatCode>\$#,##0;"($"#,##0\);\-</c:formatCode>
                <c:ptCount val="31"/>
                <c:pt idx="0">
                  <c:v>12372457.4666667</c:v>
                </c:pt>
                <c:pt idx="1">
                  <c:v>12372457.4666667</c:v>
                </c:pt>
                <c:pt idx="2">
                  <c:v>12372457.4666667</c:v>
                </c:pt>
                <c:pt idx="3">
                  <c:v>12372457.4666667</c:v>
                </c:pt>
                <c:pt idx="4">
                  <c:v>12893971.8009505</c:v>
                </c:pt>
                <c:pt idx="5">
                  <c:v>12893971.8009505</c:v>
                </c:pt>
                <c:pt idx="6">
                  <c:v>12893971.8009505</c:v>
                </c:pt>
                <c:pt idx="7">
                  <c:v>12893971.8009505</c:v>
                </c:pt>
                <c:pt idx="8">
                  <c:v>13357330.5322641</c:v>
                </c:pt>
                <c:pt idx="9">
                  <c:v>13357330.5322641</c:v>
                </c:pt>
                <c:pt idx="10">
                  <c:v>13357330.5322641</c:v>
                </c:pt>
                <c:pt idx="11">
                  <c:v>13357330.5322641</c:v>
                </c:pt>
                <c:pt idx="12">
                  <c:v>13921715.8763559</c:v>
                </c:pt>
                <c:pt idx="13">
                  <c:v>13921715.8763559</c:v>
                </c:pt>
                <c:pt idx="14">
                  <c:v>13921715.8763559</c:v>
                </c:pt>
                <c:pt idx="15">
                  <c:v>13921715.8763559</c:v>
                </c:pt>
                <c:pt idx="16">
                  <c:v>14443337.2294165</c:v>
                </c:pt>
                <c:pt idx="17">
                  <c:v>14443337.2294165</c:v>
                </c:pt>
                <c:pt idx="18">
                  <c:v>14443337.2294165</c:v>
                </c:pt>
                <c:pt idx="19">
                  <c:v>14443337.2294165</c:v>
                </c:pt>
                <c:pt idx="20">
                  <c:v>15986026.1337916</c:v>
                </c:pt>
                <c:pt idx="21">
                  <c:v>15986026.1337916</c:v>
                </c:pt>
                <c:pt idx="22">
                  <c:v>15986026.1337916</c:v>
                </c:pt>
                <c:pt idx="23">
                  <c:v>15986026.1337916</c:v>
                </c:pt>
                <c:pt idx="24">
                  <c:v>16274775.9761452</c:v>
                </c:pt>
                <c:pt idx="25">
                  <c:v>16274775.9761452</c:v>
                </c:pt>
                <c:pt idx="26">
                  <c:v>16274775.9761452</c:v>
                </c:pt>
                <c:pt idx="27">
                  <c:v>16274775.9761452</c:v>
                </c:pt>
                <c:pt idx="28">
                  <c:v>16659306.6320615</c:v>
                </c:pt>
                <c:pt idx="29">
                  <c:v>16659306.6320615</c:v>
                </c:pt>
                <c:pt idx="30">
                  <c:v>16528083.6250713</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Summary!$AD$41:$AD$71</c:f>
              <c:numCache>
                <c:formatCode>\$#,##0;"($"#,##0\);\-</c:formatCode>
                <c:ptCount val="31"/>
                <c:pt idx="0">
                  <c:v>13830665.5166667</c:v>
                </c:pt>
                <c:pt idx="1">
                  <c:v>13830665.5166667</c:v>
                </c:pt>
                <c:pt idx="2">
                  <c:v>13830665.5166667</c:v>
                </c:pt>
                <c:pt idx="3">
                  <c:v>13830665.5166667</c:v>
                </c:pt>
                <c:pt idx="4">
                  <c:v>13830665.5166667</c:v>
                </c:pt>
                <c:pt idx="5">
                  <c:v>13830665.5166667</c:v>
                </c:pt>
                <c:pt idx="6">
                  <c:v>13830665.5166667</c:v>
                </c:pt>
                <c:pt idx="7">
                  <c:v>13830665.5166667</c:v>
                </c:pt>
                <c:pt idx="8">
                  <c:v>13830665.5166667</c:v>
                </c:pt>
                <c:pt idx="9">
                  <c:v>13830665.5166667</c:v>
                </c:pt>
                <c:pt idx="10">
                  <c:v>13830665.5166667</c:v>
                </c:pt>
                <c:pt idx="11">
                  <c:v>13830665.5166667</c:v>
                </c:pt>
                <c:pt idx="12">
                  <c:v>13830665.5166667</c:v>
                </c:pt>
                <c:pt idx="13">
                  <c:v>13830665.5166667</c:v>
                </c:pt>
                <c:pt idx="14">
                  <c:v>13830665.5166667</c:v>
                </c:pt>
                <c:pt idx="15">
                  <c:v>13830665.5166667</c:v>
                </c:pt>
                <c:pt idx="16">
                  <c:v>13830665.5166667</c:v>
                </c:pt>
                <c:pt idx="17">
                  <c:v>13830665.5166667</c:v>
                </c:pt>
                <c:pt idx="18">
                  <c:v>13830665.5166667</c:v>
                </c:pt>
                <c:pt idx="19">
                  <c:v>14678223.4910415</c:v>
                </c:pt>
                <c:pt idx="20">
                  <c:v>14678223.4910415</c:v>
                </c:pt>
                <c:pt idx="21">
                  <c:v>14678223.4910415</c:v>
                </c:pt>
                <c:pt idx="22">
                  <c:v>14678223.4910415</c:v>
                </c:pt>
                <c:pt idx="23">
                  <c:v>14678223.4910415</c:v>
                </c:pt>
                <c:pt idx="24">
                  <c:v>14678223.4910415</c:v>
                </c:pt>
                <c:pt idx="25">
                  <c:v>14678223.4910415</c:v>
                </c:pt>
                <c:pt idx="26">
                  <c:v>14678223.4910415</c:v>
                </c:pt>
                <c:pt idx="27">
                  <c:v>15491081.1471467</c:v>
                </c:pt>
                <c:pt idx="28">
                  <c:v>15491081.1471467</c:v>
                </c:pt>
                <c:pt idx="29">
                  <c:v>15491081.1471467</c:v>
                </c:pt>
                <c:pt idx="30">
                  <c:v>14066568.3801067</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Summary!$AE$41:$AE$71</c:f>
              <c:numCache>
                <c:formatCode>\$#,##0;"($"#,##0\);\-</c:formatCode>
                <c:ptCount val="31"/>
                <c:pt idx="0">
                  <c:v>14671661.6666667</c:v>
                </c:pt>
                <c:pt idx="1">
                  <c:v>14671661.6666667</c:v>
                </c:pt>
                <c:pt idx="2">
                  <c:v>14671661.6666667</c:v>
                </c:pt>
                <c:pt idx="3">
                  <c:v>14671661.6666667</c:v>
                </c:pt>
                <c:pt idx="4">
                  <c:v>15193176.0009505</c:v>
                </c:pt>
                <c:pt idx="5">
                  <c:v>15193176.0009505</c:v>
                </c:pt>
                <c:pt idx="6">
                  <c:v>15193176.0009505</c:v>
                </c:pt>
                <c:pt idx="7">
                  <c:v>15193176.0009505</c:v>
                </c:pt>
                <c:pt idx="8">
                  <c:v>15656534.7322641</c:v>
                </c:pt>
                <c:pt idx="9">
                  <c:v>15656534.7322641</c:v>
                </c:pt>
                <c:pt idx="10">
                  <c:v>15656534.7322641</c:v>
                </c:pt>
                <c:pt idx="11">
                  <c:v>15656534.7322641</c:v>
                </c:pt>
                <c:pt idx="12">
                  <c:v>16220920.0763559</c:v>
                </c:pt>
                <c:pt idx="13">
                  <c:v>16220920.0763559</c:v>
                </c:pt>
                <c:pt idx="14">
                  <c:v>16220920.0763559</c:v>
                </c:pt>
                <c:pt idx="15">
                  <c:v>16220920.0763559</c:v>
                </c:pt>
                <c:pt idx="16">
                  <c:v>16742541.4294165</c:v>
                </c:pt>
                <c:pt idx="17">
                  <c:v>16742541.4294165</c:v>
                </c:pt>
                <c:pt idx="18">
                  <c:v>16742541.4294165</c:v>
                </c:pt>
                <c:pt idx="19">
                  <c:v>16742541.4294165</c:v>
                </c:pt>
                <c:pt idx="20">
                  <c:v>18285230.3337916</c:v>
                </c:pt>
                <c:pt idx="21">
                  <c:v>18285230.3337916</c:v>
                </c:pt>
                <c:pt idx="22">
                  <c:v>18285230.3337916</c:v>
                </c:pt>
                <c:pt idx="23">
                  <c:v>18285230.3337916</c:v>
                </c:pt>
                <c:pt idx="24">
                  <c:v>18573980.1761452</c:v>
                </c:pt>
                <c:pt idx="25">
                  <c:v>18573980.1761452</c:v>
                </c:pt>
                <c:pt idx="26">
                  <c:v>18573980.1761452</c:v>
                </c:pt>
                <c:pt idx="27">
                  <c:v>18573980.1761452</c:v>
                </c:pt>
                <c:pt idx="28">
                  <c:v>18958510.8320615</c:v>
                </c:pt>
                <c:pt idx="29">
                  <c:v>18958510.8320615</c:v>
                </c:pt>
                <c:pt idx="30">
                  <c:v>18827287.8250713</c:v>
                </c:pt>
              </c:numCache>
            </c:numRef>
          </c:val>
          <c:smooth val="0"/>
        </c:ser>
        <c:ser>
          <c:idx val="3"/>
          <c:order val="3"/>
          <c:tx>
            <c:strRef>
              <c:f>Summary!AF40</c:f>
              <c:strCache>
                <c:ptCount val="1"/>
                <c:pt idx="0">
                  <c:v>Alternative 4 cumulative PW</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Summary!$AF$41:$AF$71</c:f>
              <c:numCache>
                <c:formatCode>\$#,##0;"($"#,##0\);\-</c:formatCode>
                <c:ptCount val="31"/>
                <c:pt idx="0">
                  <c:v>14418903.1666667</c:v>
                </c:pt>
                <c:pt idx="1">
                  <c:v>14418903.1666667</c:v>
                </c:pt>
                <c:pt idx="2">
                  <c:v>14418903.1666667</c:v>
                </c:pt>
                <c:pt idx="3">
                  <c:v>14418903.1666667</c:v>
                </c:pt>
                <c:pt idx="4">
                  <c:v>14418903.1666667</c:v>
                </c:pt>
                <c:pt idx="5">
                  <c:v>14418903.1666667</c:v>
                </c:pt>
                <c:pt idx="6">
                  <c:v>14418903.1666667</c:v>
                </c:pt>
                <c:pt idx="7">
                  <c:v>14418903.1666667</c:v>
                </c:pt>
                <c:pt idx="8">
                  <c:v>14418903.1666667</c:v>
                </c:pt>
                <c:pt idx="9">
                  <c:v>14418903.1666667</c:v>
                </c:pt>
                <c:pt idx="10">
                  <c:v>14418903.1666667</c:v>
                </c:pt>
                <c:pt idx="11">
                  <c:v>14418903.1666667</c:v>
                </c:pt>
                <c:pt idx="12">
                  <c:v>14418903.1666667</c:v>
                </c:pt>
                <c:pt idx="13">
                  <c:v>14418903.1666667</c:v>
                </c:pt>
                <c:pt idx="14">
                  <c:v>14418903.1666667</c:v>
                </c:pt>
                <c:pt idx="15">
                  <c:v>14418903.1666667</c:v>
                </c:pt>
                <c:pt idx="16">
                  <c:v>14418903.1666667</c:v>
                </c:pt>
                <c:pt idx="17">
                  <c:v>14418903.1666667</c:v>
                </c:pt>
                <c:pt idx="18">
                  <c:v>14418903.1666667</c:v>
                </c:pt>
                <c:pt idx="19">
                  <c:v>15266461.1410415</c:v>
                </c:pt>
                <c:pt idx="20">
                  <c:v>15266461.1410415</c:v>
                </c:pt>
                <c:pt idx="21">
                  <c:v>15266461.1410415</c:v>
                </c:pt>
                <c:pt idx="22">
                  <c:v>15266461.1410415</c:v>
                </c:pt>
                <c:pt idx="23">
                  <c:v>15266461.1410415</c:v>
                </c:pt>
                <c:pt idx="24">
                  <c:v>15266461.1410415</c:v>
                </c:pt>
                <c:pt idx="25">
                  <c:v>15266461.1410415</c:v>
                </c:pt>
                <c:pt idx="26">
                  <c:v>15266461.1410415</c:v>
                </c:pt>
                <c:pt idx="27">
                  <c:v>16079318.7971467</c:v>
                </c:pt>
                <c:pt idx="28">
                  <c:v>16079318.7971467</c:v>
                </c:pt>
                <c:pt idx="29">
                  <c:v>16079318.7971467</c:v>
                </c:pt>
                <c:pt idx="30">
                  <c:v>14594219.4992945</c:v>
                </c:pt>
              </c:numCache>
            </c:numRef>
          </c:val>
          <c:smooth val="0"/>
        </c:ser>
        <c:hiLowLines>
          <c:spPr>
            <a:ln w="0">
              <a:noFill/>
            </a:ln>
          </c:spPr>
        </c:hiLowLines>
        <c:marker val="0"/>
        <c:axId val="6690116"/>
        <c:axId val="93730487"/>
      </c:lineChart>
      <c:catAx>
        <c:axId val="669011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3730487"/>
        <c:crosses val="autoZero"/>
        <c:auto val="1"/>
        <c:lblAlgn val="ctr"/>
        <c:lblOffset val="100"/>
        <c:noMultiLvlLbl val="0"/>
      </c:catAx>
      <c:valAx>
        <c:axId val="9373048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69011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Summary!$AG$41:$AG$71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Summary!$AI$41:$AI$71</c:f>
              <c:numCache>
                <c:formatCode>0</c:formatCode>
                <c:ptCount val="31"/>
                <c:pt idx="0">
                  <c:v>0</c:v>
                </c:pt>
                <c:pt idx="1">
                  <c:v>0</c:v>
                </c:pt>
                <c:pt idx="2">
                  <c:v>0</c:v>
                </c:pt>
                <c:pt idx="3">
                  <c:v>0</c:v>
                </c:pt>
                <c:pt idx="4">
                  <c:v>10</c:v>
                </c:pt>
                <c:pt idx="5">
                  <c:v>0</c:v>
                </c:pt>
                <c:pt idx="6">
                  <c:v>0</c:v>
                </c:pt>
                <c:pt idx="7">
                  <c:v>0</c:v>
                </c:pt>
                <c:pt idx="8">
                  <c:v>10</c:v>
                </c:pt>
                <c:pt idx="9">
                  <c:v>0</c:v>
                </c:pt>
                <c:pt idx="10">
                  <c:v>0</c:v>
                </c:pt>
                <c:pt idx="11">
                  <c:v>0</c:v>
                </c:pt>
                <c:pt idx="12">
                  <c:v>12</c:v>
                </c:pt>
                <c:pt idx="13">
                  <c:v>0</c:v>
                </c:pt>
                <c:pt idx="14">
                  <c:v>0</c:v>
                </c:pt>
                <c:pt idx="15">
                  <c:v>0</c:v>
                </c:pt>
                <c:pt idx="16">
                  <c:v>12</c:v>
                </c:pt>
                <c:pt idx="17">
                  <c:v>0</c:v>
                </c:pt>
                <c:pt idx="18">
                  <c:v>0</c:v>
                </c:pt>
                <c:pt idx="19">
                  <c:v>0</c:v>
                </c:pt>
                <c:pt idx="20">
                  <c:v>28</c:v>
                </c:pt>
                <c:pt idx="21">
                  <c:v>0</c:v>
                </c:pt>
                <c:pt idx="22">
                  <c:v>0</c:v>
                </c:pt>
                <c:pt idx="23">
                  <c:v>0</c:v>
                </c:pt>
                <c:pt idx="24">
                  <c:v>10</c:v>
                </c:pt>
                <c:pt idx="25">
                  <c:v>0</c:v>
                </c:pt>
                <c:pt idx="26">
                  <c:v>0</c:v>
                </c:pt>
                <c:pt idx="27">
                  <c:v>0</c:v>
                </c:pt>
                <c:pt idx="28">
                  <c:v>12</c:v>
                </c:pt>
                <c:pt idx="29">
                  <c:v>0</c:v>
                </c:pt>
                <c:pt idx="30">
                  <c:v>0</c:v>
                </c:pt>
              </c:numCache>
            </c:numRef>
          </c:val>
        </c:ser>
        <c:ser>
          <c:idx val="3"/>
          <c:order val="3"/>
          <c:tx>
            <c:strRef>
              <c:f>Summary!AJ40</c:f>
              <c:strCache>
                <c:ptCount val="1"/>
                <c:pt idx="0">
                  <c:v>Alternative 4 closure days</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c:v>
                </c:pt>
                <c:pt idx="20">
                  <c:v>0</c:v>
                </c:pt>
                <c:pt idx="21">
                  <c:v>0</c:v>
                </c:pt>
                <c:pt idx="22">
                  <c:v>0</c:v>
                </c:pt>
                <c:pt idx="23">
                  <c:v>0</c:v>
                </c:pt>
                <c:pt idx="24">
                  <c:v>0</c:v>
                </c:pt>
                <c:pt idx="25">
                  <c:v>0</c:v>
                </c:pt>
                <c:pt idx="26">
                  <c:v>0</c:v>
                </c:pt>
                <c:pt idx="27">
                  <c:v>23</c:v>
                </c:pt>
                <c:pt idx="28">
                  <c:v>0</c:v>
                </c:pt>
                <c:pt idx="29">
                  <c:v>0</c:v>
                </c:pt>
                <c:pt idx="30">
                  <c:v>0</c:v>
                </c:pt>
              </c:numCache>
            </c:numRef>
          </c:val>
        </c:ser>
        <c:gapWidth val="40"/>
        <c:overlap val="0"/>
        <c:axId val="29951631"/>
        <c:axId val="97027023"/>
      </c:barChart>
      <c:catAx>
        <c:axId val="2995163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7027023"/>
        <c:crosses val="autoZero"/>
        <c:auto val="1"/>
        <c:lblAlgn val="ctr"/>
        <c:lblOffset val="100"/>
        <c:noMultiLvlLbl val="0"/>
      </c:catAx>
      <c:valAx>
        <c:axId val="9702702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995163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Summary!$X$76:$AA$76</c:f>
              <c:numCache>
                <c:formatCode>0.00</c:formatCode>
                <c:ptCount val="4"/>
                <c:pt idx="0">
                  <c:v>8.0001199004826</c:v>
                </c:pt>
                <c:pt idx="1">
                  <c:v>8.0001199004826</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Summary!$X$77:$AA$77</c:f>
              <c:numCache>
                <c:formatCode>0.00</c:formatCode>
                <c:ptCount val="4"/>
                <c:pt idx="0">
                  <c:v>8.0001199004826</c:v>
                </c:pt>
                <c:pt idx="1">
                  <c:v>8.0001199004826</c:v>
                </c:pt>
                <c:pt idx="2">
                  <c:v>13.3334132669884</c:v>
                </c:pt>
                <c:pt idx="3">
                  <c:v>8.0001199004826</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Summary!$X$78:$AA$78</c:f>
              <c:numCache>
                <c:formatCode>0.00</c:formatCode>
                <c:ptCount val="4"/>
                <c:pt idx="0">
                  <c:v>10.6666410742256</c:v>
                </c:pt>
                <c:pt idx="1">
                  <c:v>0</c:v>
                </c:pt>
                <c:pt idx="2">
                  <c:v>13.333301342782</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Alternative 4</c:v>
                </c:pt>
              </c:strCache>
            </c:strRef>
          </c:cat>
          <c:val>
            <c:numRef>
              <c:f>Summary!$X$79:$AA$79</c:f>
              <c:numCache>
                <c:formatCode>0.00</c:formatCode>
                <c:ptCount val="4"/>
                <c:pt idx="0">
                  <c:v>0</c:v>
                </c:pt>
                <c:pt idx="1">
                  <c:v>9</c:v>
                </c:pt>
                <c:pt idx="2">
                  <c:v>0</c:v>
                </c:pt>
                <c:pt idx="3">
                  <c:v>11</c:v>
                </c:pt>
              </c:numCache>
            </c:numRef>
          </c:val>
        </c:ser>
        <c:gapWidth val="80"/>
        <c:overlap val="100"/>
        <c:axId val="63538442"/>
        <c:axId val="21653607"/>
      </c:barChart>
      <c:catAx>
        <c:axId val="6353844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21653607"/>
        <c:crosses val="autoZero"/>
        <c:auto val="1"/>
        <c:lblAlgn val="ctr"/>
        <c:lblOffset val="100"/>
        <c:noMultiLvlLbl val="0"/>
      </c:catAx>
      <c:valAx>
        <c:axId val="2165360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353844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Summary!$X$83:$AA$83</c:f>
              <c:numCache>
                <c:formatCode>0.00</c:formatCode>
                <c:ptCount val="4"/>
                <c:pt idx="0">
                  <c:v>6.00008992536195</c:v>
                </c:pt>
                <c:pt idx="1">
                  <c:v>6.00008992536195</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Summary!$X$84:$AA$84</c:f>
              <c:numCache>
                <c:formatCode>0.00</c:formatCode>
                <c:ptCount val="4"/>
                <c:pt idx="0">
                  <c:v>6.00008992536195</c:v>
                </c:pt>
                <c:pt idx="1">
                  <c:v>6.00008992536195</c:v>
                </c:pt>
                <c:pt idx="2">
                  <c:v>10.0000599502413</c:v>
                </c:pt>
                <c:pt idx="3">
                  <c:v>6.00008992536195</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Summary!$X$85:$AA$85</c:f>
              <c:numCache>
                <c:formatCode>0.00</c:formatCode>
                <c:ptCount val="4"/>
                <c:pt idx="0">
                  <c:v>7.99998080566923</c:v>
                </c:pt>
                <c:pt idx="1">
                  <c:v>0</c:v>
                </c:pt>
                <c:pt idx="2">
                  <c:v>9.99997600708653</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Alternative 4</c:v>
                </c:pt>
              </c:strCache>
            </c:strRef>
          </c:cat>
          <c:val>
            <c:numRef>
              <c:f>Summary!$X$86:$AA$86</c:f>
              <c:numCache>
                <c:formatCode>0.00</c:formatCode>
                <c:ptCount val="4"/>
                <c:pt idx="0">
                  <c:v>0</c:v>
                </c:pt>
                <c:pt idx="1">
                  <c:v>9</c:v>
                </c:pt>
                <c:pt idx="2">
                  <c:v>0</c:v>
                </c:pt>
                <c:pt idx="3">
                  <c:v>11</c:v>
                </c:pt>
              </c:numCache>
            </c:numRef>
          </c:val>
        </c:ser>
        <c:gapWidth val="80"/>
        <c:overlap val="100"/>
        <c:axId val="14345202"/>
        <c:axId val="89648094"/>
      </c:barChart>
      <c:catAx>
        <c:axId val="1434520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89648094"/>
        <c:crosses val="autoZero"/>
        <c:auto val="1"/>
        <c:lblAlgn val="ctr"/>
        <c:lblOffset val="100"/>
        <c:noMultiLvlLbl val="0"/>
      </c:catAx>
      <c:valAx>
        <c:axId val="89648094"/>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43452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8. Unit cost against published Tennessee runway work</a:t>
            </a:r>
          </a:p>
        </c:rich>
      </c:tx>
      <c:overlay val="0"/>
      <c:spPr>
        <a:noFill/>
        <a:ln w="0">
          <a:noFill/>
        </a:ln>
      </c:spPr>
    </c:title>
    <c:autoTitleDeleted val="0"/>
    <c:plotArea>
      <c:barChart>
        <c:barDir val="bar"/>
        <c:grouping val="stacked"/>
        <c:varyColors val="0"/>
        <c:ser>
          <c:idx val="0"/>
          <c:order val="0"/>
          <c:tx>
            <c:strRef>
              <c:f>Summary!W91</c:f>
              <c:strCache>
                <c:ptCount val="1"/>
                <c:pt idx="0">
                  <c:v>Below the published range</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Alternative 4</c:v>
                </c:pt>
                <c:pt idx="4">
                  <c:v>TN 2024-25, all-in</c:v>
                </c:pt>
              </c:strCache>
            </c:strRef>
          </c:cat>
          <c:val>
            <c:numRef>
              <c:f>Summary!$X$91:$AB$91</c:f>
              <c:numCache>
                <c:formatCode>\$#,##0</c:formatCode>
                <c:ptCount val="5"/>
                <c:pt idx="0">
                  <c:v>0</c:v>
                </c:pt>
                <c:pt idx="1">
                  <c:v>0</c:v>
                </c:pt>
                <c:pt idx="2">
                  <c:v>0</c:v>
                </c:pt>
                <c:pt idx="3">
                  <c:v>0</c:v>
                </c:pt>
                <c:pt idx="4">
                  <c:v>210</c:v>
                </c:pt>
              </c:numCache>
            </c:numRef>
          </c:val>
        </c:ser>
        <c:ser>
          <c:idx val="1"/>
          <c:order val="1"/>
          <c:tx>
            <c:strRef>
              <c:f>Summary!W92</c:f>
              <c:strCache>
                <c:ptCount val="1"/>
                <c:pt idx="0">
                  <c:v>Unit cost / published range</c:v>
                </c:pt>
              </c:strCache>
            </c:strRef>
          </c:tx>
          <c:spPr>
            <a:solidFill>
              <a:srgbClr val="bbd4ee"/>
            </a:solidFill>
            <a:ln w="0">
              <a:solidFill>
                <a:srgbClr val="bbd4ee"/>
              </a:solidFill>
            </a:ln>
          </c:spPr>
          <c:invertIfNegative val="0"/>
          <c:dPt>
            <c:idx val="4"/>
            <c:invertIfNegative val="0"/>
            <c:spPr>
              <a:solidFill>
                <a:srgbClr val="cbd5df"/>
              </a:solidFill>
              <a:ln w="0">
                <a:noFill/>
              </a:ln>
            </c:spPr>
          </c:dPt>
          <c:dLbls>
            <c:dLbl>
              <c:idx val="4"/>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Alternative 4</c:v>
                </c:pt>
                <c:pt idx="4">
                  <c:v>TN 2024-25, all-in</c:v>
                </c:pt>
              </c:strCache>
            </c:strRef>
          </c:cat>
          <c:val>
            <c:numRef>
              <c:f>Summary!$X$92:$AB$92</c:f>
              <c:numCache>
                <c:formatCode>\$#,##0</c:formatCode>
                <c:ptCount val="5"/>
                <c:pt idx="0">
                  <c:v>123.621968432867</c:v>
                </c:pt>
                <c:pt idx="1">
                  <c:v>138.191955843317</c:v>
                </c:pt>
                <c:pt idx="2">
                  <c:v>146.594942864089</c:v>
                </c:pt>
                <c:pt idx="3">
                  <c:v>144.06945401983</c:v>
                </c:pt>
                <c:pt idx="4">
                  <c:v>70</c:v>
                </c:pt>
              </c:numCache>
            </c:numRef>
          </c:val>
        </c:ser>
        <c:gapWidth val="60"/>
        <c:overlap val="100"/>
        <c:axId val="37512868"/>
        <c:axId val="49864204"/>
      </c:barChart>
      <c:catAx>
        <c:axId val="37512868"/>
        <c:scaling>
          <c:orientation val="minMax"/>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9864204"/>
        <c:crosses val="autoZero"/>
        <c:auto val="1"/>
        <c:lblAlgn val="ctr"/>
        <c:lblOffset val="100"/>
        <c:noMultiLvlLbl val="0"/>
      </c:catAx>
      <c:valAx>
        <c:axId val="49864204"/>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Initial construction / mainline S.Y.</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7512868"/>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Summary!$AH$132:$AH$322</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Summary!$AI$132:$AI$322</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Summary!$Y$132:$Y$152</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Summary!$Z$132:$Z$152</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Summary!$Y$153:$Y$185</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Summary!$Z$153:$Z$185</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Summary!$Y$186:$Y$210</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Summary!$Z$186:$Z$210</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Summary!$AF$132</c:f>
              <c:strCache>
                <c:ptCount val="1"/>
                <c:pt idx="0">
                  <c:v>MKL</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Summary!$AD$132</c:f>
              <c:numCache>
                <c:formatCode>0.00000</c:formatCode>
                <c:ptCount val="1"/>
                <c:pt idx="0">
                  <c:v>-88.91561</c:v>
                </c:pt>
              </c:numCache>
            </c:numRef>
          </c:xVal>
          <c:yVal>
            <c:numRef>
              <c:f>Summary!$AE$132</c:f>
              <c:numCache>
                <c:formatCode>0.00000</c:formatCode>
                <c:ptCount val="1"/>
                <c:pt idx="0">
                  <c:v>35.59988</c:v>
                </c:pt>
              </c:numCache>
            </c:numRef>
          </c:yVal>
          <c:smooth val="1"/>
        </c:ser>
        <c:axId val="68678932"/>
        <c:axId val="49132892"/>
      </c:scatterChart>
      <c:valAx>
        <c:axId val="68678932"/>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9132892"/>
        <c:crosses val="autoZero"/>
        <c:crossBetween val="midCat"/>
      </c:valAx>
      <c:valAx>
        <c:axId val="49132892"/>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8678932"/>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22144581"/>
        <c:axId val="40973177"/>
      </c:barChart>
      <c:catAx>
        <c:axId val="22144581"/>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0973177"/>
        <c:crosses val="autoZero"/>
        <c:auto val="1"/>
        <c:lblAlgn val="ctr"/>
        <c:lblOffset val="100"/>
        <c:noMultiLvlLbl val="0"/>
      </c:catAx>
      <c:valAx>
        <c:axId val="4097317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2214458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80336837"/>
        <c:axId val="9856717"/>
      </c:barChart>
      <c:catAx>
        <c:axId val="8033683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856717"/>
        <c:crosses val="autoZero"/>
        <c:auto val="1"/>
        <c:lblAlgn val="ctr"/>
        <c:lblOffset val="100"/>
        <c:noMultiLvlLbl val="0"/>
      </c:catAx>
      <c:valAx>
        <c:axId val="985671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033683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'TMP(NewHMA)_IndirectCost'!$L$37:$L$67</c:f>
              <c:numCache>
                <c:formatCode>\$#,##0</c:formatCode>
                <c:ptCount val="31"/>
                <c:pt idx="0">
                  <c:v>0</c:v>
                </c:pt>
                <c:pt idx="1">
                  <c:v>0</c:v>
                </c:pt>
                <c:pt idx="2">
                  <c:v>0</c:v>
                </c:pt>
                <c:pt idx="3">
                  <c:v>0</c:v>
                </c:pt>
                <c:pt idx="4">
                  <c:v>501909.577777778</c:v>
                </c:pt>
                <c:pt idx="5">
                  <c:v>0</c:v>
                </c:pt>
                <c:pt idx="6">
                  <c:v>0</c:v>
                </c:pt>
                <c:pt idx="7">
                  <c:v>0</c:v>
                </c:pt>
                <c:pt idx="8">
                  <c:v>501909.577777778</c:v>
                </c:pt>
                <c:pt idx="9">
                  <c:v>0</c:v>
                </c:pt>
                <c:pt idx="10">
                  <c:v>0</c:v>
                </c:pt>
                <c:pt idx="11">
                  <c:v>0</c:v>
                </c:pt>
                <c:pt idx="12">
                  <c:v>702607.268715278</c:v>
                </c:pt>
                <c:pt idx="13">
                  <c:v>0</c:v>
                </c:pt>
                <c:pt idx="14">
                  <c:v>0</c:v>
                </c:pt>
                <c:pt idx="15">
                  <c:v>0</c:v>
                </c:pt>
                <c:pt idx="16">
                  <c:v>734977.864027778</c:v>
                </c:pt>
                <c:pt idx="17">
                  <c:v>0</c:v>
                </c:pt>
                <c:pt idx="18">
                  <c:v>0</c:v>
                </c:pt>
                <c:pt idx="19">
                  <c:v>0</c:v>
                </c:pt>
                <c:pt idx="20">
                  <c:v>2548101.44179167</c:v>
                </c:pt>
                <c:pt idx="21">
                  <c:v>0</c:v>
                </c:pt>
                <c:pt idx="22">
                  <c:v>0</c:v>
                </c:pt>
                <c:pt idx="23">
                  <c:v>0</c:v>
                </c:pt>
                <c:pt idx="24">
                  <c:v>501909.577777778</c:v>
                </c:pt>
                <c:pt idx="25">
                  <c:v>0</c:v>
                </c:pt>
                <c:pt idx="26">
                  <c:v>0</c:v>
                </c:pt>
                <c:pt idx="27">
                  <c:v>0</c:v>
                </c:pt>
                <c:pt idx="28">
                  <c:v>777707.049840278</c:v>
                </c:pt>
                <c:pt idx="29">
                  <c:v>0</c:v>
                </c:pt>
                <c:pt idx="30">
                  <c:v>-318512.680223958</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'TMP(NewHMA)_IndirectCost'!$M$37:$M$67</c:f>
              <c:numCache>
                <c:formatCode>\$#,##0</c:formatCode>
                <c:ptCount val="31"/>
                <c:pt idx="0">
                  <c:v>0</c:v>
                </c:pt>
                <c:pt idx="1">
                  <c:v>0</c:v>
                </c:pt>
                <c:pt idx="2">
                  <c:v>0</c:v>
                </c:pt>
                <c:pt idx="3">
                  <c:v>0</c:v>
                </c:pt>
                <c:pt idx="4">
                  <c:v>85059.4</c:v>
                </c:pt>
                <c:pt idx="5">
                  <c:v>0</c:v>
                </c:pt>
                <c:pt idx="6">
                  <c:v>0</c:v>
                </c:pt>
                <c:pt idx="7">
                  <c:v>0</c:v>
                </c:pt>
                <c:pt idx="8">
                  <c:v>85059.4</c:v>
                </c:pt>
                <c:pt idx="9">
                  <c:v>0</c:v>
                </c:pt>
                <c:pt idx="10">
                  <c:v>0</c:v>
                </c:pt>
                <c:pt idx="11">
                  <c:v>0</c:v>
                </c:pt>
                <c:pt idx="12">
                  <c:v>102071.28</c:v>
                </c:pt>
                <c:pt idx="13">
                  <c:v>0</c:v>
                </c:pt>
                <c:pt idx="14">
                  <c:v>0</c:v>
                </c:pt>
                <c:pt idx="15">
                  <c:v>0</c:v>
                </c:pt>
                <c:pt idx="16">
                  <c:v>102071.28</c:v>
                </c:pt>
                <c:pt idx="17">
                  <c:v>0</c:v>
                </c:pt>
                <c:pt idx="18">
                  <c:v>0</c:v>
                </c:pt>
                <c:pt idx="19">
                  <c:v>0</c:v>
                </c:pt>
                <c:pt idx="20">
                  <c:v>238166.32</c:v>
                </c:pt>
                <c:pt idx="21">
                  <c:v>0</c:v>
                </c:pt>
                <c:pt idx="22">
                  <c:v>0</c:v>
                </c:pt>
                <c:pt idx="23">
                  <c:v>0</c:v>
                </c:pt>
                <c:pt idx="24">
                  <c:v>85059.4</c:v>
                </c:pt>
                <c:pt idx="25">
                  <c:v>0</c:v>
                </c:pt>
                <c:pt idx="26">
                  <c:v>0</c:v>
                </c:pt>
                <c:pt idx="27">
                  <c:v>0</c:v>
                </c:pt>
                <c:pt idx="28">
                  <c:v>102071.28</c:v>
                </c:pt>
                <c:pt idx="29">
                  <c:v>0</c:v>
                </c:pt>
                <c:pt idx="30">
                  <c:v>0</c:v>
                </c:pt>
              </c:numCache>
            </c:numRef>
          </c:val>
        </c:ser>
        <c:gapWidth val="219"/>
        <c:overlap val="100"/>
        <c:axId val="45343676"/>
        <c:axId val="74351173"/>
      </c:barChart>
      <c:catAx>
        <c:axId val="45343676"/>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4351173"/>
        <c:crosses val="autoZero"/>
        <c:auto val="1"/>
        <c:lblAlgn val="ctr"/>
        <c:lblOffset val="100"/>
        <c:noMultiLvlLbl val="0"/>
      </c:catAx>
      <c:valAx>
        <c:axId val="7435117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534367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1375620.8184</c:v>
                </c:pt>
                <c:pt idx="20">
                  <c:v>0</c:v>
                </c:pt>
                <c:pt idx="21">
                  <c:v>0</c:v>
                </c:pt>
                <c:pt idx="22">
                  <c:v>0</c:v>
                </c:pt>
                <c:pt idx="23">
                  <c:v>0</c:v>
                </c:pt>
                <c:pt idx="24">
                  <c:v>0</c:v>
                </c:pt>
                <c:pt idx="25">
                  <c:v>0</c:v>
                </c:pt>
                <c:pt idx="26">
                  <c:v>0</c:v>
                </c:pt>
                <c:pt idx="27">
                  <c:v>1609955.1546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pt idx="20">
                  <c:v>2047</c:v>
                </c:pt>
                <c:pt idx="21">
                  <c:v>2048</c:v>
                </c:pt>
                <c:pt idx="22">
                  <c:v>2049</c:v>
                </c:pt>
                <c:pt idx="23">
                  <c:v>2050</c:v>
                </c:pt>
                <c:pt idx="24">
                  <c:v>2051</c:v>
                </c:pt>
                <c:pt idx="25">
                  <c:v>2052</c:v>
                </c:pt>
                <c:pt idx="26">
                  <c:v>2053</c:v>
                </c:pt>
                <c:pt idx="27">
                  <c:v>2054</c:v>
                </c:pt>
                <c:pt idx="28">
                  <c:v>2055</c:v>
                </c:pt>
                <c:pt idx="29">
                  <c:v>2056</c:v>
                </c:pt>
                <c:pt idx="30">
                  <c:v>2057</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110577.22</c:v>
                </c:pt>
                <c:pt idx="20">
                  <c:v>0</c:v>
                </c:pt>
                <c:pt idx="21">
                  <c:v>0</c:v>
                </c:pt>
                <c:pt idx="22">
                  <c:v>0</c:v>
                </c:pt>
                <c:pt idx="23">
                  <c:v>0</c:v>
                </c:pt>
                <c:pt idx="24">
                  <c:v>0</c:v>
                </c:pt>
                <c:pt idx="25">
                  <c:v>0</c:v>
                </c:pt>
                <c:pt idx="26">
                  <c:v>0</c:v>
                </c:pt>
                <c:pt idx="27">
                  <c:v>195636.62</c:v>
                </c:pt>
                <c:pt idx="28">
                  <c:v>0</c:v>
                </c:pt>
                <c:pt idx="29">
                  <c:v>0</c:v>
                </c:pt>
                <c:pt idx="30">
                  <c:v>0</c:v>
                </c:pt>
              </c:numCache>
            </c:numRef>
          </c:val>
        </c:ser>
        <c:gapWidth val="219"/>
        <c:overlap val="100"/>
        <c:axId val="43220263"/>
        <c:axId val="23365973"/>
      </c:barChart>
      <c:catAx>
        <c:axId val="43220263"/>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3365973"/>
        <c:crosses val="autoZero"/>
        <c:auto val="1"/>
        <c:lblAlgn val="ctr"/>
        <c:lblOffset val="100"/>
        <c:noMultiLvlLbl val="0"/>
      </c:catAx>
      <c:valAx>
        <c:axId val="2336597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322026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chart" Target="../charts/chart2.xml"/>
</Relationships>
</file>

<file path=xl/drawings/_rels/drawing8.xml.rels><?xml version="1.0" encoding="UTF-8"?>
<Relationships xmlns="http://schemas.openxmlformats.org/package/2006/relationships"><Relationship Id="rId1" Type="http://schemas.openxmlformats.org/officeDocument/2006/relationships/chart" Target="../charts/chart3.xml"/>
</Relationships>
</file>

<file path=xl/drawings/_rels/drawing9.xml.rels><?xml version="1.0" encoding="UTF-8"?>
<Relationships xmlns="http://schemas.openxmlformats.org/package/2006/relationships"><Relationship Id="rId1" Type="http://schemas.openxmlformats.org/officeDocument/2006/relationships/chart" Target="../charts/chart4.xml"/>
</Relationships>
</file>

<file path=xl/drawings/_rels/drawing10.xml.rels><?xml version="1.0" encoding="UTF-8"?>
<Relationships xmlns="http://schemas.openxmlformats.org/package/2006/relationships"><Relationship Id="rId1" Type="http://schemas.openxmlformats.org/officeDocument/2006/relationships/chart" Target="../charts/chart5.xml"/>
</Relationships>
</file>

<file path=xl/drawings/_rels/drawing11.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Relationship Id="rId10" Type="http://schemas.openxmlformats.org/officeDocument/2006/relationships/chart" Target="../charts/chart15.xml"/>
</Relationships>
</file>

<file path=xl/drawings/_rels/drawing12.xml.rels><?xml version="1.0" encoding="UTF-8"?>
<Relationships xmlns="http://schemas.openxmlformats.org/package/2006/relationships"><Relationship Id="rId1" Type="http://schemas.openxmlformats.org/officeDocument/2006/relationships/chart" Target="../charts/chart16.xml"/>
</Relationships>
</file>

<file path=xl/drawings/_rels/drawing13.xml.rels><?xml version="1.0" encoding="UTF-8"?>
<Relationships xmlns="http://schemas.openxmlformats.org/package/2006/relationships"><Relationship Id="rId1" Type="http://schemas.openxmlformats.org/officeDocument/2006/relationships/chart" Target="../charts/chart17.xml"/>
</Relationships>
</file>

<file path=xl/drawings/_rels/drawing14.xml.rels><?xml version="1.0" encoding="UTF-8"?>
<Relationships xmlns="http://schemas.openxmlformats.org/package/2006/relationships"><Relationship Id="rId1" Type="http://schemas.openxmlformats.org/officeDocument/2006/relationships/chart" Target="../charts/chart18.xml"/>
</Relationships>
</file>

<file path=xl/drawings/_rels/drawing15.xml.rels><?xml version="1.0" encoding="UTF-8"?>
<Relationships xmlns="http://schemas.openxmlformats.org/package/2006/relationships"><Relationship Id="rId1" Type="http://schemas.openxmlformats.org/officeDocument/2006/relationships/chart" Target="../charts/chart19.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0"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7920</xdr:rowOff>
    </xdr:to>
    <xdr:pic>
      <xdr:nvPicPr>
        <xdr:cNvPr id="1" name="Picture 1" descr=""/>
        <xdr:cNvPicPr/>
      </xdr:nvPicPr>
      <xdr:blipFill>
        <a:blip r:embed="rId1"/>
        <a:stretch/>
      </xdr:blipFill>
      <xdr:spPr>
        <a:xfrm>
          <a:off x="781200" y="282600"/>
          <a:ext cx="2319840" cy="811080"/>
        </a:xfrm>
        <a:prstGeom prst="rect">
          <a:avLst/>
        </a:prstGeom>
        <a:ln w="0">
          <a:noFill/>
        </a:ln>
      </xdr:spPr>
    </xdr:pic>
    <xdr:clientData/>
  </xdr:twoCellAnchor>
  <xdr:twoCellAnchor editAs="twoCell">
    <xdr:from>
      <xdr:col>1</xdr:col>
      <xdr:colOff>6480</xdr:colOff>
      <xdr:row>9</xdr:row>
      <xdr:rowOff>14040</xdr:rowOff>
    </xdr:from>
    <xdr:to>
      <xdr:col>13</xdr:col>
      <xdr:colOff>6120</xdr:colOff>
      <xdr:row>49</xdr:row>
      <xdr:rowOff>96120</xdr:rowOff>
    </xdr:to>
    <xdr:sp>
      <xdr:nvSpPr>
        <xdr:cNvPr id="2" name="TextBox 2"/>
        <xdr:cNvSpPr/>
      </xdr:nvSpPr>
      <xdr:spPr>
        <a:xfrm>
          <a:off x="781200" y="1612800"/>
          <a:ext cx="9295920" cy="655920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6120</xdr:rowOff>
    </xdr:to>
    <xdr:pic>
      <xdr:nvPicPr>
        <xdr:cNvPr id="3" name="Picture 1" descr=""/>
        <xdr:cNvPicPr/>
      </xdr:nvPicPr>
      <xdr:blipFill>
        <a:blip r:embed="rId1"/>
        <a:stretch/>
      </xdr:blipFill>
      <xdr:spPr>
        <a:xfrm>
          <a:off x="781200" y="282600"/>
          <a:ext cx="2319840" cy="809280"/>
        </a:xfrm>
        <a:prstGeom prst="rect">
          <a:avLst/>
        </a:prstGeom>
        <a:ln w="0">
          <a:noFill/>
        </a:ln>
      </xdr:spPr>
    </xdr:pic>
    <xdr:clientData/>
  </xdr:twoCellAnchor>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57176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2</xdr:col>
      <xdr:colOff>1171080</xdr:colOff>
      <xdr:row>5</xdr:row>
      <xdr:rowOff>266400</xdr:rowOff>
    </xdr:to>
    <xdr:pic>
      <xdr:nvPicPr>
        <xdr:cNvPr id="5" name="Picture 1" descr=""/>
        <xdr:cNvPicPr/>
      </xdr:nvPicPr>
      <xdr:blipFill>
        <a:blip r:embed="rId1"/>
        <a:stretch/>
      </xdr:blipFill>
      <xdr:spPr>
        <a:xfrm>
          <a:off x="774720" y="162000"/>
          <a:ext cx="1945800" cy="122832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1765440</xdr:colOff>
      <xdr:row>5</xdr:row>
      <xdr:rowOff>199440</xdr:rowOff>
    </xdr:to>
    <xdr:pic>
      <xdr:nvPicPr>
        <xdr:cNvPr id="6" name="Picture 1" descr=""/>
        <xdr:cNvPicPr/>
      </xdr:nvPicPr>
      <xdr:blipFill>
        <a:blip r:embed="rId1"/>
        <a:stretch/>
      </xdr:blipFill>
      <xdr:spPr>
        <a:xfrm>
          <a:off x="774720" y="276120"/>
          <a:ext cx="1765440" cy="168552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7"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8" name="Chart 1"/>
        <xdr:cNvGraphicFramePr/>
      </xdr:nvGraphicFramePr>
      <xdr:xfrm>
        <a:off x="1098720" y="9610560"/>
        <a:ext cx="893088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-9360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-9360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9" name="Chart 1"/>
        <xdr:cNvGraphicFramePr/>
      </xdr:nvGraphicFramePr>
      <xdr:xfrm>
        <a:off x="758880" y="8839080"/>
        <a:ext cx="835956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-927360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360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0" name="Chart 1"/>
        <xdr:cNvGraphicFramePr/>
      </xdr:nvGraphicFramePr>
      <xdr:xfrm>
        <a:off x="1098720" y="961056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-9360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122</xdr:row>
      <xdr:rowOff>0</xdr:rowOff>
    </xdr:from>
    <xdr:to>
      <xdr:col>12</xdr:col>
      <xdr:colOff>1244520</xdr:colOff>
      <xdr:row>138</xdr:row>
      <xdr:rowOff>77760</xdr:rowOff>
    </xdr:to>
    <xdr:graphicFrame>
      <xdr:nvGraphicFramePr>
        <xdr:cNvPr id="11" name="Chart 1"/>
        <xdr:cNvGraphicFramePr/>
      </xdr:nvGraphicFramePr>
      <xdr:xfrm>
        <a:off x="0" y="24222240"/>
        <a:ext cx="1013436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29</xdr:row>
      <xdr:rowOff>0</xdr:rowOff>
    </xdr:from>
    <xdr:to>
      <xdr:col>9</xdr:col>
      <xdr:colOff>783360</xdr:colOff>
      <xdr:row>43</xdr:row>
      <xdr:rowOff>79200</xdr:rowOff>
    </xdr:to>
    <xdr:graphicFrame>
      <xdr:nvGraphicFramePr>
        <xdr:cNvPr id="12" name="Summary Chart 1"/>
        <xdr:cNvGraphicFramePr/>
      </xdr:nvGraphicFramePr>
      <xdr:xfrm>
        <a:off x="0" y="621972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29</xdr:row>
      <xdr:rowOff>0</xdr:rowOff>
    </xdr:from>
    <xdr:to>
      <xdr:col>16</xdr:col>
      <xdr:colOff>783720</xdr:colOff>
      <xdr:row>43</xdr:row>
      <xdr:rowOff>79200</xdr:rowOff>
    </xdr:to>
    <xdr:graphicFrame>
      <xdr:nvGraphicFramePr>
        <xdr:cNvPr id="13" name="Summary Chart 2"/>
        <xdr:cNvGraphicFramePr/>
      </xdr:nvGraphicFramePr>
      <xdr:xfrm>
        <a:off x="10134720" y="621972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47</xdr:row>
      <xdr:rowOff>0</xdr:rowOff>
    </xdr:from>
    <xdr:to>
      <xdr:col>9</xdr:col>
      <xdr:colOff>783360</xdr:colOff>
      <xdr:row>62</xdr:row>
      <xdr:rowOff>22320</xdr:rowOff>
    </xdr:to>
    <xdr:graphicFrame>
      <xdr:nvGraphicFramePr>
        <xdr:cNvPr id="14" name="Summary Chart 3"/>
        <xdr:cNvGraphicFramePr/>
      </xdr:nvGraphicFramePr>
      <xdr:xfrm>
        <a:off x="0" y="978228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47</xdr:row>
      <xdr:rowOff>0</xdr:rowOff>
    </xdr:from>
    <xdr:to>
      <xdr:col>16</xdr:col>
      <xdr:colOff>783720</xdr:colOff>
      <xdr:row>62</xdr:row>
      <xdr:rowOff>22320</xdr:rowOff>
    </xdr:to>
    <xdr:graphicFrame>
      <xdr:nvGraphicFramePr>
        <xdr:cNvPr id="15" name="Summary Chart 4"/>
        <xdr:cNvGraphicFramePr/>
      </xdr:nvGraphicFramePr>
      <xdr:xfrm>
        <a:off x="10134720" y="978228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65</xdr:row>
      <xdr:rowOff>0</xdr:rowOff>
    </xdr:from>
    <xdr:to>
      <xdr:col>9</xdr:col>
      <xdr:colOff>783360</xdr:colOff>
      <xdr:row>80</xdr:row>
      <xdr:rowOff>22320</xdr:rowOff>
    </xdr:to>
    <xdr:graphicFrame>
      <xdr:nvGraphicFramePr>
        <xdr:cNvPr id="16" name="Summary Chart 5"/>
        <xdr:cNvGraphicFramePr/>
      </xdr:nvGraphicFramePr>
      <xdr:xfrm>
        <a:off x="0" y="1321128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99</xdr:row>
      <xdr:rowOff>0</xdr:rowOff>
    </xdr:from>
    <xdr:to>
      <xdr:col>9</xdr:col>
      <xdr:colOff>783360</xdr:colOff>
      <xdr:row>114</xdr:row>
      <xdr:rowOff>22320</xdr:rowOff>
    </xdr:to>
    <xdr:graphicFrame>
      <xdr:nvGraphicFramePr>
        <xdr:cNvPr id="17" name="Summary Chart 6"/>
        <xdr:cNvGraphicFramePr/>
      </xdr:nvGraphicFramePr>
      <xdr:xfrm>
        <a:off x="0" y="1984068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99</xdr:row>
      <xdr:rowOff>0</xdr:rowOff>
    </xdr:from>
    <xdr:to>
      <xdr:col>16</xdr:col>
      <xdr:colOff>783720</xdr:colOff>
      <xdr:row>114</xdr:row>
      <xdr:rowOff>22320</xdr:rowOff>
    </xdr:to>
    <xdr:graphicFrame>
      <xdr:nvGraphicFramePr>
        <xdr:cNvPr id="18" name="Summary Chart 7"/>
        <xdr:cNvGraphicFramePr/>
      </xdr:nvGraphicFramePr>
      <xdr:xfrm>
        <a:off x="10134720" y="1984068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0</xdr:colOff>
      <xdr:row>65</xdr:row>
      <xdr:rowOff>0</xdr:rowOff>
    </xdr:from>
    <xdr:to>
      <xdr:col>16</xdr:col>
      <xdr:colOff>783720</xdr:colOff>
      <xdr:row>80</xdr:row>
      <xdr:rowOff>22320</xdr:rowOff>
    </xdr:to>
    <xdr:graphicFrame>
      <xdr:nvGraphicFramePr>
        <xdr:cNvPr id="19" name="Summary Chart 8"/>
        <xdr:cNvGraphicFramePr/>
      </xdr:nvGraphicFramePr>
      <xdr:xfrm>
        <a:off x="10134720" y="13211280"/>
        <a:ext cx="5939640" cy="287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18</xdr:col>
      <xdr:colOff>0</xdr:colOff>
      <xdr:row>2</xdr:row>
      <xdr:rowOff>0</xdr:rowOff>
    </xdr:from>
    <xdr:to>
      <xdr:col>21</xdr:col>
      <xdr:colOff>225720</xdr:colOff>
      <xdr:row>12</xdr:row>
      <xdr:rowOff>4680</xdr:rowOff>
    </xdr:to>
    <xdr:graphicFrame>
      <xdr:nvGraphicFramePr>
        <xdr:cNvPr id="20" name="Summary Chart 9"/>
        <xdr:cNvGraphicFramePr/>
      </xdr:nvGraphicFramePr>
      <xdr:xfrm>
        <a:off x="19202400" y="466560"/>
        <a:ext cx="3959640" cy="187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21"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2"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23"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4"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6"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6"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6"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32"/>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0</v>
      </c>
      <c r="E37" s="39" t="n">
        <f aca="false">D37</f>
        <v>0</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-0</v>
      </c>
      <c r="E42" s="43" t="n">
        <f aca="false">IF(C42&gt;'General Information'!$D$33,0,D42/(1+('General Information'!$D$34/100))^C42)</f>
        <v>-0</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1660415.63048001</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1:H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7" width="8.71"/>
  </cols>
  <sheetData>
    <row r="1" customFormat="false" ht="21.75" hidden="false" customHeight="true" outlineLevel="0" collapsed="false">
      <c r="B1" s="3" t="str">
        <f aca="false">HYPERLINK("#'General Information'!D9","◄ General Information")</f>
        <v>◄ General Information</v>
      </c>
      <c r="C1" s="3"/>
      <c r="D1" s="3"/>
      <c r="E1" s="4" t="str">
        <f aca="false">HYPERLINK("#Summary!G1","Summary")</f>
        <v>Summary</v>
      </c>
      <c r="F1" s="4"/>
      <c r="H1" s="48" t="s">
        <v>42</v>
      </c>
    </row>
    <row r="2" customFormat="false" ht="12.75" hidden="false" customHeight="false" outlineLevel="0" collapsed="false">
      <c r="E2" s="47" t="s">
        <v>43</v>
      </c>
    </row>
    <row r="3" customFormat="false" ht="12.75" hidden="false" customHeight="false" outlineLevel="0" collapsed="false">
      <c r="E3" s="47" t="s">
        <v>44</v>
      </c>
    </row>
    <row r="4" customFormat="false" ht="12.75" hidden="false" customHeight="false" outlineLevel="0" collapsed="false">
      <c r="E4" s="47" t="s">
        <v>45</v>
      </c>
    </row>
    <row r="5" customFormat="false" ht="12.75" hidden="false" customHeight="false" outlineLevel="0" collapsed="false">
      <c r="E5" s="47" t="s">
        <v>46</v>
      </c>
    </row>
    <row r="6" customFormat="false" ht="12.75" hidden="false" customHeight="false" outlineLevel="0" collapsed="false">
      <c r="E6" s="47" t="s">
        <v>47</v>
      </c>
    </row>
    <row r="7" customFormat="false" ht="14.9" hidden="false" customHeight="false" outlineLevel="0" collapsed="false">
      <c r="E7" s="49" t="s">
        <v>48</v>
      </c>
    </row>
    <row r="9" customFormat="false" ht="12.75" hidden="false" customHeight="false" outlineLevel="0" collapsed="false">
      <c r="B9" s="50" t="s">
        <v>49</v>
      </c>
    </row>
    <row r="28" customFormat="false" ht="12.75" hidden="false" customHeight="false" outlineLevel="0" collapsed="false">
      <c r="B28" s="50"/>
    </row>
  </sheetData>
  <mergeCells count="2">
    <mergeCell ref="B1:D1"/>
    <mergeCell ref="E1:F1"/>
  </mergeCells>
  <hyperlinks>
    <hyperlink ref="E7" r:id="rId1" display="https://www.tn.gov/tdot/aeronautics.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1:H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7" width="8.71"/>
  </cols>
  <sheetData>
    <row r="1" customFormat="false" ht="21.75" hidden="false" customHeight="true" outlineLevel="0" collapsed="false">
      <c r="B1" s="3" t="str">
        <f aca="false">HYPERLINK("#'General Information'!D9","◄ General Information")</f>
        <v>◄ General Information</v>
      </c>
      <c r="C1" s="3"/>
      <c r="D1" s="3"/>
      <c r="E1" s="4" t="str">
        <f aca="false">HYPERLINK("#Summary!G1","Summary")</f>
        <v>Summary</v>
      </c>
      <c r="F1" s="4"/>
      <c r="H1" s="48" t="s">
        <v>50</v>
      </c>
    </row>
    <row r="2" customFormat="false" ht="12.75" hidden="false" customHeight="false" outlineLevel="0" collapsed="false">
      <c r="E2" s="47" t="s">
        <v>43</v>
      </c>
    </row>
    <row r="3" customFormat="false" ht="12.75" hidden="false" customHeight="false" outlineLevel="0" collapsed="false">
      <c r="E3" s="47" t="s">
        <v>44</v>
      </c>
    </row>
    <row r="4" customFormat="false" ht="12.75" hidden="false" customHeight="false" outlineLevel="0" collapsed="false">
      <c r="E4" s="47" t="s">
        <v>45</v>
      </c>
    </row>
    <row r="5" customFormat="false" ht="12.75" hidden="false" customHeight="false" outlineLevel="0" collapsed="false">
      <c r="E5" s="47" t="s">
        <v>46</v>
      </c>
    </row>
    <row r="6" customFormat="false" ht="12.75" hidden="false" customHeight="false" outlineLevel="0" collapsed="false">
      <c r="E6" s="47" t="s">
        <v>47</v>
      </c>
    </row>
    <row r="7" customFormat="false" ht="12.75" hidden="false" customHeight="false" outlineLevel="0" collapsed="false">
      <c r="E7" s="47" t="s">
        <v>48</v>
      </c>
    </row>
    <row r="9" customFormat="false" ht="12.75" hidden="false" customHeight="false" outlineLevel="0" collapsed="false">
      <c r="B9" s="50" t="s">
        <v>51</v>
      </c>
    </row>
  </sheetData>
  <mergeCells count="2">
    <mergeCell ref="B1:D1"/>
    <mergeCell ref="E1:F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2: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7" width="8.71"/>
    <col collapsed="false" customWidth="true" hidden="false" outlineLevel="0" max="3" min="3" style="47" width="26.71"/>
    <col collapsed="false" customWidth="true" hidden="false" outlineLevel="0" max="4" min="4" style="47" width="35.43"/>
    <col collapsed="false" customWidth="false" hidden="false" outlineLevel="0" max="10" min="5" style="47" width="8.71"/>
    <col collapsed="false" customWidth="true" hidden="true" outlineLevel="0" max="11" min="11" style="47" width="9.14"/>
    <col collapsed="false" customWidth="true" hidden="true" outlineLevel="0" max="12" min="12" style="47" width="35.71"/>
    <col collapsed="false" customWidth="true" hidden="true" outlineLevel="0" max="13" min="13" style="47" width="9.14"/>
    <col collapsed="false" customWidth="true" hidden="true" outlineLevel="0" max="14" min="14" style="47" width="21.28"/>
    <col collapsed="false" customWidth="true" hidden="true" outlineLevel="0" max="15" min="15" style="47" width="9.14"/>
    <col collapsed="false" customWidth="false" hidden="true" outlineLevel="0" max="16" min="16" style="47" width="8.71"/>
    <col collapsed="false" customWidth="true" hidden="true" outlineLevel="0" max="18" min="17" style="47" width="9.14"/>
    <col collapsed="false" customWidth="true" hidden="true" outlineLevel="0" max="19" min="19" style="47" width="16.29"/>
    <col collapsed="false" customWidth="true" hidden="true" outlineLevel="0" max="21" min="20" style="47" width="9.14"/>
    <col collapsed="false" customWidth="false" hidden="false" outlineLevel="0" max="16384" min="22" style="47" width="8.71"/>
  </cols>
  <sheetData>
    <row r="2" customFormat="false" ht="12.75" hidden="false" customHeight="false" outlineLevel="0" collapsed="false">
      <c r="F2" s="51" t="s">
        <v>52</v>
      </c>
      <c r="G2" s="51"/>
      <c r="H2" s="51"/>
      <c r="I2" s="51"/>
      <c r="J2" s="51"/>
    </row>
    <row r="3" customFormat="false" ht="21" hidden="false" customHeight="true" outlineLevel="0" collapsed="false">
      <c r="F3" s="52" t="s">
        <v>53</v>
      </c>
      <c r="G3" s="52"/>
      <c r="H3" s="52"/>
      <c r="I3" s="52"/>
      <c r="J3" s="52"/>
    </row>
    <row r="4" customFormat="false" ht="21" hidden="false" customHeight="true" outlineLevel="0" collapsed="false">
      <c r="F4" s="52"/>
      <c r="G4" s="52"/>
      <c r="H4" s="52"/>
      <c r="I4" s="52"/>
      <c r="J4" s="52"/>
    </row>
    <row r="5" customFormat="false" ht="21" hidden="false" customHeight="true" outlineLevel="0" collapsed="false">
      <c r="F5" s="52"/>
      <c r="G5" s="52"/>
      <c r="H5" s="52"/>
      <c r="I5" s="52"/>
      <c r="J5" s="52"/>
    </row>
    <row r="6" customFormat="false" ht="21" hidden="false" customHeight="true" outlineLevel="0" collapsed="false">
      <c r="F6" s="52"/>
      <c r="G6" s="52"/>
      <c r="H6" s="52"/>
      <c r="I6" s="52"/>
      <c r="J6" s="52"/>
    </row>
    <row r="7" customFormat="false" ht="21" hidden="false" customHeight="true" outlineLevel="0" collapsed="false">
      <c r="F7" s="52"/>
      <c r="G7" s="52"/>
      <c r="H7" s="52"/>
      <c r="I7" s="52"/>
      <c r="J7" s="52"/>
      <c r="K7" s="47" t="s">
        <v>1</v>
      </c>
    </row>
    <row r="8" customFormat="false" ht="12.75" hidden="false" customHeight="false" outlineLevel="0" collapsed="false">
      <c r="B8" s="53" t="s">
        <v>54</v>
      </c>
      <c r="C8" s="53"/>
      <c r="D8" s="53"/>
      <c r="E8" s="53"/>
      <c r="L8" s="54" t="s">
        <v>55</v>
      </c>
      <c r="M8" s="54" t="s">
        <v>56</v>
      </c>
      <c r="N8" s="54" t="s">
        <v>57</v>
      </c>
      <c r="O8" s="54" t="s">
        <v>58</v>
      </c>
      <c r="P8" s="54" t="s">
        <v>59</v>
      </c>
      <c r="Q8" s="54" t="s">
        <v>60</v>
      </c>
      <c r="S8" s="47" t="s">
        <v>61</v>
      </c>
    </row>
    <row r="9" customFormat="false" ht="27.75" hidden="false" customHeight="true" outlineLevel="0" collapsed="false">
      <c r="C9" s="47" t="s">
        <v>62</v>
      </c>
      <c r="D9" s="55" t="s">
        <v>63</v>
      </c>
      <c r="F9" s="56"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56"/>
      <c r="H9" s="56"/>
      <c r="I9" s="56"/>
      <c r="J9" s="56"/>
      <c r="L9" s="54"/>
      <c r="M9" s="54"/>
      <c r="N9" s="54" t="s">
        <v>64</v>
      </c>
      <c r="O9" s="54" t="s">
        <v>64</v>
      </c>
      <c r="P9" s="54"/>
      <c r="Q9" s="21"/>
    </row>
    <row r="10" customFormat="false" ht="12.75" hidden="false" customHeight="false" outlineLevel="0" collapsed="false">
      <c r="C10" s="47" t="s">
        <v>65</v>
      </c>
      <c r="D10" s="57" t="str">
        <f aca="false">IF(D9="","N/A",VLOOKUP(Airport_Name,Table17[],2))</f>
        <v>MKL</v>
      </c>
      <c r="L10" s="47" t="s">
        <v>66</v>
      </c>
      <c r="M10" s="47" t="s">
        <v>67</v>
      </c>
      <c r="N10" s="47" t="s">
        <v>68</v>
      </c>
      <c r="O10" s="47" t="s">
        <v>69</v>
      </c>
      <c r="P10" s="47" t="s">
        <v>70</v>
      </c>
      <c r="S10" s="47" t="s">
        <v>71</v>
      </c>
    </row>
    <row r="11" customFormat="false" ht="12.75" hidden="false" customHeight="false" outlineLevel="0" collapsed="false">
      <c r="C11" s="47" t="s">
        <v>72</v>
      </c>
      <c r="D11" s="57" t="str">
        <f aca="false">IF(D9="","N/A",VLOOKUP(Airport_Name,Table17[],3))</f>
        <v>Jackson</v>
      </c>
      <c r="L11" s="47" t="s">
        <v>73</v>
      </c>
      <c r="M11" s="47" t="s">
        <v>74</v>
      </c>
      <c r="N11" s="47" t="s">
        <v>75</v>
      </c>
      <c r="O11" s="47" t="s">
        <v>76</v>
      </c>
      <c r="P11" s="47" t="s">
        <v>77</v>
      </c>
      <c r="S11" s="47" t="s">
        <v>78</v>
      </c>
    </row>
    <row r="12" customFormat="false" ht="12.75" hidden="false" customHeight="false" outlineLevel="0" collapsed="false">
      <c r="C12" s="47" t="s">
        <v>79</v>
      </c>
      <c r="D12" s="57" t="n">
        <f aca="false">IF(D9="","N/A",VLOOKUP(Airport_Name,Table17[],6))</f>
        <v>0</v>
      </c>
      <c r="L12" s="47" t="s">
        <v>80</v>
      </c>
      <c r="M12" s="47" t="s">
        <v>81</v>
      </c>
      <c r="N12" s="47" t="s">
        <v>82</v>
      </c>
      <c r="O12" s="47" t="s">
        <v>83</v>
      </c>
      <c r="P12" s="47" t="s">
        <v>77</v>
      </c>
      <c r="S12" s="47" t="s">
        <v>84</v>
      </c>
    </row>
    <row r="13" customFormat="false" ht="12.75" hidden="false" customHeight="false" outlineLevel="0" collapsed="false">
      <c r="C13" s="47" t="s">
        <v>85</v>
      </c>
      <c r="D13" s="57" t="str">
        <f aca="false">IF(D9="","N/A",VLOOKUP(Airport_Name,Table17[],5))</f>
        <v>West</v>
      </c>
      <c r="L13" s="47" t="s">
        <v>86</v>
      </c>
      <c r="M13" s="47" t="s">
        <v>87</v>
      </c>
      <c r="N13" s="47" t="s">
        <v>88</v>
      </c>
      <c r="O13" s="47" t="s">
        <v>89</v>
      </c>
      <c r="P13" s="47" t="s">
        <v>77</v>
      </c>
    </row>
    <row r="14" customFormat="false" ht="12.75" hidden="false" customHeight="false" outlineLevel="0" collapsed="false">
      <c r="C14" s="47" t="s">
        <v>90</v>
      </c>
      <c r="D14" s="55" t="s">
        <v>91</v>
      </c>
      <c r="L14" s="47" t="s">
        <v>92</v>
      </c>
      <c r="M14" s="47" t="s">
        <v>93</v>
      </c>
      <c r="N14" s="47" t="s">
        <v>94</v>
      </c>
      <c r="O14" s="47" t="s">
        <v>95</v>
      </c>
      <c r="P14" s="47" t="s">
        <v>70</v>
      </c>
    </row>
    <row r="15" customFormat="false" ht="12.75" hidden="false" customHeight="false" outlineLevel="0" collapsed="false">
      <c r="C15" s="47" t="s">
        <v>96</v>
      </c>
      <c r="D15" s="58" t="s">
        <v>97</v>
      </c>
      <c r="L15" s="47" t="s">
        <v>98</v>
      </c>
      <c r="M15" s="47" t="s">
        <v>99</v>
      </c>
      <c r="N15" s="47" t="s">
        <v>100</v>
      </c>
      <c r="O15" s="47" t="s">
        <v>101</v>
      </c>
      <c r="P15" s="47" t="s">
        <v>77</v>
      </c>
      <c r="S15" s="47" t="s">
        <v>102</v>
      </c>
    </row>
    <row r="16" customFormat="false" ht="12.75" hidden="false" customHeight="false" outlineLevel="0" collapsed="false">
      <c r="C16" s="47" t="s">
        <v>103</v>
      </c>
      <c r="D16" s="55" t="s">
        <v>104</v>
      </c>
      <c r="L16" s="47" t="s">
        <v>105</v>
      </c>
      <c r="M16" s="47" t="s">
        <v>106</v>
      </c>
      <c r="N16" s="47" t="s">
        <v>107</v>
      </c>
      <c r="O16" s="47" t="s">
        <v>108</v>
      </c>
      <c r="P16" s="47" t="s">
        <v>70</v>
      </c>
    </row>
    <row r="17" customFormat="false" ht="12.75" hidden="false" customHeight="false" outlineLevel="0" collapsed="false">
      <c r="C17" s="47" t="s">
        <v>109</v>
      </c>
      <c r="D17" s="59"/>
      <c r="L17" s="47" t="s">
        <v>110</v>
      </c>
      <c r="M17" s="47" t="s">
        <v>111</v>
      </c>
      <c r="N17" s="47" t="s">
        <v>112</v>
      </c>
      <c r="O17" s="47" t="s">
        <v>113</v>
      </c>
      <c r="P17" s="47" t="s">
        <v>77</v>
      </c>
      <c r="S17" s="47" t="s">
        <v>114</v>
      </c>
    </row>
    <row r="18" customFormat="false" ht="12.75" hidden="false" customHeight="false" outlineLevel="0" collapsed="false">
      <c r="L18" s="47" t="s">
        <v>115</v>
      </c>
      <c r="M18" s="47" t="s">
        <v>116</v>
      </c>
      <c r="N18" s="47" t="s">
        <v>89</v>
      </c>
      <c r="O18" s="47" t="s">
        <v>117</v>
      </c>
      <c r="P18" s="47" t="s">
        <v>118</v>
      </c>
      <c r="S18" s="47" t="s">
        <v>119</v>
      </c>
    </row>
    <row r="19" customFormat="false" ht="12.75" hidden="false" customHeight="false" outlineLevel="0" collapsed="false">
      <c r="L19" s="47" t="s">
        <v>120</v>
      </c>
      <c r="M19" s="47" t="s">
        <v>121</v>
      </c>
      <c r="N19" s="47" t="s">
        <v>122</v>
      </c>
      <c r="O19" s="47" t="s">
        <v>123</v>
      </c>
      <c r="P19" s="47" t="s">
        <v>118</v>
      </c>
    </row>
    <row r="20" customFormat="false" ht="12.75" hidden="false" customHeight="false" outlineLevel="0" collapsed="false">
      <c r="B20" s="53" t="s">
        <v>124</v>
      </c>
      <c r="C20" s="53"/>
      <c r="D20" s="53"/>
      <c r="E20" s="53"/>
      <c r="L20" s="47" t="s">
        <v>125</v>
      </c>
      <c r="M20" s="47" t="s">
        <v>126</v>
      </c>
      <c r="N20" s="47" t="s">
        <v>127</v>
      </c>
      <c r="O20" s="47" t="s">
        <v>128</v>
      </c>
      <c r="P20" s="47" t="s">
        <v>118</v>
      </c>
    </row>
    <row r="21" customFormat="false" ht="12.75" hidden="false" customHeight="false" outlineLevel="0" collapsed="false">
      <c r="C21" s="47" t="s">
        <v>129</v>
      </c>
      <c r="D21" s="55" t="s">
        <v>71</v>
      </c>
      <c r="L21" s="47" t="s">
        <v>130</v>
      </c>
      <c r="M21" s="47" t="s">
        <v>131</v>
      </c>
      <c r="N21" s="47" t="s">
        <v>132</v>
      </c>
      <c r="O21" s="47" t="s">
        <v>133</v>
      </c>
      <c r="P21" s="47" t="s">
        <v>118</v>
      </c>
      <c r="S21" s="47" t="s">
        <v>134</v>
      </c>
    </row>
    <row r="22" customFormat="false" ht="12.75" hidden="false" customHeight="false" outlineLevel="0" collapsed="false">
      <c r="C22" s="47" t="s">
        <v>135</v>
      </c>
      <c r="D22" s="55" t="s">
        <v>136</v>
      </c>
      <c r="L22" s="47" t="s">
        <v>137</v>
      </c>
      <c r="M22" s="47" t="s">
        <v>138</v>
      </c>
      <c r="N22" s="47" t="s">
        <v>139</v>
      </c>
      <c r="O22" s="47" t="s">
        <v>140</v>
      </c>
      <c r="P22" s="47" t="s">
        <v>77</v>
      </c>
    </row>
    <row r="23" customFormat="false" ht="12.75" hidden="false" customHeight="false" outlineLevel="0" collapsed="false">
      <c r="C23" s="47" t="s">
        <v>141</v>
      </c>
      <c r="D23" s="55" t="s">
        <v>142</v>
      </c>
      <c r="L23" s="47" t="s">
        <v>143</v>
      </c>
      <c r="M23" s="47" t="s">
        <v>144</v>
      </c>
      <c r="N23" s="47" t="s">
        <v>145</v>
      </c>
      <c r="O23" s="47" t="s">
        <v>146</v>
      </c>
      <c r="P23" s="47" t="s">
        <v>118</v>
      </c>
      <c r="S23" s="47" t="s">
        <v>147</v>
      </c>
    </row>
    <row r="24" customFormat="false" ht="12.75" hidden="false" customHeight="false" outlineLevel="0" collapsed="false">
      <c r="C24" s="47" t="s">
        <v>148</v>
      </c>
      <c r="D24" s="55" t="s">
        <v>149</v>
      </c>
      <c r="L24" s="47" t="s">
        <v>150</v>
      </c>
      <c r="M24" s="47" t="s">
        <v>151</v>
      </c>
      <c r="N24" s="47" t="s">
        <v>152</v>
      </c>
      <c r="O24" s="47" t="s">
        <v>128</v>
      </c>
      <c r="P24" s="47" t="s">
        <v>118</v>
      </c>
      <c r="S24" s="47" t="s">
        <v>153</v>
      </c>
    </row>
    <row r="25" customFormat="false" ht="12.75" hidden="false" customHeight="false" outlineLevel="0" collapsed="false">
      <c r="C25" s="47" t="s">
        <v>12</v>
      </c>
      <c r="D25" s="55" t="n">
        <v>2027</v>
      </c>
      <c r="F25" s="60" t="s">
        <v>154</v>
      </c>
      <c r="L25" s="47" t="s">
        <v>155</v>
      </c>
      <c r="M25" s="47" t="s">
        <v>156</v>
      </c>
      <c r="N25" s="47" t="s">
        <v>157</v>
      </c>
      <c r="O25" s="47" t="s">
        <v>157</v>
      </c>
      <c r="P25" s="47" t="s">
        <v>70</v>
      </c>
      <c r="S25" s="47" t="s">
        <v>158</v>
      </c>
    </row>
    <row r="26" customFormat="false" ht="12.75" hidden="false" customHeight="false" outlineLevel="0" collapsed="false">
      <c r="C26" s="47" t="s">
        <v>159</v>
      </c>
      <c r="D26" s="55" t="n">
        <v>100083</v>
      </c>
      <c r="F26" s="60" t="s">
        <v>160</v>
      </c>
      <c r="L26" s="47" t="s">
        <v>161</v>
      </c>
      <c r="M26" s="47" t="s">
        <v>162</v>
      </c>
      <c r="N26" s="47" t="s">
        <v>163</v>
      </c>
      <c r="O26" s="47" t="s">
        <v>164</v>
      </c>
      <c r="P26" s="47" t="s">
        <v>77</v>
      </c>
    </row>
    <row r="27" customFormat="false" ht="12.75" hidden="false" customHeight="false" outlineLevel="0" collapsed="false">
      <c r="C27" s="47" t="s">
        <v>165</v>
      </c>
      <c r="D27" s="55" t="n">
        <v>33361</v>
      </c>
      <c r="F27" s="60" t="s">
        <v>166</v>
      </c>
      <c r="L27" s="47" t="s">
        <v>167</v>
      </c>
      <c r="M27" s="47" t="s">
        <v>168</v>
      </c>
      <c r="N27" s="47" t="s">
        <v>169</v>
      </c>
      <c r="O27" s="47" t="s">
        <v>170</v>
      </c>
      <c r="P27" s="47" t="s">
        <v>118</v>
      </c>
    </row>
    <row r="28" customFormat="false" ht="12.75" hidden="false" customHeight="false" outlineLevel="0" collapsed="false">
      <c r="C28" s="47" t="s">
        <v>171</v>
      </c>
      <c r="D28" s="55" t="n">
        <v>25000</v>
      </c>
      <c r="F28" s="60" t="s">
        <v>172</v>
      </c>
      <c r="L28" s="47" t="s">
        <v>173</v>
      </c>
      <c r="M28" s="47" t="s">
        <v>174</v>
      </c>
      <c r="N28" s="47" t="s">
        <v>175</v>
      </c>
      <c r="O28" s="47" t="s">
        <v>176</v>
      </c>
      <c r="P28" s="47" t="s">
        <v>70</v>
      </c>
    </row>
    <row r="29" customFormat="false" ht="12.75" hidden="false" customHeight="false" outlineLevel="0" collapsed="false">
      <c r="C29" s="47" t="s">
        <v>177</v>
      </c>
      <c r="D29" s="55" t="s">
        <v>114</v>
      </c>
      <c r="L29" s="47" t="s">
        <v>178</v>
      </c>
      <c r="M29" s="47" t="s">
        <v>179</v>
      </c>
      <c r="N29" s="47" t="s">
        <v>180</v>
      </c>
      <c r="O29" s="47" t="s">
        <v>181</v>
      </c>
      <c r="P29" s="47" t="s">
        <v>77</v>
      </c>
    </row>
    <row r="30" customFormat="false" ht="12.75" hidden="false" customHeight="false" outlineLevel="0" collapsed="false">
      <c r="L30" s="47" t="s">
        <v>182</v>
      </c>
      <c r="M30" s="47" t="s">
        <v>183</v>
      </c>
      <c r="N30" s="47" t="s">
        <v>184</v>
      </c>
      <c r="O30" s="47" t="s">
        <v>185</v>
      </c>
      <c r="P30" s="47" t="s">
        <v>77</v>
      </c>
    </row>
    <row r="31" customFormat="false" ht="12.75" hidden="false" customHeight="false" outlineLevel="0" collapsed="false">
      <c r="L31" s="47" t="s">
        <v>186</v>
      </c>
      <c r="M31" s="47" t="s">
        <v>187</v>
      </c>
      <c r="N31" s="47" t="s">
        <v>188</v>
      </c>
      <c r="O31" s="47" t="s">
        <v>189</v>
      </c>
      <c r="P31" s="47" t="s">
        <v>70</v>
      </c>
    </row>
    <row r="32" customFormat="false" ht="12.75" hidden="false" customHeight="false" outlineLevel="0" collapsed="false">
      <c r="B32" s="53" t="s">
        <v>190</v>
      </c>
      <c r="C32" s="53"/>
      <c r="D32" s="53"/>
      <c r="E32" s="53"/>
      <c r="L32" s="47" t="s">
        <v>191</v>
      </c>
      <c r="M32" s="47" t="s">
        <v>192</v>
      </c>
      <c r="N32" s="47" t="s">
        <v>193</v>
      </c>
      <c r="O32" s="47" t="s">
        <v>194</v>
      </c>
      <c r="P32" s="47" t="s">
        <v>70</v>
      </c>
    </row>
    <row r="33" customFormat="false" ht="12.75" hidden="false" customHeight="false" outlineLevel="0" collapsed="false">
      <c r="C33" s="47" t="s">
        <v>195</v>
      </c>
      <c r="D33" s="61" t="n">
        <v>30</v>
      </c>
      <c r="F33" s="60" t="s">
        <v>196</v>
      </c>
      <c r="L33" s="47" t="s">
        <v>197</v>
      </c>
      <c r="M33" s="47" t="s">
        <v>198</v>
      </c>
      <c r="N33" s="47" t="s">
        <v>199</v>
      </c>
      <c r="O33" s="47" t="s">
        <v>200</v>
      </c>
      <c r="P33" s="47" t="s">
        <v>118</v>
      </c>
    </row>
    <row r="34" customFormat="false" ht="12.75" hidden="false" customHeight="false" outlineLevel="0" collapsed="false">
      <c r="C34" s="47" t="s">
        <v>201</v>
      </c>
      <c r="D34" s="61" t="n">
        <v>3</v>
      </c>
      <c r="F34" s="60" t="s">
        <v>202</v>
      </c>
      <c r="L34" s="47" t="s">
        <v>203</v>
      </c>
      <c r="M34" s="47" t="s">
        <v>204</v>
      </c>
      <c r="N34" s="47" t="s">
        <v>205</v>
      </c>
      <c r="O34" s="47" t="s">
        <v>113</v>
      </c>
      <c r="P34" s="47" t="s">
        <v>77</v>
      </c>
    </row>
    <row r="35" customFormat="false" ht="12.75" hidden="false" customHeight="false" outlineLevel="0" collapsed="false">
      <c r="C35" s="47" t="s">
        <v>206</v>
      </c>
      <c r="D35" s="5" t="s">
        <v>207</v>
      </c>
      <c r="L35" s="47" t="s">
        <v>208</v>
      </c>
      <c r="M35" s="47" t="s">
        <v>209</v>
      </c>
      <c r="N35" s="47" t="s">
        <v>210</v>
      </c>
      <c r="O35" s="47" t="s">
        <v>211</v>
      </c>
      <c r="P35" s="47" t="s">
        <v>77</v>
      </c>
    </row>
    <row r="36" customFormat="false" ht="12.75" hidden="false" customHeight="false" outlineLevel="0" collapsed="false">
      <c r="C36" s="47" t="s">
        <v>212</v>
      </c>
      <c r="D36" s="61" t="n">
        <v>10</v>
      </c>
      <c r="F36" s="60" t="s">
        <v>213</v>
      </c>
      <c r="L36" s="47" t="s">
        <v>214</v>
      </c>
      <c r="M36" s="47" t="s">
        <v>215</v>
      </c>
      <c r="N36" s="47" t="s">
        <v>216</v>
      </c>
      <c r="O36" s="47" t="s">
        <v>217</v>
      </c>
      <c r="P36" s="47" t="s">
        <v>118</v>
      </c>
    </row>
    <row r="37" customFormat="false" ht="12.75" hidden="false" customHeight="false" outlineLevel="0" collapsed="false">
      <c r="C37" s="47" t="s">
        <v>218</v>
      </c>
      <c r="D37" s="61" t="n">
        <v>5</v>
      </c>
      <c r="F37" s="60" t="s">
        <v>219</v>
      </c>
      <c r="L37" s="47" t="s">
        <v>220</v>
      </c>
      <c r="M37" s="47" t="s">
        <v>221</v>
      </c>
      <c r="N37" s="47" t="s">
        <v>222</v>
      </c>
      <c r="O37" s="47" t="s">
        <v>223</v>
      </c>
      <c r="P37" s="47" t="s">
        <v>70</v>
      </c>
    </row>
    <row r="38" customFormat="false" ht="12.75" hidden="false" customHeight="false" outlineLevel="0" collapsed="false">
      <c r="C38" s="47" t="s">
        <v>224</v>
      </c>
      <c r="D38" s="62" t="s">
        <v>225</v>
      </c>
      <c r="F38" s="60" t="s">
        <v>226</v>
      </c>
      <c r="L38" s="47" t="s">
        <v>227</v>
      </c>
      <c r="M38" s="47" t="s">
        <v>228</v>
      </c>
      <c r="N38" s="47" t="s">
        <v>229</v>
      </c>
      <c r="O38" s="47" t="s">
        <v>230</v>
      </c>
      <c r="P38" s="47" t="s">
        <v>118</v>
      </c>
    </row>
    <row r="39" customFormat="false" ht="12.75" hidden="false" customHeight="false" outlineLevel="0" collapsed="false">
      <c r="C39" s="47" t="s">
        <v>231</v>
      </c>
      <c r="D39" s="63"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8505.94</v>
      </c>
      <c r="L39" s="47" t="s">
        <v>232</v>
      </c>
      <c r="M39" s="47" t="s">
        <v>233</v>
      </c>
      <c r="N39" s="47" t="s">
        <v>234</v>
      </c>
      <c r="O39" s="47" t="s">
        <v>235</v>
      </c>
      <c r="P39" s="47" t="s">
        <v>77</v>
      </c>
    </row>
    <row r="40" customFormat="false" ht="12.75" hidden="false" customHeight="false" outlineLevel="0" collapsed="false">
      <c r="L40" s="47" t="s">
        <v>236</v>
      </c>
      <c r="M40" s="47" t="s">
        <v>237</v>
      </c>
      <c r="N40" s="47" t="s">
        <v>238</v>
      </c>
      <c r="O40" s="47" t="s">
        <v>239</v>
      </c>
      <c r="P40" s="47" t="s">
        <v>70</v>
      </c>
    </row>
    <row r="41" customFormat="false" ht="12.75" hidden="false" customHeight="false" outlineLevel="0" collapsed="false">
      <c r="B41" s="50" t="s">
        <v>240</v>
      </c>
      <c r="L41" s="47" t="s">
        <v>241</v>
      </c>
      <c r="M41" s="47" t="s">
        <v>242</v>
      </c>
      <c r="N41" s="47" t="s">
        <v>243</v>
      </c>
      <c r="O41" s="47" t="s">
        <v>211</v>
      </c>
      <c r="P41" s="47" t="s">
        <v>77</v>
      </c>
    </row>
    <row r="42" customFormat="false" ht="12.75" hidden="false" customHeight="false" outlineLevel="0" collapsed="false">
      <c r="L42" s="47" t="s">
        <v>244</v>
      </c>
      <c r="M42" s="47" t="s">
        <v>245</v>
      </c>
      <c r="N42" s="47" t="s">
        <v>246</v>
      </c>
      <c r="O42" s="47" t="s">
        <v>247</v>
      </c>
      <c r="P42" s="47" t="s">
        <v>70</v>
      </c>
    </row>
    <row r="43" customFormat="false" ht="12.75" hidden="false" customHeight="false" outlineLevel="0" collapsed="false">
      <c r="L43" s="47" t="s">
        <v>248</v>
      </c>
      <c r="M43" s="47" t="s">
        <v>249</v>
      </c>
      <c r="N43" s="47" t="s">
        <v>250</v>
      </c>
      <c r="O43" s="47" t="s">
        <v>251</v>
      </c>
      <c r="P43" s="47" t="s">
        <v>70</v>
      </c>
    </row>
    <row r="44" customFormat="false" ht="21" hidden="false" customHeight="true" outlineLevel="0" collapsed="false">
      <c r="B44" s="50" t="s">
        <v>252</v>
      </c>
      <c r="D44" s="3" t="str">
        <f aca="false">HYPERLINK("#Summary!G1","View Summary  ►")</f>
        <v>View Summary  ►</v>
      </c>
      <c r="L44" s="47" t="s">
        <v>253</v>
      </c>
      <c r="M44" s="47" t="s">
        <v>254</v>
      </c>
      <c r="N44" s="47" t="s">
        <v>255</v>
      </c>
      <c r="O44" s="47" t="s">
        <v>256</v>
      </c>
      <c r="P44" s="47" t="s">
        <v>70</v>
      </c>
    </row>
    <row r="45" customFormat="false" ht="12.75" hidden="false" customHeight="false" outlineLevel="0" collapsed="false">
      <c r="L45" s="47" t="s">
        <v>257</v>
      </c>
      <c r="M45" s="47" t="s">
        <v>258</v>
      </c>
      <c r="N45" s="47" t="s">
        <v>259</v>
      </c>
      <c r="O45" s="47" t="s">
        <v>260</v>
      </c>
      <c r="P45" s="47" t="s">
        <v>70</v>
      </c>
    </row>
    <row r="46" customFormat="false" ht="21" hidden="false" customHeight="true" outlineLevel="0" collapsed="false">
      <c r="B46" s="50" t="s">
        <v>261</v>
      </c>
      <c r="D46" s="3" t="str">
        <f aca="false">HYPERLINK("#'Typical Values'!A1","Typical Values  ►")</f>
        <v>Typical Values  ►</v>
      </c>
      <c r="L46" s="47" t="s">
        <v>262</v>
      </c>
      <c r="M46" s="47" t="s">
        <v>263</v>
      </c>
      <c r="N46" s="47" t="s">
        <v>264</v>
      </c>
      <c r="O46" s="47" t="s">
        <v>265</v>
      </c>
      <c r="P46" s="47" t="s">
        <v>70</v>
      </c>
    </row>
    <row r="47" customFormat="false" ht="12.75" hidden="false" customHeight="false" outlineLevel="0" collapsed="false">
      <c r="L47" s="47" t="s">
        <v>266</v>
      </c>
      <c r="M47" s="47" t="s">
        <v>267</v>
      </c>
      <c r="N47" s="47" t="s">
        <v>268</v>
      </c>
      <c r="O47" s="47" t="s">
        <v>269</v>
      </c>
      <c r="P47" s="47" t="s">
        <v>70</v>
      </c>
    </row>
    <row r="48" customFormat="false" ht="21" hidden="false" customHeight="true" outlineLevel="0" collapsed="false">
      <c r="B48" s="50" t="s">
        <v>270</v>
      </c>
      <c r="D48" s="3" t="str">
        <f aca="false">HYPERLINK("#Method!A1","Method  ►")</f>
        <v>Method  ►</v>
      </c>
      <c r="L48" s="47" t="s">
        <v>271</v>
      </c>
      <c r="M48" s="47" t="s">
        <v>272</v>
      </c>
      <c r="N48" s="47" t="s">
        <v>273</v>
      </c>
      <c r="O48" s="47" t="s">
        <v>274</v>
      </c>
      <c r="P48" s="47" t="s">
        <v>118</v>
      </c>
    </row>
    <row r="49" customFormat="false" ht="12.75" hidden="false" customHeight="false" outlineLevel="0" collapsed="false">
      <c r="L49" s="47" t="s">
        <v>275</v>
      </c>
      <c r="M49" s="47" t="s">
        <v>276</v>
      </c>
      <c r="N49" s="47" t="s">
        <v>277</v>
      </c>
      <c r="O49" s="47" t="s">
        <v>278</v>
      </c>
      <c r="P49" s="47" t="s">
        <v>118</v>
      </c>
    </row>
    <row r="50" customFormat="false" ht="21" hidden="false" customHeight="true" outlineLevel="0" collapsed="false">
      <c r="B50" s="50" t="s">
        <v>279</v>
      </c>
      <c r="D50" s="3" t="str">
        <f aca="false">HYPERLINK("#Pay_Items!A1","Pay_Items  ►")</f>
        <v>Pay_Items  ►</v>
      </c>
      <c r="L50" s="47" t="s">
        <v>280</v>
      </c>
      <c r="M50" s="47" t="s">
        <v>281</v>
      </c>
      <c r="N50" s="47" t="s">
        <v>282</v>
      </c>
      <c r="O50" s="47" t="s">
        <v>283</v>
      </c>
      <c r="P50" s="47" t="s">
        <v>118</v>
      </c>
    </row>
    <row r="51" customFormat="false" ht="12.75" hidden="false" customHeight="false" outlineLevel="0" collapsed="false">
      <c r="L51" s="47" t="s">
        <v>284</v>
      </c>
      <c r="M51" s="47" t="s">
        <v>285</v>
      </c>
      <c r="N51" s="47" t="s">
        <v>286</v>
      </c>
      <c r="O51" s="47" t="s">
        <v>287</v>
      </c>
      <c r="P51" s="47" t="s">
        <v>70</v>
      </c>
    </row>
    <row r="52" customFormat="false" ht="21" hidden="false" customHeight="true" outlineLevel="0" collapsed="false">
      <c r="B52" s="50" t="s">
        <v>288</v>
      </c>
      <c r="D52" s="3" t="str">
        <f aca="false">HYPERLINK("#'Maintenance Policies'!C2","Maintenance Policies  ►")</f>
        <v>Maintenance Policies  ►</v>
      </c>
      <c r="L52" s="47" t="s">
        <v>289</v>
      </c>
      <c r="M52" s="47" t="s">
        <v>290</v>
      </c>
      <c r="N52" s="47" t="s">
        <v>291</v>
      </c>
      <c r="O52" s="47" t="s">
        <v>292</v>
      </c>
      <c r="P52" s="47" t="s">
        <v>70</v>
      </c>
    </row>
    <row r="53" customFormat="false" ht="12.75" hidden="false" customHeight="false" outlineLevel="0" collapsed="false">
      <c r="L53" s="47" t="s">
        <v>293</v>
      </c>
      <c r="M53" s="47" t="s">
        <v>294</v>
      </c>
      <c r="N53" s="47" t="s">
        <v>295</v>
      </c>
      <c r="O53" s="47" t="s">
        <v>296</v>
      </c>
      <c r="P53" s="47" t="s">
        <v>70</v>
      </c>
    </row>
    <row r="54" customFormat="false" ht="12.75" hidden="false" customHeight="false" outlineLevel="0" collapsed="false">
      <c r="L54" s="47" t="s">
        <v>297</v>
      </c>
      <c r="M54" s="47" t="s">
        <v>298</v>
      </c>
      <c r="N54" s="47" t="s">
        <v>299</v>
      </c>
      <c r="O54" s="47" t="s">
        <v>300</v>
      </c>
      <c r="P54" s="47" t="s">
        <v>70</v>
      </c>
    </row>
    <row r="55" customFormat="false" ht="12.75" hidden="false" customHeight="false" outlineLevel="0" collapsed="false">
      <c r="L55" s="47" t="s">
        <v>301</v>
      </c>
      <c r="M55" s="47" t="s">
        <v>302</v>
      </c>
      <c r="N55" s="47" t="s">
        <v>152</v>
      </c>
      <c r="O55" s="47" t="s">
        <v>128</v>
      </c>
      <c r="P55" s="47" t="s">
        <v>118</v>
      </c>
    </row>
    <row r="56" customFormat="false" ht="12.75" hidden="false" customHeight="false" outlineLevel="0" collapsed="false">
      <c r="L56" s="47" t="s">
        <v>303</v>
      </c>
      <c r="M56" s="47" t="s">
        <v>304</v>
      </c>
      <c r="N56" s="47" t="s">
        <v>305</v>
      </c>
      <c r="O56" s="47" t="s">
        <v>306</v>
      </c>
      <c r="P56" s="47" t="s">
        <v>118</v>
      </c>
    </row>
    <row r="57" customFormat="false" ht="12.75" hidden="false" customHeight="false" outlineLevel="0" collapsed="false">
      <c r="L57" s="47" t="s">
        <v>307</v>
      </c>
      <c r="M57" s="47" t="s">
        <v>308</v>
      </c>
      <c r="N57" s="47" t="s">
        <v>309</v>
      </c>
      <c r="O57" s="47" t="s">
        <v>310</v>
      </c>
      <c r="P57" s="47" t="s">
        <v>118</v>
      </c>
    </row>
    <row r="58" customFormat="false" ht="12.75" hidden="false" customHeight="false" outlineLevel="0" collapsed="false">
      <c r="L58" s="47" t="s">
        <v>311</v>
      </c>
      <c r="M58" s="47" t="s">
        <v>312</v>
      </c>
      <c r="N58" s="47" t="s">
        <v>313</v>
      </c>
      <c r="O58" s="47" t="s">
        <v>117</v>
      </c>
      <c r="P58" s="47" t="s">
        <v>118</v>
      </c>
    </row>
    <row r="59" customFormat="false" ht="12.75" hidden="false" customHeight="false" outlineLevel="0" collapsed="false">
      <c r="L59" s="47" t="s">
        <v>314</v>
      </c>
      <c r="M59" s="47" t="s">
        <v>315</v>
      </c>
      <c r="N59" s="47" t="s">
        <v>316</v>
      </c>
      <c r="O59" s="47" t="s">
        <v>317</v>
      </c>
      <c r="P59" s="47" t="s">
        <v>70</v>
      </c>
    </row>
    <row r="60" customFormat="false" ht="12.75" hidden="false" customHeight="false" outlineLevel="0" collapsed="false">
      <c r="L60" s="47" t="s">
        <v>318</v>
      </c>
      <c r="M60" s="47" t="s">
        <v>319</v>
      </c>
      <c r="N60" s="47" t="s">
        <v>282</v>
      </c>
      <c r="O60" s="47" t="s">
        <v>320</v>
      </c>
      <c r="P60" s="47" t="s">
        <v>118</v>
      </c>
    </row>
    <row r="61" customFormat="false" ht="12.75" hidden="false" customHeight="false" outlineLevel="0" collapsed="false">
      <c r="L61" s="47" t="s">
        <v>63</v>
      </c>
      <c r="M61" s="47" t="s">
        <v>321</v>
      </c>
      <c r="N61" s="47" t="s">
        <v>251</v>
      </c>
      <c r="O61" s="47" t="s">
        <v>322</v>
      </c>
      <c r="P61" s="47" t="s">
        <v>77</v>
      </c>
    </row>
    <row r="62" customFormat="false" ht="12.75" hidden="false" customHeight="false" outlineLevel="0" collapsed="false">
      <c r="L62" s="47" t="s">
        <v>323</v>
      </c>
      <c r="M62" s="47" t="s">
        <v>324</v>
      </c>
      <c r="N62" s="47" t="s">
        <v>325</v>
      </c>
      <c r="O62" s="47" t="s">
        <v>326</v>
      </c>
      <c r="P62" s="47" t="s">
        <v>118</v>
      </c>
    </row>
    <row r="63" customFormat="false" ht="12.75" hidden="false" customHeight="false" outlineLevel="0" collapsed="false">
      <c r="L63" s="47" t="s">
        <v>327</v>
      </c>
      <c r="M63" s="47" t="s">
        <v>328</v>
      </c>
      <c r="N63" s="47" t="s">
        <v>205</v>
      </c>
      <c r="O63" s="47" t="s">
        <v>113</v>
      </c>
      <c r="P63" s="47" t="s">
        <v>77</v>
      </c>
    </row>
    <row r="64" customFormat="false" ht="12.75" hidden="false" customHeight="false" outlineLevel="0" collapsed="false">
      <c r="L64" s="47" t="s">
        <v>329</v>
      </c>
      <c r="M64" s="47" t="s">
        <v>330</v>
      </c>
      <c r="N64" s="47" t="s">
        <v>112</v>
      </c>
      <c r="O64" s="47" t="s">
        <v>113</v>
      </c>
      <c r="P64" s="47" t="s">
        <v>77</v>
      </c>
    </row>
    <row r="65" customFormat="false" ht="12.75" hidden="false" customHeight="false" outlineLevel="0" collapsed="false">
      <c r="L65" s="47" t="s">
        <v>331</v>
      </c>
      <c r="M65" s="47" t="s">
        <v>332</v>
      </c>
      <c r="N65" s="47" t="s">
        <v>333</v>
      </c>
      <c r="O65" s="47" t="s">
        <v>334</v>
      </c>
      <c r="P65" s="47" t="s">
        <v>118</v>
      </c>
    </row>
    <row r="66" customFormat="false" ht="12.75" hidden="false" customHeight="false" outlineLevel="0" collapsed="false">
      <c r="L66" s="47" t="s">
        <v>335</v>
      </c>
      <c r="M66" s="47" t="s">
        <v>336</v>
      </c>
      <c r="N66" s="47" t="s">
        <v>337</v>
      </c>
      <c r="O66" s="47" t="s">
        <v>338</v>
      </c>
      <c r="P66" s="47" t="s">
        <v>118</v>
      </c>
    </row>
    <row r="67" customFormat="false" ht="12.75" hidden="false" customHeight="false" outlineLevel="0" collapsed="false">
      <c r="L67" s="47" t="s">
        <v>339</v>
      </c>
      <c r="M67" s="47" t="s">
        <v>340</v>
      </c>
      <c r="N67" s="47" t="s">
        <v>341</v>
      </c>
      <c r="O67" s="47" t="s">
        <v>342</v>
      </c>
      <c r="P67" s="47" t="s">
        <v>70</v>
      </c>
    </row>
    <row r="68" customFormat="false" ht="12.75" hidden="false" customHeight="false" outlineLevel="0" collapsed="false">
      <c r="L68" s="47" t="s">
        <v>343</v>
      </c>
      <c r="M68" s="47" t="s">
        <v>344</v>
      </c>
      <c r="N68" s="47" t="s">
        <v>345</v>
      </c>
      <c r="O68" s="47" t="s">
        <v>346</v>
      </c>
      <c r="P68" s="47" t="s">
        <v>70</v>
      </c>
    </row>
    <row r="69" customFormat="false" ht="12.75" hidden="false" customHeight="false" outlineLevel="0" collapsed="false">
      <c r="L69" s="47" t="s">
        <v>347</v>
      </c>
      <c r="M69" s="47" t="s">
        <v>348</v>
      </c>
      <c r="N69" s="47" t="s">
        <v>268</v>
      </c>
      <c r="O69" s="47" t="s">
        <v>269</v>
      </c>
      <c r="P69" s="47" t="s">
        <v>70</v>
      </c>
    </row>
    <row r="70" customFormat="false" ht="12.75" hidden="false" customHeight="false" outlineLevel="0" collapsed="false">
      <c r="L70" s="47" t="s">
        <v>349</v>
      </c>
      <c r="M70" s="47" t="s">
        <v>350</v>
      </c>
      <c r="N70" s="47" t="s">
        <v>351</v>
      </c>
      <c r="O70" s="47" t="s">
        <v>352</v>
      </c>
      <c r="P70" s="47" t="s">
        <v>118</v>
      </c>
    </row>
    <row r="71" customFormat="false" ht="12.75" hidden="false" customHeight="false" outlineLevel="0" collapsed="false">
      <c r="L71" s="47" t="s">
        <v>353</v>
      </c>
      <c r="M71" s="47" t="s">
        <v>354</v>
      </c>
      <c r="N71" s="47" t="s">
        <v>355</v>
      </c>
      <c r="O71" s="47" t="s">
        <v>356</v>
      </c>
      <c r="P71" s="47" t="s">
        <v>70</v>
      </c>
    </row>
    <row r="72" customFormat="false" ht="12.75" hidden="false" customHeight="false" outlineLevel="0" collapsed="false">
      <c r="L72" s="47" t="s">
        <v>357</v>
      </c>
      <c r="M72" s="47" t="s">
        <v>358</v>
      </c>
      <c r="N72" s="47" t="s">
        <v>359</v>
      </c>
      <c r="O72" s="47" t="s">
        <v>346</v>
      </c>
      <c r="P72" s="47" t="s">
        <v>70</v>
      </c>
    </row>
    <row r="73" customFormat="false" ht="12.75" hidden="false" customHeight="false" outlineLevel="0" collapsed="false">
      <c r="L73" s="47" t="s">
        <v>360</v>
      </c>
      <c r="M73" s="47" t="s">
        <v>361</v>
      </c>
      <c r="N73" s="47" t="s">
        <v>362</v>
      </c>
      <c r="O73" s="47" t="s">
        <v>95</v>
      </c>
      <c r="P73" s="47" t="s">
        <v>70</v>
      </c>
    </row>
    <row r="74" customFormat="false" ht="12.75" hidden="false" customHeight="false" outlineLevel="0" collapsed="false">
      <c r="L74" s="47" t="s">
        <v>363</v>
      </c>
      <c r="M74" s="47" t="s">
        <v>364</v>
      </c>
      <c r="N74" s="47" t="s">
        <v>365</v>
      </c>
      <c r="O74" s="47" t="s">
        <v>366</v>
      </c>
      <c r="P74" s="47" t="s">
        <v>77</v>
      </c>
    </row>
    <row r="75" customFormat="false" ht="12.75" hidden="false" customHeight="false" outlineLevel="0" collapsed="false">
      <c r="L75" s="47" t="s">
        <v>367</v>
      </c>
      <c r="M75" s="47" t="s">
        <v>368</v>
      </c>
      <c r="N75" s="47" t="s">
        <v>369</v>
      </c>
      <c r="O75" s="47" t="s">
        <v>370</v>
      </c>
      <c r="P75" s="47" t="s">
        <v>77</v>
      </c>
    </row>
    <row r="76" customFormat="false" ht="12.75" hidden="false" customHeight="false" outlineLevel="0" collapsed="false">
      <c r="L76" s="47" t="s">
        <v>371</v>
      </c>
      <c r="M76" s="47" t="s">
        <v>372</v>
      </c>
      <c r="N76" s="47" t="s">
        <v>373</v>
      </c>
      <c r="O76" s="47" t="s">
        <v>374</v>
      </c>
      <c r="P76" s="47" t="s">
        <v>118</v>
      </c>
    </row>
    <row r="77" customFormat="false" ht="12.75" hidden="false" customHeight="false" outlineLevel="0" collapsed="false">
      <c r="L77" s="47" t="s">
        <v>375</v>
      </c>
      <c r="M77" s="47" t="s">
        <v>376</v>
      </c>
      <c r="N77" s="47" t="s">
        <v>377</v>
      </c>
      <c r="O77" s="47" t="s">
        <v>378</v>
      </c>
      <c r="P77" s="47" t="s">
        <v>77</v>
      </c>
    </row>
    <row r="78" customFormat="false" ht="12.75" hidden="false" customHeight="false" outlineLevel="0" collapsed="false">
      <c r="L78" s="47" t="s">
        <v>379</v>
      </c>
      <c r="M78" s="47" t="s">
        <v>380</v>
      </c>
      <c r="N78" s="47" t="s">
        <v>381</v>
      </c>
      <c r="O78" s="47" t="s">
        <v>382</v>
      </c>
      <c r="P78" s="47" t="s">
        <v>118</v>
      </c>
    </row>
    <row r="79" customFormat="false" ht="12.75" hidden="false" customHeight="false" outlineLevel="0" collapsed="false">
      <c r="L79" s="47" t="s">
        <v>383</v>
      </c>
      <c r="M79" s="47" t="s">
        <v>384</v>
      </c>
      <c r="N79" s="47" t="s">
        <v>385</v>
      </c>
      <c r="O79" s="47" t="s">
        <v>386</v>
      </c>
      <c r="P79" s="47" t="s">
        <v>70</v>
      </c>
    </row>
    <row r="80" customFormat="false" ht="12.75" hidden="false" customHeight="false" outlineLevel="0" collapsed="false">
      <c r="L80" s="47" t="s">
        <v>387</v>
      </c>
      <c r="M80" s="47" t="s">
        <v>388</v>
      </c>
      <c r="N80" s="47" t="s">
        <v>389</v>
      </c>
      <c r="O80" s="47" t="s">
        <v>342</v>
      </c>
      <c r="P80" s="47" t="s">
        <v>70</v>
      </c>
    </row>
    <row r="81" customFormat="false" ht="12.75" hidden="false" customHeight="false" outlineLevel="0" collapsed="false">
      <c r="L81" s="47" t="s">
        <v>390</v>
      </c>
      <c r="M81" s="47" t="s">
        <v>391</v>
      </c>
      <c r="N81" s="47" t="s">
        <v>392</v>
      </c>
      <c r="O81" s="47" t="s">
        <v>393</v>
      </c>
      <c r="P81" s="47" t="s">
        <v>70</v>
      </c>
    </row>
    <row r="82" customFormat="false" ht="12.75" hidden="false" customHeight="false" outlineLevel="0" collapsed="false">
      <c r="L82" s="47" t="s">
        <v>394</v>
      </c>
      <c r="M82" s="47" t="s">
        <v>395</v>
      </c>
      <c r="N82" s="47" t="s">
        <v>396</v>
      </c>
      <c r="O82" s="47" t="s">
        <v>397</v>
      </c>
      <c r="P82" s="47" t="s">
        <v>118</v>
      </c>
    </row>
    <row r="83" customFormat="false" ht="12.75" hidden="false" customHeight="false" outlineLevel="0" collapsed="false">
      <c r="L83" s="47" t="s">
        <v>398</v>
      </c>
      <c r="M83" s="47" t="s">
        <v>399</v>
      </c>
      <c r="N83" s="47" t="s">
        <v>400</v>
      </c>
      <c r="O83" s="47" t="s">
        <v>401</v>
      </c>
      <c r="P83" s="47" t="s">
        <v>70</v>
      </c>
    </row>
    <row r="84" customFormat="false" ht="12.75" hidden="false" customHeight="false" outlineLevel="0" collapsed="false">
      <c r="L84" s="47" t="s">
        <v>402</v>
      </c>
      <c r="M84" s="47" t="s">
        <v>403</v>
      </c>
      <c r="N84" s="47" t="s">
        <v>404</v>
      </c>
      <c r="O84" s="47" t="s">
        <v>405</v>
      </c>
      <c r="P84" s="47" t="s">
        <v>70</v>
      </c>
    </row>
    <row r="85" customFormat="false" ht="12.75" hidden="false" customHeight="false" outlineLevel="0" collapsed="false">
      <c r="L85" s="47" t="s">
        <v>406</v>
      </c>
      <c r="M85" s="47" t="s">
        <v>407</v>
      </c>
      <c r="N85" s="47" t="s">
        <v>408</v>
      </c>
      <c r="O85" s="47" t="s">
        <v>409</v>
      </c>
      <c r="P85" s="47" t="s">
        <v>70</v>
      </c>
    </row>
    <row r="86" customFormat="false" ht="12.75" hidden="false" customHeight="false" outlineLevel="0" collapsed="false">
      <c r="L86" s="47" t="s">
        <v>410</v>
      </c>
      <c r="M86" s="47" t="s">
        <v>411</v>
      </c>
      <c r="N86" s="47" t="s">
        <v>412</v>
      </c>
      <c r="O86" s="47" t="s">
        <v>413</v>
      </c>
      <c r="P86" s="47" t="s">
        <v>77</v>
      </c>
    </row>
    <row r="87" customFormat="false" ht="12.75" hidden="false" customHeight="false" outlineLevel="0" collapsed="false">
      <c r="L87" s="47" t="s">
        <v>414</v>
      </c>
      <c r="M87" s="47" t="s">
        <v>415</v>
      </c>
      <c r="N87" s="47" t="s">
        <v>416</v>
      </c>
      <c r="O87" s="47" t="s">
        <v>194</v>
      </c>
      <c r="P87" s="47" t="s">
        <v>70</v>
      </c>
    </row>
    <row r="88" customFormat="false" ht="12.75" hidden="false" customHeight="false" outlineLevel="0" collapsed="false">
      <c r="L88" s="47" t="s">
        <v>417</v>
      </c>
      <c r="M88" s="47" t="s">
        <v>418</v>
      </c>
      <c r="N88" s="47" t="s">
        <v>419</v>
      </c>
      <c r="O88" s="47" t="s">
        <v>185</v>
      </c>
      <c r="P88" s="47" t="s">
        <v>77</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J64"/>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B1" activeCellId="0" sqref="B1"/>
    </sheetView>
  </sheetViews>
  <sheetFormatPr defaultColWidth="8.71484375" defaultRowHeight="12.75" zeroHeight="false" outlineLevelRow="0" outlineLevelCol="0"/>
  <cols>
    <col collapsed="false" customWidth="true" hidden="false" outlineLevel="0" max="1" min="1" style="47" width="29.29"/>
    <col collapsed="false" customWidth="true" hidden="false" outlineLevel="0" max="2" min="2" style="47" width="19.57"/>
    <col collapsed="false" customWidth="true" hidden="false" outlineLevel="0" max="3" min="3" style="47" width="18.57"/>
    <col collapsed="false" customWidth="true" hidden="false" outlineLevel="0" max="4" min="4" style="47" width="65.72"/>
    <col collapsed="false" customWidth="false" hidden="false" outlineLevel="0" max="5" min="5" style="47" width="8.71"/>
    <col collapsed="false" customWidth="true" hidden="false" outlineLevel="0" max="6" min="6" style="47" width="10.71"/>
    <col collapsed="false" customWidth="false" hidden="false" outlineLevel="0" max="16384" min="7" style="47" width="8.71"/>
  </cols>
  <sheetData>
    <row r="1" customFormat="false" ht="21.75" hidden="false" customHeight="true" outlineLevel="0" collapsed="false">
      <c r="A1" s="3" t="str">
        <f aca="false">HYPERLINK("#'General Information'!D9","◄ General Information")</f>
        <v>◄ General Information</v>
      </c>
      <c r="B1" s="4" t="str">
        <f aca="false">HYPERLINK("#Summary!G1","Summary")</f>
        <v>Summary</v>
      </c>
      <c r="D1" s="48" t="s">
        <v>420</v>
      </c>
      <c r="G1" s="64" t="s">
        <v>421</v>
      </c>
      <c r="H1" s="64"/>
      <c r="I1" s="64"/>
    </row>
    <row r="2" customFormat="false" ht="12.75" hidden="false" customHeight="false" outlineLevel="0" collapsed="false">
      <c r="A2" s="50" t="s">
        <v>422</v>
      </c>
      <c r="B2" s="47" t="s">
        <v>423</v>
      </c>
      <c r="C2" s="50" t="s">
        <v>424</v>
      </c>
      <c r="D2" s="50" t="s">
        <v>425</v>
      </c>
      <c r="E2" s="50" t="s">
        <v>426</v>
      </c>
      <c r="F2" s="50" t="s">
        <v>22</v>
      </c>
      <c r="G2" s="54" t="s">
        <v>70</v>
      </c>
      <c r="H2" s="54" t="s">
        <v>77</v>
      </c>
      <c r="I2" s="54" t="s">
        <v>118</v>
      </c>
    </row>
    <row r="3" customFormat="false" ht="12.75" hidden="false" customHeight="false" outlineLevel="0" collapsed="false">
      <c r="A3" s="50"/>
      <c r="B3" s="47" t="s">
        <v>427</v>
      </c>
      <c r="C3" s="50"/>
      <c r="D3" s="50"/>
      <c r="E3" s="50" t="s">
        <v>64</v>
      </c>
      <c r="F3" s="65" t="s">
        <v>64</v>
      </c>
      <c r="G3" s="54"/>
      <c r="H3" s="54"/>
      <c r="I3" s="54"/>
    </row>
    <row r="4" customFormat="false" ht="12.75" hidden="false" customHeight="false" outlineLevel="0" collapsed="false">
      <c r="A4" s="66" t="s">
        <v>428</v>
      </c>
      <c r="B4" s="47" t="s">
        <v>429</v>
      </c>
      <c r="C4" s="67" t="s">
        <v>430</v>
      </c>
      <c r="D4" s="68" t="s">
        <v>431</v>
      </c>
      <c r="E4" s="21" t="s">
        <v>10</v>
      </c>
      <c r="F4" s="65" t="n">
        <v>4.2</v>
      </c>
      <c r="J4" s="47" t="s">
        <v>432</v>
      </c>
    </row>
    <row r="5" customFormat="false" ht="12.75" hidden="false" customHeight="false" outlineLevel="0" collapsed="false">
      <c r="B5" s="47" t="s">
        <v>429</v>
      </c>
      <c r="C5" s="67" t="s">
        <v>433</v>
      </c>
      <c r="D5" s="68" t="s">
        <v>434</v>
      </c>
      <c r="E5" s="21" t="s">
        <v>10</v>
      </c>
      <c r="F5" s="65"/>
      <c r="J5" s="47" t="s">
        <v>432</v>
      </c>
    </row>
    <row r="6" customFormat="false" ht="12.75" hidden="false" customHeight="false" outlineLevel="0" collapsed="false">
      <c r="B6" s="47" t="s">
        <v>429</v>
      </c>
      <c r="C6" s="67" t="s">
        <v>435</v>
      </c>
      <c r="D6" s="68" t="s">
        <v>436</v>
      </c>
      <c r="E6" s="21" t="s">
        <v>437</v>
      </c>
      <c r="F6" s="65" t="n">
        <v>4</v>
      </c>
    </row>
    <row r="7" customFormat="false" ht="12.75" hidden="false" customHeight="false" outlineLevel="0" collapsed="false">
      <c r="B7" s="47" t="s">
        <v>429</v>
      </c>
      <c r="C7" s="67" t="s">
        <v>438</v>
      </c>
      <c r="D7" s="68" t="s">
        <v>439</v>
      </c>
      <c r="E7" s="21" t="s">
        <v>437</v>
      </c>
      <c r="F7" s="65" t="n">
        <v>6.5</v>
      </c>
    </row>
    <row r="8" customFormat="false" ht="12.75" hidden="false" customHeight="false" outlineLevel="0" collapsed="false">
      <c r="B8" s="47" t="s">
        <v>429</v>
      </c>
      <c r="C8" s="67" t="s">
        <v>440</v>
      </c>
      <c r="D8" s="68" t="s">
        <v>441</v>
      </c>
      <c r="E8" s="21" t="s">
        <v>437</v>
      </c>
      <c r="F8" s="65" t="n">
        <v>8</v>
      </c>
    </row>
    <row r="9" customFormat="false" ht="12.75" hidden="false" customHeight="false" outlineLevel="0" collapsed="false">
      <c r="B9" s="47" t="s">
        <v>429</v>
      </c>
      <c r="C9" s="67" t="s">
        <v>442</v>
      </c>
      <c r="D9" s="68" t="s">
        <v>443</v>
      </c>
      <c r="E9" s="21" t="s">
        <v>437</v>
      </c>
      <c r="F9" s="65" t="n">
        <v>8.5</v>
      </c>
    </row>
    <row r="10" customFormat="false" ht="12.75" hidden="false" customHeight="false" outlineLevel="0" collapsed="false">
      <c r="B10" s="47" t="s">
        <v>429</v>
      </c>
      <c r="C10" s="67" t="s">
        <v>444</v>
      </c>
      <c r="D10" s="68" t="s">
        <v>445</v>
      </c>
      <c r="E10" s="21" t="s">
        <v>14</v>
      </c>
      <c r="F10" s="65" t="n">
        <f aca="false">7/9</f>
        <v>0.777777777777778</v>
      </c>
    </row>
    <row r="11" customFormat="false" ht="12.75" hidden="false" customHeight="false" outlineLevel="0" collapsed="false">
      <c r="B11" s="47" t="s">
        <v>429</v>
      </c>
      <c r="C11" s="67" t="s">
        <v>446</v>
      </c>
      <c r="D11" s="68" t="s">
        <v>447</v>
      </c>
      <c r="E11" s="21" t="s">
        <v>14</v>
      </c>
      <c r="F11" s="65" t="n">
        <v>8.5</v>
      </c>
      <c r="J11" s="47" t="s">
        <v>432</v>
      </c>
    </row>
    <row r="12" customFormat="false" ht="12.75" hidden="false" customHeight="false" outlineLevel="0" collapsed="false">
      <c r="B12" s="47" t="s">
        <v>429</v>
      </c>
      <c r="C12" s="67" t="s">
        <v>448</v>
      </c>
      <c r="D12" s="68" t="s">
        <v>449</v>
      </c>
      <c r="E12" s="21" t="s">
        <v>14</v>
      </c>
      <c r="F12" s="65"/>
      <c r="J12" s="47" t="s">
        <v>450</v>
      </c>
    </row>
    <row r="13" customFormat="false" ht="12.75" hidden="false" customHeight="false" outlineLevel="0" collapsed="false">
      <c r="B13" s="47" t="s">
        <v>429</v>
      </c>
      <c r="C13" s="67" t="s">
        <v>451</v>
      </c>
      <c r="D13" s="68" t="s">
        <v>452</v>
      </c>
      <c r="E13" s="21" t="s">
        <v>14</v>
      </c>
      <c r="F13" s="65" t="n">
        <v>60</v>
      </c>
      <c r="J13" s="47" t="s">
        <v>432</v>
      </c>
    </row>
    <row r="14" customFormat="false" ht="12.75" hidden="false" customHeight="false" outlineLevel="0" collapsed="false">
      <c r="B14" s="47" t="s">
        <v>429</v>
      </c>
      <c r="C14" s="67" t="s">
        <v>453</v>
      </c>
      <c r="D14" s="68" t="s">
        <v>454</v>
      </c>
      <c r="E14" s="21" t="s">
        <v>10</v>
      </c>
      <c r="F14" s="65" t="n">
        <v>120</v>
      </c>
      <c r="J14" s="47" t="s">
        <v>432</v>
      </c>
    </row>
    <row r="15" customFormat="false" ht="12.75" hidden="false" customHeight="false" outlineLevel="0" collapsed="false">
      <c r="B15" s="47" t="s">
        <v>429</v>
      </c>
      <c r="C15" s="67" t="s">
        <v>455</v>
      </c>
      <c r="D15" s="68" t="s">
        <v>456</v>
      </c>
      <c r="E15" s="21" t="s">
        <v>10</v>
      </c>
      <c r="F15" s="65" t="n">
        <v>100</v>
      </c>
    </row>
    <row r="16" customFormat="false" ht="12.75" hidden="false" customHeight="false" outlineLevel="0" collapsed="false">
      <c r="B16" s="47" t="s">
        <v>429</v>
      </c>
      <c r="C16" s="67" t="s">
        <v>457</v>
      </c>
      <c r="D16" s="68" t="s">
        <v>458</v>
      </c>
      <c r="E16" s="21" t="s">
        <v>10</v>
      </c>
      <c r="F16" s="65" t="n">
        <f aca="false">10/2</f>
        <v>5</v>
      </c>
      <c r="J16" s="47" t="s">
        <v>432</v>
      </c>
    </row>
    <row r="17" customFormat="false" ht="12.75" hidden="false" customHeight="false" outlineLevel="0" collapsed="false">
      <c r="B17" s="47" t="s">
        <v>429</v>
      </c>
      <c r="C17" s="67" t="s">
        <v>459</v>
      </c>
      <c r="D17" s="68" t="s">
        <v>460</v>
      </c>
      <c r="E17" s="21" t="s">
        <v>461</v>
      </c>
      <c r="F17" s="65" t="n">
        <v>12</v>
      </c>
    </row>
    <row r="18" customFormat="false" ht="12.75" hidden="false" customHeight="false" outlineLevel="0" collapsed="false">
      <c r="B18" s="47" t="s">
        <v>429</v>
      </c>
      <c r="C18" s="67" t="s">
        <v>462</v>
      </c>
      <c r="D18" s="68" t="s">
        <v>463</v>
      </c>
      <c r="E18" s="21" t="s">
        <v>461</v>
      </c>
      <c r="F18" s="65"/>
    </row>
    <row r="19" customFormat="false" ht="12.75" hidden="false" customHeight="false" outlineLevel="0" collapsed="false">
      <c r="B19" s="47" t="s">
        <v>429</v>
      </c>
      <c r="C19" s="67" t="s">
        <v>464</v>
      </c>
      <c r="D19" s="68" t="s">
        <v>465</v>
      </c>
      <c r="E19" s="21" t="s">
        <v>461</v>
      </c>
      <c r="F19" s="65" t="n">
        <v>55</v>
      </c>
    </row>
    <row r="20" customFormat="false" ht="12.75" hidden="false" customHeight="false" outlineLevel="0" collapsed="false">
      <c r="B20" s="47" t="s">
        <v>429</v>
      </c>
      <c r="C20" s="67" t="s">
        <v>466</v>
      </c>
      <c r="D20" s="68" t="s">
        <v>467</v>
      </c>
      <c r="E20" s="21" t="s">
        <v>10</v>
      </c>
      <c r="F20" s="65"/>
    </row>
    <row r="21" customFormat="false" ht="12.75" hidden="false" customHeight="false" outlineLevel="0" collapsed="false">
      <c r="B21" s="47" t="s">
        <v>429</v>
      </c>
      <c r="C21" s="67" t="s">
        <v>468</v>
      </c>
      <c r="D21" s="68" t="s">
        <v>469</v>
      </c>
      <c r="E21" s="21" t="s">
        <v>10</v>
      </c>
      <c r="F21" s="65" t="n">
        <v>10</v>
      </c>
      <c r="J21" s="47" t="s">
        <v>432</v>
      </c>
    </row>
    <row r="22" customFormat="false" ht="12.75" hidden="false" customHeight="false" outlineLevel="0" collapsed="false">
      <c r="B22" s="47" t="s">
        <v>429</v>
      </c>
      <c r="C22" s="67" t="s">
        <v>470</v>
      </c>
      <c r="D22" s="68" t="s">
        <v>471</v>
      </c>
      <c r="E22" s="21" t="s">
        <v>10</v>
      </c>
      <c r="F22" s="65"/>
      <c r="J22" s="47" t="s">
        <v>432</v>
      </c>
    </row>
    <row r="23" customFormat="false" ht="12.75" hidden="false" customHeight="false" outlineLevel="0" collapsed="false">
      <c r="B23" s="47" t="s">
        <v>429</v>
      </c>
      <c r="C23" s="67" t="s">
        <v>472</v>
      </c>
      <c r="D23" s="68" t="s">
        <v>473</v>
      </c>
      <c r="E23" s="21" t="s">
        <v>10</v>
      </c>
      <c r="F23" s="65"/>
      <c r="J23" s="47" t="s">
        <v>432</v>
      </c>
    </row>
    <row r="24" customFormat="false" ht="12.75" hidden="false" customHeight="false" outlineLevel="0" collapsed="false">
      <c r="B24" s="47" t="s">
        <v>429</v>
      </c>
      <c r="C24" s="67" t="s">
        <v>474</v>
      </c>
      <c r="D24" s="68" t="s">
        <v>475</v>
      </c>
      <c r="E24" s="21" t="s">
        <v>10</v>
      </c>
      <c r="F24" s="65"/>
      <c r="J24" s="47" t="s">
        <v>432</v>
      </c>
    </row>
    <row r="25" customFormat="false" ht="12.75" hidden="false" customHeight="false" outlineLevel="0" collapsed="false">
      <c r="B25" s="47" t="s">
        <v>429</v>
      </c>
      <c r="C25" s="67" t="s">
        <v>476</v>
      </c>
      <c r="D25" s="68" t="s">
        <v>477</v>
      </c>
      <c r="E25" s="21" t="s">
        <v>10</v>
      </c>
      <c r="F25" s="65"/>
      <c r="J25" s="47" t="s">
        <v>432</v>
      </c>
    </row>
    <row r="26" customFormat="false" ht="12" hidden="false" customHeight="true" outlineLevel="0" collapsed="false">
      <c r="A26" s="66" t="s">
        <v>478</v>
      </c>
      <c r="B26" s="47" t="s">
        <v>479</v>
      </c>
      <c r="C26" s="67" t="s">
        <v>480</v>
      </c>
      <c r="D26" s="68" t="s">
        <v>481</v>
      </c>
      <c r="E26" s="21" t="s">
        <v>10</v>
      </c>
      <c r="F26" s="65"/>
      <c r="J26" s="47" t="s">
        <v>432</v>
      </c>
    </row>
    <row r="27" customFormat="false" ht="12.75" hidden="false" customHeight="false" outlineLevel="0" collapsed="false">
      <c r="B27" s="47" t="s">
        <v>479</v>
      </c>
      <c r="C27" s="67" t="s">
        <v>482</v>
      </c>
      <c r="D27" s="68" t="s">
        <v>483</v>
      </c>
      <c r="E27" s="21" t="s">
        <v>461</v>
      </c>
      <c r="F27" s="65"/>
    </row>
    <row r="28" customFormat="false" ht="12.75" hidden="false" customHeight="false" outlineLevel="0" collapsed="false">
      <c r="B28" s="47" t="s">
        <v>479</v>
      </c>
      <c r="C28" s="67" t="s">
        <v>484</v>
      </c>
      <c r="D28" s="68" t="s">
        <v>485</v>
      </c>
      <c r="E28" s="21" t="s">
        <v>10</v>
      </c>
      <c r="F28" s="65"/>
    </row>
    <row r="29" customFormat="false" ht="12.75" hidden="false" customHeight="false" outlineLevel="0" collapsed="false">
      <c r="B29" s="47" t="s">
        <v>479</v>
      </c>
      <c r="C29" s="67" t="s">
        <v>486</v>
      </c>
      <c r="D29" s="68" t="s">
        <v>487</v>
      </c>
      <c r="E29" s="21" t="s">
        <v>461</v>
      </c>
      <c r="F29" s="65" t="n">
        <v>65</v>
      </c>
    </row>
    <row r="30" customFormat="false" ht="12.75" hidden="false" customHeight="false" outlineLevel="0" collapsed="false">
      <c r="B30" s="47" t="s">
        <v>479</v>
      </c>
      <c r="C30" s="67" t="s">
        <v>488</v>
      </c>
      <c r="D30" s="68" t="s">
        <v>489</v>
      </c>
      <c r="E30" s="21" t="s">
        <v>10</v>
      </c>
      <c r="F30" s="65"/>
    </row>
    <row r="31" customFormat="false" ht="12.75" hidden="false" customHeight="false" outlineLevel="0" collapsed="false">
      <c r="B31" s="47" t="s">
        <v>479</v>
      </c>
      <c r="C31" s="67" t="s">
        <v>490</v>
      </c>
      <c r="D31" s="68" t="s">
        <v>491</v>
      </c>
      <c r="E31" s="21" t="s">
        <v>461</v>
      </c>
      <c r="F31" s="65"/>
    </row>
    <row r="32" customFormat="false" ht="12.75" hidden="false" customHeight="false" outlineLevel="0" collapsed="false">
      <c r="B32" s="47" t="s">
        <v>479</v>
      </c>
      <c r="C32" s="67" t="s">
        <v>492</v>
      </c>
      <c r="D32" s="68" t="s">
        <v>493</v>
      </c>
      <c r="E32" s="21" t="s">
        <v>10</v>
      </c>
      <c r="F32" s="65"/>
    </row>
    <row r="33" customFormat="false" ht="12.75" hidden="false" customHeight="false" outlineLevel="0" collapsed="false">
      <c r="B33" s="47" t="s">
        <v>479</v>
      </c>
      <c r="C33" s="67" t="s">
        <v>494</v>
      </c>
      <c r="D33" s="68" t="s">
        <v>495</v>
      </c>
      <c r="E33" s="21" t="s">
        <v>10</v>
      </c>
      <c r="F33" s="65"/>
      <c r="J33" s="47" t="s">
        <v>432</v>
      </c>
    </row>
    <row r="34" customFormat="false" ht="12.75" hidden="false" customHeight="false" outlineLevel="0" collapsed="false">
      <c r="A34" s="66" t="s">
        <v>496</v>
      </c>
      <c r="B34" s="47" t="s">
        <v>497</v>
      </c>
      <c r="C34" s="67" t="s">
        <v>498</v>
      </c>
      <c r="D34" s="68" t="s">
        <v>499</v>
      </c>
      <c r="E34" s="21" t="s">
        <v>461</v>
      </c>
      <c r="F34" s="65"/>
      <c r="J34" s="47" t="s">
        <v>500</v>
      </c>
    </row>
    <row r="35" customFormat="false" ht="12.75" hidden="false" customHeight="false" outlineLevel="0" collapsed="false">
      <c r="B35" s="47" t="s">
        <v>497</v>
      </c>
      <c r="C35" s="67" t="s">
        <v>501</v>
      </c>
      <c r="D35" s="68" t="s">
        <v>502</v>
      </c>
      <c r="E35" s="21" t="s">
        <v>461</v>
      </c>
      <c r="F35" s="65"/>
      <c r="J35" s="47" t="s">
        <v>500</v>
      </c>
    </row>
    <row r="36" customFormat="false" ht="12.75" hidden="false" customHeight="false" outlineLevel="0" collapsed="false">
      <c r="B36" s="47" t="s">
        <v>497</v>
      </c>
      <c r="C36" s="67" t="s">
        <v>503</v>
      </c>
      <c r="D36" s="68" t="s">
        <v>504</v>
      </c>
      <c r="E36" s="21" t="s">
        <v>461</v>
      </c>
      <c r="F36" s="65"/>
      <c r="J36" s="47" t="s">
        <v>500</v>
      </c>
    </row>
    <row r="37" customFormat="false" ht="12.75" hidden="false" customHeight="false" outlineLevel="0" collapsed="false">
      <c r="A37" s="66" t="s">
        <v>505</v>
      </c>
      <c r="B37" s="47" t="s">
        <v>506</v>
      </c>
      <c r="C37" s="67" t="s">
        <v>507</v>
      </c>
      <c r="D37" s="68" t="s">
        <v>508</v>
      </c>
      <c r="E37" s="21" t="s">
        <v>509</v>
      </c>
      <c r="F37" s="65" t="n">
        <v>130</v>
      </c>
    </row>
    <row r="38" customFormat="false" ht="12.75" hidden="false" customHeight="false" outlineLevel="0" collapsed="false">
      <c r="B38" s="47" t="s">
        <v>506</v>
      </c>
      <c r="C38" s="67" t="s">
        <v>510</v>
      </c>
      <c r="D38" s="68" t="s">
        <v>511</v>
      </c>
      <c r="E38" s="21" t="s">
        <v>509</v>
      </c>
      <c r="F38" s="65" t="n">
        <v>120</v>
      </c>
    </row>
    <row r="39" customFormat="false" ht="12.75" hidden="false" customHeight="false" outlineLevel="0" collapsed="false">
      <c r="B39" s="47" t="s">
        <v>506</v>
      </c>
      <c r="C39" s="67" t="s">
        <v>512</v>
      </c>
      <c r="D39" s="68" t="s">
        <v>513</v>
      </c>
      <c r="E39" s="21" t="s">
        <v>509</v>
      </c>
      <c r="F39" s="65" t="n">
        <v>110</v>
      </c>
    </row>
    <row r="40" customFormat="false" ht="12.75" hidden="false" customHeight="false" outlineLevel="0" collapsed="false">
      <c r="B40" s="47" t="s">
        <v>506</v>
      </c>
      <c r="C40" s="67" t="s">
        <v>514</v>
      </c>
      <c r="D40" s="68" t="s">
        <v>515</v>
      </c>
      <c r="E40" s="21" t="s">
        <v>509</v>
      </c>
      <c r="F40" s="65"/>
    </row>
    <row r="41" customFormat="false" ht="12.75" hidden="false" customHeight="false" outlineLevel="0" collapsed="false">
      <c r="B41" s="47" t="s">
        <v>506</v>
      </c>
      <c r="C41" s="67" t="s">
        <v>516</v>
      </c>
      <c r="D41" s="68" t="s">
        <v>517</v>
      </c>
      <c r="E41" s="21" t="s">
        <v>509</v>
      </c>
      <c r="F41" s="65"/>
    </row>
    <row r="42" customFormat="false" ht="12.75" hidden="false" customHeight="false" outlineLevel="0" collapsed="false">
      <c r="B42" s="47" t="s">
        <v>506</v>
      </c>
      <c r="C42" s="67" t="s">
        <v>518</v>
      </c>
      <c r="D42" s="68" t="s">
        <v>519</v>
      </c>
      <c r="E42" s="21" t="s">
        <v>509</v>
      </c>
      <c r="F42" s="65"/>
    </row>
    <row r="43" customFormat="false" ht="12.75" hidden="false" customHeight="false" outlineLevel="0" collapsed="false">
      <c r="B43" s="47" t="s">
        <v>506</v>
      </c>
      <c r="C43" s="67" t="s">
        <v>520</v>
      </c>
      <c r="D43" s="68" t="s">
        <v>521</v>
      </c>
      <c r="E43" s="21" t="s">
        <v>509</v>
      </c>
      <c r="F43" s="65"/>
    </row>
    <row r="44" customFormat="false" ht="12.75" hidden="false" customHeight="false" outlineLevel="0" collapsed="false">
      <c r="A44" s="66" t="s">
        <v>522</v>
      </c>
      <c r="B44" s="47" t="s">
        <v>523</v>
      </c>
      <c r="C44" s="67" t="s">
        <v>524</v>
      </c>
      <c r="D44" s="68" t="s">
        <v>525</v>
      </c>
      <c r="E44" s="21" t="s">
        <v>10</v>
      </c>
      <c r="F44" s="65" t="n">
        <v>79</v>
      </c>
      <c r="J44" s="47" t="s">
        <v>432</v>
      </c>
    </row>
    <row r="45" customFormat="false" ht="12.75" hidden="false" customHeight="false" outlineLevel="0" collapsed="false">
      <c r="A45" s="50"/>
      <c r="B45" s="47" t="s">
        <v>523</v>
      </c>
      <c r="C45" s="67" t="s">
        <v>526</v>
      </c>
      <c r="D45" s="68" t="s">
        <v>527</v>
      </c>
      <c r="E45" s="21" t="s">
        <v>10</v>
      </c>
      <c r="F45" s="65" t="n">
        <v>82</v>
      </c>
      <c r="J45" s="47" t="s">
        <v>432</v>
      </c>
    </row>
    <row r="46" customFormat="false" ht="12.75" hidden="false" customHeight="false" outlineLevel="0" collapsed="false">
      <c r="A46" s="50"/>
      <c r="B46" s="47" t="s">
        <v>523</v>
      </c>
      <c r="C46" s="67" t="s">
        <v>528</v>
      </c>
      <c r="D46" s="68" t="s">
        <v>529</v>
      </c>
      <c r="E46" s="21" t="s">
        <v>10</v>
      </c>
      <c r="F46" s="65" t="n">
        <v>85</v>
      </c>
      <c r="J46" s="47" t="s">
        <v>432</v>
      </c>
    </row>
    <row r="47" customFormat="false" ht="12.75" hidden="false" customHeight="false" outlineLevel="0" collapsed="false">
      <c r="A47" s="50"/>
      <c r="B47" s="47" t="s">
        <v>523</v>
      </c>
      <c r="C47" s="67" t="s">
        <v>530</v>
      </c>
      <c r="D47" s="68" t="s">
        <v>531</v>
      </c>
      <c r="E47" s="21" t="s">
        <v>10</v>
      </c>
      <c r="F47" s="65" t="n">
        <v>91</v>
      </c>
      <c r="J47" s="47" t="s">
        <v>432</v>
      </c>
    </row>
    <row r="48" customFormat="false" ht="12.75" hidden="false" customHeight="false" outlineLevel="0" collapsed="false">
      <c r="A48" s="66" t="s">
        <v>532</v>
      </c>
      <c r="B48" s="47" t="s">
        <v>533</v>
      </c>
      <c r="C48" s="67" t="s">
        <v>534</v>
      </c>
      <c r="D48" s="68" t="s">
        <v>535</v>
      </c>
      <c r="E48" s="21" t="s">
        <v>10</v>
      </c>
      <c r="F48" s="65" t="n">
        <v>4</v>
      </c>
    </row>
    <row r="49" customFormat="false" ht="12.75" hidden="false" customHeight="false" outlineLevel="0" collapsed="false">
      <c r="B49" s="47" t="s">
        <v>533</v>
      </c>
      <c r="C49" s="67" t="s">
        <v>536</v>
      </c>
      <c r="D49" s="68" t="s">
        <v>537</v>
      </c>
      <c r="E49" s="21" t="s">
        <v>10</v>
      </c>
      <c r="F49" s="65" t="n">
        <v>5</v>
      </c>
    </row>
    <row r="50" customFormat="false" ht="12.75" hidden="false" customHeight="false" outlineLevel="0" collapsed="false">
      <c r="B50" s="47" t="s">
        <v>533</v>
      </c>
      <c r="C50" s="67" t="s">
        <v>538</v>
      </c>
      <c r="D50" s="68" t="s">
        <v>539</v>
      </c>
      <c r="E50" s="21" t="s">
        <v>10</v>
      </c>
      <c r="F50" s="65" t="n">
        <v>7</v>
      </c>
    </row>
    <row r="51" customFormat="false" ht="12.75" hidden="false" customHeight="false" outlineLevel="0" collapsed="false">
      <c r="B51" s="47" t="s">
        <v>533</v>
      </c>
      <c r="C51" s="67" t="s">
        <v>540</v>
      </c>
      <c r="D51" s="68" t="s">
        <v>541</v>
      </c>
      <c r="E51" s="21" t="s">
        <v>10</v>
      </c>
      <c r="F51" s="65"/>
    </row>
    <row r="52" customFormat="false" ht="12" hidden="false" customHeight="true" outlineLevel="0" collapsed="false">
      <c r="B52" s="47" t="s">
        <v>533</v>
      </c>
      <c r="C52" s="67" t="s">
        <v>542</v>
      </c>
      <c r="D52" s="68" t="s">
        <v>543</v>
      </c>
      <c r="E52" s="21" t="s">
        <v>10</v>
      </c>
      <c r="F52" s="65"/>
    </row>
    <row r="53" customFormat="false" ht="12" hidden="false" customHeight="true" outlineLevel="0" collapsed="false">
      <c r="B53" s="47" t="s">
        <v>533</v>
      </c>
      <c r="C53" s="67" t="s">
        <v>544</v>
      </c>
      <c r="D53" s="68" t="s">
        <v>545</v>
      </c>
      <c r="E53" s="21" t="s">
        <v>10</v>
      </c>
      <c r="F53" s="65"/>
    </row>
    <row r="54" customFormat="false" ht="12.75" hidden="false" customHeight="false" outlineLevel="0" collapsed="false">
      <c r="A54" s="66" t="s">
        <v>546</v>
      </c>
      <c r="B54" s="47" t="s">
        <v>547</v>
      </c>
      <c r="C54" s="67" t="s">
        <v>548</v>
      </c>
      <c r="D54" s="68" t="s">
        <v>549</v>
      </c>
      <c r="E54" s="21" t="s">
        <v>550</v>
      </c>
      <c r="F54" s="65" t="n">
        <v>4.5</v>
      </c>
      <c r="J54" s="47" t="s">
        <v>551</v>
      </c>
    </row>
    <row r="55" customFormat="false" ht="12.75" hidden="false" customHeight="false" outlineLevel="0" collapsed="false">
      <c r="B55" s="47" t="s">
        <v>552</v>
      </c>
      <c r="C55" s="67" t="s">
        <v>553</v>
      </c>
      <c r="D55" s="68" t="s">
        <v>554</v>
      </c>
      <c r="E55" s="21" t="s">
        <v>437</v>
      </c>
      <c r="F55" s="65" t="n">
        <v>7</v>
      </c>
      <c r="J55" s="47" t="s">
        <v>555</v>
      </c>
    </row>
    <row r="56" customFormat="false" ht="12.75" hidden="false" customHeight="false" outlineLevel="0" collapsed="false">
      <c r="B56" s="47" t="s">
        <v>556</v>
      </c>
      <c r="C56" s="67" t="s">
        <v>557</v>
      </c>
      <c r="D56" s="68" t="s">
        <v>558</v>
      </c>
      <c r="E56" s="21" t="s">
        <v>14</v>
      </c>
      <c r="F56" s="65" t="n">
        <f aca="false">6/9</f>
        <v>0.666666666666667</v>
      </c>
    </row>
    <row r="57" customFormat="false" ht="12.75" hidden="false" customHeight="false" outlineLevel="0" collapsed="false">
      <c r="B57" s="47" t="s">
        <v>556</v>
      </c>
      <c r="C57" s="67" t="s">
        <v>559</v>
      </c>
      <c r="D57" s="68" t="s">
        <v>560</v>
      </c>
      <c r="E57" s="21" t="s">
        <v>14</v>
      </c>
      <c r="F57" s="65"/>
    </row>
    <row r="58" customFormat="false" ht="12.75" hidden="false" customHeight="false" outlineLevel="0" collapsed="false">
      <c r="B58" s="47" t="s">
        <v>561</v>
      </c>
      <c r="C58" s="67" t="s">
        <v>562</v>
      </c>
      <c r="D58" s="68" t="s">
        <v>563</v>
      </c>
      <c r="E58" s="21" t="s">
        <v>10</v>
      </c>
      <c r="F58" s="65"/>
    </row>
    <row r="59" customFormat="false" ht="12.75" hidden="false" customHeight="false" outlineLevel="0" collapsed="false">
      <c r="B59" s="47" t="s">
        <v>561</v>
      </c>
      <c r="C59" s="67" t="s">
        <v>564</v>
      </c>
      <c r="D59" s="68" t="s">
        <v>565</v>
      </c>
      <c r="E59" s="21" t="s">
        <v>10</v>
      </c>
      <c r="F59" s="65"/>
    </row>
    <row r="61" customFormat="false" ht="30" hidden="false" customHeight="true" outlineLevel="0" collapsed="false">
      <c r="A61" s="69" t="s">
        <v>566</v>
      </c>
      <c r="B61" s="69"/>
      <c r="C61" s="69"/>
      <c r="D61" s="69"/>
      <c r="E61" s="69"/>
      <c r="F61" s="69"/>
      <c r="G61" s="69"/>
      <c r="H61" s="69"/>
      <c r="I61" s="69"/>
      <c r="J61" s="69"/>
    </row>
    <row r="62" customFormat="false" ht="30" hidden="false" customHeight="true" outlineLevel="0" collapsed="false">
      <c r="A62" s="69" t="s">
        <v>567</v>
      </c>
      <c r="B62" s="69"/>
      <c r="C62" s="69"/>
      <c r="D62" s="69"/>
      <c r="E62" s="69"/>
      <c r="F62" s="69"/>
      <c r="G62" s="69"/>
      <c r="H62" s="69"/>
      <c r="I62" s="69"/>
      <c r="J62" s="69"/>
    </row>
    <row r="63" customFormat="false" ht="30" hidden="false" customHeight="true" outlineLevel="0" collapsed="false">
      <c r="A63" s="70" t="s">
        <v>568</v>
      </c>
      <c r="B63" s="70"/>
      <c r="C63" s="70"/>
      <c r="D63" s="70"/>
      <c r="E63" s="70"/>
      <c r="F63" s="70"/>
      <c r="G63" s="70"/>
      <c r="H63" s="70"/>
      <c r="I63" s="70"/>
      <c r="J63" s="70"/>
    </row>
    <row r="64" customFormat="false" ht="30" hidden="false" customHeight="true" outlineLevel="0" collapsed="false">
      <c r="A64" s="69" t="s">
        <v>569</v>
      </c>
      <c r="B64" s="69"/>
      <c r="C64" s="69"/>
      <c r="D64" s="69"/>
      <c r="E64" s="69"/>
      <c r="F64" s="69"/>
      <c r="G64" s="69"/>
      <c r="H64" s="69"/>
      <c r="I64" s="69"/>
      <c r="J64" s="69"/>
    </row>
  </sheetData>
  <mergeCells count="5">
    <mergeCell ref="G1:I1"/>
    <mergeCell ref="A61:J61"/>
    <mergeCell ref="A62:J62"/>
    <mergeCell ref="A63:J63"/>
    <mergeCell ref="A64:J64"/>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570</v>
      </c>
    </row>
    <row r="3" s="71" customFormat="true" ht="28.35" hidden="false" customHeight="false" outlineLevel="0" collapsed="false">
      <c r="A3" s="71" t="s">
        <v>55</v>
      </c>
      <c r="B3" s="71" t="s">
        <v>571</v>
      </c>
      <c r="C3" s="71" t="s">
        <v>19</v>
      </c>
      <c r="D3" s="71" t="s">
        <v>572</v>
      </c>
    </row>
    <row r="4" customFormat="false" ht="15" hidden="false" customHeight="false" outlineLevel="0" collapsed="false">
      <c r="A4" s="0" t="s">
        <v>573</v>
      </c>
      <c r="B4" s="0" t="s">
        <v>574</v>
      </c>
      <c r="C4" s="0" t="s">
        <v>575</v>
      </c>
      <c r="D4" s="0" t="s">
        <v>576</v>
      </c>
    </row>
    <row r="5" customFormat="false" ht="15" hidden="false" customHeight="false" outlineLevel="0" collapsed="false">
      <c r="A5" s="0" t="s">
        <v>577</v>
      </c>
      <c r="B5" s="0" t="s">
        <v>578</v>
      </c>
      <c r="C5" s="0" t="s">
        <v>7</v>
      </c>
      <c r="D5" s="0" t="s">
        <v>579</v>
      </c>
    </row>
    <row r="6" customFormat="false" ht="15" hidden="false" customHeight="false" outlineLevel="0" collapsed="false">
      <c r="A6" s="0" t="s">
        <v>580</v>
      </c>
      <c r="B6" s="0" t="s">
        <v>574</v>
      </c>
      <c r="C6" s="0" t="s">
        <v>575</v>
      </c>
      <c r="D6" s="0" t="s">
        <v>581</v>
      </c>
    </row>
    <row r="7" customFormat="false" ht="15" hidden="false" customHeight="false" outlineLevel="0" collapsed="false">
      <c r="A7" s="0" t="s">
        <v>582</v>
      </c>
      <c r="B7" s="0" t="s">
        <v>578</v>
      </c>
      <c r="C7" s="0" t="s">
        <v>7</v>
      </c>
      <c r="D7" s="0" t="s">
        <v>583</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B1:E86"/>
  <sheetViews>
    <sheetView showFormulas="false" showGridLines="false" showRowColHeaders="true" showZeros="true" rightToLeft="false" tabSelected="false" showOutlineSymbols="true" defaultGridColor="true" view="normal" topLeftCell="A51" colorId="64" zoomScale="100" zoomScaleNormal="100" zoomScalePageLayoutView="100" workbookViewId="0">
      <pane xSplit="0" ySplit="7" topLeftCell="A8" activePane="bottomLeft" state="frozen"/>
      <selection pane="topLeft" activeCell="A51" activeCellId="0" sqref="A51"/>
      <selection pane="bottomLeft" activeCell="A51" activeCellId="0" sqref="A51"/>
    </sheetView>
  </sheetViews>
  <sheetFormatPr defaultColWidth="8.71484375" defaultRowHeight="12.75" zeroHeight="false" outlineLevelRow="0" outlineLevelCol="0"/>
  <cols>
    <col collapsed="false" customWidth="false" hidden="false" outlineLevel="0" max="1" min="1" style="47" width="8.71"/>
    <col collapsed="false" customWidth="true" hidden="false" outlineLevel="0" max="2" min="2" style="47" width="29.43"/>
    <col collapsed="false" customWidth="true" hidden="false" outlineLevel="0" max="3" min="3" style="47" width="54"/>
    <col collapsed="false" customWidth="true" hidden="false" outlineLevel="0" max="4" min="4" style="47" width="13.72"/>
    <col collapsed="false" customWidth="false" hidden="false" outlineLevel="0" max="16384" min="5" style="47" width="8.71"/>
  </cols>
  <sheetData>
    <row r="1" customFormat="false" ht="21.75" hidden="false" customHeight="true" outlineLevel="0" collapsed="false">
      <c r="B1" s="3" t="str">
        <f aca="false">HYPERLINK("#'General Information'!D9","◄ General Information")</f>
        <v>◄ General Information</v>
      </c>
      <c r="C1" s="4" t="str">
        <f aca="false">HYPERLINK("#Summary!G1","Summary")</f>
        <v>Summary</v>
      </c>
    </row>
    <row r="2" customFormat="false" ht="19.5" hidden="false" customHeight="true" outlineLevel="0" collapsed="false">
      <c r="C2" s="72" t="s">
        <v>584</v>
      </c>
    </row>
    <row r="3" customFormat="false" ht="36" hidden="false" customHeight="true" outlineLevel="0" collapsed="false">
      <c r="C3" s="48" t="s">
        <v>585</v>
      </c>
    </row>
    <row r="4" customFormat="false" ht="27.75" hidden="false" customHeight="true" outlineLevel="0" collapsed="false">
      <c r="C4" s="48" t="s">
        <v>586</v>
      </c>
    </row>
    <row r="5" customFormat="false" ht="33.75" hidden="false" customHeight="true" outlineLevel="0" collapsed="false">
      <c r="C5" s="48" t="s">
        <v>587</v>
      </c>
    </row>
    <row r="6" customFormat="false" ht="15.75" hidden="false" customHeight="true" outlineLevel="0" collapsed="false">
      <c r="C6" s="48" t="s">
        <v>588</v>
      </c>
    </row>
    <row r="8" customFormat="false" ht="15" hidden="false" customHeight="false" outlineLevel="0" collapsed="false">
      <c r="B8" s="72" t="s">
        <v>589</v>
      </c>
    </row>
    <row r="9" customFormat="false" ht="19.5" hidden="false" customHeight="true" outlineLevel="0" collapsed="false">
      <c r="B9" s="73" t="s">
        <v>590</v>
      </c>
      <c r="C9" s="73" t="s">
        <v>591</v>
      </c>
      <c r="D9" s="73" t="s">
        <v>592</v>
      </c>
      <c r="E9" s="73" t="s">
        <v>31</v>
      </c>
    </row>
    <row r="10" customFormat="false" ht="12.75" hidden="false" customHeight="true" outlineLevel="0" collapsed="false">
      <c r="B10" s="74" t="s">
        <v>4</v>
      </c>
      <c r="C10" s="75" t="s">
        <v>593</v>
      </c>
      <c r="D10" s="76" t="n">
        <v>1</v>
      </c>
      <c r="E10" s="77" t="n">
        <v>4</v>
      </c>
    </row>
    <row r="11" customFormat="false" ht="12.75" hidden="false" customHeight="true" outlineLevel="0" collapsed="false">
      <c r="B11" s="78"/>
      <c r="C11" s="79" t="s">
        <v>594</v>
      </c>
      <c r="D11" s="80" t="n">
        <v>1</v>
      </c>
      <c r="E11" s="81"/>
    </row>
    <row r="12" customFormat="false" ht="12" hidden="false" customHeight="true" outlineLevel="0" collapsed="false">
      <c r="B12" s="82" t="s">
        <v>595</v>
      </c>
      <c r="C12" s="75" t="s">
        <v>593</v>
      </c>
      <c r="D12" s="76" t="n">
        <v>1</v>
      </c>
      <c r="E12" s="83" t="n">
        <v>8</v>
      </c>
    </row>
    <row r="13" customFormat="false" ht="12.75" hidden="false" customHeight="true" outlineLevel="0" collapsed="false">
      <c r="B13" s="78"/>
      <c r="C13" s="79" t="s">
        <v>594</v>
      </c>
      <c r="D13" s="80" t="n">
        <v>1</v>
      </c>
      <c r="E13" s="81"/>
    </row>
    <row r="14" customFormat="false" ht="12" hidden="false" customHeight="true" outlineLevel="0" collapsed="false">
      <c r="B14" s="82" t="s">
        <v>596</v>
      </c>
      <c r="C14" s="75" t="s">
        <v>597</v>
      </c>
      <c r="D14" s="76" t="n">
        <v>0.0075</v>
      </c>
      <c r="E14" s="83" t="n">
        <v>12</v>
      </c>
    </row>
    <row r="15" customFormat="false" ht="12" hidden="false" customHeight="true" outlineLevel="0" collapsed="false">
      <c r="B15" s="84"/>
      <c r="C15" s="75" t="s">
        <v>598</v>
      </c>
      <c r="D15" s="76" t="n">
        <v>0.0325</v>
      </c>
      <c r="E15" s="85"/>
    </row>
    <row r="16" customFormat="false" ht="12" hidden="false" customHeight="true" outlineLevel="0" collapsed="false">
      <c r="B16" s="84"/>
      <c r="C16" s="75" t="s">
        <v>599</v>
      </c>
      <c r="D16" s="76" t="n">
        <v>1</v>
      </c>
      <c r="E16" s="85"/>
    </row>
    <row r="17" customFormat="false" ht="12.75" hidden="false" customHeight="true" outlineLevel="0" collapsed="false">
      <c r="B17" s="78"/>
      <c r="C17" s="79" t="s">
        <v>600</v>
      </c>
      <c r="D17" s="80" t="n">
        <v>1</v>
      </c>
      <c r="E17" s="81"/>
    </row>
    <row r="18" customFormat="false" ht="12" hidden="false" customHeight="true" outlineLevel="0" collapsed="false">
      <c r="B18" s="82" t="s">
        <v>601</v>
      </c>
      <c r="C18" s="75" t="s">
        <v>602</v>
      </c>
      <c r="D18" s="76" t="n">
        <v>0.01</v>
      </c>
      <c r="E18" s="83" t="n">
        <v>16</v>
      </c>
    </row>
    <row r="19" customFormat="false" ht="12" hidden="false" customHeight="true" outlineLevel="0" collapsed="false">
      <c r="B19" s="84"/>
      <c r="C19" s="75" t="s">
        <v>603</v>
      </c>
      <c r="D19" s="76" t="n">
        <v>0.035</v>
      </c>
      <c r="E19" s="85"/>
    </row>
    <row r="20" customFormat="false" ht="12" hidden="false" customHeight="true" outlineLevel="0" collapsed="false">
      <c r="B20" s="84"/>
      <c r="C20" s="75" t="s">
        <v>599</v>
      </c>
      <c r="D20" s="76" t="n">
        <v>1</v>
      </c>
      <c r="E20" s="85"/>
    </row>
    <row r="21" customFormat="false" ht="12.75" hidden="false" customHeight="true" outlineLevel="0" collapsed="false">
      <c r="B21" s="78"/>
      <c r="C21" s="79" t="s">
        <v>600</v>
      </c>
      <c r="D21" s="80" t="n">
        <v>1</v>
      </c>
      <c r="E21" s="81"/>
    </row>
    <row r="22" customFormat="false" ht="12" hidden="false" customHeight="true" outlineLevel="0" collapsed="false">
      <c r="B22" s="82" t="s">
        <v>5</v>
      </c>
      <c r="C22" s="75" t="s">
        <v>604</v>
      </c>
      <c r="D22" s="76" t="n">
        <v>1</v>
      </c>
      <c r="E22" s="83" t="n">
        <v>20</v>
      </c>
    </row>
    <row r="23" customFormat="false" ht="12" hidden="false" customHeight="true" outlineLevel="0" collapsed="false">
      <c r="B23" s="84"/>
      <c r="C23" s="75" t="s">
        <v>605</v>
      </c>
      <c r="D23" s="76" t="n">
        <v>0.015</v>
      </c>
      <c r="E23" s="85"/>
    </row>
    <row r="24" customFormat="false" ht="12" hidden="false" customHeight="true" outlineLevel="0" collapsed="false">
      <c r="B24" s="84"/>
      <c r="C24" s="75" t="s">
        <v>606</v>
      </c>
      <c r="D24" s="76" t="n">
        <v>0.005</v>
      </c>
      <c r="E24" s="85"/>
    </row>
    <row r="25" customFormat="false" ht="12.75" hidden="false" customHeight="true" outlineLevel="0" collapsed="false">
      <c r="B25" s="78"/>
      <c r="C25" s="79" t="s">
        <v>600</v>
      </c>
      <c r="D25" s="80" t="n">
        <v>1</v>
      </c>
      <c r="E25" s="81"/>
    </row>
    <row r="26" customFormat="false" ht="12" hidden="false" customHeight="true" outlineLevel="0" collapsed="false">
      <c r="B26" s="82" t="s">
        <v>607</v>
      </c>
      <c r="C26" s="75" t="s">
        <v>599</v>
      </c>
      <c r="D26" s="76" t="n">
        <v>1</v>
      </c>
      <c r="E26" s="83" t="n">
        <v>24</v>
      </c>
    </row>
    <row r="27" customFormat="false" ht="12.75" hidden="false" customHeight="true" outlineLevel="0" collapsed="false">
      <c r="B27" s="78"/>
      <c r="C27" s="79" t="s">
        <v>600</v>
      </c>
      <c r="D27" s="80" t="n">
        <v>1</v>
      </c>
      <c r="E27" s="81"/>
    </row>
    <row r="28" customFormat="false" ht="12" hidden="false" customHeight="true" outlineLevel="0" collapsed="false">
      <c r="B28" s="82" t="s">
        <v>608</v>
      </c>
      <c r="C28" s="75" t="s">
        <v>609</v>
      </c>
      <c r="D28" s="76" t="n">
        <v>0.0125</v>
      </c>
      <c r="E28" s="83" t="n">
        <v>28</v>
      </c>
    </row>
    <row r="29" customFormat="false" ht="12" hidden="false" customHeight="true" outlineLevel="0" collapsed="false">
      <c r="B29" s="84"/>
      <c r="C29" s="75" t="s">
        <v>610</v>
      </c>
      <c r="D29" s="76" t="n">
        <v>0.04</v>
      </c>
      <c r="E29" s="85"/>
    </row>
    <row r="30" customFormat="false" ht="12" hidden="false" customHeight="true" outlineLevel="0" collapsed="false">
      <c r="B30" s="84"/>
      <c r="C30" s="75" t="s">
        <v>599</v>
      </c>
      <c r="D30" s="76" t="n">
        <v>1</v>
      </c>
      <c r="E30" s="85"/>
    </row>
    <row r="31" customFormat="false" ht="12.75" hidden="false" customHeight="true" outlineLevel="0" collapsed="false">
      <c r="B31" s="78"/>
      <c r="C31" s="79" t="s">
        <v>600</v>
      </c>
      <c r="D31" s="80" t="n">
        <v>1</v>
      </c>
      <c r="E31" s="81"/>
    </row>
    <row r="32" customFormat="false" ht="12.75" hidden="false" customHeight="false" outlineLevel="0" collapsed="false">
      <c r="B32" s="86" t="s">
        <v>41</v>
      </c>
      <c r="C32" s="87" t="s">
        <v>611</v>
      </c>
      <c r="D32" s="88" t="n">
        <v>0.125</v>
      </c>
      <c r="E32" s="89" t="n">
        <v>30</v>
      </c>
    </row>
    <row r="35" customFormat="false" ht="15" hidden="false" customHeight="false" outlineLevel="0" collapsed="false">
      <c r="B35" s="72" t="s">
        <v>612</v>
      </c>
    </row>
    <row r="36" customFormat="false" ht="19.5" hidden="false" customHeight="true" outlineLevel="0" collapsed="false">
      <c r="B36" s="73" t="s">
        <v>613</v>
      </c>
      <c r="C36" s="73" t="s">
        <v>591</v>
      </c>
      <c r="D36" s="73" t="s">
        <v>592</v>
      </c>
      <c r="E36" s="73" t="s">
        <v>31</v>
      </c>
    </row>
    <row r="37" customFormat="false" ht="12.75" hidden="false" customHeight="true" outlineLevel="0" collapsed="false">
      <c r="B37" s="90" t="s">
        <v>4</v>
      </c>
      <c r="C37" s="91" t="s">
        <v>614</v>
      </c>
      <c r="D37" s="92" t="n">
        <v>1</v>
      </c>
      <c r="E37" s="93" t="n">
        <v>19</v>
      </c>
    </row>
    <row r="38" customFormat="false" ht="12" hidden="false" customHeight="true" outlineLevel="0" collapsed="false">
      <c r="B38" s="94"/>
      <c r="C38" s="91" t="s">
        <v>615</v>
      </c>
      <c r="D38" s="92" t="n">
        <v>0.0025</v>
      </c>
      <c r="E38" s="95"/>
    </row>
    <row r="39" customFormat="false" ht="12" hidden="false" customHeight="true" outlineLevel="0" collapsed="false">
      <c r="B39" s="94"/>
      <c r="C39" s="91" t="s">
        <v>616</v>
      </c>
      <c r="D39" s="92" t="n">
        <v>0.0013</v>
      </c>
      <c r="E39" s="95"/>
    </row>
    <row r="40" customFormat="false" ht="12.75" hidden="false" customHeight="true" outlineLevel="0" collapsed="false">
      <c r="B40" s="96"/>
      <c r="C40" s="97" t="s">
        <v>617</v>
      </c>
      <c r="D40" s="98" t="n">
        <v>0.003</v>
      </c>
      <c r="E40" s="99"/>
    </row>
    <row r="41" customFormat="false" ht="12" hidden="false" customHeight="true" outlineLevel="0" collapsed="false">
      <c r="B41" s="100" t="s">
        <v>5</v>
      </c>
      <c r="C41" s="91" t="s">
        <v>618</v>
      </c>
      <c r="D41" s="92" t="n">
        <v>0.02</v>
      </c>
      <c r="E41" s="101" t="n">
        <v>27</v>
      </c>
    </row>
    <row r="42" customFormat="false" ht="12" hidden="false" customHeight="true" outlineLevel="0" collapsed="false">
      <c r="B42" s="94"/>
      <c r="C42" s="91" t="s">
        <v>617</v>
      </c>
      <c r="D42" s="92" t="n">
        <v>0.003</v>
      </c>
      <c r="E42" s="95"/>
    </row>
    <row r="43" customFormat="false" ht="12" hidden="false" customHeight="true" outlineLevel="0" collapsed="false">
      <c r="B43" s="94"/>
      <c r="C43" s="91" t="s">
        <v>616</v>
      </c>
      <c r="D43" s="92" t="n">
        <v>0.0013</v>
      </c>
      <c r="E43" s="95"/>
    </row>
    <row r="44" customFormat="false" ht="12" hidden="false" customHeight="true" outlineLevel="0" collapsed="false">
      <c r="B44" s="94"/>
      <c r="C44" s="91" t="s">
        <v>619</v>
      </c>
      <c r="D44" s="92" t="n">
        <v>0.003</v>
      </c>
      <c r="E44" s="95"/>
    </row>
    <row r="45" customFormat="false" ht="12.75" hidden="false" customHeight="true" outlineLevel="0" collapsed="false">
      <c r="B45" s="96"/>
      <c r="C45" s="97" t="s">
        <v>620</v>
      </c>
      <c r="D45" s="98" t="n">
        <v>1</v>
      </c>
      <c r="E45" s="99"/>
    </row>
    <row r="46" customFormat="false" ht="12.75" hidden="false" customHeight="false" outlineLevel="0" collapsed="false">
      <c r="B46" s="102" t="s">
        <v>41</v>
      </c>
      <c r="C46" s="103" t="s">
        <v>621</v>
      </c>
      <c r="D46" s="104" t="n">
        <v>0.25</v>
      </c>
      <c r="E46" s="105" t="n">
        <v>30</v>
      </c>
    </row>
    <row r="49" customFormat="false" ht="15" hidden="false" customHeight="false" outlineLevel="0" collapsed="false">
      <c r="B49" s="72" t="s">
        <v>622</v>
      </c>
    </row>
    <row r="50" customFormat="false" ht="19.5" hidden="false" customHeight="true" outlineLevel="0" collapsed="false">
      <c r="B50" s="73" t="s">
        <v>590</v>
      </c>
      <c r="C50" s="73" t="s">
        <v>591</v>
      </c>
      <c r="D50" s="73" t="s">
        <v>592</v>
      </c>
      <c r="E50" s="73" t="s">
        <v>31</v>
      </c>
    </row>
    <row r="51" customFormat="false" ht="12.75" hidden="false" customHeight="false" outlineLevel="0" collapsed="false">
      <c r="B51" s="82" t="s">
        <v>4</v>
      </c>
      <c r="C51" s="75" t="s">
        <v>599</v>
      </c>
      <c r="D51" s="76" t="n">
        <v>1</v>
      </c>
      <c r="E51" s="83" t="n">
        <v>4</v>
      </c>
    </row>
    <row r="52" customFormat="false" ht="12.75" hidden="false" customHeight="false" outlineLevel="0" collapsed="false">
      <c r="B52" s="78"/>
      <c r="C52" s="79" t="s">
        <v>600</v>
      </c>
      <c r="D52" s="80" t="n">
        <v>1</v>
      </c>
      <c r="E52" s="81"/>
    </row>
    <row r="53" customFormat="false" ht="12.75" hidden="false" customHeight="false" outlineLevel="0" collapsed="false">
      <c r="B53" s="82" t="s">
        <v>595</v>
      </c>
      <c r="C53" s="75" t="s">
        <v>609</v>
      </c>
      <c r="D53" s="76" t="n">
        <v>0.0125</v>
      </c>
      <c r="E53" s="83" t="n">
        <v>8</v>
      </c>
    </row>
    <row r="54" customFormat="false" ht="12.75" hidden="false" customHeight="false" outlineLevel="0" collapsed="false">
      <c r="B54" s="84"/>
      <c r="C54" s="75" t="s">
        <v>610</v>
      </c>
      <c r="D54" s="76" t="n">
        <v>0.04</v>
      </c>
      <c r="E54" s="85"/>
    </row>
    <row r="55" customFormat="false" ht="12.75" hidden="false" customHeight="false" outlineLevel="0" collapsed="false">
      <c r="B55" s="84"/>
      <c r="C55" s="75" t="s">
        <v>599</v>
      </c>
      <c r="D55" s="76" t="n">
        <v>1</v>
      </c>
      <c r="E55" s="85"/>
    </row>
    <row r="56" customFormat="false" ht="12.75" hidden="false" customHeight="false" outlineLevel="0" collapsed="false">
      <c r="B56" s="78"/>
      <c r="C56" s="79" t="s">
        <v>600</v>
      </c>
      <c r="D56" s="80" t="n">
        <v>1</v>
      </c>
      <c r="E56" s="81"/>
    </row>
    <row r="57" customFormat="false" ht="12.75" hidden="false" customHeight="false" outlineLevel="0" collapsed="false">
      <c r="B57" s="82" t="s">
        <v>596</v>
      </c>
      <c r="C57" s="75" t="s">
        <v>593</v>
      </c>
      <c r="D57" s="76" t="n">
        <v>1</v>
      </c>
      <c r="E57" s="106" t="n">
        <v>12</v>
      </c>
    </row>
    <row r="58" customFormat="false" ht="12.75" hidden="false" customHeight="false" outlineLevel="0" collapsed="false">
      <c r="B58" s="78"/>
      <c r="C58" s="79" t="s">
        <v>594</v>
      </c>
      <c r="D58" s="80" t="n">
        <v>1</v>
      </c>
      <c r="E58" s="81"/>
    </row>
    <row r="59" customFormat="false" ht="12.75" hidden="false" customHeight="false" outlineLevel="0" collapsed="false">
      <c r="B59" s="82" t="s">
        <v>623</v>
      </c>
      <c r="C59" s="75" t="s">
        <v>604</v>
      </c>
      <c r="D59" s="76" t="n">
        <v>1</v>
      </c>
      <c r="E59" s="83" t="n">
        <v>16</v>
      </c>
    </row>
    <row r="60" customFormat="false" ht="12.75" hidden="false" customHeight="false" outlineLevel="0" collapsed="false">
      <c r="B60" s="84"/>
      <c r="C60" s="75" t="s">
        <v>624</v>
      </c>
      <c r="D60" s="76" t="n">
        <v>0.015</v>
      </c>
      <c r="E60" s="85"/>
    </row>
    <row r="61" customFormat="false" ht="12.75" hidden="false" customHeight="false" outlineLevel="0" collapsed="false">
      <c r="B61" s="84"/>
      <c r="C61" s="75" t="s">
        <v>625</v>
      </c>
      <c r="D61" s="76" t="n">
        <v>0.005</v>
      </c>
      <c r="E61" s="85"/>
    </row>
    <row r="62" customFormat="false" ht="12.75" hidden="false" customHeight="false" outlineLevel="0" collapsed="false">
      <c r="B62" s="78"/>
      <c r="C62" s="79" t="s">
        <v>600</v>
      </c>
      <c r="D62" s="80" t="n">
        <v>1</v>
      </c>
      <c r="E62" s="81"/>
    </row>
    <row r="63" customFormat="false" ht="12.75" hidden="false" customHeight="false" outlineLevel="0" collapsed="false">
      <c r="B63" s="82" t="s">
        <v>601</v>
      </c>
      <c r="C63" s="75" t="s">
        <v>599</v>
      </c>
      <c r="D63" s="76" t="n">
        <v>1</v>
      </c>
      <c r="E63" s="83" t="n">
        <v>20</v>
      </c>
    </row>
    <row r="64" customFormat="false" ht="12.75" hidden="false" customHeight="false" outlineLevel="0" collapsed="false">
      <c r="B64" s="78"/>
      <c r="C64" s="79" t="s">
        <v>600</v>
      </c>
      <c r="D64" s="80" t="n">
        <v>1</v>
      </c>
      <c r="E64" s="81"/>
    </row>
    <row r="65" customFormat="false" ht="12.75" hidden="false" customHeight="false" outlineLevel="0" collapsed="false">
      <c r="B65" s="82" t="s">
        <v>607</v>
      </c>
      <c r="C65" s="75" t="s">
        <v>609</v>
      </c>
      <c r="D65" s="76" t="n">
        <v>0.0125</v>
      </c>
      <c r="E65" s="83" t="n">
        <v>24</v>
      </c>
    </row>
    <row r="66" customFormat="false" ht="12.75" hidden="false" customHeight="false" outlineLevel="0" collapsed="false">
      <c r="B66" s="84"/>
      <c r="C66" s="75" t="s">
        <v>610</v>
      </c>
      <c r="D66" s="76" t="n">
        <v>0.04</v>
      </c>
      <c r="E66" s="85"/>
    </row>
    <row r="67" customFormat="false" ht="12.75" hidden="false" customHeight="false" outlineLevel="0" collapsed="false">
      <c r="B67" s="84"/>
      <c r="C67" s="75" t="s">
        <v>599</v>
      </c>
      <c r="D67" s="76" t="n">
        <v>1</v>
      </c>
      <c r="E67" s="85"/>
    </row>
    <row r="68" customFormat="false" ht="12.75" hidden="false" customHeight="false" outlineLevel="0" collapsed="false">
      <c r="B68" s="78"/>
      <c r="C68" s="79" t="s">
        <v>600</v>
      </c>
      <c r="D68" s="80" t="n">
        <v>1</v>
      </c>
      <c r="E68" s="81"/>
    </row>
    <row r="69" customFormat="false" ht="12.75" hidden="false" customHeight="false" outlineLevel="0" collapsed="false">
      <c r="B69" s="82" t="s">
        <v>608</v>
      </c>
      <c r="C69" s="75" t="s">
        <v>599</v>
      </c>
      <c r="D69" s="76" t="n">
        <v>1</v>
      </c>
      <c r="E69" s="83" t="n">
        <v>28</v>
      </c>
    </row>
    <row r="70" customFormat="false" ht="12.75" hidden="false" customHeight="false" outlineLevel="0" collapsed="false">
      <c r="B70" s="78"/>
      <c r="C70" s="79" t="s">
        <v>600</v>
      </c>
      <c r="D70" s="80" t="n">
        <v>1</v>
      </c>
      <c r="E70" s="81"/>
    </row>
    <row r="71" customFormat="false" ht="12.75" hidden="false" customHeight="false" outlineLevel="0" collapsed="false">
      <c r="B71" s="86" t="s">
        <v>41</v>
      </c>
      <c r="C71" s="87" t="s">
        <v>626</v>
      </c>
      <c r="D71" s="88" t="n">
        <v>0</v>
      </c>
      <c r="E71" s="89" t="n">
        <v>30</v>
      </c>
    </row>
    <row r="74" customFormat="false" ht="15" hidden="false" customHeight="false" outlineLevel="0" collapsed="false">
      <c r="B74" s="72" t="s">
        <v>627</v>
      </c>
    </row>
    <row r="75" customFormat="false" ht="19.5" hidden="false" customHeight="true" outlineLevel="0" collapsed="false">
      <c r="B75" s="73" t="s">
        <v>613</v>
      </c>
      <c r="C75" s="73" t="s">
        <v>591</v>
      </c>
      <c r="D75" s="73" t="s">
        <v>592</v>
      </c>
      <c r="E75" s="73" t="s">
        <v>31</v>
      </c>
    </row>
    <row r="76" customFormat="false" ht="12.75" hidden="false" customHeight="false" outlineLevel="0" collapsed="false">
      <c r="B76" s="90" t="s">
        <v>4</v>
      </c>
      <c r="C76" s="91" t="s">
        <v>614</v>
      </c>
      <c r="D76" s="92" t="n">
        <v>1</v>
      </c>
      <c r="E76" s="93" t="n">
        <v>15</v>
      </c>
    </row>
    <row r="77" customFormat="false" ht="12.75" hidden="false" customHeight="false" outlineLevel="0" collapsed="false">
      <c r="B77" s="94"/>
      <c r="C77" s="91" t="s">
        <v>628</v>
      </c>
      <c r="D77" s="92" t="n">
        <v>0.0035</v>
      </c>
      <c r="E77" s="95"/>
    </row>
    <row r="78" customFormat="false" ht="12.75" hidden="false" customHeight="false" outlineLevel="0" collapsed="false">
      <c r="B78" s="94"/>
      <c r="C78" s="91" t="s">
        <v>629</v>
      </c>
      <c r="D78" s="92" t="n">
        <v>0.002</v>
      </c>
      <c r="E78" s="95"/>
    </row>
    <row r="79" customFormat="false" ht="12.75" hidden="false" customHeight="false" outlineLevel="0" collapsed="false">
      <c r="B79" s="96"/>
      <c r="C79" s="97" t="s">
        <v>617</v>
      </c>
      <c r="D79" s="98" t="n">
        <v>0.003</v>
      </c>
      <c r="E79" s="99"/>
    </row>
    <row r="80" customFormat="false" ht="12.75" hidden="false" customHeight="false" outlineLevel="0" collapsed="false">
      <c r="B80" s="100" t="s">
        <v>5</v>
      </c>
      <c r="C80" s="91" t="s">
        <v>630</v>
      </c>
      <c r="D80" s="92" t="n">
        <v>0.05</v>
      </c>
      <c r="E80" s="101" t="n">
        <v>25</v>
      </c>
    </row>
    <row r="81" customFormat="false" ht="12.75" hidden="false" customHeight="false" outlineLevel="0" collapsed="false">
      <c r="B81" s="94"/>
      <c r="C81" s="91" t="s">
        <v>617</v>
      </c>
      <c r="D81" s="92" t="n">
        <v>0.003</v>
      </c>
      <c r="E81" s="95"/>
    </row>
    <row r="82" customFormat="false" ht="12.75" hidden="false" customHeight="false" outlineLevel="0" collapsed="false">
      <c r="B82" s="94"/>
      <c r="C82" s="91" t="s">
        <v>631</v>
      </c>
      <c r="D82" s="92" t="n">
        <v>0.0015</v>
      </c>
      <c r="E82" s="95"/>
    </row>
    <row r="83" customFormat="false" ht="12.75" hidden="false" customHeight="false" outlineLevel="0" collapsed="false">
      <c r="B83" s="94"/>
      <c r="C83" s="91" t="s">
        <v>619</v>
      </c>
      <c r="D83" s="92" t="n">
        <v>0.003</v>
      </c>
      <c r="E83" s="95"/>
    </row>
    <row r="84" customFormat="false" ht="12.75" hidden="false" customHeight="false" outlineLevel="0" collapsed="false">
      <c r="B84" s="96"/>
      <c r="C84" s="97" t="s">
        <v>620</v>
      </c>
      <c r="D84" s="98" t="n">
        <v>1</v>
      </c>
      <c r="E84" s="99"/>
    </row>
    <row r="85" customFormat="false" ht="12.75" hidden="false" customHeight="false" outlineLevel="0" collapsed="false">
      <c r="B85" s="102" t="s">
        <v>41</v>
      </c>
      <c r="C85" s="103" t="s">
        <v>626</v>
      </c>
      <c r="D85" s="104" t="n">
        <v>0</v>
      </c>
      <c r="E85" s="105"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632</v>
      </c>
      <c r="I1" s="6" t="s">
        <v>1</v>
      </c>
    </row>
    <row r="2" customFormat="false" ht="15" hidden="false" customHeight="false" outlineLevel="0" collapsed="false">
      <c r="A2" s="7" t="s">
        <v>2</v>
      </c>
      <c r="E2" s="8" t="s">
        <v>633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595</v>
      </c>
      <c r="Z2" s="10" t="s">
        <v>596</v>
      </c>
      <c r="AH2" s="7" t="s">
        <v>601</v>
      </c>
      <c r="AP2" s="10" t="s">
        <v>5</v>
      </c>
      <c r="AX2" s="7" t="s">
        <v>607</v>
      </c>
      <c r="BF2" s="10" t="s">
        <v>608</v>
      </c>
    </row>
    <row r="3" customFormat="false" ht="15" hidden="false" customHeight="false" outlineLevel="0" collapsed="false">
      <c r="E3" s="11"/>
      <c r="F3" s="12"/>
    </row>
    <row r="4" customFormat="false" ht="15" hidden="false" customHeight="false" outlineLevel="0" collapsed="false">
      <c r="A4" s="0" t="s">
        <v>6</v>
      </c>
      <c r="C4" s="13" t="s">
        <v>575</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634</v>
      </c>
      <c r="F5" s="14" t="n">
        <f aca="false">ROUNDUP((C5/15000),0)+ROUNDUP((C8/20000),0)+ROUNDUP((C8/50000),0)</f>
        <v>10</v>
      </c>
    </row>
    <row r="6" customFormat="false" ht="15" hidden="false" customHeight="false" outlineLevel="0" collapsed="false">
      <c r="A6" s="0" t="s">
        <v>12</v>
      </c>
      <c r="C6" s="0" t="n">
        <f aca="false">'General Information'!D25</f>
        <v>2027</v>
      </c>
      <c r="E6" s="11" t="s">
        <v>635</v>
      </c>
      <c r="F6" s="14" t="n">
        <f aca="false">ROUNDUP((C5/15000),0)+ROUNDUP((C8/20000),0)+ROUNDUP((C8/50000),0)+ROUNDUP((C5*'Maintenance Policies'!D15/10000),0)+ROUNDUP((C5*'Maintenance Policies'!D14/5000),0)</f>
        <v>12</v>
      </c>
      <c r="AP6" s="1" t="s">
        <v>636</v>
      </c>
      <c r="AQ6" s="1" t="n">
        <v>2</v>
      </c>
      <c r="AR6" s="1" t="s">
        <v>637</v>
      </c>
    </row>
    <row r="7" customFormat="false" ht="15" hidden="false" customHeight="false" outlineLevel="0" collapsed="false">
      <c r="A7" s="0" t="s">
        <v>638</v>
      </c>
      <c r="C7" s="107" t="s">
        <v>535</v>
      </c>
      <c r="D7" s="6" t="s">
        <v>639</v>
      </c>
      <c r="E7" s="11" t="s">
        <v>640</v>
      </c>
      <c r="F7" s="14" t="n">
        <f aca="false">ROUNDUP((C5/15000),0)+ROUNDUP((C8/20000),0)+ROUNDUP((C8/50000),0)+ROUNDUP((C5*'Maintenance Policies'!D18/10000),0)+ROUNDUP((C5*'Maintenance Policies'!D19/5000),0)</f>
        <v>12</v>
      </c>
      <c r="AP7" s="1" t="s">
        <v>641</v>
      </c>
      <c r="AQ7" s="1" t="n">
        <v>120</v>
      </c>
      <c r="AR7" s="1" t="s">
        <v>642</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643</v>
      </c>
      <c r="F9" s="14" t="n">
        <f aca="false">ROUNDUP((C5/15000),0)+ROUNDUP((C8/20000),0)+ROUNDUP((C8/50000),0)</f>
        <v>10</v>
      </c>
      <c r="AP9" s="1" t="s">
        <v>644</v>
      </c>
      <c r="AQ9" s="1" t="n">
        <v>0.1</v>
      </c>
      <c r="AR9" s="1" t="s">
        <v>645</v>
      </c>
    </row>
    <row r="10" customFormat="false" ht="15" hidden="false" customHeight="false" outlineLevel="0" collapsed="false">
      <c r="D10" s="18"/>
      <c r="E10" s="15" t="s">
        <v>646</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8"/>
      <c r="F13" s="23" t="str">
        <f aca="false">IF(C13="","N/A",VLOOKUP(C13,CHOOSE({1,2},Table2[Pay Item Description],Table2[Unit Cost]),2,0))</f>
        <v>N/A</v>
      </c>
      <c r="G13" s="24" t="n">
        <f aca="false">IF(B13&lt;&gt;0,F13*E13,0)</f>
        <v>0</v>
      </c>
      <c r="J13" s="1" t="n">
        <v>1</v>
      </c>
      <c r="K13" s="109" t="str">
        <f aca="false">IF(L13="",0,VLOOKUP(L13,CHOOSE({1,2},Table2[Pay Item Description],Table2[Pay Item No.]),2,0))</f>
        <v>P-608-8.1</v>
      </c>
      <c r="L13" s="1" t="str">
        <f aca="false">C7</f>
        <v>Emulsified Asphalt Surface Treatment</v>
      </c>
      <c r="M13" s="110" t="str">
        <f aca="false">VLOOKUP(L13,CHOOSE({1,2},Table2[Pay Item Description],Table2[Units]),2,0)</f>
        <v>S.Y.</v>
      </c>
      <c r="N13" s="111" t="n">
        <f aca="false">'Maintenance Policies'!D10*$C$5</f>
        <v>100083</v>
      </c>
      <c r="O13" s="112"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3" t="n">
        <f aca="false">'Maintenance Policies'!D12*$C$5</f>
        <v>100083</v>
      </c>
      <c r="W13" s="114"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5" t="str">
        <f aca="false">IF(AB13="","N/A",VLOOKUP(AB13,CHOOSE({1,2},Table2[Pay Item Description],Table2[Units]),2,0))</f>
        <v>S.F.</v>
      </c>
      <c r="AD13" s="111" t="n">
        <f aca="false">'Maintenance Policies'!D14*($C$5*9)</f>
        <v>6755.6025</v>
      </c>
      <c r="AE13" s="116"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7" t="str">
        <f aca="false">IF(AJ13="","N/A",VLOOKUP(AJ13,CHOOSE({1,2},Table2[Pay Item Description],Table2[Units]),2,0))</f>
        <v>S.F.</v>
      </c>
      <c r="AL13" s="113" t="n">
        <f aca="false">'Maintenance Policies'!D18*($C$5*9)</f>
        <v>9007.47</v>
      </c>
      <c r="AM13" s="118"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5" t="str">
        <f aca="false">IF(AR13="","N/A",VLOOKUP(AR13,CHOOSE({1,2},Table2[Pay Item Description],Table2[Units]),2,0))</f>
        <v>S.Y.</v>
      </c>
      <c r="AT13" s="111" t="n">
        <f aca="false">'Maintenance Policies'!D22*$C$5</f>
        <v>100083</v>
      </c>
      <c r="AU13" s="116"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3" t="n">
        <f aca="false">'Maintenance Policies'!D26*$C$5</f>
        <v>100083</v>
      </c>
      <c r="BC13" s="114"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5" t="str">
        <f aca="false">IF(BH13="","N/A",VLOOKUP(BH13,CHOOSE({1,2},Table2[Pay Item Description],Table2[Units]),2,0))</f>
        <v>S.F.</v>
      </c>
      <c r="BJ13" s="111" t="n">
        <f aca="false">'Maintenance Policies'!D28*($C$5*9)</f>
        <v>11259.3375</v>
      </c>
      <c r="BK13" s="116" t="n">
        <f aca="false">IF(BH13="","N/A",VLOOKUP(BH13,CHOOSE({1,2},Table2[Pay Item Description],Table2[Unit Cost]),2,0))</f>
        <v>8.5</v>
      </c>
      <c r="BL13" s="27" t="n">
        <f aca="false">BK13*BJ13</f>
        <v>95704.36875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8"/>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5" t="str">
        <f aca="false">IF(L14="","N/A",VLOOKUP(L14,CHOOSE({1,2},Table2[Pay Item Description],Table2[Units]),2,0))</f>
        <v>S.F.</v>
      </c>
      <c r="N14" s="111" t="n">
        <f aca="false">'Maintenance Policies'!D10*$C$8</f>
        <v>25000</v>
      </c>
      <c r="O14" s="116"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7" t="str">
        <f aca="false">IF(T14="","N/A",VLOOKUP(T14,CHOOSE({1,2},Table2[Pay Item Description],Table2[Units]),2,0))</f>
        <v>S.F.</v>
      </c>
      <c r="V14" s="113" t="n">
        <f aca="false">'Maintenance Policies'!D12*$C$8</f>
        <v>25000</v>
      </c>
      <c r="W14" s="118"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5" t="str">
        <f aca="false">IF(AB14="","N/A",VLOOKUP(AB14,CHOOSE({1,2},Table2[Pay Item Description],Table2[Units]),2,0))</f>
        <v>L.F.</v>
      </c>
      <c r="AD14" s="111" t="n">
        <f aca="false">'Maintenance Policies'!D15*($C$5*9)</f>
        <v>29274.2775</v>
      </c>
      <c r="AE14" s="116"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7" t="str">
        <f aca="false">IF(AJ14="","N/A",VLOOKUP(AJ14,CHOOSE({1,2},Table2[Pay Item Description],Table2[Units]),2,0))</f>
        <v>L.F.</v>
      </c>
      <c r="AL14" s="113" t="n">
        <f aca="false">'Maintenance Policies'!D19*($C$5*9)</f>
        <v>31526.145</v>
      </c>
      <c r="AM14" s="118"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5" t="str">
        <f aca="false">IF(AR14="","N/A",VLOOKUP(AR14,CHOOSE({1,2},Table2[Pay Item Description],Table2[Units]),2,0))</f>
        <v>GAL</v>
      </c>
      <c r="AT14" s="111" t="n">
        <f aca="false">'Maintenance Policies'!D22*$C$5*AQ9</f>
        <v>10008.3</v>
      </c>
      <c r="AU14" s="116"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7" t="str">
        <f aca="false">IF(AZ14="","N/A",VLOOKUP(AZ14,CHOOSE({1,2},Table2[Pay Item Description],Table2[Units]),2,0))</f>
        <v>S.F.</v>
      </c>
      <c r="BB14" s="113" t="n">
        <f aca="false">'Maintenance Policies'!D26*$C$8</f>
        <v>25000</v>
      </c>
      <c r="BC14" s="118"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5" t="str">
        <f aca="false">IF(BH14="","N/A",VLOOKUP(BH14,CHOOSE({1,2},Table2[Pay Item Description],Table2[Units]),2,0))</f>
        <v>L.F.</v>
      </c>
      <c r="BJ14" s="111" t="n">
        <f aca="false">'Maintenance Policies'!D29*($C$5*9)</f>
        <v>36029.88</v>
      </c>
      <c r="BK14" s="116" t="n">
        <f aca="false">IF(BH14="","N/A",VLOOKUP(BH14,CHOOSE({1,2},Table2[Pay Item Description],Table2[Unit Cost]),2,0))</f>
        <v>4</v>
      </c>
      <c r="BL14" s="27" t="n">
        <f aca="false">BK14*BJ14</f>
        <v>144119.52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8"/>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5" t="str">
        <f aca="false">IF(L15="","N/A",VLOOKUP(L15,CHOOSE({1,2},Table2[Pay Item Description],Table2[Units]),2,0))</f>
        <v>S.F.</v>
      </c>
      <c r="N15" s="111" t="n">
        <f aca="false">'Maintenance Policies'!D11*$C$8</f>
        <v>25000</v>
      </c>
      <c r="O15" s="116"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7" t="str">
        <f aca="false">Pay_Items!E56</f>
        <v>S.F.</v>
      </c>
      <c r="V15" s="113" t="n">
        <f aca="false">'Maintenance Policies'!D13*$C$8</f>
        <v>25000</v>
      </c>
      <c r="W15" s="118" t="n">
        <f aca="false">IF(T15="","N/A",VLOOKUP(T15,CHOOSE({1,2},Table2[Pay Item Description],Table2[Unit Cost]),2,0))</f>
        <v>0.666666666666667</v>
      </c>
      <c r="X15" s="30" t="n">
        <f aca="false">W15*V15</f>
        <v>16666.6666666667</v>
      </c>
      <c r="Z15" s="1" t="n">
        <v>3</v>
      </c>
      <c r="AA15" s="109" t="str">
        <f aca="false">IF(AB15="",0,VLOOKUP(AB15,CHOOSE({1,2},Table2[Pay Item Description],Table2[Pay Item No.]),2,0))</f>
        <v>P-608-8.1</v>
      </c>
      <c r="AB15" s="1" t="str">
        <f aca="false">C7</f>
        <v>Emulsified Asphalt Surface Treatment</v>
      </c>
      <c r="AC15" s="110" t="str">
        <f aca="false">IF(AB15="","N/A",VLOOKUP(AB15,CHOOSE({1,2},Table2[Pay Item Description],Table2[Units]),2,0))</f>
        <v>S.Y.</v>
      </c>
      <c r="AD15" s="111" t="n">
        <f aca="false">'Maintenance Policies'!D16*$C$5</f>
        <v>100083</v>
      </c>
      <c r="AE15" s="112"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3" t="n">
        <f aca="false">'Maintenance Policies'!D20*$C$5</f>
        <v>100083</v>
      </c>
      <c r="AM15" s="114"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5" t="str">
        <f aca="false">IF(AR15="","N/A",VLOOKUP(AR15,CHOOSE({1,2},Table2[Pay Item Description],Table2[Units]),2,0))</f>
        <v>TON</v>
      </c>
      <c r="AT15" s="111" t="n">
        <f aca="false">'Maintenance Policies'!D22*$C$5*AQ6*AQ7/2000</f>
        <v>12009.96</v>
      </c>
      <c r="AU15" s="116"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7" t="str">
        <f aca="false">IF(AZ15="","N/A",VLOOKUP(AZ15,CHOOSE({1,2},Table2[Pay Item Description],Table2[Units]),2,0))</f>
        <v>S.F.</v>
      </c>
      <c r="BB15" s="113" t="n">
        <f aca="false">'Maintenance Policies'!D27*$C$8</f>
        <v>25000</v>
      </c>
      <c r="BC15" s="118" t="n">
        <f aca="false">IF(AZ15="","N/A",VLOOKUP(AZ15,CHOOSE({1,2},Table2[Pay Item Description],Table2[Unit Cost]),2,0))</f>
        <v>0.666666666666667</v>
      </c>
      <c r="BD15" s="30" t="n">
        <f aca="false">BC15*BB15</f>
        <v>16666.6666666667</v>
      </c>
      <c r="BF15" s="1" t="n">
        <v>3</v>
      </c>
      <c r="BG15" s="109" t="str">
        <f aca="false">IF(BH15="",0,VLOOKUP(BH15,CHOOSE({1,2},Table2[Pay Item Description],Table2[Pay Item No.]),2,0))</f>
        <v>P-608-8.1</v>
      </c>
      <c r="BH15" s="1" t="str">
        <f aca="false">C7</f>
        <v>Emulsified Asphalt Surface Treatment</v>
      </c>
      <c r="BI15" s="110" t="str">
        <f aca="false">IF(BH15="","N/A",VLOOKUP(BH15,CHOOSE({1,2},Table2[Pay Item Description],Table2[Units]),2,0))</f>
        <v>S.Y.</v>
      </c>
      <c r="BJ15" s="111" t="n">
        <f aca="false">'Maintenance Policies'!D30*$C$5</f>
        <v>100083</v>
      </c>
      <c r="BK15" s="112" t="n">
        <f aca="false">IF(BH15="","N/A",VLOOKUP(BH15,CHOOSE({1,2},Table2[Pay Item Description],Table2[Unit Cost]),2,0))</f>
        <v>4</v>
      </c>
      <c r="BL15" s="27" t="n">
        <f aca="false">BK15*BJ15</f>
        <v>400332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8"/>
      <c r="F16" s="23" t="str">
        <f aca="false">IF(C16="","N/A",VLOOKUP(C16,CHOOSE({1,2},Table2[Pay Item Description],Table2[Unit Cost]),2,0))</f>
        <v>N/A</v>
      </c>
      <c r="G16" s="24" t="n">
        <f aca="false">IF(B16&lt;&gt;0,F16*E16,0)</f>
        <v>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5" t="str">
        <f aca="false">IF(AB16="","N/A",VLOOKUP(AB16,CHOOSE({1,2},Table2[Pay Item Description],Table2[Units]),2,0))</f>
        <v>S.F.</v>
      </c>
      <c r="AD16" s="111" t="n">
        <f aca="false">'Maintenance Policies'!D16*$C$8</f>
        <v>25000</v>
      </c>
      <c r="AE16" s="116"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7" t="str">
        <f aca="false">IF(AJ16="","N/A",VLOOKUP(AJ16,CHOOSE({1,2},Table2[Pay Item Description],Table2[Units]),2,0))</f>
        <v>S.F.</v>
      </c>
      <c r="AL16" s="113" t="n">
        <f aca="false">'Maintenance Policies'!D20*$C$8</f>
        <v>25000</v>
      </c>
      <c r="AM16" s="118"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5" t="str">
        <f aca="false">IF(AR16="","N/A",VLOOKUP(AR16,CHOOSE({1,2},Table2[Pay Item Description],Table2[Units]),2,0))</f>
        <v>L.F.</v>
      </c>
      <c r="AT16" s="111" t="n">
        <f aca="false">'Maintenance Policies'!D23*($C$5*9)</f>
        <v>13511.205</v>
      </c>
      <c r="AU16" s="116"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5" t="str">
        <f aca="false">IF(BH16="","N/A",VLOOKUP(BH16,CHOOSE({1,2},Table2[Pay Item Description],Table2[Units]),2,0))</f>
        <v>S.F.</v>
      </c>
      <c r="BJ16" s="111" t="n">
        <f aca="false">C8</f>
        <v>25000</v>
      </c>
      <c r="BK16" s="116"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8"/>
      <c r="F17" s="23" t="str">
        <f aca="false">IF(C17="","N/A",VLOOKUP(C17,CHOOSE({1,2},Table2[Pay Item Description],Table2[Unit Cost]),2,0))</f>
        <v>N/A</v>
      </c>
      <c r="G17" s="24" t="n">
        <f aca="false">IF(B17&lt;&gt;0,F17*E17,0)</f>
        <v>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5" t="str">
        <f aca="false">IF(AB17="","N/A",VLOOKUP(AB17,CHOOSE({1,2},Table2[Pay Item Description],Table2[Units]),2,0))</f>
        <v>S.F.</v>
      </c>
      <c r="AD17" s="111" t="n">
        <f aca="false">'Maintenance Policies'!D17*$C$8</f>
        <v>25000</v>
      </c>
      <c r="AE17" s="116"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7" t="str">
        <f aca="false">IF(AJ17="","N/A",VLOOKUP(AJ17,CHOOSE({1,2},Table2[Pay Item Description],Table2[Units]),2,0))</f>
        <v>S.F.</v>
      </c>
      <c r="AL17" s="113" t="n">
        <f aca="false">'Maintenance Policies'!D21*$C$8</f>
        <v>25000</v>
      </c>
      <c r="AM17" s="118"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5" t="str">
        <f aca="false">IF(AR17="","N/A",VLOOKUP(AR17,CHOOSE({1,2},Table2[Pay Item Description],Table2[Units]),2,0))</f>
        <v>S.F.</v>
      </c>
      <c r="AT17" s="111" t="n">
        <f aca="false">'Maintenance Policies'!D24*($C$5*9)</f>
        <v>4503.735</v>
      </c>
      <c r="AU17" s="116"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5" t="str">
        <f aca="false">IF(BH17="","N/A",VLOOKUP(BH17,CHOOSE({1,2},Table2[Pay Item Description],Table2[Units]),2,0))</f>
        <v>S.F.</v>
      </c>
      <c r="BJ17" s="111" t="n">
        <f aca="false">'Maintenance Policies'!D31*$C$8</f>
        <v>25000</v>
      </c>
      <c r="BK17" s="116"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8"/>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5" t="str">
        <f aca="false">IF(AR18="","N/A",VLOOKUP(AR18,CHOOSE({1,2},Table2[Pay Item Description],Table2[Units]),2,0))</f>
        <v>S.F.</v>
      </c>
      <c r="AT18" s="111" t="n">
        <f aca="false">'Maintenance Policies'!D25*$C$8</f>
        <v>25000</v>
      </c>
      <c r="AU18" s="116"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8"/>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8"/>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8"/>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8"/>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9" t="n">
        <f aca="false">SUM(G24:G26)</f>
        <v>0</v>
      </c>
    </row>
    <row r="32" customFormat="false" ht="15" hidden="false" customHeight="false" outlineLevel="0" collapsed="false">
      <c r="A32" s="7" t="s">
        <v>28</v>
      </c>
    </row>
    <row r="33" customFormat="false" ht="15" hidden="false" customHeight="false" outlineLevel="0" collapsed="false">
      <c r="A33" s="7" t="s">
        <v>647</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20" t="s">
        <v>36</v>
      </c>
      <c r="M36" s="120" t="s">
        <v>37</v>
      </c>
      <c r="N36" s="120"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21" t="n">
        <f aca="false">IF(K37-$C$6&gt;'General Information'!$D$33,0,IF(K37=$C$6,$D$36,0)+SUMIFS($D$37:$D$51,$C$37:$C$51,K37-$C$6,$B$37:$B$51,"&lt;&gt;*Indirect*"))</f>
        <v>0</v>
      </c>
      <c r="M37" s="121" t="n">
        <f aca="false">IF(K37-$C$6&gt;'General Information'!$D$33,0,SUMIFS($D$37:$D$51,$C$37:$C$51,K37-$C$6,$B$37:$B$51,"*Indirect*"))</f>
        <v>0</v>
      </c>
      <c r="N37" s="121" t="n">
        <f aca="false">IF(K37-$C$6&gt;'General Information'!$D$33,0,IF(K37=$C$6,$E$36,0)+SUMIF($C$37:$C$51,K37-$C$6,$E$37:$E$51))</f>
        <v>0</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21" t="n">
        <f aca="false">IF(K38-$C$6&gt;'General Information'!$D$33,0,IF(K38=$C$6,$D$36,0)+SUMIFS($D$37:$D$51,$C$37:$C$51,K38-$C$6,$B$37:$B$51,"&lt;&gt;*Indirect*"))</f>
        <v>0</v>
      </c>
      <c r="M38" s="121" t="n">
        <f aca="false">IF(K38-$C$6&gt;'General Information'!$D$33,0,SUMIFS($D$37:$D$51,$C$37:$C$51,K38-$C$6,$B$37:$B$51,"*Indirect*"))</f>
        <v>0</v>
      </c>
      <c r="N38" s="121" t="n">
        <f aca="false">IF(K38-$C$6&gt;'General Information'!$D$33,0,IF(K38=$C$6,$E$36,0)+SUMIF($C$37:$C$51,K38-$C$6,$E$37:$E$51))</f>
        <v>0</v>
      </c>
    </row>
    <row r="39" customFormat="false" ht="15" hidden="false" customHeight="false" outlineLevel="0" collapsed="false">
      <c r="B39" s="40" t="s">
        <v>595</v>
      </c>
      <c r="C39" s="41" t="n">
        <f aca="false">'Maintenance Policies'!E12</f>
        <v>8</v>
      </c>
      <c r="D39" s="42" t="n">
        <f aca="false">X19</f>
        <v>501909.577777778</v>
      </c>
      <c r="E39" s="43" t="n">
        <f aca="false">IF(C39&gt;'General Information'!$D$33,0,D39/(1+('General Information'!$D$34/100))^C39)</f>
        <v>396212.055488386</v>
      </c>
      <c r="K39" s="1" t="n">
        <f aca="false">K38+1</f>
        <v>2029</v>
      </c>
      <c r="L39" s="121" t="n">
        <f aca="false">IF(K39-$C$6&gt;'General Information'!$D$33,0,IF(K39=$C$6,$D$36,0)+SUMIFS($D$37:$D$51,$C$37:$C$51,K39-$C$6,$B$37:$B$51,"&lt;&gt;*Indirect*"))</f>
        <v>0</v>
      </c>
      <c r="M39" s="121" t="n">
        <f aca="false">IF(K39-$C$6&gt;'General Information'!$D$33,0,SUMIFS($D$37:$D$51,$C$37:$C$51,K39-$C$6,$B$37:$B$51,"*Indirect*"))</f>
        <v>0</v>
      </c>
      <c r="N39" s="121" t="n">
        <f aca="false">IF(K39-$C$6&gt;'General Information'!$D$33,0,IF(K39=$C$6,$E$36,0)+SUMIF($C$37:$C$51,K39-$C$6,$E$37:$E$51))</f>
        <v>0</v>
      </c>
    </row>
    <row r="40" customFormat="false" ht="15" hidden="false" customHeight="false" outlineLevel="0" collapsed="false">
      <c r="B40" s="40" t="s">
        <v>648</v>
      </c>
      <c r="C40" s="41" t="n">
        <f aca="false">'Maintenance Policies'!E12</f>
        <v>8</v>
      </c>
      <c r="D40" s="42" t="n">
        <f aca="false">F2*F5</f>
        <v>85059.4</v>
      </c>
      <c r="E40" s="43" t="n">
        <f aca="false">IF(C40&gt;'General Information'!$D$33,0,D40/(1+('General Information'!$D$34/100))^C40)</f>
        <v>67146.6758252028</v>
      </c>
      <c r="K40" s="1" t="n">
        <f aca="false">K39+1</f>
        <v>2030</v>
      </c>
      <c r="L40" s="121" t="n">
        <f aca="false">IF(K40-$C$6&gt;'General Information'!$D$33,0,IF(K40=$C$6,$D$36,0)+SUMIFS($D$37:$D$51,$C$37:$C$51,K40-$C$6,$B$37:$B$51,"&lt;&gt;*Indirect*"))</f>
        <v>0</v>
      </c>
      <c r="M40" s="121" t="n">
        <f aca="false">IF(K40-$C$6&gt;'General Information'!$D$33,0,SUMIFS($D$37:$D$51,$C$37:$C$51,K40-$C$6,$B$37:$B$51,"*Indirect*"))</f>
        <v>0</v>
      </c>
      <c r="N40" s="121" t="n">
        <f aca="false">IF(K40-$C$6&gt;'General Information'!$D$33,0,IF(K40=$C$6,$E$36,0)+SUMIF($C$37:$C$51,K40-$C$6,$E$37:$E$51))</f>
        <v>0</v>
      </c>
    </row>
    <row r="41" customFormat="false" ht="15" hidden="false" customHeight="false" outlineLevel="0" collapsed="false">
      <c r="B41" s="40" t="s">
        <v>596</v>
      </c>
      <c r="C41" s="41" t="n">
        <f aca="false">'Maintenance Policies'!E14</f>
        <v>12</v>
      </c>
      <c r="D41" s="42" t="n">
        <f aca="false">AF21</f>
        <v>702607.268715278</v>
      </c>
      <c r="E41" s="43" t="n">
        <f aca="false">IF(C41&gt;'General Information'!$D$33,0,D41/(1+('General Information'!$D$34/100))^C41)</f>
        <v>492794.601954233</v>
      </c>
      <c r="K41" s="1" t="n">
        <f aca="false">K40+1</f>
        <v>2031</v>
      </c>
      <c r="L41" s="121" t="n">
        <f aca="false">IF(K41-$C$6&gt;'General Information'!$D$33,0,IF(K41=$C$6,$D$36,0)+SUMIFS($D$37:$D$51,$C$37:$C$51,K41-$C$6,$B$37:$B$51,"&lt;&gt;*Indirect*"))</f>
        <v>501909.577777778</v>
      </c>
      <c r="M41" s="121" t="n">
        <f aca="false">IF(K41-$C$6&gt;'General Information'!$D$33,0,SUMIFS($D$37:$D$51,$C$37:$C$51,K41-$C$6,$B$37:$B$51,"*Indirect*"))</f>
        <v>85059.4</v>
      </c>
      <c r="N41" s="121" t="n">
        <f aca="false">IF(K41-$C$6&gt;'General Information'!$D$33,0,IF(K41=$C$6,$E$36,0)+SUMIF($C$37:$C$51,K41-$C$6,$E$37:$E$51))</f>
        <v>521514.334283867</v>
      </c>
    </row>
    <row r="42" customFormat="false" ht="15" hidden="false" customHeight="false" outlineLevel="0" collapsed="false">
      <c r="B42" s="40" t="s">
        <v>649</v>
      </c>
      <c r="C42" s="41" t="n">
        <f aca="false">'Maintenance Policies'!E14</f>
        <v>12</v>
      </c>
      <c r="D42" s="42" t="n">
        <f aca="false">F2*F6</f>
        <v>102071.28</v>
      </c>
      <c r="E42" s="43" t="n">
        <f aca="false">IF(C42&gt;'General Information'!$D$33,0,D42/(1+('General Information'!$D$34/100))^C42)</f>
        <v>71590.7421375434</v>
      </c>
      <c r="K42" s="1" t="n">
        <f aca="false">K41+1</f>
        <v>2032</v>
      </c>
      <c r="L42" s="121" t="n">
        <f aca="false">IF(K42-$C$6&gt;'General Information'!$D$33,0,IF(K42=$C$6,$D$36,0)+SUMIFS($D$37:$D$51,$C$37:$C$51,K42-$C$6,$B$37:$B$51,"&lt;&gt;*Indirect*"))</f>
        <v>0</v>
      </c>
      <c r="M42" s="121" t="n">
        <f aca="false">IF(K42-$C$6&gt;'General Information'!$D$33,0,SUMIFS($D$37:$D$51,$C$37:$C$51,K42-$C$6,$B$37:$B$51,"*Indirect*"))</f>
        <v>0</v>
      </c>
      <c r="N42" s="121" t="n">
        <f aca="false">IF(K42-$C$6&gt;'General Information'!$D$33,0,IF(K42=$C$6,$E$36,0)+SUMIF($C$37:$C$51,K42-$C$6,$E$37:$E$51))</f>
        <v>0</v>
      </c>
    </row>
    <row r="43" customFormat="false" ht="15" hidden="false" customHeight="false" outlineLevel="0" collapsed="false">
      <c r="B43" s="40" t="s">
        <v>601</v>
      </c>
      <c r="C43" s="41" t="n">
        <f aca="false">'Maintenance Policies'!E18</f>
        <v>16</v>
      </c>
      <c r="D43" s="42" t="n">
        <f aca="false">AN21</f>
        <v>734977.864027778</v>
      </c>
      <c r="E43" s="43" t="n">
        <f aca="false">IF(C43&gt;'General Information'!$D$33,0,D43/(1+('General Information'!$D$34/100))^C43)</f>
        <v>458013.905920727</v>
      </c>
      <c r="K43" s="1" t="n">
        <f aca="false">K42+1</f>
        <v>2033</v>
      </c>
      <c r="L43" s="121" t="n">
        <f aca="false">IF(K43-$C$6&gt;'General Information'!$D$33,0,IF(K43=$C$6,$D$36,0)+SUMIFS($D$37:$D$51,$C$37:$C$51,K43-$C$6,$B$37:$B$51,"&lt;&gt;*Indirect*"))</f>
        <v>0</v>
      </c>
      <c r="M43" s="121" t="n">
        <f aca="false">IF(K43-$C$6&gt;'General Information'!$D$33,0,SUMIFS($D$37:$D$51,$C$37:$C$51,K43-$C$6,$B$37:$B$51,"*Indirect*"))</f>
        <v>0</v>
      </c>
      <c r="N43" s="121" t="n">
        <f aca="false">IF(K43-$C$6&gt;'General Information'!$D$33,0,IF(K43=$C$6,$E$36,0)+SUMIF($C$37:$C$51,K43-$C$6,$E$37:$E$51))</f>
        <v>0</v>
      </c>
    </row>
    <row r="44" customFormat="false" ht="15" hidden="false" customHeight="false" outlineLevel="0" collapsed="false">
      <c r="B44" s="40" t="s">
        <v>650</v>
      </c>
      <c r="C44" s="41" t="n">
        <f aca="false">'Maintenance Policies'!E18</f>
        <v>16</v>
      </c>
      <c r="D44" s="42" t="n">
        <f aca="false">F2*F7</f>
        <v>102071.28</v>
      </c>
      <c r="E44" s="43" t="n">
        <f aca="false">IF(C44&gt;'General Information'!$D$33,0,D44/(1+('General Information'!$D$34/100))^C44)</f>
        <v>63607.4471398792</v>
      </c>
      <c r="K44" s="1" t="n">
        <f aca="false">K43+1</f>
        <v>2034</v>
      </c>
      <c r="L44" s="121" t="n">
        <f aca="false">IF(K44-$C$6&gt;'General Information'!$D$33,0,IF(K44=$C$6,$D$36,0)+SUMIFS($D$37:$D$51,$C$37:$C$51,K44-$C$6,$B$37:$B$51,"&lt;&gt;*Indirect*"))</f>
        <v>0</v>
      </c>
      <c r="M44" s="121" t="n">
        <f aca="false">IF(K44-$C$6&gt;'General Information'!$D$33,0,SUMIFS($D$37:$D$51,$C$37:$C$51,K44-$C$6,$B$37:$B$51,"*Indirect*"))</f>
        <v>0</v>
      </c>
      <c r="N44" s="121"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21" t="n">
        <f aca="false">IF(K45-$C$6&gt;'General Information'!$D$33,0,IF(K45=$C$6,$D$36,0)+SUMIFS($D$37:$D$51,$C$37:$C$51,K45-$C$6,$B$37:$B$51,"&lt;&gt;*Indirect*"))</f>
        <v>501909.577777778</v>
      </c>
      <c r="M45" s="121" t="n">
        <f aca="false">IF(K45-$C$6&gt;'General Information'!$D$33,0,SUMIFS($D$37:$D$51,$C$37:$C$51,K45-$C$6,$B$37:$B$51,"*Indirect*"))</f>
        <v>85059.4</v>
      </c>
      <c r="N45" s="121"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21" t="n">
        <f aca="false">IF(K46-$C$6&gt;'General Information'!$D$33,0,IF(K46=$C$6,$D$36,0)+SUMIFS($D$37:$D$51,$C$37:$C$51,K46-$C$6,$B$37:$B$51,"&lt;&gt;*Indirect*"))</f>
        <v>0</v>
      </c>
      <c r="M46" s="121" t="n">
        <f aca="false">IF(K46-$C$6&gt;'General Information'!$D$33,0,SUMIFS($D$37:$D$51,$C$37:$C$51,K46-$C$6,$B$37:$B$51,"*Indirect*"))</f>
        <v>0</v>
      </c>
      <c r="N46" s="121" t="n">
        <f aca="false">IF(K46-$C$6&gt;'General Information'!$D$33,0,IF(K46=$C$6,$E$36,0)+SUMIF($C$37:$C$51,K46-$C$6,$E$37:$E$51))</f>
        <v>0</v>
      </c>
    </row>
    <row r="47" customFormat="false" ht="15" hidden="false" customHeight="false" outlineLevel="0" collapsed="false">
      <c r="B47" s="40" t="s">
        <v>607</v>
      </c>
      <c r="C47" s="41" t="n">
        <f aca="false">'Maintenance Policies'!E26</f>
        <v>24</v>
      </c>
      <c r="D47" s="42" t="n">
        <f aca="false">BD19</f>
        <v>501909.577777778</v>
      </c>
      <c r="E47" s="43" t="n">
        <f aca="false">IF(C47&gt;'General Information'!$D$33,0,D47/(1+('General Information'!$D$34/100))^C47)</f>
        <v>246906.253900808</v>
      </c>
      <c r="K47" s="1" t="n">
        <f aca="false">K46+1</f>
        <v>2037</v>
      </c>
      <c r="L47" s="121" t="n">
        <f aca="false">IF(K47-$C$6&gt;'General Information'!$D$33,0,IF(K47=$C$6,$D$36,0)+SUMIFS($D$37:$D$51,$C$37:$C$51,K47-$C$6,$B$37:$B$51,"&lt;&gt;*Indirect*"))</f>
        <v>0</v>
      </c>
      <c r="M47" s="121" t="n">
        <f aca="false">IF(K47-$C$6&gt;'General Information'!$D$33,0,SUMIFS($D$37:$D$51,$C$37:$C$51,K47-$C$6,$B$37:$B$51,"*Indirect*"))</f>
        <v>0</v>
      </c>
      <c r="N47" s="121" t="n">
        <f aca="false">IF(K47-$C$6&gt;'General Information'!$D$33,0,IF(K47=$C$6,$E$36,0)+SUMIF($C$37:$C$51,K47-$C$6,$E$37:$E$51))</f>
        <v>0</v>
      </c>
    </row>
    <row r="48" customFormat="false" ht="15" hidden="false" customHeight="false" outlineLevel="0" collapsed="false">
      <c r="B48" s="40" t="s">
        <v>651</v>
      </c>
      <c r="C48" s="41" t="n">
        <f aca="false">'Maintenance Policies'!E26</f>
        <v>24</v>
      </c>
      <c r="D48" s="42" t="n">
        <f aca="false">F2*F9</f>
        <v>85059.4</v>
      </c>
      <c r="E48" s="43" t="n">
        <f aca="false">IF(C48&gt;'General Information'!$D$33,0,D48/(1+('General Information'!$D$34/100))^C48)</f>
        <v>41843.5884527968</v>
      </c>
      <c r="K48" s="1" t="n">
        <f aca="false">K47+1</f>
        <v>2038</v>
      </c>
      <c r="L48" s="121" t="n">
        <f aca="false">IF(K48-$C$6&gt;'General Information'!$D$33,0,IF(K48=$C$6,$D$36,0)+SUMIFS($D$37:$D$51,$C$37:$C$51,K48-$C$6,$B$37:$B$51,"&lt;&gt;*Indirect*"))</f>
        <v>0</v>
      </c>
      <c r="M48" s="121" t="n">
        <f aca="false">IF(K48-$C$6&gt;'General Information'!$D$33,0,SUMIFS($D$37:$D$51,$C$37:$C$51,K48-$C$6,$B$37:$B$51,"*Indirect*"))</f>
        <v>0</v>
      </c>
      <c r="N48" s="121" t="n">
        <f aca="false">IF(K48-$C$6&gt;'General Information'!$D$33,0,IF(K48=$C$6,$E$36,0)+SUMIF($C$37:$C$51,K48-$C$6,$E$37:$E$51))</f>
        <v>0</v>
      </c>
    </row>
    <row r="49" customFormat="false" ht="15" hidden="false" customHeight="false" outlineLevel="0" collapsed="false">
      <c r="B49" s="40" t="s">
        <v>608</v>
      </c>
      <c r="C49" s="41" t="n">
        <f aca="false">'Maintenance Policies'!E28</f>
        <v>28</v>
      </c>
      <c r="D49" s="42" t="n">
        <f aca="false">BL21</f>
        <v>777707.049840278</v>
      </c>
      <c r="E49" s="43" t="n">
        <f aca="false">IF(C49&gt;'General Information'!$D$33,0,D49/(1+('General Information'!$D$34/100))^C49)</f>
        <v>339917.672261939</v>
      </c>
      <c r="K49" s="1" t="n">
        <f aca="false">K48+1</f>
        <v>2039</v>
      </c>
      <c r="L49" s="121" t="n">
        <f aca="false">IF(K49-$C$6&gt;'General Information'!$D$33,0,IF(K49=$C$6,$D$36,0)+SUMIFS($D$37:$D$51,$C$37:$C$51,K49-$C$6,$B$37:$B$51,"&lt;&gt;*Indirect*"))</f>
        <v>702607.268715278</v>
      </c>
      <c r="M49" s="121" t="n">
        <f aca="false">IF(K49-$C$6&gt;'General Information'!$D$33,0,SUMIFS($D$37:$D$51,$C$37:$C$51,K49-$C$6,$B$37:$B$51,"*Indirect*"))</f>
        <v>102071.28</v>
      </c>
      <c r="N49" s="121" t="n">
        <f aca="false">IF(K49-$C$6&gt;'General Information'!$D$33,0,IF(K49=$C$6,$E$36,0)+SUMIF($C$37:$C$51,K49-$C$6,$E$37:$E$51))</f>
        <v>564385.344091777</v>
      </c>
    </row>
    <row r="50" customFormat="false" ht="15" hidden="false" customHeight="false" outlineLevel="0" collapsed="false">
      <c r="B50" s="40" t="s">
        <v>652</v>
      </c>
      <c r="C50" s="41" t="n">
        <f aca="false">'Maintenance Policies'!E28</f>
        <v>28</v>
      </c>
      <c r="D50" s="42" t="n">
        <f aca="false">F2*F10</f>
        <v>102071.28</v>
      </c>
      <c r="E50" s="43" t="n">
        <f aca="false">IF(C50&gt;'General Information'!$D$33,0,D50/(1+('General Information'!$D$34/100))^C50)</f>
        <v>44612.9836543493</v>
      </c>
      <c r="K50" s="1" t="n">
        <f aca="false">K49+1</f>
        <v>2040</v>
      </c>
      <c r="L50" s="121" t="n">
        <f aca="false">IF(K50-$C$6&gt;'General Information'!$D$33,0,IF(K50=$C$6,$D$36,0)+SUMIFS($D$37:$D$51,$C$37:$C$51,K50-$C$6,$B$37:$B$51,"&lt;&gt;*Indirect*"))</f>
        <v>0</v>
      </c>
      <c r="M50" s="121" t="n">
        <f aca="false">IF(K50-$C$6&gt;'General Information'!$D$33,0,SUMIFS($D$37:$D$51,$C$37:$C$51,K50-$C$6,$B$37:$B$51,"*Indirect*"))</f>
        <v>0</v>
      </c>
      <c r="N50" s="121"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21" t="n">
        <f aca="false">IF(K51-$C$6&gt;'General Information'!$D$33,0,IF(K51=$C$6,$D$36,0)+SUMIFS($D$37:$D$51,$C$37:$C$51,K51-$C$6,$B$37:$B$51,"&lt;&gt;*Indirect*"))</f>
        <v>0</v>
      </c>
      <c r="M51" s="121" t="n">
        <f aca="false">IF(K51-$C$6&gt;'General Information'!$D$33,0,SUMIFS($D$37:$D$51,$C$37:$C$51,K51-$C$6,$B$37:$B$51,"*Indirect*"))</f>
        <v>0</v>
      </c>
      <c r="N51" s="121" t="n">
        <f aca="false">IF(K51-$C$6&gt;'General Information'!$D$33,0,IF(K51=$C$6,$E$36,0)+SUMIF($C$37:$C$51,K51-$C$6,$E$37:$E$51))</f>
        <v>0</v>
      </c>
    </row>
    <row r="52" customFormat="false" ht="15" hidden="false" customHeight="false" outlineLevel="0" collapsed="false">
      <c r="B52" s="44" t="s">
        <v>28</v>
      </c>
      <c r="C52" s="45"/>
      <c r="D52" s="45"/>
      <c r="E52" s="46" t="n">
        <f aca="false">SUM(E36:E51)</f>
        <v>4155626.15840461</v>
      </c>
      <c r="K52" s="1" t="n">
        <f aca="false">K51+1</f>
        <v>2042</v>
      </c>
      <c r="L52" s="121" t="n">
        <f aca="false">IF(K52-$C$6&gt;'General Information'!$D$33,0,IF(K52=$C$6,$D$36,0)+SUMIFS($D$37:$D$51,$C$37:$C$51,K52-$C$6,$B$37:$B$51,"&lt;&gt;*Indirect*"))</f>
        <v>0</v>
      </c>
      <c r="M52" s="121" t="n">
        <f aca="false">IF(K52-$C$6&gt;'General Information'!$D$33,0,SUMIFS($D$37:$D$51,$C$37:$C$51,K52-$C$6,$B$37:$B$51,"*Indirect*"))</f>
        <v>0</v>
      </c>
      <c r="N52" s="121" t="n">
        <f aca="false">IF(K52-$C$6&gt;'General Information'!$D$33,0,IF(K52=$C$6,$E$36,0)+SUMIF($C$37:$C$51,K52-$C$6,$E$37:$E$51))</f>
        <v>0</v>
      </c>
    </row>
    <row r="53" customFormat="false" ht="15" hidden="false" customHeight="false" outlineLevel="0" collapsed="false">
      <c r="K53" s="1" t="n">
        <f aca="false">K52+1</f>
        <v>2043</v>
      </c>
      <c r="L53" s="121" t="n">
        <f aca="false">IF(K53-$C$6&gt;'General Information'!$D$33,0,IF(K53=$C$6,$D$36,0)+SUMIFS($D$37:$D$51,$C$37:$C$51,K53-$C$6,$B$37:$B$51,"&lt;&gt;*Indirect*"))</f>
        <v>734977.864027778</v>
      </c>
      <c r="M53" s="121" t="n">
        <f aca="false">IF(K53-$C$6&gt;'General Information'!$D$33,0,SUMIFS($D$37:$D$51,$C$37:$C$51,K53-$C$6,$B$37:$B$51,"*Indirect*"))</f>
        <v>102071.28</v>
      </c>
      <c r="N53" s="121" t="n">
        <f aca="false">IF(K53-$C$6&gt;'General Information'!$D$33,0,IF(K53=$C$6,$E$36,0)+SUMIF($C$37:$C$51,K53-$C$6,$E$37:$E$51))</f>
        <v>521621.353060607</v>
      </c>
    </row>
    <row r="54" customFormat="false" ht="15" hidden="false" customHeight="false" outlineLevel="0" collapsed="false">
      <c r="K54" s="1" t="n">
        <f aca="false">K53+1</f>
        <v>2044</v>
      </c>
      <c r="L54" s="121" t="n">
        <f aca="false">IF(K54-$C$6&gt;'General Information'!$D$33,0,IF(K54=$C$6,$D$36,0)+SUMIFS($D$37:$D$51,$C$37:$C$51,K54-$C$6,$B$37:$B$51,"&lt;&gt;*Indirect*"))</f>
        <v>0</v>
      </c>
      <c r="M54" s="121" t="n">
        <f aca="false">IF(K54-$C$6&gt;'General Information'!$D$33,0,SUMIFS($D$37:$D$51,$C$37:$C$51,K54-$C$6,$B$37:$B$51,"*Indirect*"))</f>
        <v>0</v>
      </c>
      <c r="N54" s="121" t="n">
        <f aca="false">IF(K54-$C$6&gt;'General Information'!$D$33,0,IF(K54=$C$6,$E$36,0)+SUMIF($C$37:$C$51,K54-$C$6,$E$37:$E$51))</f>
        <v>0</v>
      </c>
    </row>
    <row r="55" customFormat="false" ht="15" hidden="false" customHeight="false" outlineLevel="0" collapsed="false">
      <c r="K55" s="1" t="n">
        <f aca="false">K54+1</f>
        <v>2045</v>
      </c>
      <c r="L55" s="121" t="n">
        <f aca="false">IF(K55-$C$6&gt;'General Information'!$D$33,0,IF(K55=$C$6,$D$36,0)+SUMIFS($D$37:$D$51,$C$37:$C$51,K55-$C$6,$B$37:$B$51,"&lt;&gt;*Indirect*"))</f>
        <v>0</v>
      </c>
      <c r="M55" s="121" t="n">
        <f aca="false">IF(K55-$C$6&gt;'General Information'!$D$33,0,SUMIFS($D$37:$D$51,$C$37:$C$51,K55-$C$6,$B$37:$B$51,"*Indirect*"))</f>
        <v>0</v>
      </c>
      <c r="N55" s="121" t="n">
        <f aca="false">IF(K55-$C$6&gt;'General Information'!$D$33,0,IF(K55=$C$6,$E$36,0)+SUMIF($C$37:$C$51,K55-$C$6,$E$37:$E$51))</f>
        <v>0</v>
      </c>
    </row>
    <row r="56" customFormat="false" ht="15" hidden="false" customHeight="false" outlineLevel="0" collapsed="false">
      <c r="K56" s="1" t="n">
        <f aca="false">K55+1</f>
        <v>2046</v>
      </c>
      <c r="L56" s="121" t="n">
        <f aca="false">IF(K56-$C$6&gt;'General Information'!$D$33,0,IF(K56=$C$6,$D$36,0)+SUMIFS($D$37:$D$51,$C$37:$C$51,K56-$C$6,$B$37:$B$51,"&lt;&gt;*Indirect*"))</f>
        <v>0</v>
      </c>
      <c r="M56" s="121" t="n">
        <f aca="false">IF(K56-$C$6&gt;'General Information'!$D$33,0,SUMIFS($D$37:$D$51,$C$37:$C$51,K56-$C$6,$B$37:$B$51,"*Indirect*"))</f>
        <v>0</v>
      </c>
      <c r="N56" s="121" t="n">
        <f aca="false">IF(K56-$C$6&gt;'General Information'!$D$33,0,IF(K56=$C$6,$E$36,0)+SUMIF($C$37:$C$51,K56-$C$6,$E$37:$E$51))</f>
        <v>0</v>
      </c>
    </row>
    <row r="57" customFormat="false" ht="15" hidden="false" customHeight="false" outlineLevel="0" collapsed="false">
      <c r="K57" s="1" t="n">
        <f aca="false">K56+1</f>
        <v>2047</v>
      </c>
      <c r="L57" s="121" t="n">
        <f aca="false">IF(K57-$C$6&gt;'General Information'!$D$33,0,IF(K57=$C$6,$D$36,0)+SUMIFS($D$37:$D$51,$C$37:$C$51,K57-$C$6,$B$37:$B$51,"&lt;&gt;*Indirect*"))</f>
        <v>2548101.44179167</v>
      </c>
      <c r="M57" s="121" t="n">
        <f aca="false">IF(K57-$C$6&gt;'General Information'!$D$33,0,SUMIFS($D$37:$D$51,$C$37:$C$51,K57-$C$6,$B$37:$B$51,"*Indirect*"))</f>
        <v>238166.32</v>
      </c>
      <c r="N57" s="121" t="n">
        <f aca="false">IF(K57-$C$6&gt;'General Information'!$D$33,0,IF(K57=$C$6,$E$36,0)+SUMIF($C$37:$C$51,K57-$C$6,$E$37:$E$51))</f>
        <v>1542688.90437507</v>
      </c>
    </row>
    <row r="58" customFormat="false" ht="15" hidden="false" customHeight="false" outlineLevel="0" collapsed="false">
      <c r="K58" s="1" t="n">
        <f aca="false">K57+1</f>
        <v>2048</v>
      </c>
      <c r="L58" s="121" t="n">
        <f aca="false">IF(K58-$C$6&gt;'General Information'!$D$33,0,IF(K58=$C$6,$D$36,0)+SUMIFS($D$37:$D$51,$C$37:$C$51,K58-$C$6,$B$37:$B$51,"&lt;&gt;*Indirect*"))</f>
        <v>0</v>
      </c>
      <c r="M58" s="121" t="n">
        <f aca="false">IF(K58-$C$6&gt;'General Information'!$D$33,0,SUMIFS($D$37:$D$51,$C$37:$C$51,K58-$C$6,$B$37:$B$51,"*Indirect*"))</f>
        <v>0</v>
      </c>
      <c r="N58" s="121" t="n">
        <f aca="false">IF(K58-$C$6&gt;'General Information'!$D$33,0,IF(K58=$C$6,$E$36,0)+SUMIF($C$37:$C$51,K58-$C$6,$E$37:$E$51))</f>
        <v>0</v>
      </c>
    </row>
    <row r="59" customFormat="false" ht="15" hidden="false" customHeight="false" outlineLevel="0" collapsed="false">
      <c r="K59" s="1" t="n">
        <f aca="false">K58+1</f>
        <v>2049</v>
      </c>
      <c r="L59" s="121" t="n">
        <f aca="false">IF(K59-$C$6&gt;'General Information'!$D$33,0,IF(K59=$C$6,$D$36,0)+SUMIFS($D$37:$D$51,$C$37:$C$51,K59-$C$6,$B$37:$B$51,"&lt;&gt;*Indirect*"))</f>
        <v>0</v>
      </c>
      <c r="M59" s="121" t="n">
        <f aca="false">IF(K59-$C$6&gt;'General Information'!$D$33,0,SUMIFS($D$37:$D$51,$C$37:$C$51,K59-$C$6,$B$37:$B$51,"*Indirect*"))</f>
        <v>0</v>
      </c>
      <c r="N59" s="121" t="n">
        <f aca="false">IF(K59-$C$6&gt;'General Information'!$D$33,0,IF(K59=$C$6,$E$36,0)+SUMIF($C$37:$C$51,K59-$C$6,$E$37:$E$51))</f>
        <v>0</v>
      </c>
    </row>
    <row r="60" customFormat="false" ht="15" hidden="false" customHeight="false" outlineLevel="0" collapsed="false">
      <c r="K60" s="1" t="n">
        <f aca="false">K59+1</f>
        <v>2050</v>
      </c>
      <c r="L60" s="121" t="n">
        <f aca="false">IF(K60-$C$6&gt;'General Information'!$D$33,0,IF(K60=$C$6,$D$36,0)+SUMIFS($D$37:$D$51,$C$37:$C$51,K60-$C$6,$B$37:$B$51,"&lt;&gt;*Indirect*"))</f>
        <v>0</v>
      </c>
      <c r="M60" s="121" t="n">
        <f aca="false">IF(K60-$C$6&gt;'General Information'!$D$33,0,SUMIFS($D$37:$D$51,$C$37:$C$51,K60-$C$6,$B$37:$B$51,"*Indirect*"))</f>
        <v>0</v>
      </c>
      <c r="N60" s="121" t="n">
        <f aca="false">IF(K60-$C$6&gt;'General Information'!$D$33,0,IF(K60=$C$6,$E$36,0)+SUMIF($C$37:$C$51,K60-$C$6,$E$37:$E$51))</f>
        <v>0</v>
      </c>
    </row>
    <row r="61" customFormat="false" ht="15" hidden="false" customHeight="false" outlineLevel="0" collapsed="false">
      <c r="K61" s="1" t="n">
        <f aca="false">K60+1</f>
        <v>2051</v>
      </c>
      <c r="L61" s="121" t="n">
        <f aca="false">IF(K61-$C$6&gt;'General Information'!$D$33,0,IF(K61=$C$6,$D$36,0)+SUMIFS($D$37:$D$51,$C$37:$C$51,K61-$C$6,$B$37:$B$51,"&lt;&gt;*Indirect*"))</f>
        <v>501909.577777778</v>
      </c>
      <c r="M61" s="121" t="n">
        <f aca="false">IF(K61-$C$6&gt;'General Information'!$D$33,0,SUMIFS($D$37:$D$51,$C$37:$C$51,K61-$C$6,$B$37:$B$51,"*Indirect*"))</f>
        <v>85059.4</v>
      </c>
      <c r="N61" s="121" t="n">
        <f aca="false">IF(K61-$C$6&gt;'General Information'!$D$33,0,IF(K61=$C$6,$E$36,0)+SUMIF($C$37:$C$51,K61-$C$6,$E$37:$E$51))</f>
        <v>288749.842353604</v>
      </c>
    </row>
    <row r="62" customFormat="false" ht="15" hidden="false" customHeight="false" outlineLevel="0" collapsed="false">
      <c r="K62" s="1" t="n">
        <f aca="false">K61+1</f>
        <v>2052</v>
      </c>
      <c r="L62" s="121" t="n">
        <f aca="false">IF(K62-$C$6&gt;'General Information'!$D$33,0,IF(K62=$C$6,$D$36,0)+SUMIFS($D$37:$D$51,$C$37:$C$51,K62-$C$6,$B$37:$B$51,"&lt;&gt;*Indirect*"))</f>
        <v>0</v>
      </c>
      <c r="M62" s="121" t="n">
        <f aca="false">IF(K62-$C$6&gt;'General Information'!$D$33,0,SUMIFS($D$37:$D$51,$C$37:$C$51,K62-$C$6,$B$37:$B$51,"*Indirect*"))</f>
        <v>0</v>
      </c>
      <c r="N62" s="121" t="n">
        <f aca="false">IF(K62-$C$6&gt;'General Information'!$D$33,0,IF(K62=$C$6,$E$36,0)+SUMIF($C$37:$C$51,K62-$C$6,$E$37:$E$51))</f>
        <v>0</v>
      </c>
    </row>
    <row r="63" customFormat="false" ht="15" hidden="false" customHeight="false" outlineLevel="0" collapsed="false">
      <c r="K63" s="1" t="n">
        <f aca="false">K62+1</f>
        <v>2053</v>
      </c>
      <c r="L63" s="121" t="n">
        <f aca="false">IF(K63-$C$6&gt;'General Information'!$D$33,0,IF(K63=$C$6,$D$36,0)+SUMIFS($D$37:$D$51,$C$37:$C$51,K63-$C$6,$B$37:$B$51,"&lt;&gt;*Indirect*"))</f>
        <v>0</v>
      </c>
      <c r="M63" s="121" t="n">
        <f aca="false">IF(K63-$C$6&gt;'General Information'!$D$33,0,SUMIFS($D$37:$D$51,$C$37:$C$51,K63-$C$6,$B$37:$B$51,"*Indirect*"))</f>
        <v>0</v>
      </c>
      <c r="N63" s="121" t="n">
        <f aca="false">IF(K63-$C$6&gt;'General Information'!$D$33,0,IF(K63=$C$6,$E$36,0)+SUMIF($C$37:$C$51,K63-$C$6,$E$37:$E$51))</f>
        <v>0</v>
      </c>
    </row>
    <row r="64" customFormat="false" ht="15" hidden="false" customHeight="false" outlineLevel="0" collapsed="false">
      <c r="K64" s="1" t="n">
        <f aca="false">K63+1</f>
        <v>2054</v>
      </c>
      <c r="L64" s="121" t="n">
        <f aca="false">IF(K64-$C$6&gt;'General Information'!$D$33,0,IF(K64=$C$6,$D$36,0)+SUMIFS($D$37:$D$51,$C$37:$C$51,K64-$C$6,$B$37:$B$51,"&lt;&gt;*Indirect*"))</f>
        <v>0</v>
      </c>
      <c r="M64" s="121" t="n">
        <f aca="false">IF(K64-$C$6&gt;'General Information'!$D$33,0,SUMIFS($D$37:$D$51,$C$37:$C$51,K64-$C$6,$B$37:$B$51,"*Indirect*"))</f>
        <v>0</v>
      </c>
      <c r="N64" s="121" t="n">
        <f aca="false">IF(K64-$C$6&gt;'General Information'!$D$33,0,IF(K64=$C$6,$E$36,0)+SUMIF($C$37:$C$51,K64-$C$6,$E$37:$E$51))</f>
        <v>0</v>
      </c>
    </row>
    <row r="65" customFormat="false" ht="15" hidden="false" customHeight="false" outlineLevel="0" collapsed="false">
      <c r="K65" s="1" t="n">
        <f aca="false">K64+1</f>
        <v>2055</v>
      </c>
      <c r="L65" s="121" t="n">
        <f aca="false">IF(K65-$C$6&gt;'General Information'!$D$33,0,IF(K65=$C$6,$D$36,0)+SUMIFS($D$37:$D$51,$C$37:$C$51,K65-$C$6,$B$37:$B$51,"&lt;&gt;*Indirect*"))</f>
        <v>777707.049840278</v>
      </c>
      <c r="M65" s="121" t="n">
        <f aca="false">IF(K65-$C$6&gt;'General Information'!$D$33,0,SUMIFS($D$37:$D$51,$C$37:$C$51,K65-$C$6,$B$37:$B$51,"*Indirect*"))</f>
        <v>102071.28</v>
      </c>
      <c r="N65" s="121" t="n">
        <f aca="false">IF(K65-$C$6&gt;'General Information'!$D$33,0,IF(K65=$C$6,$E$36,0)+SUMIF($C$37:$C$51,K65-$C$6,$E$37:$E$51))</f>
        <v>384530.655916288</v>
      </c>
    </row>
    <row r="66" customFormat="false" ht="15" hidden="false" customHeight="false" outlineLevel="0" collapsed="false">
      <c r="K66" s="1" t="n">
        <f aca="false">K65+1</f>
        <v>2056</v>
      </c>
      <c r="L66" s="121" t="n">
        <f aca="false">IF(K66-$C$6&gt;'General Information'!$D$33,0,IF(K66=$C$6,$D$36,0)+SUMIFS($D$37:$D$51,$C$37:$C$51,K66-$C$6,$B$37:$B$51,"&lt;&gt;*Indirect*"))</f>
        <v>0</v>
      </c>
      <c r="M66" s="121" t="n">
        <f aca="false">IF(K66-$C$6&gt;'General Information'!$D$33,0,SUMIFS($D$37:$D$51,$C$37:$C$51,K66-$C$6,$B$37:$B$51,"*Indirect*"))</f>
        <v>0</v>
      </c>
      <c r="N66" s="121" t="n">
        <f aca="false">IF(K66-$C$6&gt;'General Information'!$D$33,0,IF(K66=$C$6,$E$36,0)+SUMIF($C$37:$C$51,K66-$C$6,$E$37:$E$51))</f>
        <v>0</v>
      </c>
    </row>
    <row r="67" customFormat="false" ht="15" hidden="false" customHeight="false" outlineLevel="0" collapsed="false">
      <c r="K67" s="1" t="n">
        <f aca="false">K66+1</f>
        <v>2057</v>
      </c>
      <c r="L67" s="121" t="n">
        <f aca="false">IF(K67-$C$6&gt;'General Information'!$D$33,0,IF(K67=$C$6,$D$36,0)+SUMIFS($D$37:$D$51,$C$37:$C$51,K67-$C$6,$B$37:$B$51,"&lt;&gt;*Indirect*"))</f>
        <v>-318512.680223958</v>
      </c>
      <c r="M67" s="121" t="n">
        <f aca="false">IF(K67-$C$6&gt;'General Information'!$D$33,0,SUMIFS($D$37:$D$51,$C$37:$C$51,K67-$C$6,$B$37:$B$51,"*Indirect*"))</f>
        <v>0</v>
      </c>
      <c r="N67" s="121"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22" t="s">
        <v>653</v>
      </c>
      <c r="B1" s="123" t="s">
        <v>654</v>
      </c>
      <c r="C1" s="124" t="s">
        <v>655</v>
      </c>
      <c r="D1" s="123" t="s">
        <v>656</v>
      </c>
      <c r="E1" s="123" t="s">
        <v>657</v>
      </c>
      <c r="F1" s="123" t="s">
        <v>658</v>
      </c>
      <c r="G1" s="123" t="s">
        <v>659</v>
      </c>
      <c r="H1" s="123" t="s">
        <v>660</v>
      </c>
    </row>
    <row r="2" customFormat="false" ht="15" hidden="false" customHeight="false" outlineLevel="0" collapsed="false">
      <c r="A2" s="125" t="s">
        <v>321</v>
      </c>
      <c r="B2" s="126" t="n">
        <v>946.42</v>
      </c>
      <c r="C2" s="126" t="n">
        <v>7293.08</v>
      </c>
      <c r="D2" s="126" t="n">
        <v>60.53</v>
      </c>
      <c r="E2" s="126" t="n">
        <v>3</v>
      </c>
      <c r="F2" s="126" t="n">
        <v>94.64</v>
      </c>
      <c r="G2" s="126" t="n">
        <v>108.27</v>
      </c>
      <c r="H2" s="126" t="s">
        <v>661</v>
      </c>
    </row>
    <row r="3" customFormat="false" ht="15" hidden="false" customHeight="false" outlineLevel="0" collapsed="false">
      <c r="A3" s="125" t="s">
        <v>403</v>
      </c>
      <c r="B3" s="126" t="n">
        <v>794.52</v>
      </c>
      <c r="C3" s="126" t="n">
        <v>2153.43</v>
      </c>
      <c r="D3" s="126" t="n">
        <v>13.7</v>
      </c>
      <c r="E3" s="126" t="n">
        <v>1101.37</v>
      </c>
      <c r="F3" s="126" t="n">
        <v>26.3</v>
      </c>
      <c r="G3" s="126" t="n">
        <v>254.8</v>
      </c>
      <c r="H3" s="126" t="s">
        <v>662</v>
      </c>
    </row>
    <row r="4" customFormat="false" ht="15" hidden="false" customHeight="false" outlineLevel="0" collapsed="false">
      <c r="A4" s="125" t="s">
        <v>340</v>
      </c>
      <c r="B4" s="126" t="n">
        <v>4939.57</v>
      </c>
      <c r="C4" s="126" t="n">
        <v>1517.81</v>
      </c>
      <c r="D4" s="126" t="n">
        <v>30</v>
      </c>
      <c r="E4" s="126" t="n">
        <v>10</v>
      </c>
      <c r="F4" s="126" t="s">
        <v>662</v>
      </c>
      <c r="G4" s="126" t="n">
        <v>2344</v>
      </c>
      <c r="H4" s="126" t="s">
        <v>662</v>
      </c>
    </row>
    <row r="5" customFormat="false" ht="15" hidden="false" customHeight="false" outlineLevel="0" collapsed="false">
      <c r="A5" s="125" t="s">
        <v>330</v>
      </c>
      <c r="B5" s="126" t="n">
        <v>592</v>
      </c>
      <c r="C5" s="126" t="n">
        <v>1410</v>
      </c>
      <c r="D5" s="126" t="n">
        <v>1</v>
      </c>
      <c r="E5" s="126" t="n">
        <v>7</v>
      </c>
      <c r="F5" s="126" t="s">
        <v>662</v>
      </c>
      <c r="G5" s="126" t="n">
        <v>2250</v>
      </c>
      <c r="H5" s="126" t="n">
        <v>2031</v>
      </c>
    </row>
    <row r="6" customFormat="false" ht="15" hidden="false" customHeight="false" outlineLevel="0" collapsed="false">
      <c r="A6" s="125" t="s">
        <v>281</v>
      </c>
      <c r="B6" s="126" t="n">
        <v>2630</v>
      </c>
      <c r="C6" s="126" t="n">
        <v>1044</v>
      </c>
      <c r="D6" s="126" t="n">
        <v>42</v>
      </c>
      <c r="E6" s="126" t="n">
        <v>15</v>
      </c>
      <c r="F6" s="126" t="s">
        <v>662</v>
      </c>
      <c r="G6" s="126" t="n">
        <v>110</v>
      </c>
      <c r="H6" s="126" t="n">
        <v>2862</v>
      </c>
    </row>
    <row r="7" customFormat="false" ht="15" hidden="false" customHeight="false" outlineLevel="0" collapsed="false">
      <c r="A7" s="125" t="s">
        <v>93</v>
      </c>
      <c r="B7" s="126" t="n">
        <v>1924.14</v>
      </c>
      <c r="C7" s="126" t="n">
        <v>923.66</v>
      </c>
      <c r="D7" s="126" t="s">
        <v>662</v>
      </c>
      <c r="E7" s="126" t="s">
        <v>662</v>
      </c>
      <c r="F7" s="126" t="s">
        <v>662</v>
      </c>
      <c r="G7" s="126" t="n">
        <v>27397.26</v>
      </c>
      <c r="H7" s="126" t="n">
        <v>571.58</v>
      </c>
    </row>
    <row r="8" customFormat="false" ht="15" hidden="false" customHeight="false" outlineLevel="0" collapsed="false">
      <c r="A8" s="125" t="s">
        <v>215</v>
      </c>
      <c r="B8" s="126" t="n">
        <v>1000</v>
      </c>
      <c r="C8" s="126" t="n">
        <v>725</v>
      </c>
      <c r="D8" s="126" t="n">
        <v>10</v>
      </c>
      <c r="E8" s="126" t="n">
        <v>5</v>
      </c>
      <c r="F8" s="126" t="n">
        <v>40</v>
      </c>
      <c r="G8" s="126" t="s">
        <v>663</v>
      </c>
      <c r="H8" s="126" t="n">
        <v>20</v>
      </c>
    </row>
    <row r="9" customFormat="false" ht="15" hidden="false" customHeight="false" outlineLevel="0" collapsed="false">
      <c r="A9" s="125" t="s">
        <v>399</v>
      </c>
      <c r="B9" s="126" t="n">
        <v>635.26</v>
      </c>
      <c r="C9" s="126" t="n">
        <v>279</v>
      </c>
      <c r="D9" s="126" t="s">
        <v>662</v>
      </c>
      <c r="E9" s="126" t="s">
        <v>662</v>
      </c>
      <c r="F9" s="126" t="s">
        <v>662</v>
      </c>
      <c r="G9" s="126" t="s">
        <v>662</v>
      </c>
      <c r="H9" s="126" t="n">
        <v>25</v>
      </c>
    </row>
    <row r="10" customFormat="false" ht="15" hidden="false" customHeight="true" outlineLevel="0" collapsed="false">
      <c r="A10" s="125" t="s">
        <v>198</v>
      </c>
      <c r="B10" s="126" t="n">
        <v>1660.27</v>
      </c>
      <c r="C10" s="126" t="n">
        <v>3427.4</v>
      </c>
      <c r="D10" s="126" t="n">
        <v>3.5</v>
      </c>
      <c r="E10" s="126" t="n">
        <v>350</v>
      </c>
      <c r="F10" s="126" t="s">
        <v>662</v>
      </c>
      <c r="G10" s="126" t="s">
        <v>662</v>
      </c>
      <c r="H10" s="126" t="s">
        <v>662</v>
      </c>
    </row>
    <row r="11" customFormat="false" ht="15" hidden="false" customHeight="true" outlineLevel="0" collapsed="false">
      <c r="A11" s="125" t="s">
        <v>267</v>
      </c>
      <c r="B11" s="126" t="n">
        <v>8400</v>
      </c>
      <c r="C11" s="126" t="n">
        <v>70000</v>
      </c>
      <c r="D11" s="126" t="n">
        <v>1000</v>
      </c>
      <c r="E11" s="126" t="s">
        <v>662</v>
      </c>
      <c r="F11" s="126" t="n">
        <v>625</v>
      </c>
      <c r="G11" s="126" t="s">
        <v>662</v>
      </c>
      <c r="H11" s="126" t="n">
        <v>9215</v>
      </c>
    </row>
    <row r="12" customFormat="false" ht="15" hidden="false" customHeight="true" outlineLevel="0" collapsed="false">
      <c r="A12" s="125" t="s">
        <v>336</v>
      </c>
      <c r="B12" s="126" t="n">
        <v>4604</v>
      </c>
      <c r="C12" s="126" t="n">
        <v>4057</v>
      </c>
      <c r="D12" s="126" t="s">
        <v>662</v>
      </c>
      <c r="E12" s="126" t="s">
        <v>662</v>
      </c>
      <c r="F12" s="126" t="n">
        <v>140.4</v>
      </c>
      <c r="G12" s="126" t="s">
        <v>662</v>
      </c>
      <c r="H12" s="126" t="s">
        <v>662</v>
      </c>
    </row>
    <row r="13" customFormat="false" ht="15" hidden="false" customHeight="true" outlineLevel="0" collapsed="false">
      <c r="A13" s="125" t="s">
        <v>388</v>
      </c>
      <c r="B13" s="126" t="n">
        <v>4939.57</v>
      </c>
      <c r="C13" s="126" t="n">
        <v>1517.81</v>
      </c>
      <c r="D13" s="126" t="n">
        <v>30</v>
      </c>
      <c r="E13" s="126" t="n">
        <v>10</v>
      </c>
      <c r="F13" s="126" t="s">
        <v>662</v>
      </c>
      <c r="G13" s="126" t="n">
        <v>2344</v>
      </c>
      <c r="H13" s="126" t="s">
        <v>662</v>
      </c>
    </row>
    <row r="14" customFormat="false" ht="15" hidden="false" customHeight="false" outlineLevel="0" collapsed="false">
      <c r="A14" s="125" t="s">
        <v>121</v>
      </c>
      <c r="B14" s="127" t="n">
        <v>794</v>
      </c>
      <c r="C14" s="127" t="n">
        <v>2431</v>
      </c>
      <c r="D14" s="126" t="n">
        <v>300</v>
      </c>
      <c r="E14" s="126" t="n">
        <v>150</v>
      </c>
      <c r="F14" s="126" t="n">
        <v>100</v>
      </c>
      <c r="G14" s="126" t="n">
        <v>300</v>
      </c>
      <c r="H14" s="126" t="n">
        <v>25</v>
      </c>
    </row>
    <row r="15" customFormat="false" ht="15" hidden="false" customHeight="false" outlineLevel="0" collapsed="false">
      <c r="A15" s="125" t="s">
        <v>344</v>
      </c>
      <c r="B15" s="126" t="n">
        <v>5.26</v>
      </c>
      <c r="C15" s="126" t="n">
        <v>76.71</v>
      </c>
      <c r="D15" s="126" t="s">
        <v>664</v>
      </c>
      <c r="E15" s="126" t="s">
        <v>665</v>
      </c>
      <c r="F15" s="126" t="s">
        <v>666</v>
      </c>
      <c r="G15" s="126" t="s">
        <v>667</v>
      </c>
      <c r="H15" s="126" t="s">
        <v>668</v>
      </c>
    </row>
    <row r="16" customFormat="false" ht="15" hidden="false" customHeight="false" outlineLevel="0" collapsed="false">
      <c r="A16" s="125" t="s">
        <v>391</v>
      </c>
      <c r="B16" s="127" t="n">
        <v>727</v>
      </c>
      <c r="C16" s="127" t="n">
        <v>388</v>
      </c>
      <c r="D16" s="126" t="n">
        <v>6</v>
      </c>
      <c r="E16" s="126" t="s">
        <v>662</v>
      </c>
      <c r="F16" s="126" t="s">
        <v>662</v>
      </c>
      <c r="G16" s="126" t="n">
        <v>368</v>
      </c>
      <c r="H16" s="126" t="n">
        <v>569</v>
      </c>
    </row>
    <row r="17" customFormat="false" ht="15" hidden="false" customHeight="false" outlineLevel="0" collapsed="false">
      <c r="A17" s="125" t="s">
        <v>354</v>
      </c>
      <c r="B17" s="126" t="n">
        <v>1184.59</v>
      </c>
      <c r="C17" s="126" t="n">
        <v>1267.07</v>
      </c>
      <c r="D17" s="126" t="n">
        <v>120</v>
      </c>
      <c r="E17" s="126" t="n">
        <v>667.73</v>
      </c>
      <c r="F17" s="126" t="s">
        <v>662</v>
      </c>
      <c r="G17" s="126" t="s">
        <v>662</v>
      </c>
      <c r="H17" s="126" t="s">
        <v>662</v>
      </c>
    </row>
    <row r="18" customFormat="false" ht="15" hidden="false" customHeight="false" outlineLevel="0" collapsed="false">
      <c r="A18" s="125" t="s">
        <v>294</v>
      </c>
      <c r="B18" s="128" t="s">
        <v>669</v>
      </c>
      <c r="C18" s="128"/>
      <c r="D18" s="126" t="s">
        <v>662</v>
      </c>
      <c r="E18" s="126" t="s">
        <v>662</v>
      </c>
      <c r="F18" s="126" t="n">
        <v>71.88</v>
      </c>
      <c r="G18" s="126" t="n">
        <v>915.33</v>
      </c>
      <c r="H18" s="126" t="n">
        <v>40.6</v>
      </c>
    </row>
  </sheetData>
  <mergeCells count="1">
    <mergeCell ref="B18:C18"/>
  </mergeCells>
  <conditionalFormatting sqref="A1:A18">
    <cfRule type="duplicateValues" priority="2" aboveAverage="0" equalAverage="0" bottom="0" percent="0" rank="0" text="" dxfId="6"/>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632</v>
      </c>
      <c r="I1" s="6" t="s">
        <v>1</v>
      </c>
    </row>
    <row r="2" customFormat="false" ht="15" hidden="false" customHeight="false" outlineLevel="0" collapsed="false">
      <c r="A2" s="7" t="s">
        <v>2</v>
      </c>
      <c r="J2" s="10" t="s">
        <v>4</v>
      </c>
      <c r="R2" s="7" t="s">
        <v>595</v>
      </c>
      <c r="Z2" s="10" t="s">
        <v>596</v>
      </c>
      <c r="AH2" s="7" t="s">
        <v>601</v>
      </c>
      <c r="AP2" s="10" t="s">
        <v>5</v>
      </c>
      <c r="AX2" s="7" t="s">
        <v>607</v>
      </c>
      <c r="BF2" s="10" t="s">
        <v>608</v>
      </c>
    </row>
    <row r="4" customFormat="false" ht="15" hidden="false" customHeight="false" outlineLevel="0" collapsed="false">
      <c r="A4" s="0" t="s">
        <v>6</v>
      </c>
      <c r="C4" s="13" t="s">
        <v>575</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c r="AP6" s="1" t="s">
        <v>636</v>
      </c>
      <c r="AQ6" s="1" t="n">
        <v>2</v>
      </c>
      <c r="AR6" s="1" t="s">
        <v>637</v>
      </c>
    </row>
    <row r="7" customFormat="false" ht="15" hidden="false" customHeight="false" outlineLevel="0" collapsed="false">
      <c r="A7" s="0" t="s">
        <v>638</v>
      </c>
      <c r="C7" s="107" t="s">
        <v>535</v>
      </c>
      <c r="D7" s="6" t="s">
        <v>639</v>
      </c>
      <c r="AP7" s="1" t="s">
        <v>641</v>
      </c>
      <c r="AQ7" s="1" t="n">
        <v>120</v>
      </c>
      <c r="AR7" s="1" t="s">
        <v>642</v>
      </c>
    </row>
    <row r="8" customFormat="false" ht="15" hidden="false" customHeight="false" outlineLevel="0" collapsed="false">
      <c r="A8" s="0" t="s">
        <v>13</v>
      </c>
      <c r="C8" s="0" t="n">
        <f aca="false">'General Information'!D28</f>
        <v>25000</v>
      </c>
      <c r="D8" s="0" t="s">
        <v>14</v>
      </c>
    </row>
    <row r="9" customFormat="false" ht="15" hidden="false" customHeight="false" outlineLevel="0" collapsed="false">
      <c r="C9" s="13"/>
      <c r="AP9" s="1" t="s">
        <v>644</v>
      </c>
      <c r="AQ9" s="1" t="n">
        <v>0.1</v>
      </c>
      <c r="AR9" s="1" t="s">
        <v>645</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8"/>
      <c r="F13" s="23" t="str">
        <f aca="false">IF(C13="","N/A",VLOOKUP(C13,CHOOSE({1,2},Table2[Pay Item Description],Table2[Unit Cost]),2,0))</f>
        <v>N/A</v>
      </c>
      <c r="G13" s="24" t="n">
        <f aca="false">IF(B13&lt;&gt;0,F13*E13,0)</f>
        <v>0</v>
      </c>
      <c r="J13" s="1" t="n">
        <v>1</v>
      </c>
      <c r="K13" s="109" t="str">
        <f aca="false">IF(L13="",0,VLOOKUP(L13,CHOOSE({1,2},Table2[Pay Item Description],Table2[Pay Item No.]),2,0))</f>
        <v>P-608-8.1</v>
      </c>
      <c r="L13" s="1" t="str">
        <f aca="false">C7</f>
        <v>Emulsified Asphalt Surface Treatment</v>
      </c>
      <c r="M13" s="110" t="str">
        <f aca="false">VLOOKUP(L13,CHOOSE({1,2},Table2[Pay Item Description],Table2[Units]),2,0)</f>
        <v>S.Y.</v>
      </c>
      <c r="N13" s="111" t="n">
        <f aca="false">'Maintenance Policies'!D10*$C$5</f>
        <v>100083</v>
      </c>
      <c r="O13" s="112"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3" t="n">
        <f aca="false">'Maintenance Policies'!D12*$C$5</f>
        <v>100083</v>
      </c>
      <c r="W13" s="114"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5" t="str">
        <f aca="false">IF(AB13="","N/A",VLOOKUP(AB13,CHOOSE({1,2},Table2[Pay Item Description],Table2[Units]),2,0))</f>
        <v>S.F.</v>
      </c>
      <c r="AD13" s="111" t="n">
        <f aca="false">'Maintenance Policies'!D14*($C$5*9)</f>
        <v>6755.6025</v>
      </c>
      <c r="AE13" s="116"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7" t="str">
        <f aca="false">IF(AJ13="","N/A",VLOOKUP(AJ13,CHOOSE({1,2},Table2[Pay Item Description],Table2[Units]),2,0))</f>
        <v>S.F.</v>
      </c>
      <c r="AL13" s="113" t="n">
        <f aca="false">'Maintenance Policies'!D18*($C$5*9)</f>
        <v>9007.47</v>
      </c>
      <c r="AM13" s="118"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5" t="str">
        <f aca="false">IF(AR13="","N/A",VLOOKUP(AR13,CHOOSE({1,2},Table2[Pay Item Description],Table2[Units]),2,0))</f>
        <v>S.Y.</v>
      </c>
      <c r="AT13" s="111" t="n">
        <f aca="false">'Maintenance Policies'!D22*$C$5</f>
        <v>100083</v>
      </c>
      <c r="AU13" s="116"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3" t="n">
        <f aca="false">'Maintenance Policies'!D26*$C$5</f>
        <v>100083</v>
      </c>
      <c r="BC13" s="114"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5" t="str">
        <f aca="false">IF(BH13="","N/A",VLOOKUP(BH13,CHOOSE({1,2},Table2[Pay Item Description],Table2[Units]),2,0))</f>
        <v>S.F.</v>
      </c>
      <c r="BJ13" s="111" t="n">
        <f aca="false">'Maintenance Policies'!D28*($C$5*9)</f>
        <v>11259.3375</v>
      </c>
      <c r="BK13" s="116" t="n">
        <f aca="false">IF(BH13="","N/A",VLOOKUP(BH13,CHOOSE({1,2},Table2[Pay Item Description],Table2[Unit Cost]),2,0))</f>
        <v>8.5</v>
      </c>
      <c r="BL13" s="27" t="n">
        <f aca="false">BK13*BJ13</f>
        <v>95704.36875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8"/>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5" t="str">
        <f aca="false">IF(L14="","N/A",VLOOKUP(L14,CHOOSE({1,2},Table2[Pay Item Description],Table2[Units]),2,0))</f>
        <v>S.F.</v>
      </c>
      <c r="N14" s="111" t="n">
        <f aca="false">'Maintenance Policies'!D10*$C$8</f>
        <v>25000</v>
      </c>
      <c r="O14" s="116"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7" t="str">
        <f aca="false">IF(T14="","N/A",VLOOKUP(T14,CHOOSE({1,2},Table2[Pay Item Description],Table2[Units]),2,0))</f>
        <v>S.F.</v>
      </c>
      <c r="V14" s="113" t="n">
        <f aca="false">'Maintenance Policies'!D12*$C$8</f>
        <v>25000</v>
      </c>
      <c r="W14" s="118"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5" t="str">
        <f aca="false">IF(AB14="","N/A",VLOOKUP(AB14,CHOOSE({1,2},Table2[Pay Item Description],Table2[Units]),2,0))</f>
        <v>L.F.</v>
      </c>
      <c r="AD14" s="111" t="n">
        <f aca="false">'Maintenance Policies'!D15*($C$5*9)</f>
        <v>29274.2775</v>
      </c>
      <c r="AE14" s="116"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7" t="str">
        <f aca="false">IF(AJ14="","N/A",VLOOKUP(AJ14,CHOOSE({1,2},Table2[Pay Item Description],Table2[Units]),2,0))</f>
        <v>L.F.</v>
      </c>
      <c r="AL14" s="113" t="n">
        <f aca="false">'Maintenance Policies'!D19*($C$5*9)</f>
        <v>31526.145</v>
      </c>
      <c r="AM14" s="118"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5" t="str">
        <f aca="false">IF(AR14="","N/A",VLOOKUP(AR14,CHOOSE({1,2},Table2[Pay Item Description],Table2[Units]),2,0))</f>
        <v>GAL</v>
      </c>
      <c r="AT14" s="111" t="n">
        <f aca="false">'Maintenance Policies'!D22*$C$5*AQ9</f>
        <v>10008.3</v>
      </c>
      <c r="AU14" s="116"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7" t="str">
        <f aca="false">IF(AZ14="","N/A",VLOOKUP(AZ14,CHOOSE({1,2},Table2[Pay Item Description],Table2[Units]),2,0))</f>
        <v>S.F.</v>
      </c>
      <c r="BB14" s="113" t="n">
        <f aca="false">'Maintenance Policies'!D26*$C$8</f>
        <v>25000</v>
      </c>
      <c r="BC14" s="118"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5" t="str">
        <f aca="false">IF(BH14="","N/A",VLOOKUP(BH14,CHOOSE({1,2},Table2[Pay Item Description],Table2[Units]),2,0))</f>
        <v>L.F.</v>
      </c>
      <c r="BJ14" s="111" t="n">
        <f aca="false">'Maintenance Policies'!D29*($C$5*9)</f>
        <v>36029.88</v>
      </c>
      <c r="BK14" s="116" t="n">
        <f aca="false">IF(BH14="","N/A",VLOOKUP(BH14,CHOOSE({1,2},Table2[Pay Item Description],Table2[Unit Cost]),2,0))</f>
        <v>4</v>
      </c>
      <c r="BL14" s="27" t="n">
        <f aca="false">BK14*BJ14</f>
        <v>144119.52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8"/>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5" t="str">
        <f aca="false">IF(L15="","N/A",VLOOKUP(L15,CHOOSE({1,2},Table2[Pay Item Description],Table2[Units]),2,0))</f>
        <v>S.F.</v>
      </c>
      <c r="N15" s="111" t="n">
        <f aca="false">'Maintenance Policies'!D11*$C$8</f>
        <v>25000</v>
      </c>
      <c r="O15" s="116"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7" t="str">
        <f aca="false">Pay_Items!E56</f>
        <v>S.F.</v>
      </c>
      <c r="V15" s="113" t="n">
        <f aca="false">'Maintenance Policies'!D13*$C$8</f>
        <v>25000</v>
      </c>
      <c r="W15" s="118" t="n">
        <f aca="false">IF(T15="","N/A",VLOOKUP(T15,CHOOSE({1,2},Table2[Pay Item Description],Table2[Unit Cost]),2,0))</f>
        <v>0.666666666666667</v>
      </c>
      <c r="X15" s="30" t="n">
        <f aca="false">W15*V15</f>
        <v>16666.6666666667</v>
      </c>
      <c r="Z15" s="1" t="n">
        <v>3</v>
      </c>
      <c r="AA15" s="109" t="str">
        <f aca="false">IF(AB15="",0,VLOOKUP(AB15,CHOOSE({1,2},Table2[Pay Item Description],Table2[Pay Item No.]),2,0))</f>
        <v>P-608-8.1</v>
      </c>
      <c r="AB15" s="1" t="str">
        <f aca="false">C7</f>
        <v>Emulsified Asphalt Surface Treatment</v>
      </c>
      <c r="AC15" s="110" t="str">
        <f aca="false">IF(AB15="","N/A",VLOOKUP(AB15,CHOOSE({1,2},Table2[Pay Item Description],Table2[Units]),2,0))</f>
        <v>S.Y.</v>
      </c>
      <c r="AD15" s="111" t="n">
        <f aca="false">'Maintenance Policies'!D16*$C$5</f>
        <v>100083</v>
      </c>
      <c r="AE15" s="112"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3" t="n">
        <f aca="false">'Maintenance Policies'!D20*$C$5</f>
        <v>100083</v>
      </c>
      <c r="AM15" s="114"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5" t="str">
        <f aca="false">IF(AR15="","N/A",VLOOKUP(AR15,CHOOSE({1,2},Table2[Pay Item Description],Table2[Units]),2,0))</f>
        <v>TON</v>
      </c>
      <c r="AT15" s="111" t="n">
        <f aca="false">'Maintenance Policies'!D22*$C$5*AQ6*AQ7/2000</f>
        <v>12009.96</v>
      </c>
      <c r="AU15" s="116"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7" t="str">
        <f aca="false">IF(AZ15="","N/A",VLOOKUP(AZ15,CHOOSE({1,2},Table2[Pay Item Description],Table2[Units]),2,0))</f>
        <v>S.F.</v>
      </c>
      <c r="BB15" s="113" t="n">
        <f aca="false">'Maintenance Policies'!D27*$C$8</f>
        <v>25000</v>
      </c>
      <c r="BC15" s="118" t="n">
        <f aca="false">IF(AZ15="","N/A",VLOOKUP(AZ15,CHOOSE({1,2},Table2[Pay Item Description],Table2[Unit Cost]),2,0))</f>
        <v>0.666666666666667</v>
      </c>
      <c r="BD15" s="30" t="n">
        <f aca="false">BC15*BB15</f>
        <v>16666.6666666667</v>
      </c>
      <c r="BF15" s="1" t="n">
        <v>3</v>
      </c>
      <c r="BG15" s="109" t="str">
        <f aca="false">IF(BH15="",0,VLOOKUP(BH15,CHOOSE({1,2},Table2[Pay Item Description],Table2[Pay Item No.]),2,0))</f>
        <v>P-608-8.1</v>
      </c>
      <c r="BH15" s="1" t="str">
        <f aca="false">C7</f>
        <v>Emulsified Asphalt Surface Treatment</v>
      </c>
      <c r="BI15" s="110" t="str">
        <f aca="false">IF(BH15="","N/A",VLOOKUP(BH15,CHOOSE({1,2},Table2[Pay Item Description],Table2[Units]),2,0))</f>
        <v>S.Y.</v>
      </c>
      <c r="BJ15" s="111" t="n">
        <f aca="false">'Maintenance Policies'!D30*$C$5</f>
        <v>100083</v>
      </c>
      <c r="BK15" s="112" t="n">
        <f aca="false">IF(BH15="","N/A",VLOOKUP(BH15,CHOOSE({1,2},Table2[Pay Item Description],Table2[Unit Cost]),2,0))</f>
        <v>4</v>
      </c>
      <c r="BL15" s="27" t="n">
        <f aca="false">BK15*BJ15</f>
        <v>400332</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8"/>
      <c r="F16" s="23" t="str">
        <f aca="false">IF(C16="","N/A",VLOOKUP(C16,CHOOSE({1,2},Table2[Pay Item Description],Table2[Unit Cost]),2,0))</f>
        <v>N/A</v>
      </c>
      <c r="G16" s="24" t="n">
        <f aca="false">IF(B16&lt;&gt;0,F16*E16,0)</f>
        <v>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5" t="str">
        <f aca="false">IF(AB16="","N/A",VLOOKUP(AB16,CHOOSE({1,2},Table2[Pay Item Description],Table2[Units]),2,0))</f>
        <v>S.F.</v>
      </c>
      <c r="AD16" s="111" t="n">
        <f aca="false">'Maintenance Policies'!D16*$C$8</f>
        <v>25000</v>
      </c>
      <c r="AE16" s="116"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7" t="str">
        <f aca="false">IF(AJ16="","N/A",VLOOKUP(AJ16,CHOOSE({1,2},Table2[Pay Item Description],Table2[Units]),2,0))</f>
        <v>S.F.</v>
      </c>
      <c r="AL16" s="113" t="n">
        <f aca="false">'Maintenance Policies'!D20*$C$8</f>
        <v>25000</v>
      </c>
      <c r="AM16" s="118"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5" t="str">
        <f aca="false">IF(AR16="","N/A",VLOOKUP(AR16,CHOOSE({1,2},Table2[Pay Item Description],Table2[Units]),2,0))</f>
        <v>L.F.</v>
      </c>
      <c r="AT16" s="111" t="n">
        <f aca="false">'Maintenance Policies'!D23*($C$5*9)</f>
        <v>13511.205</v>
      </c>
      <c r="AU16" s="116"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5" t="str">
        <f aca="false">IF(BH16="","N/A",VLOOKUP(BH16,CHOOSE({1,2},Table2[Pay Item Description],Table2[Units]),2,0))</f>
        <v>S.F.</v>
      </c>
      <c r="BJ16" s="111" t="n">
        <f aca="false">C8</f>
        <v>25000</v>
      </c>
      <c r="BK16" s="116"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8"/>
      <c r="F17" s="23" t="str">
        <f aca="false">IF(C17="","N/A",VLOOKUP(C17,CHOOSE({1,2},Table2[Pay Item Description],Table2[Unit Cost]),2,0))</f>
        <v>N/A</v>
      </c>
      <c r="G17" s="24" t="n">
        <f aca="false">IF(B17&lt;&gt;0,F17*E17,0)</f>
        <v>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5" t="str">
        <f aca="false">IF(AB17="","N/A",VLOOKUP(AB17,CHOOSE({1,2},Table2[Pay Item Description],Table2[Units]),2,0))</f>
        <v>S.F.</v>
      </c>
      <c r="AD17" s="111" t="n">
        <f aca="false">'Maintenance Policies'!D17*$C$8</f>
        <v>25000</v>
      </c>
      <c r="AE17" s="116"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7" t="str">
        <f aca="false">IF(AJ17="","N/A",VLOOKUP(AJ17,CHOOSE({1,2},Table2[Pay Item Description],Table2[Units]),2,0))</f>
        <v>S.F.</v>
      </c>
      <c r="AL17" s="113" t="n">
        <f aca="false">'Maintenance Policies'!D21*$C$8</f>
        <v>25000</v>
      </c>
      <c r="AM17" s="118"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5" t="str">
        <f aca="false">IF(AR17="","N/A",VLOOKUP(AR17,CHOOSE({1,2},Table2[Pay Item Description],Table2[Units]),2,0))</f>
        <v>S.F.</v>
      </c>
      <c r="AT17" s="111" t="n">
        <f aca="false">'Maintenance Policies'!D24*($C$5*9)</f>
        <v>4503.735</v>
      </c>
      <c r="AU17" s="116"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5" t="str">
        <f aca="false">IF(BH17="","N/A",VLOOKUP(BH17,CHOOSE({1,2},Table2[Pay Item Description],Table2[Units]),2,0))</f>
        <v>S.F.</v>
      </c>
      <c r="BJ17" s="111" t="n">
        <f aca="false">'Maintenance Policies'!D31*$C$8</f>
        <v>25000</v>
      </c>
      <c r="BK17" s="116"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8"/>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5" t="str">
        <f aca="false">IF(AR18="","N/A",VLOOKUP(AR18,CHOOSE({1,2},Table2[Pay Item Description],Table2[Units]),2,0))</f>
        <v>S.F.</v>
      </c>
      <c r="AT18" s="111" t="n">
        <f aca="false">'Maintenance Policies'!D25*$C$8</f>
        <v>25000</v>
      </c>
      <c r="AU18" s="116"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8"/>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8"/>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8"/>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8"/>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9" t="n">
        <f aca="false">SUM(G24:G26)</f>
        <v>0</v>
      </c>
    </row>
    <row r="32" customFormat="false" ht="15" hidden="false" customHeight="false" outlineLevel="0" collapsed="false">
      <c r="A32" s="7" t="s">
        <v>28</v>
      </c>
    </row>
    <row r="33" customFormat="false" ht="15" hidden="false" customHeight="false" outlineLevel="0" collapsed="false">
      <c r="A33" s="7" t="s">
        <v>647</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 t="s">
        <v>670</v>
      </c>
      <c r="M36" s="1" t="s">
        <v>671</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595</v>
      </c>
      <c r="C38" s="41" t="n">
        <f aca="false">'Maintenance Policies'!E12</f>
        <v>8</v>
      </c>
      <c r="D38" s="42" t="n">
        <f aca="false">X19</f>
        <v>501909.577777778</v>
      </c>
      <c r="E38" s="43" t="n">
        <f aca="false">IF(C38&gt;'General Information'!$D$33,0,D38/(1+('General Information'!$D$34/100))^C38)</f>
        <v>396212.055488386</v>
      </c>
      <c r="K38" s="1" t="n">
        <f aca="false">K37+1</f>
        <v>2028</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596</v>
      </c>
      <c r="C39" s="41" t="n">
        <f aca="false">'Maintenance Policies'!E14</f>
        <v>12</v>
      </c>
      <c r="D39" s="42" t="n">
        <f aca="false">AF21</f>
        <v>702607.268715278</v>
      </c>
      <c r="E39" s="43" t="n">
        <f aca="false">IF(C39&gt;'General Information'!$D$33,0,D39/(1+('General Information'!$D$34/100))^C39)</f>
        <v>492794.601954233</v>
      </c>
      <c r="K39" s="1" t="n">
        <f aca="false">K38+1</f>
        <v>2029</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601</v>
      </c>
      <c r="C40" s="41" t="n">
        <f aca="false">'Maintenance Policies'!E18</f>
        <v>16</v>
      </c>
      <c r="D40" s="42" t="n">
        <f aca="false">AN21</f>
        <v>734977.864027778</v>
      </c>
      <c r="E40" s="43" t="n">
        <f aca="false">IF(C40&gt;'General Information'!$D$33,0,D40/(1+('General Information'!$D$34/100))^C40)</f>
        <v>458013.905920727</v>
      </c>
      <c r="K40" s="1" t="n">
        <f aca="false">K39+1</f>
        <v>2030</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v>
      </c>
      <c r="C41" s="41" t="n">
        <f aca="false">'Maintenance Policies'!E22</f>
        <v>20</v>
      </c>
      <c r="D41" s="42" t="n">
        <f aca="false">AV22</f>
        <v>2548101.44179167</v>
      </c>
      <c r="E41" s="43" t="n">
        <f aca="false">IF(C41&gt;'General Information'!$D$33,0,D41/(1+('General Information'!$D$34/100))^C41)</f>
        <v>1410821.98752729</v>
      </c>
      <c r="K41" s="1" t="n">
        <f aca="false">K40+1</f>
        <v>2031</v>
      </c>
      <c r="L41" s="27" t="n">
        <f aca="false">IF(K41-$C$6&gt;'General Information'!$D$33,0,IF(K41=$C$6,$D$36,0)+SUMIF($C$37:$C$44,K41-$C$6,$D$37:$D$44))</f>
        <v>501909.577777778</v>
      </c>
      <c r="M41" s="27" t="n">
        <f aca="false">IF(K41-$C$6&gt;'General Information'!$D$33,0,IF(K41=$C$6,$E$36,0)+SUMIF($C$37:$C$44,K41-$C$6,$E$37:$E$44))</f>
        <v>445940.159080388</v>
      </c>
    </row>
    <row r="42" customFormat="false" ht="15" hidden="false" customHeight="false" outlineLevel="0" collapsed="false">
      <c r="B42" s="40" t="s">
        <v>607</v>
      </c>
      <c r="C42" s="41" t="n">
        <f aca="false">'Maintenance Policies'!E26</f>
        <v>24</v>
      </c>
      <c r="D42" s="42" t="n">
        <f aca="false">BD19</f>
        <v>501909.577777778</v>
      </c>
      <c r="E42" s="43" t="n">
        <f aca="false">IF(C42&gt;'General Information'!$D$33,0,D42/(1+('General Information'!$D$34/100))^C42)</f>
        <v>246906.253900808</v>
      </c>
      <c r="K42" s="1" t="n">
        <f aca="false">K41+1</f>
        <v>2032</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608</v>
      </c>
      <c r="C43" s="41" t="n">
        <f aca="false">'Maintenance Policies'!E28</f>
        <v>28</v>
      </c>
      <c r="D43" s="42" t="n">
        <f aca="false">BL21</f>
        <v>777707.049840278</v>
      </c>
      <c r="E43" s="43" t="n">
        <f aca="false">IF(C43&gt;'General Information'!$D$33,0,D43/(1+('General Information'!$D$34/100))^C43)</f>
        <v>339917.672261939</v>
      </c>
      <c r="K43" s="1" t="n">
        <f aca="false">K42+1</f>
        <v>2033</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Policies'!D32*AV22</f>
        <v>-318512.680223958</v>
      </c>
      <c r="E44" s="43" t="n">
        <f aca="false">IF(C44&gt;'General Information'!$D$33,0,D44/(1+('General Information'!$D$34/100))^C44)</f>
        <v>-131223.006990195</v>
      </c>
      <c r="K44" s="1" t="n">
        <f aca="false">K43+1</f>
        <v>2034</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3659383.62914357</v>
      </c>
      <c r="K45" s="1" t="n">
        <f aca="false">K44+1</f>
        <v>2035</v>
      </c>
      <c r="L45" s="27" t="n">
        <f aca="false">IF(K45-$C$6&gt;'General Information'!$D$33,0,IF(K45=$C$6,$D$36,0)+SUMIF($C$37:$C$44,K45-$C$6,$D$37:$D$44))</f>
        <v>501909.577777778</v>
      </c>
      <c r="M45" s="27" t="n">
        <f aca="false">IF(K45-$C$6&gt;'General Information'!$D$33,0,IF(K45=$C$6,$E$36,0)+SUMIF($C$37:$C$44,K45-$C$6,$E$37:$E$44))</f>
        <v>396212.055488386</v>
      </c>
    </row>
    <row r="46" customFormat="false" ht="15" hidden="false" customHeight="false" outlineLevel="0" collapsed="false">
      <c r="K46" s="1" t="n">
        <f aca="false">K45+1</f>
        <v>2036</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2037</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2038</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2039</v>
      </c>
      <c r="L49" s="27" t="n">
        <f aca="false">IF(K49-$C$6&gt;'General Information'!$D$33,0,IF(K49=$C$6,$D$36,0)+SUMIF($C$37:$C$44,K49-$C$6,$D$37:$D$44))</f>
        <v>702607.268715278</v>
      </c>
      <c r="M49" s="27" t="n">
        <f aca="false">IF(K49-$C$6&gt;'General Information'!$D$33,0,IF(K49=$C$6,$E$36,0)+SUMIF($C$37:$C$44,K49-$C$6,$E$37:$E$44))</f>
        <v>492794.601954233</v>
      </c>
    </row>
    <row r="50" customFormat="false" ht="15" hidden="false" customHeight="false" outlineLevel="0" collapsed="false">
      <c r="K50" s="1" t="n">
        <f aca="false">K49+1</f>
        <v>2040</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2041</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2042</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2043</v>
      </c>
      <c r="L53" s="27" t="n">
        <f aca="false">IF(K53-$C$6&gt;'General Information'!$D$33,0,IF(K53=$C$6,$D$36,0)+SUMIF($C$37:$C$44,K53-$C$6,$D$37:$D$44))</f>
        <v>734977.864027778</v>
      </c>
      <c r="M53" s="27" t="n">
        <f aca="false">IF(K53-$C$6&gt;'General Information'!$D$33,0,IF(K53=$C$6,$E$36,0)+SUMIF($C$37:$C$44,K53-$C$6,$E$37:$E$44))</f>
        <v>458013.905920727</v>
      </c>
    </row>
    <row r="54" customFormat="false" ht="15" hidden="false" customHeight="false" outlineLevel="0" collapsed="false">
      <c r="K54" s="1" t="n">
        <f aca="false">K53+1</f>
        <v>2044</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2045</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2046</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2047</v>
      </c>
      <c r="L57" s="27" t="n">
        <f aca="false">IF(K57-$C$6&gt;'General Information'!$D$33,0,IF(K57=$C$6,$D$36,0)+SUMIF($C$37:$C$44,K57-$C$6,$D$37:$D$44))</f>
        <v>2548101.44179167</v>
      </c>
      <c r="M57" s="27" t="n">
        <f aca="false">IF(K57-$C$6&gt;'General Information'!$D$33,0,IF(K57=$C$6,$E$36,0)+SUMIF($C$37:$C$44,K57-$C$6,$E$37:$E$44))</f>
        <v>1410821.98752729</v>
      </c>
    </row>
    <row r="58" customFormat="false" ht="15" hidden="false" customHeight="false" outlineLevel="0" collapsed="false">
      <c r="K58" s="1" t="n">
        <f aca="false">K57+1</f>
        <v>2048</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2049</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2050</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2051</v>
      </c>
      <c r="L61" s="27" t="n">
        <f aca="false">IF(K61-$C$6&gt;'General Information'!$D$33,0,IF(K61=$C$6,$D$36,0)+SUMIF($C$37:$C$44,K61-$C$6,$D$37:$D$44))</f>
        <v>501909.577777778</v>
      </c>
      <c r="M61" s="27" t="n">
        <f aca="false">IF(K61-$C$6&gt;'General Information'!$D$33,0,IF(K61=$C$6,$E$36,0)+SUMIF($C$37:$C$44,K61-$C$6,$E$37:$E$44))</f>
        <v>246906.253900808</v>
      </c>
    </row>
    <row r="62" customFormat="false" ht="15" hidden="false" customHeight="false" outlineLevel="0" collapsed="false">
      <c r="K62" s="1" t="n">
        <f aca="false">K61+1</f>
        <v>2052</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2053</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2054</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2055</v>
      </c>
      <c r="L65" s="27" t="n">
        <f aca="false">IF(K65-$C$6&gt;'General Information'!$D$33,0,IF(K65=$C$6,$D$36,0)+SUMIF($C$37:$C$44,K65-$C$6,$D$37:$D$44))</f>
        <v>777707.049840278</v>
      </c>
      <c r="M65" s="27" t="n">
        <f aca="false">IF(K65-$C$6&gt;'General Information'!$D$33,0,IF(K65=$C$6,$E$36,0)+SUMIF($C$37:$C$44,K65-$C$6,$E$37:$E$44))</f>
        <v>339917.672261939</v>
      </c>
    </row>
    <row r="66" customFormat="false" ht="15" hidden="false" customHeight="false" outlineLevel="0" collapsed="false">
      <c r="K66" s="1" t="n">
        <f aca="false">K65+1</f>
        <v>2056</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2057</v>
      </c>
      <c r="L67" s="27" t="n">
        <f aca="false">IF(K67-$C$6&gt;'General Information'!$D$33,0,IF(K67=$C$6,$D$36,0)+SUMIF($C$37:$C$44,K67-$C$6,$D$37:$D$44))</f>
        <v>-318512.680223958</v>
      </c>
      <c r="M67" s="27" t="n">
        <f aca="false">IF(K67-$C$6&gt;'General Information'!$D$33,0,IF(K67=$C$6,$E$36,0)+SUMIF($C$37:$C$44,K67-$C$6,$E$37:$E$44))</f>
        <v>-131223.006990195</v>
      </c>
    </row>
  </sheetData>
  <mergeCells count="1">
    <mergeCell ref="A1:B1"/>
  </mergeCells>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4" customFormat="false" ht="15" hidden="false" customHeight="false" outlineLevel="0" collapsed="false">
      <c r="A4" s="0" t="s">
        <v>6</v>
      </c>
      <c r="C4" s="13" t="s">
        <v>7</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1" t="s">
        <v>25</v>
      </c>
      <c r="P18" s="27" t="n">
        <f aca="false">('General Information'!$D$36/100)*P17</f>
        <v>119619.2016</v>
      </c>
      <c r="W18" s="6"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1" t="s">
        <v>26</v>
      </c>
      <c r="P19" s="27" t="n">
        <f aca="false">('General Information'!$D$37/100)*P17</f>
        <v>59809.6008</v>
      </c>
      <c r="T19" s="6"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6"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10"/>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0</v>
      </c>
      <c r="E37" s="39" t="n">
        <f aca="false">D37</f>
        <v>0</v>
      </c>
      <c r="K37" s="1" t="s">
        <v>35</v>
      </c>
      <c r="L37" s="1" t="s">
        <v>670</v>
      </c>
      <c r="M37" s="1" t="s">
        <v>671</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7" t="n">
        <f aca="false">IF(K38-$C$6&gt;'General Information'!$D$33,0,IF(K38=$C$6,$D$37,0)+SUMIF($C$38:$C$40,K38-$C$6,$D$38:$D$40))</f>
        <v>0</v>
      </c>
      <c r="M38" s="27" t="n">
        <f aca="false">IF(K38-$C$6&gt;'General Information'!$D$33,0,IF(K38=$C$6,$E$37,0)+SUMIF($C$38:$C$40,K38-$C$6,$E$38:$E$40))</f>
        <v>0</v>
      </c>
    </row>
    <row r="39" customFormat="false" ht="15" hidden="false" customHeight="false" outlineLevel="0" collapsed="false">
      <c r="B39" s="40" t="s">
        <v>5</v>
      </c>
      <c r="C39" s="41" t="n">
        <f aca="false">'Maintenance Policies'!E41</f>
        <v>27</v>
      </c>
      <c r="D39" s="42" t="n">
        <f aca="false">X21</f>
        <v>1609955.1546</v>
      </c>
      <c r="E39" s="43" t="n">
        <f aca="false">IF(C39&gt;'General Information'!$D$33,0,D39/(1+('General Information'!$D$34/100))^C39)</f>
        <v>724784.190874235</v>
      </c>
      <c r="K39" s="1" t="n">
        <f aca="false">K38+1</f>
        <v>2028</v>
      </c>
      <c r="L39" s="27" t="n">
        <f aca="false">IF(K39-$C$6&gt;'General Information'!$D$33,0,IF(K39=$C$6,$D$37,0)+SUMIF($C$38:$C$40,K39-$C$6,$D$38:$D$40))</f>
        <v>0</v>
      </c>
      <c r="M39" s="27" t="n">
        <f aca="false">IF(K39-$C$6&gt;'General Information'!$D$33,0,IF(K39=$C$6,$E$37,0)+SUMIF($C$38:$C$40,K39-$C$6,$E$38:$E$40))</f>
        <v>0</v>
      </c>
    </row>
    <row r="40" customFormat="false" ht="15" hidden="false" customHeight="false" outlineLevel="0" collapsed="false">
      <c r="B40" s="40" t="s">
        <v>41</v>
      </c>
      <c r="C40" s="41" t="n">
        <f aca="false">'General Information'!D33</f>
        <v>30</v>
      </c>
      <c r="D40" s="42" t="n">
        <f aca="false">-'Maintenance Policies'!D46*G27</f>
        <v>-0</v>
      </c>
      <c r="E40" s="43" t="n">
        <f aca="false">IF(C40&gt;'General Information'!$D$33,0,D40/(1+('General Information'!$D$34/100))^C40)</f>
        <v>-0</v>
      </c>
      <c r="K40" s="1" t="n">
        <f aca="false">K39+1</f>
        <v>2029</v>
      </c>
      <c r="L40" s="27" t="n">
        <f aca="false">IF(K40-$C$6&gt;'General Information'!$D$33,0,IF(K40=$C$6,$D$37,0)+SUMIF($C$38:$C$40,K40-$C$6,$D$38:$D$40))</f>
        <v>0</v>
      </c>
      <c r="M40" s="27" t="n">
        <f aca="false">IF(K40-$C$6&gt;'General Information'!$D$33,0,IF(K40=$C$6,$E$37,0)+SUMIF($C$38:$C$40,K40-$C$6,$E$38:$E$40))</f>
        <v>0</v>
      </c>
    </row>
    <row r="41" customFormat="false" ht="15" hidden="false" customHeight="false" outlineLevel="0" collapsed="false">
      <c r="B41" s="44" t="s">
        <v>28</v>
      </c>
      <c r="C41" s="45"/>
      <c r="D41" s="45"/>
      <c r="E41" s="46" t="n">
        <f aca="false">SUM(E37:E40)</f>
        <v>1509281.52179934</v>
      </c>
      <c r="K41" s="1" t="n">
        <f aca="false">K40+1</f>
        <v>2030</v>
      </c>
      <c r="L41" s="27" t="n">
        <f aca="false">IF(K41-$C$6&gt;'General Information'!$D$33,0,IF(K41=$C$6,$D$37,0)+SUMIF($C$38:$C$40,K41-$C$6,$D$38:$D$40))</f>
        <v>0</v>
      </c>
      <c r="M41" s="27" t="n">
        <f aca="false">IF(K41-$C$6&gt;'General Information'!$D$33,0,IF(K41=$C$6,$E$37,0)+SUMIF($C$38:$C$40,K41-$C$6,$E$38:$E$40))</f>
        <v>0</v>
      </c>
    </row>
    <row r="42" customFormat="false" ht="15" hidden="false" customHeight="false" outlineLevel="0" collapsed="false">
      <c r="K42" s="1" t="n">
        <f aca="false">K41+1</f>
        <v>2031</v>
      </c>
      <c r="L42" s="27" t="n">
        <f aca="false">IF(K42-$C$6&gt;'General Information'!$D$33,0,IF(K42=$C$6,$D$37,0)+SUMIF($C$38:$C$40,K42-$C$6,$D$38:$D$40))</f>
        <v>0</v>
      </c>
      <c r="M42" s="27" t="n">
        <f aca="false">IF(K42-$C$6&gt;'General Information'!$D$33,0,IF(K42=$C$6,$E$37,0)+SUMIF($C$38:$C$40,K42-$C$6,$E$38:$E$40))</f>
        <v>0</v>
      </c>
    </row>
    <row r="43" customFormat="false" ht="15" hidden="false" customHeight="false" outlineLevel="0" collapsed="false">
      <c r="K43" s="1" t="n">
        <f aca="false">K42+1</f>
        <v>2032</v>
      </c>
      <c r="L43" s="27" t="n">
        <f aca="false">IF(K43-$C$6&gt;'General Information'!$D$33,0,IF(K43=$C$6,$D$37,0)+SUMIF($C$38:$C$40,K43-$C$6,$D$38:$D$40))</f>
        <v>0</v>
      </c>
      <c r="M43" s="27" t="n">
        <f aca="false">IF(K43-$C$6&gt;'General Information'!$D$33,0,IF(K43=$C$6,$E$37,0)+SUMIF($C$38:$C$40,K43-$C$6,$E$38:$E$40))</f>
        <v>0</v>
      </c>
    </row>
    <row r="44" customFormat="false" ht="15" hidden="false" customHeight="false" outlineLevel="0" collapsed="false">
      <c r="K44" s="1" t="n">
        <f aca="false">K43+1</f>
        <v>2033</v>
      </c>
      <c r="L44" s="27" t="n">
        <f aca="false">IF(K44-$C$6&gt;'General Information'!$D$33,0,IF(K44=$C$6,$D$37,0)+SUMIF($C$38:$C$40,K44-$C$6,$D$38:$D$40))</f>
        <v>0</v>
      </c>
      <c r="M44" s="27" t="n">
        <f aca="false">IF(K44-$C$6&gt;'General Information'!$D$33,0,IF(K44=$C$6,$E$37,0)+SUMIF($C$38:$C$40,K44-$C$6,$E$38:$E$40))</f>
        <v>0</v>
      </c>
    </row>
    <row r="45" customFormat="false" ht="15" hidden="false" customHeight="false" outlineLevel="0" collapsed="false">
      <c r="K45" s="1" t="n">
        <f aca="false">K44+1</f>
        <v>2034</v>
      </c>
      <c r="L45" s="27" t="n">
        <f aca="false">IF(K45-$C$6&gt;'General Information'!$D$33,0,IF(K45=$C$6,$D$37,0)+SUMIF($C$38:$C$40,K45-$C$6,$D$38:$D$40))</f>
        <v>0</v>
      </c>
      <c r="M45" s="27" t="n">
        <f aca="false">IF(K45-$C$6&gt;'General Information'!$D$33,0,IF(K45=$C$6,$E$37,0)+SUMIF($C$38:$C$40,K45-$C$6,$E$38:$E$40))</f>
        <v>0</v>
      </c>
    </row>
    <row r="46" customFormat="false" ht="15" hidden="false" customHeight="false" outlineLevel="0" collapsed="false">
      <c r="K46" s="1" t="n">
        <f aca="false">K45+1</f>
        <v>2035</v>
      </c>
      <c r="L46" s="27" t="n">
        <f aca="false">IF(K46-$C$6&gt;'General Information'!$D$33,0,IF(K46=$C$6,$D$37,0)+SUMIF($C$38:$C$40,K46-$C$6,$D$38:$D$40))</f>
        <v>0</v>
      </c>
      <c r="M46" s="27" t="n">
        <f aca="false">IF(K46-$C$6&gt;'General Information'!$D$33,0,IF(K46=$C$6,$E$37,0)+SUMIF($C$38:$C$40,K46-$C$6,$E$38:$E$40))</f>
        <v>0</v>
      </c>
    </row>
    <row r="47" customFormat="false" ht="15" hidden="false" customHeight="false" outlineLevel="0" collapsed="false">
      <c r="K47" s="1" t="n">
        <f aca="false">K46+1</f>
        <v>2036</v>
      </c>
      <c r="L47" s="27" t="n">
        <f aca="false">IF(K47-$C$6&gt;'General Information'!$D$33,0,IF(K47=$C$6,$D$37,0)+SUMIF($C$38:$C$40,K47-$C$6,$D$38:$D$40))</f>
        <v>0</v>
      </c>
      <c r="M47" s="27" t="n">
        <f aca="false">IF(K47-$C$6&gt;'General Information'!$D$33,0,IF(K47=$C$6,$E$37,0)+SUMIF($C$38:$C$40,K47-$C$6,$E$38:$E$40))</f>
        <v>0</v>
      </c>
    </row>
    <row r="48" customFormat="false" ht="15" hidden="false" customHeight="false" outlineLevel="0" collapsed="false">
      <c r="K48" s="1" t="n">
        <f aca="false">K47+1</f>
        <v>2037</v>
      </c>
      <c r="L48" s="27" t="n">
        <f aca="false">IF(K48-$C$6&gt;'General Information'!$D$33,0,IF(K48=$C$6,$D$37,0)+SUMIF($C$38:$C$40,K48-$C$6,$D$38:$D$40))</f>
        <v>0</v>
      </c>
      <c r="M48" s="27" t="n">
        <f aca="false">IF(K48-$C$6&gt;'General Information'!$D$33,0,IF(K48=$C$6,$E$37,0)+SUMIF($C$38:$C$40,K48-$C$6,$E$38:$E$40))</f>
        <v>0</v>
      </c>
    </row>
    <row r="49" customFormat="false" ht="15" hidden="false" customHeight="false" outlineLevel="0" collapsed="false">
      <c r="K49" s="1" t="n">
        <f aca="false">K48+1</f>
        <v>2038</v>
      </c>
      <c r="L49" s="27" t="n">
        <f aca="false">IF(K49-$C$6&gt;'General Information'!$D$33,0,IF(K49=$C$6,$D$37,0)+SUMIF($C$38:$C$40,K49-$C$6,$D$38:$D$40))</f>
        <v>0</v>
      </c>
      <c r="M49" s="27" t="n">
        <f aca="false">IF(K49-$C$6&gt;'General Information'!$D$33,0,IF(K49=$C$6,$E$37,0)+SUMIF($C$38:$C$40,K49-$C$6,$E$38:$E$40))</f>
        <v>0</v>
      </c>
    </row>
    <row r="50" customFormat="false" ht="15" hidden="false" customHeight="false" outlineLevel="0" collapsed="false">
      <c r="K50" s="1" t="n">
        <f aca="false">K49+1</f>
        <v>2039</v>
      </c>
      <c r="L50" s="27" t="n">
        <f aca="false">IF(K50-$C$6&gt;'General Information'!$D$33,0,IF(K50=$C$6,$D$37,0)+SUMIF($C$38:$C$40,K50-$C$6,$D$38:$D$40))</f>
        <v>0</v>
      </c>
      <c r="M50" s="27" t="n">
        <f aca="false">IF(K50-$C$6&gt;'General Information'!$D$33,0,IF(K50=$C$6,$E$37,0)+SUMIF($C$38:$C$40,K50-$C$6,$E$38:$E$40))</f>
        <v>0</v>
      </c>
    </row>
    <row r="51" customFormat="false" ht="15" hidden="false" customHeight="false" outlineLevel="0" collapsed="false">
      <c r="K51" s="1" t="n">
        <f aca="false">K50+1</f>
        <v>2040</v>
      </c>
      <c r="L51" s="27" t="n">
        <f aca="false">IF(K51-$C$6&gt;'General Information'!$D$33,0,IF(K51=$C$6,$D$37,0)+SUMIF($C$38:$C$40,K51-$C$6,$D$38:$D$40))</f>
        <v>0</v>
      </c>
      <c r="M51" s="27" t="n">
        <f aca="false">IF(K51-$C$6&gt;'General Information'!$D$33,0,IF(K51=$C$6,$E$37,0)+SUMIF($C$38:$C$40,K51-$C$6,$E$38:$E$40))</f>
        <v>0</v>
      </c>
    </row>
    <row r="52" customFormat="false" ht="15" hidden="false" customHeight="false" outlineLevel="0" collapsed="false">
      <c r="K52" s="1" t="n">
        <f aca="false">K51+1</f>
        <v>2041</v>
      </c>
      <c r="L52" s="27" t="n">
        <f aca="false">IF(K52-$C$6&gt;'General Information'!$D$33,0,IF(K52=$C$6,$D$37,0)+SUMIF($C$38:$C$40,K52-$C$6,$D$38:$D$40))</f>
        <v>0</v>
      </c>
      <c r="M52" s="27" t="n">
        <f aca="false">IF(K52-$C$6&gt;'General Information'!$D$33,0,IF(K52=$C$6,$E$37,0)+SUMIF($C$38:$C$40,K52-$C$6,$E$38:$E$40))</f>
        <v>0</v>
      </c>
    </row>
    <row r="53" customFormat="false" ht="15" hidden="false" customHeight="false" outlineLevel="0" collapsed="false">
      <c r="K53" s="1" t="n">
        <f aca="false">K52+1</f>
        <v>2042</v>
      </c>
      <c r="L53" s="27" t="n">
        <f aca="false">IF(K53-$C$6&gt;'General Information'!$D$33,0,IF(K53=$C$6,$D$37,0)+SUMIF($C$38:$C$40,K53-$C$6,$D$38:$D$40))</f>
        <v>0</v>
      </c>
      <c r="M53" s="27" t="n">
        <f aca="false">IF(K53-$C$6&gt;'General Information'!$D$33,0,IF(K53=$C$6,$E$37,0)+SUMIF($C$38:$C$40,K53-$C$6,$E$38:$E$40))</f>
        <v>0</v>
      </c>
    </row>
    <row r="54" customFormat="false" ht="15" hidden="false" customHeight="false" outlineLevel="0" collapsed="false">
      <c r="K54" s="1" t="n">
        <f aca="false">K53+1</f>
        <v>2043</v>
      </c>
      <c r="L54" s="27" t="n">
        <f aca="false">IF(K54-$C$6&gt;'General Information'!$D$33,0,IF(K54=$C$6,$D$37,0)+SUMIF($C$38:$C$40,K54-$C$6,$D$38:$D$40))</f>
        <v>0</v>
      </c>
      <c r="M54" s="27" t="n">
        <f aca="false">IF(K54-$C$6&gt;'General Information'!$D$33,0,IF(K54=$C$6,$E$37,0)+SUMIF($C$38:$C$40,K54-$C$6,$E$38:$E$40))</f>
        <v>0</v>
      </c>
    </row>
    <row r="55" customFormat="false" ht="15" hidden="false" customHeight="false" outlineLevel="0" collapsed="false">
      <c r="K55" s="1" t="n">
        <f aca="false">K54+1</f>
        <v>2044</v>
      </c>
      <c r="L55" s="27" t="n">
        <f aca="false">IF(K55-$C$6&gt;'General Information'!$D$33,0,IF(K55=$C$6,$D$37,0)+SUMIF($C$38:$C$40,K55-$C$6,$D$38:$D$40))</f>
        <v>0</v>
      </c>
      <c r="M55" s="27" t="n">
        <f aca="false">IF(K55-$C$6&gt;'General Information'!$D$33,0,IF(K55=$C$6,$E$37,0)+SUMIF($C$38:$C$40,K55-$C$6,$E$38:$E$40))</f>
        <v>0</v>
      </c>
    </row>
    <row r="56" customFormat="false" ht="15" hidden="false" customHeight="false" outlineLevel="0" collapsed="false">
      <c r="K56" s="1" t="n">
        <f aca="false">K55+1</f>
        <v>2045</v>
      </c>
      <c r="L56" s="27" t="n">
        <f aca="false">IF(K56-$C$6&gt;'General Information'!$D$33,0,IF(K56=$C$6,$D$37,0)+SUMIF($C$38:$C$40,K56-$C$6,$D$38:$D$40))</f>
        <v>0</v>
      </c>
      <c r="M56" s="27" t="n">
        <f aca="false">IF(K56-$C$6&gt;'General Information'!$D$33,0,IF(K56=$C$6,$E$37,0)+SUMIF($C$38:$C$40,K56-$C$6,$E$38:$E$40))</f>
        <v>0</v>
      </c>
    </row>
    <row r="57" customFormat="false" ht="15" hidden="false" customHeight="false" outlineLevel="0" collapsed="false">
      <c r="K57" s="1" t="n">
        <f aca="false">K56+1</f>
        <v>2046</v>
      </c>
      <c r="L57" s="27" t="n">
        <f aca="false">IF(K57-$C$6&gt;'General Information'!$D$33,0,IF(K57=$C$6,$D$37,0)+SUMIF($C$38:$C$40,K57-$C$6,$D$38:$D$40))</f>
        <v>1375620.8184</v>
      </c>
      <c r="M57" s="27" t="n">
        <f aca="false">IF(K57-$C$6&gt;'General Information'!$D$33,0,IF(K57=$C$6,$E$37,0)+SUMIF($C$38:$C$40,K57-$C$6,$E$38:$E$40))</f>
        <v>784497.330925104</v>
      </c>
    </row>
    <row r="58" customFormat="false" ht="15" hidden="false" customHeight="false" outlineLevel="0" collapsed="false">
      <c r="K58" s="1" t="n">
        <f aca="false">K57+1</f>
        <v>2047</v>
      </c>
      <c r="L58" s="27" t="n">
        <f aca="false">IF(K58-$C$6&gt;'General Information'!$D$33,0,IF(K58=$C$6,$D$37,0)+SUMIF($C$38:$C$40,K58-$C$6,$D$38:$D$40))</f>
        <v>0</v>
      </c>
      <c r="M58" s="27" t="n">
        <f aca="false">IF(K58-$C$6&gt;'General Information'!$D$33,0,IF(K58=$C$6,$E$37,0)+SUMIF($C$38:$C$40,K58-$C$6,$E$38:$E$40))</f>
        <v>0</v>
      </c>
    </row>
    <row r="59" customFormat="false" ht="15" hidden="false" customHeight="false" outlineLevel="0" collapsed="false">
      <c r="K59" s="1" t="n">
        <f aca="false">K58+1</f>
        <v>2048</v>
      </c>
      <c r="L59" s="27" t="n">
        <f aca="false">IF(K59-$C$6&gt;'General Information'!$D$33,0,IF(K59=$C$6,$D$37,0)+SUMIF($C$38:$C$40,K59-$C$6,$D$38:$D$40))</f>
        <v>0</v>
      </c>
      <c r="M59" s="27" t="n">
        <f aca="false">IF(K59-$C$6&gt;'General Information'!$D$33,0,IF(K59=$C$6,$E$37,0)+SUMIF($C$38:$C$40,K59-$C$6,$E$38:$E$40))</f>
        <v>0</v>
      </c>
    </row>
    <row r="60" customFormat="false" ht="15" hidden="false" customHeight="false" outlineLevel="0" collapsed="false">
      <c r="K60" s="1" t="n">
        <f aca="false">K59+1</f>
        <v>2049</v>
      </c>
      <c r="L60" s="27" t="n">
        <f aca="false">IF(K60-$C$6&gt;'General Information'!$D$33,0,IF(K60=$C$6,$D$37,0)+SUMIF($C$38:$C$40,K60-$C$6,$D$38:$D$40))</f>
        <v>0</v>
      </c>
      <c r="M60" s="27" t="n">
        <f aca="false">IF(K60-$C$6&gt;'General Information'!$D$33,0,IF(K60=$C$6,$E$37,0)+SUMIF($C$38:$C$40,K60-$C$6,$E$38:$E$40))</f>
        <v>0</v>
      </c>
    </row>
    <row r="61" customFormat="false" ht="15" hidden="false" customHeight="false" outlineLevel="0" collapsed="false">
      <c r="K61" s="1" t="n">
        <f aca="false">K60+1</f>
        <v>2050</v>
      </c>
      <c r="L61" s="27" t="n">
        <f aca="false">IF(K61-$C$6&gt;'General Information'!$D$33,0,IF(K61=$C$6,$D$37,0)+SUMIF($C$38:$C$40,K61-$C$6,$D$38:$D$40))</f>
        <v>0</v>
      </c>
      <c r="M61" s="27" t="n">
        <f aca="false">IF(K61-$C$6&gt;'General Information'!$D$33,0,IF(K61=$C$6,$E$37,0)+SUMIF($C$38:$C$40,K61-$C$6,$E$38:$E$40))</f>
        <v>0</v>
      </c>
    </row>
    <row r="62" customFormat="false" ht="15" hidden="false" customHeight="false" outlineLevel="0" collapsed="false">
      <c r="K62" s="1" t="n">
        <f aca="false">K61+1</f>
        <v>2051</v>
      </c>
      <c r="L62" s="27" t="n">
        <f aca="false">IF(K62-$C$6&gt;'General Information'!$D$33,0,IF(K62=$C$6,$D$37,0)+SUMIF($C$38:$C$40,K62-$C$6,$D$38:$D$40))</f>
        <v>0</v>
      </c>
      <c r="M62" s="27" t="n">
        <f aca="false">IF(K62-$C$6&gt;'General Information'!$D$33,0,IF(K62=$C$6,$E$37,0)+SUMIF($C$38:$C$40,K62-$C$6,$E$38:$E$40))</f>
        <v>0</v>
      </c>
    </row>
    <row r="63" customFormat="false" ht="15" hidden="false" customHeight="false" outlineLevel="0" collapsed="false">
      <c r="K63" s="1" t="n">
        <f aca="false">K62+1</f>
        <v>2052</v>
      </c>
      <c r="L63" s="27" t="n">
        <f aca="false">IF(K63-$C$6&gt;'General Information'!$D$33,0,IF(K63=$C$6,$D$37,0)+SUMIF($C$38:$C$40,K63-$C$6,$D$38:$D$40))</f>
        <v>0</v>
      </c>
      <c r="M63" s="27" t="n">
        <f aca="false">IF(K63-$C$6&gt;'General Information'!$D$33,0,IF(K63=$C$6,$E$37,0)+SUMIF($C$38:$C$40,K63-$C$6,$E$38:$E$40))</f>
        <v>0</v>
      </c>
    </row>
    <row r="64" customFormat="false" ht="15" hidden="false" customHeight="false" outlineLevel="0" collapsed="false">
      <c r="K64" s="1" t="n">
        <f aca="false">K63+1</f>
        <v>2053</v>
      </c>
      <c r="L64" s="27" t="n">
        <f aca="false">IF(K64-$C$6&gt;'General Information'!$D$33,0,IF(K64=$C$6,$D$37,0)+SUMIF($C$38:$C$40,K64-$C$6,$D$38:$D$40))</f>
        <v>0</v>
      </c>
      <c r="M64" s="27" t="n">
        <f aca="false">IF(K64-$C$6&gt;'General Information'!$D$33,0,IF(K64=$C$6,$E$37,0)+SUMIF($C$38:$C$40,K64-$C$6,$E$38:$E$40))</f>
        <v>0</v>
      </c>
    </row>
    <row r="65" customFormat="false" ht="15" hidden="false" customHeight="false" outlineLevel="0" collapsed="false">
      <c r="K65" s="1" t="n">
        <f aca="false">K64+1</f>
        <v>2054</v>
      </c>
      <c r="L65" s="27" t="n">
        <f aca="false">IF(K65-$C$6&gt;'General Information'!$D$33,0,IF(K65=$C$6,$D$37,0)+SUMIF($C$38:$C$40,K65-$C$6,$D$38:$D$40))</f>
        <v>1609955.1546</v>
      </c>
      <c r="M65" s="27" t="n">
        <f aca="false">IF(K65-$C$6&gt;'General Information'!$D$33,0,IF(K65=$C$6,$E$37,0)+SUMIF($C$38:$C$40,K65-$C$6,$E$38:$E$40))</f>
        <v>724784.190874235</v>
      </c>
    </row>
    <row r="66" customFormat="false" ht="15" hidden="false" customHeight="false" outlineLevel="0" collapsed="false">
      <c r="K66" s="1" t="n">
        <f aca="false">K65+1</f>
        <v>2055</v>
      </c>
      <c r="L66" s="27" t="n">
        <f aca="false">IF(K66-$C$6&gt;'General Information'!$D$33,0,IF(K66=$C$6,$D$37,0)+SUMIF($C$38:$C$40,K66-$C$6,$D$38:$D$40))</f>
        <v>0</v>
      </c>
      <c r="M66" s="27" t="n">
        <f aca="false">IF(K66-$C$6&gt;'General Information'!$D$33,0,IF(K66=$C$6,$E$37,0)+SUMIF($C$38:$C$40,K66-$C$6,$E$38:$E$40))</f>
        <v>0</v>
      </c>
    </row>
    <row r="67" customFormat="false" ht="15" hidden="false" customHeight="false" outlineLevel="0" collapsed="false">
      <c r="K67" s="1" t="n">
        <f aca="false">K66+1</f>
        <v>2056</v>
      </c>
      <c r="L67" s="27" t="n">
        <f aca="false">IF(K67-$C$6&gt;'General Information'!$D$33,0,IF(K67=$C$6,$D$37,0)+SUMIF($C$38:$C$40,K67-$C$6,$D$38:$D$40))</f>
        <v>0</v>
      </c>
      <c r="M67" s="27" t="n">
        <f aca="false">IF(K67-$C$6&gt;'General Information'!$D$33,0,IF(K67=$C$6,$E$37,0)+SUMIF($C$38:$C$40,K67-$C$6,$E$38:$E$40))</f>
        <v>0</v>
      </c>
    </row>
    <row r="68" customFormat="false" ht="15" hidden="false" customHeight="false" outlineLevel="0" collapsed="false">
      <c r="K68" s="1" t="n">
        <f aca="false">K67+1</f>
        <v>2057</v>
      </c>
      <c r="L68" s="27" t="n">
        <f aca="false">IF(K68-$C$6&gt;'General Information'!$D$33,0,IF(K68=$C$6,$D$37,0)+SUMIF($C$38:$C$40,K68-$C$6,$D$38:$D$40))</f>
        <v>0</v>
      </c>
      <c r="M68" s="27" t="n">
        <f aca="false">IF(K68-$C$6&gt;'General Information'!$D$33,0,IF(K68=$C$6,$E$37,0)+SUMIF($C$38:$C$40,K68-$C$6,$E$38:$E$40))</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632</v>
      </c>
      <c r="I1" s="6" t="s">
        <v>1</v>
      </c>
    </row>
    <row r="2" customFormat="false" ht="15" hidden="false" customHeight="false" outlineLevel="0" collapsed="false">
      <c r="A2" s="7" t="s">
        <v>2</v>
      </c>
      <c r="J2" s="10" t="s">
        <v>4</v>
      </c>
      <c r="R2" s="7" t="s">
        <v>595</v>
      </c>
      <c r="Z2" s="10" t="s">
        <v>596</v>
      </c>
      <c r="AH2" s="7" t="s">
        <v>5</v>
      </c>
      <c r="AP2" s="10" t="s">
        <v>601</v>
      </c>
      <c r="AX2" s="7" t="s">
        <v>607</v>
      </c>
      <c r="BF2" s="10" t="s">
        <v>608</v>
      </c>
    </row>
    <row r="4" customFormat="false" ht="15" hidden="false" customHeight="false" outlineLevel="0" collapsed="false">
      <c r="A4" s="0" t="s">
        <v>6</v>
      </c>
      <c r="C4" s="13" t="s">
        <v>672</v>
      </c>
    </row>
    <row r="5" customFormat="false" ht="15" hidden="false" customHeight="false" outlineLevel="0" collapsed="false">
      <c r="A5" s="0" t="s">
        <v>9</v>
      </c>
      <c r="C5" s="0" t="n">
        <f aca="false">'General Information'!D26</f>
        <v>100083</v>
      </c>
      <c r="D5" s="0" t="s">
        <v>10</v>
      </c>
    </row>
    <row r="6" customFormat="false" ht="15" hidden="false" customHeight="false" outlineLevel="0" collapsed="false">
      <c r="A6" s="0" t="s">
        <v>12</v>
      </c>
      <c r="C6" s="0" t="n">
        <f aca="false">'General Information'!D25</f>
        <v>2027</v>
      </c>
      <c r="AH6" s="6" t="s">
        <v>636</v>
      </c>
      <c r="AI6" s="0" t="n">
        <v>2</v>
      </c>
      <c r="AJ6" s="6" t="s">
        <v>637</v>
      </c>
    </row>
    <row r="7" customFormat="false" ht="15" hidden="false" customHeight="false" outlineLevel="0" collapsed="false">
      <c r="A7" s="0" t="s">
        <v>638</v>
      </c>
      <c r="C7" s="107" t="s">
        <v>535</v>
      </c>
      <c r="D7" s="6" t="s">
        <v>639</v>
      </c>
      <c r="AH7" s="6" t="s">
        <v>641</v>
      </c>
      <c r="AI7" s="0" t="n">
        <v>120</v>
      </c>
      <c r="AJ7" s="6" t="s">
        <v>642</v>
      </c>
    </row>
    <row r="8" customFormat="false" ht="15" hidden="false" customHeight="false" outlineLevel="0" collapsed="false">
      <c r="A8" s="0" t="s">
        <v>13</v>
      </c>
      <c r="C8" s="0" t="n">
        <f aca="false">'General Information'!D28</f>
        <v>25000</v>
      </c>
      <c r="D8" s="0" t="s">
        <v>14</v>
      </c>
    </row>
    <row r="9" customFormat="false" ht="15" hidden="false" customHeight="false" outlineLevel="0" collapsed="false">
      <c r="C9" s="13"/>
      <c r="AH9" s="6" t="s">
        <v>644</v>
      </c>
      <c r="AI9" s="0" t="n">
        <v>0.07</v>
      </c>
      <c r="AJ9" s="6" t="s">
        <v>645</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8" t="n">
        <v>0</v>
      </c>
      <c r="F13" s="23" t="str">
        <f aca="false">IF(C13="","N/A",VLOOKUP(C13,CHOOSE({1,2},Table2[Pay Item Description],Table2[Unit Cost]),2,0))</f>
        <v>N/A</v>
      </c>
      <c r="G13" s="24" t="n">
        <f aca="false">IF(B13&lt;&gt;0,F13*E13,0)</f>
        <v>0</v>
      </c>
      <c r="J13" s="1" t="n">
        <v>1</v>
      </c>
      <c r="K13" s="109" t="str">
        <f aca="false">IF(L13="",0,VLOOKUP(L13,CHOOSE({1,2},Table2[Pay Item Description],Table2[Pay Item No.]),2,0))</f>
        <v>P-608-8.1</v>
      </c>
      <c r="L13" s="1" t="str">
        <f aca="false">C7</f>
        <v>Emulsified Asphalt Surface Treatment</v>
      </c>
      <c r="M13" s="110" t="str">
        <f aca="false">IF(L13="","N/A",VLOOKUP(L13,CHOOSE({1,2},Table2[Pay Item Description],Table2[Units]),2,0))</f>
        <v>S.Y.</v>
      </c>
      <c r="N13" s="111" t="n">
        <f aca="false">'Maintenance Policies'!D51*$C$5</f>
        <v>100083</v>
      </c>
      <c r="O13" s="112" t="n">
        <f aca="false">IF(L13="","N/A",VLOOKUP(L13,CHOOSE({1,2},Table2[Pay Item Description],Table2[Unit Cost]),2,0))</f>
        <v>4</v>
      </c>
      <c r="P13" s="27" t="n">
        <f aca="false">O13*N13</f>
        <v>400332</v>
      </c>
      <c r="R13" s="0" t="n">
        <v>1</v>
      </c>
      <c r="S13" s="0" t="str">
        <f aca="false">IF(T13="",0,VLOOKUP(T13,CHOOSE({1,2},Table2[Pay Item Description],Table2[Pay Item No.]),2,0))</f>
        <v>P-101-5.4a</v>
      </c>
      <c r="T13" s="0" t="str">
        <f aca="false">Pay_Items!D11</f>
        <v>Spall Repair, Asphalt</v>
      </c>
      <c r="U13" s="117" t="str">
        <f aca="false">IF(T13="","N/A",VLOOKUP(T13,CHOOSE({1,2},Table2[Pay Item Description],Table2[Units]),2,0))</f>
        <v>S.F.</v>
      </c>
      <c r="V13" s="113" t="n">
        <f aca="false">'Maintenance Policies'!D53*($C$5*9)</f>
        <v>11259.3375</v>
      </c>
      <c r="W13" s="118" t="n">
        <f aca="false">IF(T13="","N/A",VLOOKUP(T13,CHOOSE({1,2},Table2[Pay Item Description],Table2[Unit Cost]),2,0))</f>
        <v>8.5</v>
      </c>
      <c r="X13" s="30" t="n">
        <f aca="false">W13*V13</f>
        <v>95704.36875</v>
      </c>
      <c r="Z13" s="1" t="n">
        <v>1</v>
      </c>
      <c r="AA13" s="109" t="str">
        <f aca="false">IF(AB13="",0,VLOOKUP(AB13,CHOOSE({1,2},Table2[Pay Item Description],Table2[Pay Item No.]),2,0))</f>
        <v>P-608-8.1</v>
      </c>
      <c r="AB13" s="1" t="str">
        <f aca="false">C7</f>
        <v>Emulsified Asphalt Surface Treatment</v>
      </c>
      <c r="AC13" s="110" t="str">
        <f aca="false">IF(AB13="","N/A",VLOOKUP(AB13,CHOOSE({1,2},Table2[Pay Item Description],Table2[Units]),2,0))</f>
        <v>S.Y.</v>
      </c>
      <c r="AD13" s="111" t="n">
        <f aca="false">'Maintenance Policies'!D57*$C$5</f>
        <v>100083</v>
      </c>
      <c r="AE13" s="112" t="n">
        <f aca="false">IF(AB13="","N/A",VLOOKUP(AB13,CHOOSE({1,2},Table2[Pay Item Description],Table2[Unit Cost]),2,0))</f>
        <v>4</v>
      </c>
      <c r="AF13" s="27" t="n">
        <f aca="false">AE13*AD13</f>
        <v>400332</v>
      </c>
      <c r="AH13" s="0" t="n">
        <v>1</v>
      </c>
      <c r="AI13" s="19" t="str">
        <f aca="false">IF(AJ13="",0,VLOOKUP(AJ13,CHOOSE({1,2},Table2[Pay Item Description],Table2[Pay Item No.]),2,0))</f>
        <v>P-101-5.6</v>
      </c>
      <c r="AJ13" s="6" t="s">
        <v>458</v>
      </c>
      <c r="AK13" s="21" t="str">
        <f aca="false">IF(AJ13="","N/A",VLOOKUP(AJ13,CHOOSE({1,2},Table2[Pay Item Description],Table2[Units]),2,0))</f>
        <v>S.Y.</v>
      </c>
      <c r="AL13" s="113" t="n">
        <f aca="false">'Maintenance Policies'!D59*$C$5</f>
        <v>100083</v>
      </c>
      <c r="AM13" s="114" t="n">
        <f aca="false">IF(AJ13="","N/A",VLOOKUP(AJ13,CHOOSE({1,2},Table2[Pay Item Description],Table2[Unit Cost]),2,0))</f>
        <v>5</v>
      </c>
      <c r="AN13" s="30" t="n">
        <f aca="false">AM13*AL13</f>
        <v>500415</v>
      </c>
      <c r="AP13" s="1" t="n">
        <v>1</v>
      </c>
      <c r="AQ13" s="109" t="str">
        <f aca="false">IF(AR13="",0,VLOOKUP(AR13,CHOOSE({1,2},Table2[Pay Item Description],Table2[Pay Item No.]),2,0))</f>
        <v>P-608-8.1</v>
      </c>
      <c r="AR13" s="1" t="str">
        <f aca="false">C7</f>
        <v>Emulsified Asphalt Surface Treatment</v>
      </c>
      <c r="AS13" s="110" t="str">
        <f aca="false">IF(AR13="","N/A",VLOOKUP(AR13,CHOOSE({1,2},Table2[Pay Item Description],Table2[Units]),2,0))</f>
        <v>S.Y.</v>
      </c>
      <c r="AT13" s="111" t="n">
        <f aca="false">'Maintenance Policies'!D63*$C$5</f>
        <v>100083</v>
      </c>
      <c r="AU13" s="112" t="n">
        <f aca="false">IF(AR13="","N/A",VLOOKUP(AR13,CHOOSE({1,2},Table2[Pay Item Description],Table2[Unit Cost]),2,0))</f>
        <v>4</v>
      </c>
      <c r="AV13" s="27" t="n">
        <f aca="false">AU13*AT13</f>
        <v>400332</v>
      </c>
      <c r="AX13" s="0" t="n">
        <v>1</v>
      </c>
      <c r="AY13" s="19" t="str">
        <f aca="false">IF(AZ13="",0,VLOOKUP(AZ13,CHOOSE({1,2},Table2[Pay Item Description],Table2[Pay Item No.]),2,0))</f>
        <v>P-101-5.4a</v>
      </c>
      <c r="AZ13" s="6" t="s">
        <v>447</v>
      </c>
      <c r="BA13" s="21" t="str">
        <f aca="false">IF(AZ13="","N/A",VLOOKUP(AZ13,CHOOSE({1,2},Table2[Pay Item Description],Table2[Units]),2,0))</f>
        <v>S.F.</v>
      </c>
      <c r="BB13" s="113" t="n">
        <f aca="false">'Maintenance Policies'!D65*($C$5*9)</f>
        <v>11259.3375</v>
      </c>
      <c r="BC13" s="114" t="n">
        <f aca="false">IF(AZ13="","N/A",VLOOKUP(AZ13,CHOOSE({1,2},Table2[Pay Item Description],Table2[Unit Cost]),2,0))</f>
        <v>8.5</v>
      </c>
      <c r="BD13" s="30" t="n">
        <f aca="false">BC13*BB13</f>
        <v>95704.36875</v>
      </c>
      <c r="BF13" s="1" t="n">
        <v>1</v>
      </c>
      <c r="BG13" s="109" t="str">
        <f aca="false">IF(BH13="",0,VLOOKUP(BH13,CHOOSE({1,2},Table2[Pay Item Description],Table2[Pay Item No.]),2,0))</f>
        <v>P-608-8.1</v>
      </c>
      <c r="BH13" s="1" t="str">
        <f aca="false">C7</f>
        <v>Emulsified Asphalt Surface Treatment</v>
      </c>
      <c r="BI13" s="110" t="str">
        <f aca="false">IF(BH13="","N/A",VLOOKUP(BH13,CHOOSE({1,2},Table2[Pay Item Description],Table2[Units]),2,0))</f>
        <v>S.Y.</v>
      </c>
      <c r="BJ13" s="111" t="n">
        <f aca="false">'Maintenance Policies'!D69*$C$5</f>
        <v>100083</v>
      </c>
      <c r="BK13" s="112" t="n">
        <f aca="false">IF(BH13="","N/A",VLOOKUP(BH13,CHOOSE({1,2},Table2[Pay Item Description],Table2[Unit Cost]),2,0))</f>
        <v>4</v>
      </c>
      <c r="BL13" s="27" t="n">
        <f aca="false">BK13*BJ13</f>
        <v>400332</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8" t="n">
        <v>0</v>
      </c>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
        <v>445</v>
      </c>
      <c r="M14" s="115" t="str">
        <f aca="false">IF(L14="","N/A",VLOOKUP(L14,CHOOSE({1,2},Table2[Pay Item Description],Table2[Units]),2,0))</f>
        <v>S.F.</v>
      </c>
      <c r="N14" s="111" t="n">
        <f aca="false">'Maintenance Policies'!D52*$C$8</f>
        <v>25000</v>
      </c>
      <c r="O14" s="116" t="n">
        <f aca="false">IF(L14="","N/A",VLOOKUP(L14,CHOOSE({1,2},Table2[Pay Item Description],Table2[Unit Cost]),2,0))</f>
        <v>0.777777777777778</v>
      </c>
      <c r="P14" s="27" t="n">
        <f aca="false">O14*N14</f>
        <v>19444.4444444444</v>
      </c>
      <c r="R14" s="0" t="n">
        <v>2</v>
      </c>
      <c r="S14" s="0" t="str">
        <f aca="false">IF(T14="",0,VLOOKUP(T14,CHOOSE({1,2},Table2[Pay Item Description],Table2[Pay Item No.]),2,0))</f>
        <v>P-101-5.2a</v>
      </c>
      <c r="T14" s="0" t="str">
        <f aca="false">Pay_Items!D6</f>
        <v>Crack Repair (Type I), Asphalt</v>
      </c>
      <c r="U14" s="117" t="str">
        <f aca="false">IF(T14="","N/A",VLOOKUP(T14,CHOOSE({1,2},Table2[Pay Item Description],Table2[Units]),2,0))</f>
        <v>L.F.</v>
      </c>
      <c r="V14" s="113" t="n">
        <f aca="false">'Maintenance Policies'!D54*($C$5*9)</f>
        <v>36029.88</v>
      </c>
      <c r="W14" s="118" t="n">
        <f aca="false">IF(T14="","N/A",VLOOKUP(T14,CHOOSE({1,2},Table2[Pay Item Description],Table2[Unit Cost]),2,0))</f>
        <v>4</v>
      </c>
      <c r="X14" s="30" t="n">
        <f aca="false">W14*V14</f>
        <v>144119.52</v>
      </c>
      <c r="Z14" s="1" t="n">
        <v>2</v>
      </c>
      <c r="AA14" s="109" t="str">
        <f aca="false">IF(AB14="",0,VLOOKUP(AB14,CHOOSE({1,2},Table2[Pay Item Description],Table2[Pay Item No.]),2,0))</f>
        <v>P-101-5.3</v>
      </c>
      <c r="AB14" s="1" t="s">
        <v>445</v>
      </c>
      <c r="AC14" s="110" t="str">
        <f aca="false">IF(AB14="","N/A",VLOOKUP(AB14,CHOOSE({1,2},Table2[Pay Item Description],Table2[Units]),2,0))</f>
        <v>S.F.</v>
      </c>
      <c r="AD14" s="111" t="n">
        <f aca="false">'Maintenance Policies'!D58*$C$8</f>
        <v>25000</v>
      </c>
      <c r="AE14" s="112" t="n">
        <f aca="false">IF(AB14="","N/A",VLOOKUP(AB14,CHOOSE({1,2},Table2[Pay Item Description],Table2[Unit Cost]),2,0))</f>
        <v>0.777777777777778</v>
      </c>
      <c r="AF14" s="27" t="n">
        <f aca="false">AE14*AD14</f>
        <v>19444.4444444444</v>
      </c>
      <c r="AH14" s="0" t="n">
        <v>2</v>
      </c>
      <c r="AI14" s="19" t="str">
        <f aca="false">IF(AJ14="",0,VLOOKUP(AJ14,CHOOSE({1,2},Table2[Pay Item Description],Table2[Pay Item No.]),2,0))</f>
        <v>P-603-5.1</v>
      </c>
      <c r="AJ14" s="6" t="s">
        <v>549</v>
      </c>
      <c r="AK14" s="21" t="str">
        <f aca="false">IF(AJ14="","N/A",VLOOKUP(AJ14,CHOOSE({1,2},Table2[Pay Item Description],Table2[Units]),2,0))</f>
        <v>GAL</v>
      </c>
      <c r="AL14" s="113" t="n">
        <f aca="false">'Maintenance Policies'!D59*$C$5*AI9</f>
        <v>7005.81</v>
      </c>
      <c r="AM14" s="114" t="n">
        <f aca="false">IF(AJ14="","N/A",VLOOKUP(AJ14,CHOOSE({1,2},Table2[Pay Item Description],Table2[Unit Cost]),2,0))</f>
        <v>4.5</v>
      </c>
      <c r="AN14" s="30" t="n">
        <f aca="false">AM14*AL14</f>
        <v>31526.145</v>
      </c>
      <c r="AP14" s="1" t="n">
        <v>2</v>
      </c>
      <c r="AQ14" s="109" t="str">
        <f aca="false">IF(AR14="",0,VLOOKUP(AR14,CHOOSE({1,2},Table2[Pay Item Description],Table2[Pay Item No.]),2,0))</f>
        <v>P-101-5.3</v>
      </c>
      <c r="AR14" s="1" t="s">
        <v>445</v>
      </c>
      <c r="AS14" s="110" t="str">
        <f aca="false">IF(AR14="","N/A",VLOOKUP(AR14,CHOOSE({1,2},Table2[Pay Item Description],Table2[Units]),2,0))</f>
        <v>S.F.</v>
      </c>
      <c r="AT14" s="111" t="n">
        <f aca="false">'Maintenance Policies'!D64*$C$8</f>
        <v>25000</v>
      </c>
      <c r="AU14" s="112" t="n">
        <f aca="false">IF(AR14="","N/A",VLOOKUP(AR14,CHOOSE({1,2},Table2[Pay Item Description],Table2[Unit Cost]),2,0))</f>
        <v>0.777777777777778</v>
      </c>
      <c r="AV14" s="27" t="n">
        <f aca="false">AU14*AT14</f>
        <v>19444.4444444444</v>
      </c>
      <c r="AX14" s="0" t="n">
        <v>2</v>
      </c>
      <c r="AY14" s="19" t="str">
        <f aca="false">IF(AZ14="",0,VLOOKUP(AZ14,CHOOSE({1,2},Table2[Pay Item Description],Table2[Pay Item No.]),2,0))</f>
        <v>P-101-5.2a</v>
      </c>
      <c r="AZ14" s="6" t="s">
        <v>436</v>
      </c>
      <c r="BA14" s="21" t="str">
        <f aca="false">IF(AZ14="","N/A",VLOOKUP(AZ14,CHOOSE({1,2},Table2[Pay Item Description],Table2[Units]),2,0))</f>
        <v>L.F.</v>
      </c>
      <c r="BB14" s="113" t="n">
        <f aca="false">'Maintenance Policies'!D66*($C$5*9)</f>
        <v>36029.88</v>
      </c>
      <c r="BC14" s="114" t="n">
        <f aca="false">IF(AZ14="","N/A",VLOOKUP(AZ14,CHOOSE({1,2},Table2[Pay Item Description],Table2[Unit Cost]),2,0))</f>
        <v>4</v>
      </c>
      <c r="BD14" s="30" t="n">
        <f aca="false">BC14*BB14</f>
        <v>144119.52</v>
      </c>
      <c r="BF14" s="1" t="n">
        <v>2</v>
      </c>
      <c r="BG14" s="109" t="str">
        <f aca="false">IF(BH14="",0,VLOOKUP(BH14,CHOOSE({1,2},Table2[Pay Item Description],Table2[Pay Item No.]),2,0))</f>
        <v>P-101-5.3</v>
      </c>
      <c r="BH14" s="1" t="s">
        <v>445</v>
      </c>
      <c r="BI14" s="110" t="str">
        <f aca="false">IF(BH14="","N/A",VLOOKUP(BH14,CHOOSE({1,2},Table2[Pay Item Description],Table2[Units]),2,0))</f>
        <v>S.F.</v>
      </c>
      <c r="BJ14" s="111" t="n">
        <f aca="false">'Maintenance Policies'!D70*$C$8</f>
        <v>25000</v>
      </c>
      <c r="BK14" s="112" t="n">
        <f aca="false">IF(BH14="","N/A",VLOOKUP(BH14,CHOOSE({1,2},Table2[Pay Item Description],Table2[Unit Cost]),2,0))</f>
        <v>0.777777777777778</v>
      </c>
      <c r="BL14" s="27" t="n">
        <f aca="false">BK14*BJ14</f>
        <v>19444.4444444444</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8" t="n">
        <v>0</v>
      </c>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
        <v>558</v>
      </c>
      <c r="M15" s="115" t="str">
        <f aca="false">IF(L15="","N/A",VLOOKUP(L15,CHOOSE({1,2},Table2[Pay Item Description],Table2[Units]),2,0))</f>
        <v>S.F.</v>
      </c>
      <c r="N15" s="111" t="n">
        <f aca="false">'Maintenance Policies'!D52*$C$8</f>
        <v>25000</v>
      </c>
      <c r="O15" s="116" t="n">
        <f aca="false">IF(L15="","N/A",VLOOKUP(L15,CHOOSE({1,2},Table2[Pay Item Description],Table2[Unit Cost]),2,0))</f>
        <v>0.666666666666667</v>
      </c>
      <c r="P15" s="27" t="n">
        <f aca="false">O15*N15</f>
        <v>16666.6666666667</v>
      </c>
      <c r="R15" s="0" t="n">
        <v>3</v>
      </c>
      <c r="S15" s="19" t="str">
        <f aca="false">IF(T15="",0,VLOOKUP(T15,CHOOSE({1,2},Table2[Pay Item Description],Table2[Pay Item No.]),2,0))</f>
        <v>P-608-8.1</v>
      </c>
      <c r="T15" s="0" t="str">
        <f aca="false">C7</f>
        <v>Emulsified Asphalt Surface Treatment</v>
      </c>
      <c r="U15" s="21" t="str">
        <f aca="false">IF(T15="","N/A",VLOOKUP(T15,CHOOSE({1,2},Table2[Pay Item Description],Table2[Units]),2,0))</f>
        <v>S.Y.</v>
      </c>
      <c r="V15" s="113" t="n">
        <f aca="false">'Maintenance Policies'!D55*$C$5</f>
        <v>100083</v>
      </c>
      <c r="W15" s="114" t="n">
        <f aca="false">IF(T15="","N/A",VLOOKUP(T15,CHOOSE({1,2},Table2[Pay Item Description],Table2[Unit Cost]),2,0))</f>
        <v>4</v>
      </c>
      <c r="X15" s="30" t="n">
        <f aca="false">W15*V15</f>
        <v>400332</v>
      </c>
      <c r="Z15" s="1" t="n">
        <v>3</v>
      </c>
      <c r="AA15" s="109" t="str">
        <f aca="false">IF(AB15="",0,VLOOKUP(AB15,CHOOSE({1,2},Table2[Pay Item Description],Table2[Pay Item No.]),2,0))</f>
        <v>P-620-5.1a</v>
      </c>
      <c r="AB15" s="1" t="s">
        <v>558</v>
      </c>
      <c r="AC15" s="110" t="str">
        <f aca="false">IF(AB15="","N/A",VLOOKUP(AB15,CHOOSE({1,2},Table2[Pay Item Description],Table2[Units]),2,0))</f>
        <v>S.F.</v>
      </c>
      <c r="AD15" s="111" t="n">
        <f aca="false">'Maintenance Policies'!D58*$C$8</f>
        <v>25000</v>
      </c>
      <c r="AE15" s="112" t="n">
        <f aca="false">IF(AB15="","N/A",VLOOKUP(AB15,CHOOSE({1,2},Table2[Pay Item Description],Table2[Unit Cost]),2,0))</f>
        <v>0.666666666666667</v>
      </c>
      <c r="AF15" s="27" t="n">
        <f aca="false">AE15*AD15</f>
        <v>16666.6666666667</v>
      </c>
      <c r="AH15" s="0" t="n">
        <v>3</v>
      </c>
      <c r="AI15" s="19" t="str">
        <f aca="false">IF(AJ15="",0,VLOOKUP(AJ15,CHOOSE({1,2},Table2[Pay Item Description],Table2[Pay Item No.]),2,0))</f>
        <v>P-401-8.1a</v>
      </c>
      <c r="AJ15" s="6" t="s">
        <v>508</v>
      </c>
      <c r="AK15" s="21" t="str">
        <f aca="false">IF(AJ15="","N/A",VLOOKUP(AJ15,CHOOSE({1,2},Table2[Pay Item Description],Table2[Units]),2,0))</f>
        <v>TON</v>
      </c>
      <c r="AL15" s="113" t="n">
        <f aca="false">'Maintenance Policies'!D59*$C$5*AI6*AI7/2000</f>
        <v>12009.96</v>
      </c>
      <c r="AM15" s="114" t="n">
        <f aca="false">IF(AJ15="","N/A",VLOOKUP(AJ15,CHOOSE({1,2},Table2[Pay Item Description],Table2[Unit Cost]),2,0))</f>
        <v>130</v>
      </c>
      <c r="AN15" s="30" t="n">
        <f aca="false">AM15*AL15</f>
        <v>1561294.8</v>
      </c>
      <c r="AP15" s="1" t="n">
        <v>3</v>
      </c>
      <c r="AQ15" s="109" t="str">
        <f aca="false">IF(AR15="",0,VLOOKUP(AR15,CHOOSE({1,2},Table2[Pay Item Description],Table2[Pay Item No.]),2,0))</f>
        <v>P-620-5.1a</v>
      </c>
      <c r="AR15" s="1" t="s">
        <v>558</v>
      </c>
      <c r="AS15" s="110" t="str">
        <f aca="false">IF(AR15="","N/A",VLOOKUP(AR15,CHOOSE({1,2},Table2[Pay Item Description],Table2[Units]),2,0))</f>
        <v>S.F.</v>
      </c>
      <c r="AT15" s="111" t="n">
        <f aca="false">'Maintenance Policies'!D64*$C$8</f>
        <v>25000</v>
      </c>
      <c r="AU15" s="112" t="n">
        <f aca="false">IF(AR15="","N/A",VLOOKUP(AR15,CHOOSE({1,2},Table2[Pay Item Description],Table2[Unit Cost]),2,0))</f>
        <v>0.666666666666667</v>
      </c>
      <c r="AV15" s="27" t="n">
        <f aca="false">AU15*AT15</f>
        <v>16666.6666666667</v>
      </c>
      <c r="AX15" s="0" t="n">
        <v>3</v>
      </c>
      <c r="AY15" s="19" t="str">
        <f aca="false">IF(AZ15="",0,VLOOKUP(AZ15,CHOOSE({1,2},Table2[Pay Item Description],Table2[Pay Item No.]),2,0))</f>
        <v>P-608-8.1</v>
      </c>
      <c r="AZ15" s="0" t="str">
        <f aca="false">C7</f>
        <v>Emulsified Asphalt Surface Treatment</v>
      </c>
      <c r="BA15" s="21" t="str">
        <f aca="false">IF(AZ15="","N/A",VLOOKUP(AZ15,CHOOSE({1,2},Table2[Pay Item Description],Table2[Units]),2,0))</f>
        <v>S.Y.</v>
      </c>
      <c r="BB15" s="113" t="n">
        <f aca="false">'Maintenance Policies'!D67*$C$5</f>
        <v>100083</v>
      </c>
      <c r="BC15" s="114" t="n">
        <f aca="false">IF(AZ15="","N/A",VLOOKUP(AZ15,CHOOSE({1,2},Table2[Pay Item Description],Table2[Unit Cost]),2,0))</f>
        <v>4</v>
      </c>
      <c r="BD15" s="30" t="n">
        <f aca="false">BC15*BB15</f>
        <v>400332</v>
      </c>
      <c r="BF15" s="1" t="n">
        <v>3</v>
      </c>
      <c r="BG15" s="109" t="str">
        <f aca="false">IF(BH15="",0,VLOOKUP(BH15,CHOOSE({1,2},Table2[Pay Item Description],Table2[Pay Item No.]),2,0))</f>
        <v>P-620-5.1a</v>
      </c>
      <c r="BH15" s="1" t="s">
        <v>558</v>
      </c>
      <c r="BI15" s="110" t="str">
        <f aca="false">IF(BH15="","N/A",VLOOKUP(BH15,CHOOSE({1,2},Table2[Pay Item Description],Table2[Units]),2,0))</f>
        <v>S.F.</v>
      </c>
      <c r="BJ15" s="111" t="n">
        <f aca="false">'Maintenance Policies'!D70*$C$8</f>
        <v>25000</v>
      </c>
      <c r="BK15" s="112" t="n">
        <f aca="false">IF(BH15="","N/A",VLOOKUP(BH15,CHOOSE({1,2},Table2[Pay Item Description],Table2[Unit Cost]),2,0))</f>
        <v>0.666666666666667</v>
      </c>
      <c r="BL15" s="27" t="n">
        <f aca="false">BK15*BJ15</f>
        <v>16666.6666666667</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8" t="n">
        <v>0</v>
      </c>
      <c r="F16" s="23" t="str">
        <f aca="false">IF(C16="","N/A",VLOOKUP(C16,CHOOSE({1,2},Table2[Pay Item Description],Table2[Unit Cost]),2,0))</f>
        <v>N/A</v>
      </c>
      <c r="G16" s="24" t="n">
        <f aca="false">IF(B16&lt;&gt;0,F16*E16,0)</f>
        <v>0</v>
      </c>
      <c r="O16" s="1" t="s">
        <v>24</v>
      </c>
      <c r="P16" s="27" t="n">
        <f aca="false">SUM(P13:P15)</f>
        <v>436443.111111111</v>
      </c>
      <c r="R16" s="0" t="n">
        <v>4</v>
      </c>
      <c r="S16" s="0" t="str">
        <f aca="false">IF(T16="",0,VLOOKUP(T16,CHOOSE({1,2},Table2[Pay Item Description],Table2[Pay Item No.]),2,0))</f>
        <v>P-101-5.3</v>
      </c>
      <c r="T16" s="0" t="str">
        <f aca="false">Pay_Items!D10</f>
        <v>Markings Removal</v>
      </c>
      <c r="U16" s="117" t="str">
        <f aca="false">IF(T16="","N/A",VLOOKUP(T16,CHOOSE({1,2},Table2[Pay Item Description],Table2[Units]),2,0))</f>
        <v>S.F.</v>
      </c>
      <c r="V16" s="113" t="n">
        <f aca="false">'Maintenance Policies'!D56*$C$8</f>
        <v>25000</v>
      </c>
      <c r="W16" s="118" t="n">
        <f aca="false">IF(T16="","N/A",VLOOKUP(T16,CHOOSE({1,2},Table2[Pay Item Description],Table2[Unit Cost]),2,0))</f>
        <v>0.777777777777778</v>
      </c>
      <c r="X16" s="30" t="n">
        <f aca="false">W16*V16</f>
        <v>19444.4444444444</v>
      </c>
      <c r="AE16" s="1" t="s">
        <v>24</v>
      </c>
      <c r="AF16" s="27" t="n">
        <f aca="false">SUM(AF13:AF15)</f>
        <v>436443.111111111</v>
      </c>
      <c r="AH16" s="0" t="n">
        <v>4</v>
      </c>
      <c r="AI16" s="19" t="str">
        <f aca="false">IF(AJ16="",0,VLOOKUP(AJ16,CHOOSE({1,2},Table2[Pay Item Description],Table2[Pay Item No.]),2,0))</f>
        <v>P-101-5.2a</v>
      </c>
      <c r="AJ16" s="6" t="s">
        <v>436</v>
      </c>
      <c r="AK16" s="21" t="str">
        <f aca="false">IF(AJ16="","N/A",VLOOKUP(AJ16,CHOOSE({1,2},Table2[Pay Item Description],Table2[Units]),2,0))</f>
        <v>L.F.</v>
      </c>
      <c r="AL16" s="113" t="n">
        <f aca="false">'Maintenance Policies'!D60*($C$5*9)</f>
        <v>13511.205</v>
      </c>
      <c r="AM16" s="114" t="n">
        <f aca="false">IF(AJ16="","N/A",VLOOKUP(AJ16,CHOOSE({1,2},Table2[Pay Item Description],Table2[Unit Cost]),2,0))</f>
        <v>4</v>
      </c>
      <c r="AN16" s="30" t="n">
        <f aca="false">AM16*AL16</f>
        <v>54044.82</v>
      </c>
      <c r="AU16" s="1" t="s">
        <v>24</v>
      </c>
      <c r="AV16" s="27" t="n">
        <f aca="false">SUM(AV13:AV15)</f>
        <v>436443.111111111</v>
      </c>
      <c r="AX16" s="0" t="n">
        <v>4</v>
      </c>
      <c r="AY16" s="19" t="str">
        <f aca="false">IF(AZ16="",0,VLOOKUP(AZ16,CHOOSE({1,2},Table2[Pay Item Description],Table2[Pay Item No.]),2,0))</f>
        <v>P-101-5.3</v>
      </c>
      <c r="AZ16" s="6" t="s">
        <v>445</v>
      </c>
      <c r="BA16" s="21" t="str">
        <f aca="false">IF(AZ16="","N/A",VLOOKUP(AZ16,CHOOSE({1,2},Table2[Pay Item Description],Table2[Units]),2,0))</f>
        <v>S.F.</v>
      </c>
      <c r="BB16" s="113" t="n">
        <f aca="false">'Maintenance Policies'!D68*$C$8</f>
        <v>25000</v>
      </c>
      <c r="BC16" s="114" t="n">
        <f aca="false">IF(AZ16="","N/A",VLOOKUP(AZ16,CHOOSE({1,2},Table2[Pay Item Description],Table2[Unit Cost]),2,0))</f>
        <v>0.777777777777778</v>
      </c>
      <c r="BD16" s="30" t="n">
        <f aca="false">BC16*BB16</f>
        <v>19444.4444444444</v>
      </c>
      <c r="BK16" s="1" t="s">
        <v>24</v>
      </c>
      <c r="BL16" s="27" t="n">
        <f aca="false">SUM(BL13:BL15)</f>
        <v>436443.111111111</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8" t="n">
        <v>0</v>
      </c>
      <c r="F17" s="23" t="str">
        <f aca="false">IF(C17="","N/A",VLOOKUP(C17,CHOOSE({1,2},Table2[Pay Item Description],Table2[Unit Cost]),2,0))</f>
        <v>N/A</v>
      </c>
      <c r="G17" s="24" t="n">
        <f aca="false">IF(B17&lt;&gt;0,F17*E17,0)</f>
        <v>0</v>
      </c>
      <c r="L17" s="1" t="s">
        <v>25</v>
      </c>
      <c r="P17" s="27" t="n">
        <f aca="false">('General Information'!$D$36/100)*P16</f>
        <v>43644.3111111111</v>
      </c>
      <c r="R17" s="0" t="n">
        <v>5</v>
      </c>
      <c r="S17" s="0" t="str">
        <f aca="false">IF(T17="",0,VLOOKUP(T17,CHOOSE({1,2},Table2[Pay Item Description],Table2[Pay Item No.]),2,0))</f>
        <v>P-620-5.1a</v>
      </c>
      <c r="T17" s="0" t="str">
        <f aca="false">Pay_Items!D56</f>
        <v>Markings (prep, markings, reflective media)</v>
      </c>
      <c r="U17" s="117" t="str">
        <f aca="false">IF(T17="","N/A",VLOOKUP(T17,CHOOSE({1,2},Table2[Pay Item Description],Table2[Units]),2,0))</f>
        <v>S.F.</v>
      </c>
      <c r="V17" s="113" t="n">
        <f aca="false">'Maintenance Policies'!D56*$C$8</f>
        <v>25000</v>
      </c>
      <c r="W17" s="118" t="n">
        <f aca="false">IF(T17="","N/A",VLOOKUP(T17,CHOOSE({1,2},Table2[Pay Item Description],Table2[Unit Cost]),2,0))</f>
        <v>0.666666666666667</v>
      </c>
      <c r="X17" s="30" t="n">
        <f aca="false">W17*V17</f>
        <v>16666.6666666667</v>
      </c>
      <c r="AB17" s="1" t="s">
        <v>25</v>
      </c>
      <c r="AF17" s="27" t="n">
        <f aca="false">('General Information'!$D$36/100)*AF16</f>
        <v>43644.3111111111</v>
      </c>
      <c r="AH17" s="0" t="n">
        <v>5</v>
      </c>
      <c r="AI17" s="19" t="str">
        <f aca="false">IF(AJ17="",0,VLOOKUP(AJ17,CHOOSE({1,2},Table2[Pay Item Description],Table2[Pay Item No.]),2,0))</f>
        <v>P-101-5.4a</v>
      </c>
      <c r="AJ17" s="6" t="s">
        <v>447</v>
      </c>
      <c r="AK17" s="21" t="str">
        <f aca="false">IF(AJ17="","N/A",VLOOKUP(AJ17,CHOOSE({1,2},Table2[Pay Item Description],Table2[Units]),2,0))</f>
        <v>S.F.</v>
      </c>
      <c r="AL17" s="113" t="n">
        <f aca="false">'Maintenance Policies'!D61*($C$5*9)</f>
        <v>4503.735</v>
      </c>
      <c r="AM17" s="114" t="n">
        <f aca="false">IF(AJ17="","N/A",VLOOKUP(AJ17,CHOOSE({1,2},Table2[Pay Item Description],Table2[Unit Cost]),2,0))</f>
        <v>8.5</v>
      </c>
      <c r="AN17" s="30" t="n">
        <f aca="false">AM17*AL17</f>
        <v>38281.7475</v>
      </c>
      <c r="AR17" s="1" t="s">
        <v>25</v>
      </c>
      <c r="AV17" s="27" t="n">
        <f aca="false">('General Information'!$D$36/100)*AV16</f>
        <v>43644.3111111111</v>
      </c>
      <c r="AX17" s="0" t="n">
        <v>5</v>
      </c>
      <c r="AY17" s="19" t="str">
        <f aca="false">IF(AZ17="",0,VLOOKUP(AZ17,CHOOSE({1,2},Table2[Pay Item Description],Table2[Pay Item No.]),2,0))</f>
        <v>P-620-5.1a</v>
      </c>
      <c r="AZ17" s="6" t="s">
        <v>558</v>
      </c>
      <c r="BA17" s="21" t="str">
        <f aca="false">IF(AZ17="","N/A",VLOOKUP(AZ17,CHOOSE({1,2},Table2[Pay Item Description],Table2[Units]),2,0))</f>
        <v>S.F.</v>
      </c>
      <c r="BB17" s="113" t="n">
        <f aca="false">'Maintenance Policies'!D68*$C$8</f>
        <v>25000</v>
      </c>
      <c r="BC17" s="114" t="n">
        <f aca="false">IF(AZ17="","N/A",VLOOKUP(AZ17,CHOOSE({1,2},Table2[Pay Item Description],Table2[Unit Cost]),2,0))</f>
        <v>0.666666666666667</v>
      </c>
      <c r="BD17" s="30" t="n">
        <f aca="false">BC17*BB17</f>
        <v>16666.6666666667</v>
      </c>
      <c r="BH17" s="1" t="s">
        <v>25</v>
      </c>
      <c r="BL17" s="27" t="n">
        <f aca="false">('General Information'!$D$36/100)*BL16</f>
        <v>43644.3111111111</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8" t="n">
        <v>0</v>
      </c>
      <c r="F18" s="23" t="str">
        <f aca="false">IF(C18="","N/A",VLOOKUP(C18,CHOOSE({1,2},Table2[Pay Item Description],Table2[Unit Cost]),2,0))</f>
        <v>N/A</v>
      </c>
      <c r="G18" s="24" t="n">
        <f aca="false">IF(B18&lt;&gt;0,F18*E18,0)</f>
        <v>0</v>
      </c>
      <c r="L18" s="1" t="s">
        <v>26</v>
      </c>
      <c r="P18" s="27" t="n">
        <f aca="false">('General Information'!$D$37/100)*P16</f>
        <v>21822.1555555556</v>
      </c>
      <c r="W18" s="6" t="s">
        <v>24</v>
      </c>
      <c r="X18" s="30" t="n">
        <f aca="false">SUM(X13:X17)</f>
        <v>676266.999861111</v>
      </c>
      <c r="AB18" s="1" t="s">
        <v>26</v>
      </c>
      <c r="AF18" s="27" t="n">
        <f aca="false">('General Information'!$D$37/100)*AF16</f>
        <v>21822.1555555556</v>
      </c>
      <c r="AH18" s="0" t="n">
        <v>6</v>
      </c>
      <c r="AI18" s="19" t="str">
        <f aca="false">IF(AJ18="",0,VLOOKUP(AJ18,CHOOSE({1,2},Table2[Pay Item Description],Table2[Pay Item No.]),2,0))</f>
        <v>P-620-5.1a</v>
      </c>
      <c r="AJ18" s="6" t="s">
        <v>558</v>
      </c>
      <c r="AK18" s="21" t="str">
        <f aca="false">IF(AJ18="","N/A",VLOOKUP(AJ18,CHOOSE({1,2},Table2[Pay Item Description],Table2[Units]),2,0))</f>
        <v>S.F.</v>
      </c>
      <c r="AL18" s="113" t="n">
        <f aca="false">'Maintenance Policies'!D62*$C$8</f>
        <v>25000</v>
      </c>
      <c r="AM18" s="114" t="n">
        <f aca="false">IF(AJ18="","N/A",VLOOKUP(AJ18,CHOOSE({1,2},Table2[Pay Item Description],Table2[Unit Cost]),2,0))</f>
        <v>0.666666666666667</v>
      </c>
      <c r="AN18" s="30" t="n">
        <f aca="false">AM18*AL18</f>
        <v>16666.6666666667</v>
      </c>
      <c r="AR18" s="1" t="s">
        <v>26</v>
      </c>
      <c r="AV18" s="27" t="n">
        <f aca="false">('General Information'!$D$37/100)*AV16</f>
        <v>21822.1555555556</v>
      </c>
      <c r="BC18" s="6" t="s">
        <v>24</v>
      </c>
      <c r="BD18" s="30" t="n">
        <f aca="false">SUM(BD13:BD17)</f>
        <v>676266.999861111</v>
      </c>
      <c r="BH18" s="1" t="s">
        <v>26</v>
      </c>
      <c r="BL18" s="27" t="n">
        <f aca="false">('General Information'!$D$37/100)*BL16</f>
        <v>21822.1555555556</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8" t="n">
        <v>0</v>
      </c>
      <c r="F19" s="23" t="str">
        <f aca="false">IF(C19="","N/A",VLOOKUP(C19,CHOOSE({1,2},Table2[Pay Item Description],Table2[Unit Cost]),2,0))</f>
        <v>N/A</v>
      </c>
      <c r="G19" s="24" t="n">
        <f aca="false">IF(B19&lt;&gt;0,F19*E19,0)</f>
        <v>0</v>
      </c>
      <c r="O19" s="1" t="s">
        <v>27</v>
      </c>
      <c r="P19" s="27" t="n">
        <f aca="false">SUM(P16:P18)</f>
        <v>501909.577777778</v>
      </c>
      <c r="T19" s="6" t="s">
        <v>25</v>
      </c>
      <c r="X19" s="30" t="n">
        <f aca="false">('General Information'!$D$36/100)*X18</f>
        <v>67626.6999861111</v>
      </c>
      <c r="AE19" s="1" t="s">
        <v>27</v>
      </c>
      <c r="AF19" s="27" t="n">
        <f aca="false">SUM(AF16:AF18)</f>
        <v>501909.577777778</v>
      </c>
      <c r="AM19" s="6" t="s">
        <v>24</v>
      </c>
      <c r="AN19" s="30" t="n">
        <f aca="false">SUM(AN13:AN18)</f>
        <v>2202229.17916667</v>
      </c>
      <c r="AU19" s="1" t="s">
        <v>27</v>
      </c>
      <c r="AV19" s="27" t="n">
        <f aca="false">SUM(AV16:AV18)</f>
        <v>501909.577777778</v>
      </c>
      <c r="AZ19" s="6" t="s">
        <v>25</v>
      </c>
      <c r="BD19" s="30" t="n">
        <f aca="false">('General Information'!$D$36/100)*BD18</f>
        <v>67626.6999861111</v>
      </c>
      <c r="BK19" s="1" t="s">
        <v>27</v>
      </c>
      <c r="BL19" s="27" t="n">
        <f aca="false">SUM(BL16:BL18)</f>
        <v>501909.577777778</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8" t="n">
        <v>0</v>
      </c>
      <c r="F20" s="23" t="str">
        <f aca="false">IF(C20="","N/A",VLOOKUP(C20,CHOOSE({1,2},Table2[Pay Item Description],Table2[Unit Cost]),2,0))</f>
        <v>N/A</v>
      </c>
      <c r="G20" s="24" t="n">
        <f aca="false">IF(B20&lt;&gt;0,F20*E20,0)</f>
        <v>0</v>
      </c>
      <c r="T20" s="6" t="s">
        <v>26</v>
      </c>
      <c r="X20" s="30" t="n">
        <f aca="false">('General Information'!$D$37/100)*X18</f>
        <v>33813.3499930556</v>
      </c>
      <c r="AJ20" s="6" t="s">
        <v>25</v>
      </c>
      <c r="AN20" s="30" t="n">
        <f aca="false">('General Information'!$D$36/100)*AN19</f>
        <v>220222.917916667</v>
      </c>
      <c r="AZ20" s="6" t="s">
        <v>26</v>
      </c>
      <c r="BD20" s="30" t="n">
        <f aca="false">('General Information'!$D$37/100)*BD18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8" t="n">
        <v>0</v>
      </c>
      <c r="F21" s="23" t="str">
        <f aca="false">IF(C21="","N/A",VLOOKUP(C21,CHOOSE({1,2},Table2[Pay Item Description],Table2[Unit Cost]),2,0))</f>
        <v>N/A</v>
      </c>
      <c r="G21" s="24" t="n">
        <f aca="false">IF(B21&lt;&gt;0,F21*E21,0)</f>
        <v>0</v>
      </c>
      <c r="W21" s="6" t="s">
        <v>27</v>
      </c>
      <c r="X21" s="30" t="n">
        <f aca="false">SUM(X18:X20)</f>
        <v>777707.049840278</v>
      </c>
      <c r="AJ21" s="6" t="s">
        <v>26</v>
      </c>
      <c r="AN21" s="30" t="n">
        <f aca="false">('General Information'!$D$37/100)*AN19</f>
        <v>110111.458958333</v>
      </c>
      <c r="BC21" s="6" t="s">
        <v>27</v>
      </c>
      <c r="BD21" s="30" t="n">
        <f aca="false">SUM(BD18:BD20)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8" t="n">
        <v>0</v>
      </c>
      <c r="F22" s="23" t="str">
        <f aca="false">IF(C22="","N/A",VLOOKUP(C22,CHOOSE({1,2},Table2[Pay Item Description],Table2[Unit Cost]),2,0))</f>
        <v>N/A</v>
      </c>
      <c r="G22" s="24" t="n">
        <f aca="false">IF(B22&lt;&gt;0,F22*E22,0)</f>
        <v>0</v>
      </c>
      <c r="AM22" s="6" t="s">
        <v>27</v>
      </c>
      <c r="AN22" s="30" t="n">
        <f aca="false">SUM(AN19:AN21)</f>
        <v>2532563.55604167</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s="7" customFormat="true" ht="15" hidden="false" customHeight="false" outlineLevel="0" collapsed="false">
      <c r="A27" s="7" t="s">
        <v>27</v>
      </c>
      <c r="G27" s="119"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28</v>
      </c>
    </row>
    <row r="33" customFormat="false" ht="15" hidden="false" customHeight="false" outlineLevel="0" collapsed="false">
      <c r="A33" s="7" t="s">
        <v>673</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0</v>
      </c>
      <c r="E36" s="39" t="n">
        <f aca="false">D36</f>
        <v>0</v>
      </c>
      <c r="K36" s="1" t="s">
        <v>35</v>
      </c>
      <c r="L36" s="1" t="s">
        <v>670</v>
      </c>
      <c r="M36" s="1" t="s">
        <v>671</v>
      </c>
    </row>
    <row r="37" customFormat="false" ht="15" hidden="false" customHeight="false" outlineLevel="0" collapsed="false">
      <c r="B37" s="40" t="s">
        <v>4</v>
      </c>
      <c r="C37" s="41" t="n">
        <f aca="false">'Maintenance Policies'!E51</f>
        <v>4</v>
      </c>
      <c r="D37" s="42" t="n">
        <f aca="false">P19</f>
        <v>501909.577777778</v>
      </c>
      <c r="E37" s="43" t="n">
        <f aca="false">IF(C37&gt;'General Information'!$D$33,0,D37/(1+('General Information'!$D$34/100))^C37)</f>
        <v>445940.159080388</v>
      </c>
      <c r="K37" s="1" t="n">
        <f aca="false">C6</f>
        <v>2027</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595</v>
      </c>
      <c r="C38" s="41" t="n">
        <f aca="false">'Maintenance Policies'!E53</f>
        <v>8</v>
      </c>
      <c r="D38" s="42" t="n">
        <f aca="false">X21</f>
        <v>777707.049840278</v>
      </c>
      <c r="E38" s="43" t="n">
        <f aca="false">IF(C38&gt;'General Information'!$D$33,0,D38/(1+('General Information'!$D$34/100))^C38)</f>
        <v>613929.126734963</v>
      </c>
      <c r="K38" s="1" t="n">
        <f aca="false">K37+1</f>
        <v>2028</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596</v>
      </c>
      <c r="C39" s="41" t="n">
        <f aca="false">'Maintenance Policies'!E57</f>
        <v>12</v>
      </c>
      <c r="D39" s="42" t="n">
        <f aca="false">AF19</f>
        <v>501909.577777778</v>
      </c>
      <c r="E39" s="43" t="n">
        <f aca="false">IF(C39&gt;'General Information'!$D$33,0,D39/(1+('General Information'!$D$34/100))^C39)</f>
        <v>352029.279529483</v>
      </c>
      <c r="K39" s="1" t="n">
        <f aca="false">K38+1</f>
        <v>2029</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v>
      </c>
      <c r="C40" s="41" t="n">
        <f aca="false">'Maintenance Policies'!E59</f>
        <v>16</v>
      </c>
      <c r="D40" s="42" t="n">
        <f aca="false">AN22</f>
        <v>2532563.55604167</v>
      </c>
      <c r="E40" s="43" t="n">
        <f aca="false">IF(C40&gt;'General Information'!$D$33,0,D40/(1+('General Information'!$D$34/100))^C40)</f>
        <v>1578209.87959889</v>
      </c>
      <c r="K40" s="1" t="n">
        <f aca="false">K39+1</f>
        <v>2030</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601</v>
      </c>
      <c r="C41" s="41" t="n">
        <f aca="false">'Maintenance Policies'!E63</f>
        <v>20</v>
      </c>
      <c r="D41" s="42" t="n">
        <f aca="false">AV19</f>
        <v>501909.577777778</v>
      </c>
      <c r="E41" s="43" t="n">
        <f aca="false">IF(C41&gt;'General Information'!$D$33,0,D41/(1+('General Information'!$D$34/100))^C41)</f>
        <v>277895.164009456</v>
      </c>
      <c r="K41" s="1" t="n">
        <f aca="false">K40+1</f>
        <v>2031</v>
      </c>
      <c r="L41" s="27" t="n">
        <f aca="false">IF(K41-$C$6&gt;'General Information'!$D$33,0,IF(K41=$C$6,$D$36,0)+SUMIF($C$37:$C$44,K41-$C$6,$D$37:$D$44))</f>
        <v>501909.577777778</v>
      </c>
      <c r="M41" s="27" t="n">
        <f aca="false">IF(K41-$C$6&gt;'General Information'!$D$33,0,IF(K41=$C$6,$E$36,0)+SUMIF($C$37:$C$44,K41-$C$6,$E$37:$E$44))</f>
        <v>445940.159080388</v>
      </c>
    </row>
    <row r="42" customFormat="false" ht="15" hidden="false" customHeight="false" outlineLevel="0" collapsed="false">
      <c r="B42" s="40" t="s">
        <v>607</v>
      </c>
      <c r="C42" s="41" t="n">
        <f aca="false">'Maintenance Policies'!E65</f>
        <v>24</v>
      </c>
      <c r="D42" s="42" t="n">
        <f aca="false">BD21</f>
        <v>777707.049840278</v>
      </c>
      <c r="E42" s="43" t="n">
        <f aca="false">IF(C42&gt;'General Information'!$D$33,0,D42/(1+('General Information'!$D$34/100))^C42)</f>
        <v>382580.334805505</v>
      </c>
      <c r="K42" s="1" t="n">
        <f aca="false">K41+1</f>
        <v>2032</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608</v>
      </c>
      <c r="C43" s="41" t="n">
        <f aca="false">'Maintenance Policies'!E69</f>
        <v>28</v>
      </c>
      <c r="D43" s="42" t="n">
        <f aca="false">BL19</f>
        <v>501909.577777778</v>
      </c>
      <c r="E43" s="43" t="n">
        <f aca="false">IF(C43&gt;'General Information'!$D$33,0,D43/(1+('General Information'!$D$34/100))^C43)</f>
        <v>219373.00864025</v>
      </c>
      <c r="K43" s="1" t="n">
        <f aca="false">K42+1</f>
        <v>2033</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Policies'!D71*AN22</f>
        <v>-0</v>
      </c>
      <c r="E44" s="43" t="n">
        <f aca="false">IF(C44&gt;'General Information'!$D$33,0,D44/(1+('General Information'!$D$34/100))^C44)</f>
        <v>-0</v>
      </c>
      <c r="K44" s="1" t="n">
        <f aca="false">K43+1</f>
        <v>2034</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3869956.95239894</v>
      </c>
      <c r="K45" s="1" t="n">
        <f aca="false">K44+1</f>
        <v>2035</v>
      </c>
      <c r="L45" s="27" t="n">
        <f aca="false">IF(K45-$C$6&gt;'General Information'!$D$33,0,IF(K45=$C$6,$D$36,0)+SUMIF($C$37:$C$44,K45-$C$6,$D$37:$D$44))</f>
        <v>777707.049840278</v>
      </c>
      <c r="M45" s="27" t="n">
        <f aca="false">IF(K45-$C$6&gt;'General Information'!$D$33,0,IF(K45=$C$6,$E$36,0)+SUMIF($C$37:$C$44,K45-$C$6,$E$37:$E$44))</f>
        <v>613929.126734963</v>
      </c>
    </row>
    <row r="46" customFormat="false" ht="15" hidden="false" customHeight="false" outlineLevel="0" collapsed="false">
      <c r="K46" s="1" t="n">
        <f aca="false">K45+1</f>
        <v>2036</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2037</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2038</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2039</v>
      </c>
      <c r="L49" s="27" t="n">
        <f aca="false">IF(K49-$C$6&gt;'General Information'!$D$33,0,IF(K49=$C$6,$D$36,0)+SUMIF($C$37:$C$44,K49-$C$6,$D$37:$D$44))</f>
        <v>501909.577777778</v>
      </c>
      <c r="M49" s="27" t="n">
        <f aca="false">IF(K49-$C$6&gt;'General Information'!$D$33,0,IF(K49=$C$6,$E$36,0)+SUMIF($C$37:$C$44,K49-$C$6,$E$37:$E$44))</f>
        <v>352029.279529483</v>
      </c>
    </row>
    <row r="50" customFormat="false" ht="15" hidden="false" customHeight="false" outlineLevel="0" collapsed="false">
      <c r="K50" s="1" t="n">
        <f aca="false">K49+1</f>
        <v>2040</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2041</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2042</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2043</v>
      </c>
      <c r="L53" s="27" t="n">
        <f aca="false">IF(K53-$C$6&gt;'General Information'!$D$33,0,IF(K53=$C$6,$D$36,0)+SUMIF($C$37:$C$44,K53-$C$6,$D$37:$D$44))</f>
        <v>2532563.55604167</v>
      </c>
      <c r="M53" s="27" t="n">
        <f aca="false">IF(K53-$C$6&gt;'General Information'!$D$33,0,IF(K53=$C$6,$E$36,0)+SUMIF($C$37:$C$44,K53-$C$6,$E$37:$E$44))</f>
        <v>1578209.87959889</v>
      </c>
    </row>
    <row r="54" customFormat="false" ht="15" hidden="false" customHeight="false" outlineLevel="0" collapsed="false">
      <c r="K54" s="1" t="n">
        <f aca="false">K53+1</f>
        <v>2044</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2045</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2046</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2047</v>
      </c>
      <c r="L57" s="27" t="n">
        <f aca="false">IF(K57-$C$6&gt;'General Information'!$D$33,0,IF(K57=$C$6,$D$36,0)+SUMIF($C$37:$C$44,K57-$C$6,$D$37:$D$44))</f>
        <v>501909.577777778</v>
      </c>
      <c r="M57" s="27" t="n">
        <f aca="false">IF(K57-$C$6&gt;'General Information'!$D$33,0,IF(K57=$C$6,$E$36,0)+SUMIF($C$37:$C$44,K57-$C$6,$E$37:$E$44))</f>
        <v>277895.164009456</v>
      </c>
    </row>
    <row r="58" customFormat="false" ht="15" hidden="false" customHeight="false" outlineLevel="0" collapsed="false">
      <c r="K58" s="1" t="n">
        <f aca="false">K57+1</f>
        <v>2048</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2049</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2050</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2051</v>
      </c>
      <c r="L61" s="27" t="n">
        <f aca="false">IF(K61-$C$6&gt;'General Information'!$D$33,0,IF(K61=$C$6,$D$36,0)+SUMIF($C$37:$C$44,K61-$C$6,$D$37:$D$44))</f>
        <v>777707.049840278</v>
      </c>
      <c r="M61" s="27" t="n">
        <f aca="false">IF(K61-$C$6&gt;'General Information'!$D$33,0,IF(K61=$C$6,$E$36,0)+SUMIF($C$37:$C$44,K61-$C$6,$E$37:$E$44))</f>
        <v>382580.334805505</v>
      </c>
    </row>
    <row r="62" customFormat="false" ht="15" hidden="false" customHeight="false" outlineLevel="0" collapsed="false">
      <c r="K62" s="1" t="n">
        <f aca="false">K61+1</f>
        <v>2052</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2053</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2054</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2055</v>
      </c>
      <c r="L65" s="27" t="n">
        <f aca="false">IF(K65-$C$6&gt;'General Information'!$D$33,0,IF(K65=$C$6,$D$36,0)+SUMIF($C$37:$C$44,K65-$C$6,$D$37:$D$44))</f>
        <v>501909.577777778</v>
      </c>
      <c r="M65" s="27" t="n">
        <f aca="false">IF(K65-$C$6&gt;'General Information'!$D$33,0,IF(K65=$C$6,$E$36,0)+SUMIF($C$37:$C$44,K65-$C$6,$E$37:$E$44))</f>
        <v>219373.00864025</v>
      </c>
    </row>
    <row r="66" customFormat="false" ht="15" hidden="false" customHeight="false" outlineLevel="0" collapsed="false">
      <c r="K66" s="1" t="n">
        <f aca="false">K65+1</f>
        <v>2056</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2057</v>
      </c>
      <c r="L67" s="27" t="n">
        <f aca="false">IF(K67-$C$6&gt;'General Information'!$D$33,0,IF(K67=$C$6,$D$36,0)+SUMIF($C$37:$C$44,K67-$C$6,$D$37:$D$44))</f>
        <v>0</v>
      </c>
      <c r="M67" s="27" t="n">
        <f aca="false">IF(K67-$C$6&gt;'General Information'!$D$33,0,IF(K67=$C$6,$E$36,0)+SUMIF($C$37:$C$44,K67-$C$6,$E$37:$E$44))</f>
        <v>0</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674</v>
      </c>
    </row>
    <row r="45" customFormat="false" ht="15" hidden="false" customHeight="false" outlineLevel="0" collapsed="false">
      <c r="E45" s="0" t="s">
        <v>675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21.75" hidden="false" customHeight="true" outlineLevel="0" collapsed="false">
      <c r="G1" s="3" t="str">
        <f aca="false">HYPERLINK("#'General Information'!D9","◄ General Information")</f>
        <v>◄ General Information</v>
      </c>
      <c r="H1" s="4" t="str">
        <f aca="false">HYPERLINK("#Instructions!B9","Instructions")</f>
        <v>Instructions</v>
      </c>
      <c r="J1" s="129" t="s">
        <v>676</v>
      </c>
      <c r="L1" s="130"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McKellar-Sipes Regional Airport (MKL)  |  Jackson, West region |  Runway 2-20 (Reconstruction)  |  construction 2027  |  30 years at 3%</v>
      </c>
      <c r="W1" s="130" t="s">
        <v>677</v>
      </c>
    </row>
    <row r="2" customFormat="false" ht="15" hidden="false" customHeight="false" outlineLevel="0" collapsed="false">
      <c r="G2" s="60" t="s">
        <v>678</v>
      </c>
      <c r="S2" s="131" t="s">
        <v>679</v>
      </c>
      <c r="T2" s="131"/>
      <c r="U2" s="131"/>
      <c r="V2" s="131"/>
    </row>
    <row r="3" customFormat="false" ht="13.5" hidden="false" customHeight="true" outlineLevel="0" collapsed="false">
      <c r="A3" s="132" t="s">
        <v>680</v>
      </c>
      <c r="B3" s="132" t="s">
        <v>55</v>
      </c>
      <c r="C3" s="132" t="s">
        <v>34</v>
      </c>
      <c r="D3" s="132" t="s">
        <v>681</v>
      </c>
      <c r="E3" s="132" t="s">
        <v>682</v>
      </c>
      <c r="G3" s="133" t="s">
        <v>683</v>
      </c>
      <c r="H3" s="133"/>
      <c r="I3" s="133"/>
      <c r="J3" s="133"/>
      <c r="K3" s="133" t="s">
        <v>684</v>
      </c>
      <c r="L3" s="133"/>
      <c r="M3" s="133"/>
      <c r="N3" s="133"/>
      <c r="O3" s="133" t="s">
        <v>685</v>
      </c>
      <c r="P3" s="133"/>
      <c r="Q3" s="133"/>
      <c r="R3" s="133"/>
      <c r="W3" s="130" t="s">
        <v>686</v>
      </c>
    </row>
    <row r="4" customFormat="false" ht="24" hidden="false" customHeight="true" outlineLevel="0" collapsed="false">
      <c r="A4" s="0" t="s">
        <v>687</v>
      </c>
      <c r="B4" s="0" t="s">
        <v>573</v>
      </c>
      <c r="C4" s="30" t="n">
        <f aca="false">'Alt 1 (New HMA)'!G27</f>
        <v>12372457.4666667</v>
      </c>
      <c r="D4" s="30" t="n">
        <f aca="false">'Alt 1 (New HMA)'!E52</f>
        <v>16528083.6250713</v>
      </c>
      <c r="E4" s="0" t="s">
        <v>688</v>
      </c>
      <c r="G4" s="134" t="str">
        <f aca="false">IF(COUNT($O$12:$O$15)=0,"-",TEXT(MIN($O$12:$O$15),"$#,##0"))</f>
        <v>$14,066,568</v>
      </c>
      <c r="H4" s="134"/>
      <c r="I4" s="134"/>
      <c r="J4" s="134"/>
      <c r="K4" s="134" t="str">
        <f aca="false">IF(COUNT($O$12:$O$15)&lt;2,"-",TEXT(IF(COUNT($O$12:$O$15)&lt;2,0,SMALL($O$12:$O$15,2)-MIN($O$12:$O$15)),"$#,##0"))</f>
        <v>$527,651</v>
      </c>
      <c r="L4" s="134"/>
      <c r="M4" s="134"/>
      <c r="N4" s="134"/>
      <c r="O4" s="134" t="str">
        <f aca="false">IF(COUNT($O$12:$O$15)=0,"-",TEXT(MIN($O$12:$O$15)*(('General Information'!$D$34/100)*(1+'General Information'!$D$34/100)^'General Information'!$D$33/((1+'General Information'!$D$34/100)^'General Information'!$D$33-1)),"$#,##0"))</f>
        <v>$717,666</v>
      </c>
      <c r="P4" s="134"/>
      <c r="Q4" s="134"/>
      <c r="R4" s="134"/>
      <c r="W4" s="132" t="s">
        <v>689</v>
      </c>
      <c r="X4" s="132" t="str">
        <f aca="false">IF($H$12="","",$H$12)</f>
        <v>Alternative 1</v>
      </c>
      <c r="Y4" s="132" t="str">
        <f aca="false">IF($H$13="","",$H$13)</f>
        <v>Alternative 2</v>
      </c>
      <c r="Z4" s="132" t="str">
        <f aca="false">IF($H$14="","",$H$14)</f>
        <v>Alternative 3</v>
      </c>
      <c r="AA4" s="132" t="str">
        <f aca="false">IF($H$15="","",$H$15)</f>
        <v>Alternative 4</v>
      </c>
    </row>
    <row r="5" customFormat="false" ht="15" hidden="false" customHeight="true" outlineLevel="0" collapsed="false">
      <c r="A5" s="0" t="s">
        <v>690</v>
      </c>
      <c r="B5" s="0" t="s">
        <v>577</v>
      </c>
      <c r="C5" s="30" t="n">
        <f aca="false">'Alt 2 (New PCC)'!G27</f>
        <v>13830665.5166667</v>
      </c>
      <c r="D5" s="30" t="n">
        <f aca="false">'Alt 2 (New PCC)'!E43</f>
        <v>14066568.3801067</v>
      </c>
      <c r="E5" s="0" t="s">
        <v>691</v>
      </c>
      <c r="G5" s="135" t="str">
        <f aca="false">IF(COUNT($O$12:$O$15)=0,"No alternatives yet",INDEX($H$12:$H$15,MATCH(MIN($O$12:$O$15),$O$12:$O$15,0))&amp;IF(INDEX($P$93:$P$96,MATCH(MIN($O$12:$O$15),$O$12:$O$15,0))="",""," - "&amp;INDEX($P$93:$P$96,MATCH(MIN($O$12:$O$15),$O$12:$O$15,0))))</f>
        <v>Alternative 2 - 9" P501 on 8" P209 on 8" P154</v>
      </c>
      <c r="H5" s="135"/>
      <c r="I5" s="135"/>
      <c r="J5" s="135"/>
      <c r="K5" s="135" t="str">
        <f aca="false">IF(COUNT($O$12:$O$15)&lt;2,"only one alternative so far",TEXT(IF(COUNT($O$12:$O$15)&lt;2,0,SMALL($O$12:$O$15,2)-MIN($O$12:$O$15))/MIN($O$12:$O$15),"0.0%")&amp;IF(IF(COUNT($O$12:$O$15)&lt;2,0,SMALL($O$12:$O$15,2)-MIN($O$12:$O$15))/MIN($O$12:$O$15)&lt;0.05," - under 5%, treat the two as tied"," of the lowest present worth"))</f>
        <v>3.8% - under 5%, treat the two as tied</v>
      </c>
      <c r="L5" s="135"/>
      <c r="M5" s="135"/>
      <c r="N5" s="135"/>
      <c r="O5" s="135" t="str">
        <f aca="false">"per year, "&amp;'General Information'!$D$33&amp;" years at "&amp;'General Information'!$D$34&amp;"%"</f>
        <v>per year, 30 years at 3%</v>
      </c>
      <c r="P5" s="135"/>
      <c r="Q5" s="135"/>
      <c r="R5" s="135"/>
      <c r="W5" s="136" t="s">
        <v>692</v>
      </c>
      <c r="X5" s="137" t="n">
        <f aca="false">IF(J12="",0,J12)</f>
        <v>12372457.4666667</v>
      </c>
      <c r="Y5" s="137" t="n">
        <f aca="false">IF(J13="",0,J13)</f>
        <v>13830665.5166667</v>
      </c>
      <c r="Z5" s="137" t="n">
        <f aca="false">IF(J14="",0,J14)</f>
        <v>14671661.6666667</v>
      </c>
      <c r="AA5" s="137" t="n">
        <f aca="false">IF(J15="",0,J15)</f>
        <v>14418903.1666667</v>
      </c>
    </row>
    <row r="6" customFormat="false" ht="6" hidden="false" customHeight="true" outlineLevel="0" collapsed="false">
      <c r="A6" s="0" t="s">
        <v>693</v>
      </c>
      <c r="B6" s="0" t="s">
        <v>580</v>
      </c>
      <c r="C6" s="30" t="n">
        <f aca="false">'Alt 3 (New HMA)'!G27</f>
        <v>14671661.6666667</v>
      </c>
      <c r="D6" s="30" t="n">
        <f aca="false">'Alt 3 (New HMA)'!E52</f>
        <v>18827287.8250713</v>
      </c>
      <c r="E6" s="0" t="s">
        <v>694</v>
      </c>
      <c r="W6" s="136" t="s">
        <v>695</v>
      </c>
      <c r="X6" s="137" t="n">
        <f aca="false">IF(K12="",0,K12)</f>
        <v>2379784.64860648</v>
      </c>
      <c r="Y6" s="137" t="n">
        <f aca="false">IF(K13="",0,K13)</f>
        <v>784497.330925104</v>
      </c>
      <c r="Z6" s="137" t="n">
        <f aca="false">IF(K14="",0,K14)</f>
        <v>2379784.64860648</v>
      </c>
      <c r="AA6" s="137" t="n">
        <f aca="false">IF(K15="",0,K15)</f>
        <v>784497.330925104</v>
      </c>
    </row>
    <row r="7" customFormat="false" ht="13.5" hidden="false" customHeight="true" outlineLevel="0" collapsed="false">
      <c r="A7" s="0" t="s">
        <v>696</v>
      </c>
      <c r="B7" s="0" t="s">
        <v>582</v>
      </c>
      <c r="C7" s="30" t="n">
        <f aca="false">'Alt 4 (New PCC)'!G27</f>
        <v>14418903.1666667</v>
      </c>
      <c r="D7" s="30" t="n">
        <f aca="false">'Alt 4 (New PCC)'!E43</f>
        <v>14594219.4992945</v>
      </c>
      <c r="E7" s="0" t="s">
        <v>697</v>
      </c>
      <c r="G7" s="133" t="s">
        <v>698</v>
      </c>
      <c r="H7" s="133"/>
      <c r="I7" s="133"/>
      <c r="J7" s="133"/>
      <c r="K7" s="133" t="s">
        <v>699</v>
      </c>
      <c r="L7" s="133"/>
      <c r="M7" s="133"/>
      <c r="N7" s="133"/>
      <c r="O7" s="133" t="s">
        <v>700</v>
      </c>
      <c r="P7" s="133"/>
      <c r="Q7" s="133"/>
      <c r="R7" s="133"/>
      <c r="W7" s="136" t="s">
        <v>701</v>
      </c>
      <c r="X7" s="137" t="n">
        <f aca="false">IF(L12="",0,L12)</f>
        <v>1410821.98752729</v>
      </c>
      <c r="Y7" s="137" t="n">
        <f aca="false">IF(L13="",0,L13)</f>
        <v>724784.190874235</v>
      </c>
      <c r="Z7" s="137" t="n">
        <f aca="false">IF(L14="",0,L14)</f>
        <v>1410821.98752729</v>
      </c>
      <c r="AA7" s="137" t="n">
        <f aca="false">IF(L15="",0,L15)</f>
        <v>724784.190874235</v>
      </c>
    </row>
    <row r="8" customFormat="false" ht="24" hidden="false" customHeight="true" outlineLevel="0" collapsed="false">
      <c r="G8" s="134" t="str">
        <f aca="false">IF(COUNT($O$12:$O$15)=0,"-",TEXT(INDEX($J$12:$J$15,MATCH(MIN($O$12:$O$15),$O$12:$O$15,0)),"$#,##0"))</f>
        <v>$13,830,666</v>
      </c>
      <c r="H8" s="134"/>
      <c r="I8" s="134"/>
      <c r="J8" s="134"/>
      <c r="K8" s="134" t="str">
        <f aca="false">IF(OR(COUNT($O$12:$O$15)=0,'General Information'!$D$26=0,'General Information'!$D$26=""),"-",TEXT(INDEX($J$12:$J$15,MATCH(MIN($O$12:$O$15),$O$12:$O$15,0))/'General Information'!$D$26,"$#,##0")&amp;" / S.Y.")</f>
        <v>$138 / S.Y.</v>
      </c>
      <c r="L8" s="134"/>
      <c r="M8" s="134"/>
      <c r="N8" s="134"/>
      <c r="O8" s="138" t="str">
        <f aca="false">IF(COUNT($O$12:$O$15)&lt;2,"-",IF(AND(INDEX($H$12:$H$15,MATCH(MIN($O$12:$O$15),$O$12:$O$15,0))=INDEX($H$12:$H$15,MATCH(SMALL($X$12:$AA$12,COUNTIF($X$12:$AA$12,0)+1),$X$12:$AA$12,0)),INDEX($H$12:$H$15,MATCH(MIN($O$12:$O$15),$O$12:$O$15,0))=INDEX($H$12:$H$15,MATCH(SMALL($X$32:$AA$32,COUNTIF($X$32:$AA$32,0)+1),$X$32:$AA$32,0))),"holds 2-8%","the winner changes"))</f>
        <v>holds 2-8%</v>
      </c>
      <c r="P8" s="138"/>
      <c r="Q8" s="138"/>
      <c r="R8" s="138"/>
      <c r="W8" s="136" t="s">
        <v>702</v>
      </c>
      <c r="X8" s="137" t="n">
        <f aca="false">IF(M12="",0,M12)</f>
        <v>496242.529261035</v>
      </c>
      <c r="Y8" s="137" t="n">
        <f aca="false">IF(M13="",0,M13)</f>
        <v>151134.108680669</v>
      </c>
      <c r="Z8" s="137" t="n">
        <f aca="false">IF(M14="",0,M14)</f>
        <v>496242.529261035</v>
      </c>
      <c r="AA8" s="137" t="n">
        <f aca="false">IF(M15="",0,M15)</f>
        <v>151134.108680669</v>
      </c>
    </row>
    <row r="9" customFormat="false" ht="15" hidden="false" customHeight="true" outlineLevel="0" collapsed="false">
      <c r="G9" s="135" t="str">
        <f aca="false">"of the lowest-cost alternative, including "&amp;'General Information'!$D$36&amp;"% mobilization and "&amp;'General Information'!$D$37&amp;"% engineering"</f>
        <v>of the lowest-cost alternative, including 10% mobilization and 5% engineering</v>
      </c>
      <c r="H9" s="135"/>
      <c r="I9" s="135"/>
      <c r="J9" s="135"/>
      <c r="K9" s="135" t="str">
        <f aca="false">"initial construction over the mainline area; see the benchmark under chart 5"</f>
        <v>initial construction over the mainline area; see the benchmark under chart 5</v>
      </c>
      <c r="L9" s="135"/>
      <c r="M9" s="135"/>
      <c r="N9" s="135"/>
      <c r="O9" s="135" t="str">
        <f aca="false">IF(COUNT($O$12:$O$15)&lt;2,"needs two alternatives",IF(AND(INDEX($H$12:$H$15,MATCH(MIN($O$12:$O$15),$O$12:$O$15,0))=INDEX($H$12:$H$15,MATCH(SMALL($X$12:$AA$12,COUNTIF($X$12:$AA$12,0)+1),$X$12:$AA$12,0)),INDEX($H$12:$H$15,MATCH(MIN($O$12:$O$15),$O$12:$O$15,0))=INDEX($H$12:$H$15,MATCH(SMALL($X$32:$AA$32,COUNTIF($X$32:$AA$32,0)+1),$X$32:$AA$32,0))),"the lowest-cost alternative is the same at every rate tested","the lowest-cost alternative is not the same at every rate: see chart 2"))</f>
        <v>the lowest-cost alternative is the same at every rate tested</v>
      </c>
      <c r="P9" s="135"/>
      <c r="Q9" s="135"/>
      <c r="R9" s="135"/>
      <c r="W9" s="136" t="s">
        <v>41</v>
      </c>
      <c r="X9" s="137" t="n">
        <f aca="false">IF(N12="",0,N12)</f>
        <v>-131223.006990195</v>
      </c>
      <c r="Y9" s="137" t="n">
        <f aca="false">IF(N13="",0,N13)</f>
        <v>-1424512.76703997</v>
      </c>
      <c r="Z9" s="137" t="n">
        <f aca="false">IF(N14="",0,N14)</f>
        <v>-131223.006990195</v>
      </c>
      <c r="AA9" s="137" t="n">
        <f aca="false">IF(N15="",0,N15)</f>
        <v>-1485099.29785216</v>
      </c>
    </row>
    <row r="10" customFormat="false" ht="6" hidden="false" customHeight="true" outlineLevel="0" collapsed="false">
      <c r="W10" s="130" t="s">
        <v>703</v>
      </c>
    </row>
    <row r="11" customFormat="false" ht="15" hidden="false" customHeight="false" outlineLevel="0" collapsed="false">
      <c r="G11" s="132" t="s">
        <v>704</v>
      </c>
      <c r="H11" s="132" t="s">
        <v>680</v>
      </c>
      <c r="I11" s="132" t="s">
        <v>571</v>
      </c>
      <c r="J11" s="132" t="s">
        <v>692</v>
      </c>
      <c r="K11" s="132" t="s">
        <v>705</v>
      </c>
      <c r="L11" s="132" t="s">
        <v>706</v>
      </c>
      <c r="M11" s="132" t="s">
        <v>707</v>
      </c>
      <c r="N11" s="132" t="s">
        <v>708</v>
      </c>
      <c r="O11" s="132" t="s">
        <v>709</v>
      </c>
      <c r="P11" s="132" t="s">
        <v>710</v>
      </c>
      <c r="Q11" s="132" t="s">
        <v>711</v>
      </c>
      <c r="R11" s="132" t="s">
        <v>712</v>
      </c>
      <c r="W11" s="132" t="s">
        <v>713</v>
      </c>
      <c r="X11" s="132" t="str">
        <f aca="false">IF(X$4="","",X$4)</f>
        <v>Alternative 1</v>
      </c>
      <c r="Y11" s="132" t="str">
        <f aca="false">IF(Y$4="","",Y$4)</f>
        <v>Alternative 2</v>
      </c>
      <c r="Z11" s="132" t="str">
        <f aca="false">IF(Z$4="","",Z$4)</f>
        <v>Alternative 3</v>
      </c>
      <c r="AA11" s="132" t="str">
        <f aca="false">IF(AA$4="","",AA$4)</f>
        <v>Alternative 4</v>
      </c>
    </row>
    <row r="12" customFormat="false" ht="15" hidden="false" customHeight="false" outlineLevel="0" collapsed="false">
      <c r="G12" s="139" t="str">
        <f aca="false">IF(INDEX(Database!$D:$D,4)="","",INDEX(Database!$D:$D,4))</f>
        <v>Alt 1 (New HMA)</v>
      </c>
      <c r="H12" s="139" t="str">
        <f aca="false">IF($G12="","",INDEX(Database!$A:$A,4))</f>
        <v>Alternative 1</v>
      </c>
      <c r="I12" s="139" t="str">
        <f aca="false">IF($G12="","",INDEX(Database!$B:$B,4))</f>
        <v>HMA-New</v>
      </c>
      <c r="J12" s="140" t="n">
        <f aca="true">IF($G12="","",IFERROR(INDEX(INDIRECT("'"&amp;$G12&amp;"'!$G$1:$G$70"),MATCH("Total",INDIRECT("'"&amp;$G12&amp;"'!$A$1:$A$70"),0)),0))</f>
        <v>12372457.4666667</v>
      </c>
      <c r="K12" s="140" t="n">
        <f aca="true">IF($G12="","",IFERROR(SUMIFS(INDIRECT("'"&amp;$G12&amp;"'!$E$37:$E$52"),INDIRECT("'"&amp;$G12&amp;"'!$B$37:$B$52"),"Maintenance*",INDIRECT("'"&amp;$G12&amp;"'!$B$37:$B$52"),"&lt;&gt;*Indirect*"),0))</f>
        <v>2379784.64860648</v>
      </c>
      <c r="L12" s="140" t="n">
        <f aca="true">IF($G12="","",IFERROR(SUMIFS(INDIRECT("'"&amp;$G12&amp;"'!$E$37:$E$52"),INDIRECT("'"&amp;$G12&amp;"'!$B$37:$B$52"),"Rehabilitation*",INDIRECT("'"&amp;$G12&amp;"'!$B$37:$B$52"),"&lt;&gt;*Indirect*"),0))</f>
        <v>1410821.98752729</v>
      </c>
      <c r="M12" s="140" t="n">
        <f aca="true">IF($G12="","",IFERROR(SUMIFS(INDIRECT("'"&amp;$G12&amp;"'!$E$37:$E$52"),INDIRECT("'"&amp;$G12&amp;"'!$B$37:$B$52"),"*Indirect*"),0))</f>
        <v>496242.529261035</v>
      </c>
      <c r="N12" s="140" t="n">
        <f aca="true">IF($G12="","",IFERROR(SUMIFS(INDIRECT("'"&amp;$G12&amp;"'!$E$37:$E$52"),INDIRECT("'"&amp;$G12&amp;"'!$B$37:$B$52"),"Salvage*"),0))</f>
        <v>-131223.006990195</v>
      </c>
      <c r="O12" s="140" t="n">
        <f aca="true">IF($G12="","",IFERROR(INDEX(INDIRECT("'"&amp;$G12&amp;"'!$E$1:$E$70"),MATCH("Net Present Worth",INDIRECT("'"&amp;$G12&amp;"'!$B$1:$B$70"),0)),0))</f>
        <v>16528083.6250713</v>
      </c>
      <c r="P12" s="140" t="n">
        <f aca="false">IF($G12="","",O12-MIN($O$12:$O$15))</f>
        <v>2461515.24496457</v>
      </c>
      <c r="Q12" s="141" t="n">
        <f aca="true">IF($G12="","",IF(IFERROR(INDIRECT("'"&amp;$G12&amp;"'!$F$2"),0)&gt;0,SUM($AG$41:$AG$71),IFERROR(SUM(INDIRECT("'"&amp;$G12&amp;"'!$F$4:$F$10")),0)))</f>
        <v>94</v>
      </c>
      <c r="R12" s="142" t="n">
        <f aca="false">IF($G12="","",1-Q12/('General Information'!$D$33*365))</f>
        <v>0.991415525114155</v>
      </c>
      <c r="W12" s="143" t="n">
        <v>2</v>
      </c>
      <c r="X12" s="137" t="n">
        <f aca="true">IF($G$12="",0,IFERROR($J$12+SUMPRODUCT((INDIRECT("'"&amp;$G$12&amp;"'!$C$37:$C$52")&lt;='General Information'!$D$33)*INDIRECT("'"&amp;$G$12&amp;"'!$D$37:$D$52")/(1+$W12/100)^INDIRECT("'"&amp;$G$12&amp;"'!$C$37:$C$52")),0))</f>
        <v>17229417.1943786</v>
      </c>
      <c r="Y12" s="137" t="n">
        <f aca="true">IF($G$13="",0,IFERROR($J$13+SUMPRODUCT((INDIRECT("'"&amp;$G$13&amp;"'!$C$37:$C$52")&lt;='General Information'!$D$33)*INDIRECT("'"&amp;$G$13&amp;"'!$D$37:$D$52")/(1+$W12/100)^INDIRECT("'"&amp;$G$13&amp;"'!$C$37:$C$52")),0))</f>
        <v>13999788.3012032</v>
      </c>
      <c r="Z12" s="137" t="n">
        <f aca="true">IF($G$14="",0,IFERROR($J$14+SUMPRODUCT((INDIRECT("'"&amp;$G$14&amp;"'!$C$37:$C$52")&lt;='General Information'!$D$33)*INDIRECT("'"&amp;$G$14&amp;"'!$D$37:$D$52")/(1+$W12/100)^INDIRECT("'"&amp;$G$14&amp;"'!$C$37:$C$52")),0))</f>
        <v>19528621.3943786</v>
      </c>
      <c r="AA12" s="137" t="n">
        <f aca="true">IF($G$15="",0,IFERROR($J$15+SUMPRODUCT((INDIRECT("'"&amp;$G$15&amp;"'!$C$37:$C$52")&lt;='General Information'!$D$33)*INDIRECT("'"&amp;$G$15&amp;"'!$D$37:$D$52")/(1+$W12/100)^INDIRECT("'"&amp;$G$15&amp;"'!$C$37:$C$52")),0))</f>
        <v>14506838.7306115</v>
      </c>
    </row>
    <row r="13" customFormat="false" ht="15" hidden="false" customHeight="false" outlineLevel="0" collapsed="false">
      <c r="G13" s="139" t="str">
        <f aca="false">IF(INDEX(Database!$D:$D,5)="","",INDEX(Database!$D:$D,5))</f>
        <v>Alt 2 (New PCC)</v>
      </c>
      <c r="H13" s="139" t="str">
        <f aca="false">IF($G13="","",INDEX(Database!$A:$A,5))</f>
        <v>Alternative 2</v>
      </c>
      <c r="I13" s="139" t="str">
        <f aca="false">IF($G13="","",INDEX(Database!$B:$B,5))</f>
        <v>PCC-New</v>
      </c>
      <c r="J13" s="140" t="n">
        <f aca="true">IF($G13="","",IFERROR(INDEX(INDIRECT("'"&amp;$G13&amp;"'!$G$1:$G$70"),MATCH("Total",INDIRECT("'"&amp;$G13&amp;"'!$A$1:$A$70"),0)),0))</f>
        <v>13830665.5166667</v>
      </c>
      <c r="K13" s="140" t="n">
        <f aca="true">IF($G13="","",IFERROR(SUMIFS(INDIRECT("'"&amp;$G13&amp;"'!$E$37:$E$52"),INDIRECT("'"&amp;$G13&amp;"'!$B$37:$B$52"),"Maintenance*",INDIRECT("'"&amp;$G13&amp;"'!$B$37:$B$52"),"&lt;&gt;*Indirect*"),0))</f>
        <v>784497.330925104</v>
      </c>
      <c r="L13" s="140" t="n">
        <f aca="true">IF($G13="","",IFERROR(SUMIFS(INDIRECT("'"&amp;$G13&amp;"'!$E$37:$E$52"),INDIRECT("'"&amp;$G13&amp;"'!$B$37:$B$52"),"Rehabilitation*",INDIRECT("'"&amp;$G13&amp;"'!$B$37:$B$52"),"&lt;&gt;*Indirect*"),0))</f>
        <v>724784.190874235</v>
      </c>
      <c r="M13" s="140" t="n">
        <f aca="true">IF($G13="","",IFERROR(SUMIFS(INDIRECT("'"&amp;$G13&amp;"'!$E$37:$E$52"),INDIRECT("'"&amp;$G13&amp;"'!$B$37:$B$52"),"*Indirect*"),0))</f>
        <v>151134.108680669</v>
      </c>
      <c r="N13" s="140" t="n">
        <f aca="true">IF($G13="","",IFERROR(SUMIFS(INDIRECT("'"&amp;$G13&amp;"'!$E$37:$E$52"),INDIRECT("'"&amp;$G13&amp;"'!$B$37:$B$52"),"Salvage*"),0))</f>
        <v>-1424512.76703997</v>
      </c>
      <c r="O13" s="140" t="n">
        <f aca="true">IF($G13="","",IFERROR(INDEX(INDIRECT("'"&amp;$G13&amp;"'!$E$1:$E$70"),MATCH("Net Present Worth",INDIRECT("'"&amp;$G13&amp;"'!$B$1:$B$70"),0)),0))</f>
        <v>14066568.3801067</v>
      </c>
      <c r="P13" s="140" t="n">
        <f aca="false">IF($G13="","",O13-MIN($O$12:$O$15))</f>
        <v>0</v>
      </c>
      <c r="Q13" s="141" t="n">
        <f aca="true">IF($G13="","",IF(IFERROR(INDIRECT("'"&amp;$G13&amp;"'!$F$2"),0)&gt;0,SUM($AH$41:$AH$71),IFERROR(SUM(INDIRECT("'"&amp;$G13&amp;"'!$F$4:$F$10")),0)))</f>
        <v>36</v>
      </c>
      <c r="R13" s="142" t="n">
        <f aca="false">IF($G13="","",1-Q13/('General Information'!$D$33*365))</f>
        <v>0.996712328767123</v>
      </c>
      <c r="W13" s="143" t="n">
        <v>2.25</v>
      </c>
      <c r="X13" s="137" t="n">
        <f aca="true">IF($G$12="",0,IFERROR($J$12+SUMPRODUCT((INDIRECT("'"&amp;$G$12&amp;"'!$C$37:$C$52")&lt;='General Information'!$D$33)*INDIRECT("'"&amp;$G$12&amp;"'!$D$37:$D$52")/(1+$W13/100)^INDIRECT("'"&amp;$G$12&amp;"'!$C$37:$C$52")),0))</f>
        <v>17041189.8234528</v>
      </c>
      <c r="Y13" s="137" t="n">
        <f aca="true">IF($G$13="",0,IFERROR($J$13+SUMPRODUCT((INDIRECT("'"&amp;$G$13&amp;"'!$C$37:$C$52")&lt;='General Information'!$D$33)*INDIRECT("'"&amp;$G$13&amp;"'!$D$37:$D$52")/(1+$W13/100)^INDIRECT("'"&amp;$G$13&amp;"'!$C$37:$C$52")),0))</f>
        <v>14020930.8610812</v>
      </c>
      <c r="Z13" s="137" t="n">
        <f aca="true">IF($G$14="",0,IFERROR($J$14+SUMPRODUCT((INDIRECT("'"&amp;$G$14&amp;"'!$C$37:$C$52")&lt;='General Information'!$D$33)*INDIRECT("'"&amp;$G$14&amp;"'!$D$37:$D$52")/(1+$W13/100)^INDIRECT("'"&amp;$G$14&amp;"'!$C$37:$C$52")),0))</f>
        <v>19340394.0234528</v>
      </c>
      <c r="AA13" s="137" t="n">
        <f aca="true">IF($G$15="",0,IFERROR($J$15+SUMPRODUCT((INDIRECT("'"&amp;$G$15&amp;"'!$C$37:$C$52")&lt;='General Information'!$D$33)*INDIRECT("'"&amp;$G$15&amp;"'!$D$37:$D$52")/(1+$W13/100)^INDIRECT("'"&amp;$G$15&amp;"'!$C$37:$C$52")),0))</f>
        <v>14533729.9621238</v>
      </c>
    </row>
    <row r="14" customFormat="false" ht="15" hidden="false" customHeight="false" outlineLevel="0" collapsed="false">
      <c r="G14" s="139" t="str">
        <f aca="false">IF(INDEX(Database!$D:$D,6)="","",INDEX(Database!$D:$D,6))</f>
        <v>Alt 3 (New HMA)</v>
      </c>
      <c r="H14" s="139" t="str">
        <f aca="false">IF($G14="","",INDEX(Database!$A:$A,6))</f>
        <v>Alternative 3</v>
      </c>
      <c r="I14" s="139" t="str">
        <f aca="false">IF($G14="","",INDEX(Database!$B:$B,6))</f>
        <v>HMA-New</v>
      </c>
      <c r="J14" s="140" t="n">
        <f aca="true">IF($G14="","",IFERROR(INDEX(INDIRECT("'"&amp;$G14&amp;"'!$G$1:$G$70"),MATCH("Total",INDIRECT("'"&amp;$G14&amp;"'!$A$1:$A$70"),0)),0))</f>
        <v>14671661.6666667</v>
      </c>
      <c r="K14" s="140" t="n">
        <f aca="true">IF($G14="","",IFERROR(SUMIFS(INDIRECT("'"&amp;$G14&amp;"'!$E$37:$E$52"),INDIRECT("'"&amp;$G14&amp;"'!$B$37:$B$52"),"Maintenance*",INDIRECT("'"&amp;$G14&amp;"'!$B$37:$B$52"),"&lt;&gt;*Indirect*"),0))</f>
        <v>2379784.64860648</v>
      </c>
      <c r="L14" s="140" t="n">
        <f aca="true">IF($G14="","",IFERROR(SUMIFS(INDIRECT("'"&amp;$G14&amp;"'!$E$37:$E$52"),INDIRECT("'"&amp;$G14&amp;"'!$B$37:$B$52"),"Rehabilitation*",INDIRECT("'"&amp;$G14&amp;"'!$B$37:$B$52"),"&lt;&gt;*Indirect*"),0))</f>
        <v>1410821.98752729</v>
      </c>
      <c r="M14" s="140" t="n">
        <f aca="true">IF($G14="","",IFERROR(SUMIFS(INDIRECT("'"&amp;$G14&amp;"'!$E$37:$E$52"),INDIRECT("'"&amp;$G14&amp;"'!$B$37:$B$52"),"*Indirect*"),0))</f>
        <v>496242.529261035</v>
      </c>
      <c r="N14" s="140" t="n">
        <f aca="true">IF($G14="","",IFERROR(SUMIFS(INDIRECT("'"&amp;$G14&amp;"'!$E$37:$E$52"),INDIRECT("'"&amp;$G14&amp;"'!$B$37:$B$52"),"Salvage*"),0))</f>
        <v>-131223.006990195</v>
      </c>
      <c r="O14" s="140" t="n">
        <f aca="true">IF($G14="","",IFERROR(INDEX(INDIRECT("'"&amp;$G14&amp;"'!$E$1:$E$70"),MATCH("Net Present Worth",INDIRECT("'"&amp;$G14&amp;"'!$B$1:$B$70"),0)),0))</f>
        <v>18827287.8250713</v>
      </c>
      <c r="P14" s="140" t="n">
        <f aca="false">IF($G14="","",O14-MIN($O$12:$O$15))</f>
        <v>4760719.44496457</v>
      </c>
      <c r="Q14" s="141" t="n">
        <f aca="true">IF($G14="","",IF(IFERROR(INDIRECT("'"&amp;$G14&amp;"'!$F$2"),0)&gt;0,SUM($AI$41:$AI$71),IFERROR(SUM(INDIRECT("'"&amp;$G14&amp;"'!$F$4:$F$10")),0)))</f>
        <v>94</v>
      </c>
      <c r="R14" s="142" t="n">
        <f aca="false">IF($G14="","",1-Q14/('General Information'!$D$33*365))</f>
        <v>0.991415525114155</v>
      </c>
      <c r="W14" s="143" t="n">
        <v>2.5</v>
      </c>
      <c r="X14" s="137" t="n">
        <f aca="true">IF($G$12="",0,IFERROR($J$12+SUMPRODUCT((INDIRECT("'"&amp;$G$12&amp;"'!$C$37:$C$52")&lt;='General Information'!$D$33)*INDIRECT("'"&amp;$G$12&amp;"'!$D$37:$D$52")/(1+$W14/100)^INDIRECT("'"&amp;$G$12&amp;"'!$C$37:$C$52")),0))</f>
        <v>16861867.575719</v>
      </c>
      <c r="Y14" s="137" t="n">
        <f aca="true">IF($G$13="",0,IFERROR($J$13+SUMPRODUCT((INDIRECT("'"&amp;$G$13&amp;"'!$C$37:$C$52")&lt;='General Information'!$D$33)*INDIRECT("'"&amp;$G$13&amp;"'!$D$37:$D$52")/(1+$W14/100)^INDIRECT("'"&amp;$G$13&amp;"'!$C$37:$C$52")),0))</f>
        <v>14038896.7540619</v>
      </c>
      <c r="Z14" s="137" t="n">
        <f aca="true">IF($G$14="",0,IFERROR($J$14+SUMPRODUCT((INDIRECT("'"&amp;$G$14&amp;"'!$C$37:$C$52")&lt;='General Information'!$D$33)*INDIRECT("'"&amp;$G$14&amp;"'!$D$37:$D$52")/(1+$W14/100)^INDIRECT("'"&amp;$G$14&amp;"'!$C$37:$C$52")),0))</f>
        <v>19161071.775719</v>
      </c>
      <c r="AA14" s="137" t="n">
        <f aca="true">IF($G$15="",0,IFERROR($J$15+SUMPRODUCT((INDIRECT("'"&amp;$G$15&amp;"'!$C$37:$C$52")&lt;='General Information'!$D$33)*INDIRECT("'"&amp;$G$15&amp;"'!$D$37:$D$52")/(1+$W14/100)^INDIRECT("'"&amp;$G$15&amp;"'!$C$37:$C$52")),0))</f>
        <v>14557024.9048655</v>
      </c>
    </row>
    <row r="15" customFormat="false" ht="15" hidden="false" customHeight="false" outlineLevel="0" collapsed="false">
      <c r="G15" s="139" t="str">
        <f aca="false">IF(INDEX(Database!$D:$D,7)="","",INDEX(Database!$D:$D,7))</f>
        <v>Alt 4 (New PCC)</v>
      </c>
      <c r="H15" s="139" t="str">
        <f aca="false">IF($G15="","",INDEX(Database!$A:$A,7))</f>
        <v>Alternative 4</v>
      </c>
      <c r="I15" s="139" t="str">
        <f aca="false">IF($G15="","",INDEX(Database!$B:$B,7))</f>
        <v>PCC-New</v>
      </c>
      <c r="J15" s="140" t="n">
        <f aca="true">IF($G15="","",IFERROR(INDEX(INDIRECT("'"&amp;$G15&amp;"'!$G$1:$G$70"),MATCH("Total",INDIRECT("'"&amp;$G15&amp;"'!$A$1:$A$70"),0)),0))</f>
        <v>14418903.1666667</v>
      </c>
      <c r="K15" s="140" t="n">
        <f aca="true">IF($G15="","",IFERROR(SUMIFS(INDIRECT("'"&amp;$G15&amp;"'!$E$37:$E$52"),INDIRECT("'"&amp;$G15&amp;"'!$B$37:$B$52"),"Maintenance*",INDIRECT("'"&amp;$G15&amp;"'!$B$37:$B$52"),"&lt;&gt;*Indirect*"),0))</f>
        <v>784497.330925104</v>
      </c>
      <c r="L15" s="140" t="n">
        <f aca="true">IF($G15="","",IFERROR(SUMIFS(INDIRECT("'"&amp;$G15&amp;"'!$E$37:$E$52"),INDIRECT("'"&amp;$G15&amp;"'!$B$37:$B$52"),"Rehabilitation*",INDIRECT("'"&amp;$G15&amp;"'!$B$37:$B$52"),"&lt;&gt;*Indirect*"),0))</f>
        <v>724784.190874235</v>
      </c>
      <c r="M15" s="140" t="n">
        <f aca="true">IF($G15="","",IFERROR(SUMIFS(INDIRECT("'"&amp;$G15&amp;"'!$E$37:$E$52"),INDIRECT("'"&amp;$G15&amp;"'!$B$37:$B$52"),"*Indirect*"),0))</f>
        <v>151134.108680669</v>
      </c>
      <c r="N15" s="140" t="n">
        <f aca="true">IF($G15="","",IFERROR(SUMIFS(INDIRECT("'"&amp;$G15&amp;"'!$E$37:$E$52"),INDIRECT("'"&amp;$G15&amp;"'!$B$37:$B$52"),"Salvage*"),0))</f>
        <v>-1485099.29785216</v>
      </c>
      <c r="O15" s="140" t="n">
        <f aca="true">IF($G15="","",IFERROR(INDEX(INDIRECT("'"&amp;$G15&amp;"'!$E$1:$E$70"),MATCH("Net Present Worth",INDIRECT("'"&amp;$G15&amp;"'!$B$1:$B$70"),0)),0))</f>
        <v>14594219.4992945</v>
      </c>
      <c r="P15" s="140" t="n">
        <f aca="false">IF($G15="","",O15-MIN($O$12:$O$15))</f>
        <v>527651.119187811</v>
      </c>
      <c r="Q15" s="141" t="n">
        <f aca="true">IF($G15="","",IF(IFERROR(INDIRECT("'"&amp;$G15&amp;"'!$F$2"),0)&gt;0,SUM($AJ$41:$AJ$71),IFERROR(SUM(INDIRECT("'"&amp;$G15&amp;"'!$F$4:$F$10")),0)))</f>
        <v>36</v>
      </c>
      <c r="R15" s="142" t="n">
        <f aca="false">IF($G15="","",1-Q15/('General Information'!$D$33*365))</f>
        <v>0.996712328767123</v>
      </c>
      <c r="W15" s="143" t="n">
        <v>2.75</v>
      </c>
      <c r="X15" s="137" t="n">
        <f aca="true">IF($G$12="",0,IFERROR($J$12+SUMPRODUCT((INDIRECT("'"&amp;$G$12&amp;"'!$C$37:$C$52")&lt;='General Information'!$D$33)*INDIRECT("'"&amp;$G$12&amp;"'!$D$37:$D$52")/(1+$W15/100)^INDIRECT("'"&amp;$G$12&amp;"'!$C$37:$C$52")),0))</f>
        <v>16690980.0340895</v>
      </c>
      <c r="Y15" s="137" t="n">
        <f aca="true">IF($G$13="",0,IFERROR($J$13+SUMPRODUCT((INDIRECT("'"&amp;$G$13&amp;"'!$C$37:$C$52")&lt;='General Information'!$D$33)*INDIRECT("'"&amp;$G$13&amp;"'!$D$37:$D$52")/(1+$W15/100)^INDIRECT("'"&amp;$G$13&amp;"'!$C$37:$C$52")),0))</f>
        <v>14054010.9355636</v>
      </c>
      <c r="Z15" s="137" t="n">
        <f aca="true">IF($G$14="",0,IFERROR($J$14+SUMPRODUCT((INDIRECT("'"&amp;$G$14&amp;"'!$C$37:$C$52")&lt;='General Information'!$D$33)*INDIRECT("'"&amp;$G$14&amp;"'!$D$37:$D$52")/(1+$W15/100)^INDIRECT("'"&amp;$G$14&amp;"'!$C$37:$C$52")),0))</f>
        <v>18990184.2340895</v>
      </c>
      <c r="AA15" s="137" t="n">
        <f aca="true">IF($G$15="",0,IFERROR($J$15+SUMPRODUCT((INDIRECT("'"&amp;$G$15&amp;"'!$C$37:$C$52")&lt;='General Information'!$D$33)*INDIRECT("'"&amp;$G$15&amp;"'!$D$37:$D$52")/(1+$W15/100)^INDIRECT("'"&amp;$G$15&amp;"'!$C$37:$C$52")),0))</f>
        <v>14577080.0577503</v>
      </c>
    </row>
    <row r="16" customFormat="false" ht="15" hidden="false" customHeight="false" outlineLevel="0" collapsed="false">
      <c r="W16" s="143" t="n">
        <v>3</v>
      </c>
      <c r="X16" s="137" t="n">
        <f aca="true">IF($G$12="",0,IFERROR($J$12+SUMPRODUCT((INDIRECT("'"&amp;$G$12&amp;"'!$C$37:$C$52")&lt;='General Information'!$D$33)*INDIRECT("'"&amp;$G$12&amp;"'!$D$37:$D$52")/(1+$W16/100)^INDIRECT("'"&amp;$G$12&amp;"'!$C$37:$C$52")),0))</f>
        <v>16528083.6250713</v>
      </c>
      <c r="Y16" s="137" t="n">
        <f aca="true">IF($G$13="",0,IFERROR($J$13+SUMPRODUCT((INDIRECT("'"&amp;$G$13&amp;"'!$C$37:$C$52")&lt;='General Information'!$D$33)*INDIRECT("'"&amp;$G$13&amp;"'!$D$37:$D$52")/(1+$W16/100)^INDIRECT("'"&amp;$G$13&amp;"'!$C$37:$C$52")),0))</f>
        <v>14066568.3801067</v>
      </c>
      <c r="Z16" s="137" t="n">
        <f aca="true">IF($G$14="",0,IFERROR($J$14+SUMPRODUCT((INDIRECT("'"&amp;$G$14&amp;"'!$C$37:$C$52")&lt;='General Information'!$D$33)*INDIRECT("'"&amp;$G$14&amp;"'!$D$37:$D$52")/(1+$W16/100)^INDIRECT("'"&amp;$G$14&amp;"'!$C$37:$C$52")),0))</f>
        <v>18827287.8250713</v>
      </c>
      <c r="AA16" s="137" t="n">
        <f aca="true">IF($G$15="",0,IFERROR($J$15+SUMPRODUCT((INDIRECT("'"&amp;$G$15&amp;"'!$C$37:$C$52")&lt;='General Information'!$D$33)*INDIRECT("'"&amp;$G$15&amp;"'!$D$37:$D$52")/(1+$W16/100)^INDIRECT("'"&amp;$G$15&amp;"'!$C$37:$C$52")),0))</f>
        <v>14594219.4992945</v>
      </c>
    </row>
    <row r="17" customFormat="false" ht="15" hidden="false" customHeight="false" outlineLevel="0" collapsed="false">
      <c r="G17" s="144" t="str">
        <f aca="false">IF(COUNT($O$12:$O$15)=0,"No alternatives yet. Go to General Information and click Alternative Setup.","Lowest present worth: "&amp;INDEX($H$12:$H$15,MATCH(MIN($O$12:$O$15),$O$12:$O$15,0))&amp;IF(COUNT($O$12:$O$15)&lt;2,"   |   only one alternative so far",IF(SMALL($O$12:$O$15,2)=MIN($O$12:$O$15),"   |   tied with the next alternative","   |   margin to next: "&amp;TEXT(SMALL($O$12:$O$15,2)-MIN($O$12:$O$15),"$#,##0")))&amp;"   |   "&amp;'General Information'!$D$34&amp;"% over "&amp;'General Information'!$D$33&amp;" years   |   lost revenue: "&amp;'General Information'!$D$38)</f>
        <v>Lowest present worth: Alternative 2   |   margin to next: $527,651   |   3% over 30 years   |   lost revenue: Yes</v>
      </c>
      <c r="H17" s="145"/>
      <c r="I17" s="145"/>
      <c r="J17" s="145"/>
      <c r="K17" s="145"/>
      <c r="L17" s="145"/>
      <c r="M17" s="145"/>
      <c r="N17" s="145"/>
      <c r="O17" s="145"/>
      <c r="P17" s="145"/>
      <c r="Q17" s="145"/>
      <c r="R17" s="145"/>
      <c r="S17" s="146" t="s">
        <v>714</v>
      </c>
      <c r="T17" s="147" t="s">
        <v>715</v>
      </c>
      <c r="U17" s="148" t="s">
        <v>716</v>
      </c>
      <c r="V17" s="149" t="s">
        <v>717</v>
      </c>
      <c r="W17" s="143" t="n">
        <v>3.25</v>
      </c>
      <c r="X17" s="137" t="n">
        <f aca="true">IF($G$12="",0,IFERROR($J$12+SUMPRODUCT((INDIRECT("'"&amp;$G$12&amp;"'!$C$37:$C$52")&lt;='General Information'!$D$33)*INDIRECT("'"&amp;$G$12&amp;"'!$D$37:$D$52")/(1+$W17/100)^INDIRECT("'"&amp;$G$12&amp;"'!$C$37:$C$52")),0))</f>
        <v>16372759.9897213</v>
      </c>
      <c r="Y17" s="137" t="n">
        <f aca="true">IF($G$13="",0,IFERROR($J$13+SUMPRODUCT((INDIRECT("'"&amp;$G$13&amp;"'!$C$37:$C$52")&lt;='General Information'!$D$33)*INDIRECT("'"&amp;$G$13&amp;"'!$D$37:$D$52")/(1+$W17/100)^INDIRECT("'"&amp;$G$13&amp;"'!$C$37:$C$52")),0))</f>
        <v>14076836.7549447</v>
      </c>
      <c r="Z17" s="137" t="n">
        <f aca="true">IF($G$14="",0,IFERROR($J$14+SUMPRODUCT((INDIRECT("'"&amp;$G$14&amp;"'!$C$37:$C$52")&lt;='General Information'!$D$33)*INDIRECT("'"&amp;$G$14&amp;"'!$D$37:$D$52")/(1+$W17/100)^INDIRECT("'"&amp;$G$14&amp;"'!$C$37:$C$52")),0))</f>
        <v>18671964.1897213</v>
      </c>
      <c r="AA17" s="137" t="n">
        <f aca="true">IF($G$15="",0,IFERROR($J$15+SUMPRODUCT((INDIRECT("'"&amp;$G$15&amp;"'!$C$37:$C$52")&lt;='General Information'!$D$33)*INDIRECT("'"&amp;$G$15&amp;"'!$D$37:$D$52")/(1+$W17/100)^INDIRECT("'"&amp;$G$15&amp;"'!$C$37:$C$52")),0))</f>
        <v>14608737.7551734</v>
      </c>
    </row>
    <row r="18" customFormat="false" ht="15" hidden="false" customHeight="false" outlineLevel="0" collapsed="false">
      <c r="G18" s="60" t="str">
        <f aca="false">IF(COUNT($O$12:$O$15)&lt;2,"",IF(INDEX($H$12:$H$15,MATCH(MIN($O$12:$O$15),$O$12:$O$15,0))=INDEX($H$12:$H$15,MATCH(SMALL($X$12:$AA$12,COUNTIF($X$12:$AA$12,0)+1),$X$12:$AA$12,0)),"Same lowest-cost alternative at 2% (OMB A-94 real rate, FAA PGL 22-01)","At 2% (OMB A-94 real rate, FAA PGL 22-01) the lowest-cost alternative changes")&amp;"   |   "&amp;IF(INDEX($H$12:$H$15,MATCH(MIN($O$12:$O$15),$O$12:$O$15,0))=INDEX($H$12:$H$15,MATCH(SMALL($X$32:$AA$32,COUNTIF($X$32:$AA$32,0)+1),$X$32:$AA$32,0)),"same at 7% (pre-2022 AIP rule)","changes at 7% (pre-2022 AIP rule): see chart 2"))</f>
        <v>Same lowest-cost alternative at 2% (OMB A-94 real rate, FAA PGL 22-01)   |   same at 7% (pre-2022 AIP rule)</v>
      </c>
      <c r="W18" s="143" t="n">
        <v>3.5</v>
      </c>
      <c r="X18" s="137" t="n">
        <f aca="true">IF($G$12="",0,IFERROR($J$12+SUMPRODUCT((INDIRECT("'"&amp;$G$12&amp;"'!$C$37:$C$52")&lt;='General Information'!$D$33)*INDIRECT("'"&amp;$G$12&amp;"'!$D$37:$D$52")/(1+$W18/100)^INDIRECT("'"&amp;$G$12&amp;"'!$C$37:$C$52")),0))</f>
        <v>16224614.4587692</v>
      </c>
      <c r="Y18" s="137" t="n">
        <f aca="true">IF($G$13="",0,IFERROR($J$13+SUMPRODUCT((INDIRECT("'"&amp;$G$13&amp;"'!$C$37:$C$52")&lt;='General Information'!$D$33)*INDIRECT("'"&amp;$G$13&amp;"'!$D$37:$D$52")/(1+$W18/100)^INDIRECT("'"&amp;$G$13&amp;"'!$C$37:$C$52")),0))</f>
        <v>14085058.8570033</v>
      </c>
      <c r="Z18" s="137" t="n">
        <f aca="true">IF($G$14="",0,IFERROR($J$14+SUMPRODUCT((INDIRECT("'"&amp;$G$14&amp;"'!$C$37:$C$52")&lt;='General Information'!$D$33)*INDIRECT("'"&amp;$G$14&amp;"'!$D$37:$D$52")/(1+$W18/100)^INDIRECT("'"&amp;$G$14&amp;"'!$C$37:$C$52")),0))</f>
        <v>18523818.6587692</v>
      </c>
      <c r="AA18" s="137" t="n">
        <f aca="true">IF($G$15="",0,IFERROR($J$15+SUMPRODUCT((INDIRECT("'"&amp;$G$15&amp;"'!$C$37:$C$52")&lt;='General Information'!$D$33)*INDIRECT("'"&amp;$G$15&amp;"'!$D$37:$D$52")/(1+$W18/100)^INDIRECT("'"&amp;$G$15&amp;"'!$C$37:$C$52")),0))</f>
        <v>14620902.4132537</v>
      </c>
    </row>
    <row r="19" customFormat="false" ht="15" hidden="false" customHeight="false" outlineLevel="0" collapsed="false">
      <c r="S19" s="130" t="s">
        <v>718</v>
      </c>
      <c r="W19" s="143" t="n">
        <v>3.75</v>
      </c>
      <c r="X19" s="137" t="n">
        <f aca="true">IF($G$12="",0,IFERROR($J$12+SUMPRODUCT((INDIRECT("'"&amp;$G$12&amp;"'!$C$37:$C$52")&lt;='General Information'!$D$33)*INDIRECT("'"&amp;$G$12&amp;"'!$D$37:$D$52")/(1+$W19/100)^INDIRECT("'"&amp;$G$12&amp;"'!$C$37:$C$52")),0))</f>
        <v>16083274.624933</v>
      </c>
      <c r="Y19" s="137" t="n">
        <f aca="true">IF($G$13="",0,IFERROR($J$13+SUMPRODUCT((INDIRECT("'"&amp;$G$13&amp;"'!$C$37:$C$52")&lt;='General Information'!$D$33)*INDIRECT("'"&amp;$G$13&amp;"'!$D$37:$D$52")/(1+$W19/100)^INDIRECT("'"&amp;$G$13&amp;"'!$C$37:$C$52")),0))</f>
        <v>14091454.8341891</v>
      </c>
      <c r="Z19" s="137" t="n">
        <f aca="true">IF($G$14="",0,IFERROR($J$14+SUMPRODUCT((INDIRECT("'"&amp;$G$14&amp;"'!$C$37:$C$52")&lt;='General Information'!$D$33)*INDIRECT("'"&amp;$G$14&amp;"'!$D$37:$D$52")/(1+$W19/100)^INDIRECT("'"&amp;$G$14&amp;"'!$C$37:$C$52")),0))</f>
        <v>18382478.824933</v>
      </c>
      <c r="AA19" s="137" t="n">
        <f aca="true">IF($G$15="",0,IFERROR($J$15+SUMPRODUCT((INDIRECT("'"&amp;$G$15&amp;"'!$C$37:$C$52")&lt;='General Information'!$D$33)*INDIRECT("'"&amp;$G$15&amp;"'!$D$37:$D$52")/(1+$W19/100)^INDIRECT("'"&amp;$G$15&amp;"'!$C$37:$C$52")),0))</f>
        <v>14630956.5084889</v>
      </c>
    </row>
    <row r="20" customFormat="false" ht="15" hidden="false" customHeight="false" outlineLevel="0" collapsed="false">
      <c r="G20" s="129" t="s">
        <v>719</v>
      </c>
      <c r="S20" s="150" t="s">
        <v>720</v>
      </c>
      <c r="T20" s="150" t="str">
        <f aca="false">IF('General Information'!$D$9="","",'General Information'!$D$9&amp;" ("&amp;'General Information'!$D$10&amp;")")</f>
        <v>McKellar-Sipes Regional Airport (MKL)</v>
      </c>
      <c r="W20" s="143" t="n">
        <v>4</v>
      </c>
      <c r="X20" s="137" t="n">
        <f aca="true">IF($G$12="",0,IFERROR($J$12+SUMPRODUCT((INDIRECT("'"&amp;$G$12&amp;"'!$C$37:$C$52")&lt;='General Information'!$D$33)*INDIRECT("'"&amp;$G$12&amp;"'!$D$37:$D$52")/(1+$W20/100)^INDIRECT("'"&amp;$G$12&amp;"'!$C$37:$C$52")),0))</f>
        <v>15948389.005944</v>
      </c>
      <c r="Y20" s="137" t="n">
        <f aca="true">IF($G$13="",0,IFERROR($J$13+SUMPRODUCT((INDIRECT("'"&amp;$G$13&amp;"'!$C$37:$C$52")&lt;='General Information'!$D$33)*INDIRECT("'"&amp;$G$13&amp;"'!$D$37:$D$52")/(1+$W20/100)^INDIRECT("'"&amp;$G$13&amp;"'!$C$37:$C$52")),0))</f>
        <v>14096224.2102331</v>
      </c>
      <c r="Z20" s="137" t="n">
        <f aca="true">IF($G$14="",0,IFERROR($J$14+SUMPRODUCT((INDIRECT("'"&amp;$G$14&amp;"'!$C$37:$C$52")&lt;='General Information'!$D$33)*INDIRECT("'"&amp;$G$14&amp;"'!$D$37:$D$52")/(1+$W20/100)^INDIRECT("'"&amp;$G$14&amp;"'!$C$37:$C$52")),0))</f>
        <v>18247593.205944</v>
      </c>
      <c r="AA20" s="137" t="n">
        <f aca="true">IF($G$15="",0,IFERROR($J$15+SUMPRODUCT((INDIRECT("'"&amp;$G$15&amp;"'!$C$37:$C$52")&lt;='General Information'!$D$33)*INDIRECT("'"&amp;$G$15&amp;"'!$D$37:$D$52")/(1+$W20/100)^INDIRECT("'"&amp;$G$15&amp;"'!$C$37:$C$52")),0))</f>
        <v>14639120.6980581</v>
      </c>
    </row>
    <row r="21" customFormat="false" ht="27" hidden="false" customHeight="true" outlineLevel="0" collapsed="false">
      <c r="G21" s="132" t="s">
        <v>680</v>
      </c>
      <c r="H21" s="132" t="s">
        <v>721</v>
      </c>
      <c r="I21" s="132" t="s">
        <v>722</v>
      </c>
      <c r="J21" s="132" t="s">
        <v>723</v>
      </c>
      <c r="K21" s="132" t="s">
        <v>724</v>
      </c>
      <c r="L21" s="132" t="s">
        <v>725</v>
      </c>
      <c r="M21" s="132" t="s">
        <v>726</v>
      </c>
      <c r="N21" s="132" t="s">
        <v>727</v>
      </c>
      <c r="O21" s="132" t="s">
        <v>728</v>
      </c>
      <c r="P21" s="132" t="s">
        <v>729</v>
      </c>
      <c r="S21" s="150" t="s">
        <v>730</v>
      </c>
      <c r="T21" s="150" t="str">
        <f aca="false">IF('General Information'!$D$9="","",'General Information'!$D$11&amp;IF(IFERROR(VLOOKUP('General Information'!$D$9,'General Information'!$L$10:$Q$88,4,FALSE()),"")="",""," / "&amp;IFERROR(VLOOKUP('General Information'!$D$9,'General Information'!$L$10:$Q$88,4,FALSE()),"")&amp;" County"))</f>
        <v>Jackson / Madison County</v>
      </c>
      <c r="W21" s="143" t="n">
        <v>4.25</v>
      </c>
      <c r="X21" s="137" t="n">
        <f aca="true">IF($G$12="",0,IFERROR($J$12+SUMPRODUCT((INDIRECT("'"&amp;$G$12&amp;"'!$C$37:$C$52")&lt;='General Information'!$D$33)*INDIRECT("'"&amp;$G$12&amp;"'!$D$37:$D$52")/(1+$W21/100)^INDIRECT("'"&amp;$G$12&amp;"'!$C$37:$C$52")),0))</f>
        <v>15819625.7922423</v>
      </c>
      <c r="Y21" s="137" t="n">
        <f aca="true">IF($G$13="",0,IFERROR($J$13+SUMPRODUCT((INDIRECT("'"&amp;$G$13&amp;"'!$C$37:$C$52")&lt;='General Information'!$D$33)*INDIRECT("'"&amp;$G$13&amp;"'!$D$37:$D$52")/(1+$W21/100)^INDIRECT("'"&amp;$G$13&amp;"'!$C$37:$C$52")),0))</f>
        <v>14099547.7305129</v>
      </c>
      <c r="Z21" s="137" t="n">
        <f aca="true">IF($G$14="",0,IFERROR($J$14+SUMPRODUCT((INDIRECT("'"&amp;$G$14&amp;"'!$C$37:$C$52")&lt;='General Information'!$D$33)*INDIRECT("'"&amp;$G$14&amp;"'!$D$37:$D$52")/(1+$W21/100)^INDIRECT("'"&amp;$G$14&amp;"'!$C$37:$C$52")),0))</f>
        <v>18118829.9922423</v>
      </c>
      <c r="AA21" s="137" t="n">
        <f aca="true">IF($G$15="",0,IFERROR($J$15+SUMPRODUCT((INDIRECT("'"&amp;$G$15&amp;"'!$C$37:$C$52")&lt;='General Information'!$D$33)*INDIRECT("'"&amp;$G$15&amp;"'!$D$37:$D$52")/(1+$W21/100)^INDIRECT("'"&amp;$G$15&amp;"'!$C$37:$C$52")),0))</f>
        <v>14645595.2452966</v>
      </c>
    </row>
    <row r="22" customFormat="false" ht="15" hidden="false" customHeight="false" outlineLevel="0" collapsed="false">
      <c r="G22" s="139" t="str">
        <f aca="false">IF($G$12="","",$H$12)</f>
        <v>Alternative 1</v>
      </c>
      <c r="H22" s="140" t="n">
        <f aca="false">IF($G$12="","",$J$12+$K$12+$L$12+$N$12)</f>
        <v>16031841.0958102</v>
      </c>
      <c r="I22" s="140" t="n">
        <f aca="false">IF($G$12="","",H22*(('General Information'!$D$34/100)*(1+'General Information'!$D$34/100)^'General Information'!$D$33/((1+'General Information'!$D$34/100)^'General Information'!$D$33-1)))</f>
        <v>817932.658248225</v>
      </c>
      <c r="J22" s="140" t="n">
        <f aca="false">IF($G$12="","",$M$12)</f>
        <v>496242.529261035</v>
      </c>
      <c r="K22" s="140" t="n">
        <f aca="false">IF($G$12="","",J22*(('General Information'!$D$34/100)*(1+'General Information'!$D$34/100)^'General Information'!$D$33/((1+'General Information'!$D$34/100)^'General Information'!$D$33-1)))</f>
        <v>25317.9262861068</v>
      </c>
      <c r="L22" s="140" t="n">
        <f aca="false">IF($G$12="","",$O$12)</f>
        <v>16528083.6250713</v>
      </c>
      <c r="M22" s="140" t="n">
        <f aca="false">IF($G$12="","",L22*(('General Information'!$D$34/100)*(1+'General Information'!$D$34/100)^'General Information'!$D$33/((1+'General Information'!$D$34/100)^'General Information'!$D$33-1)))</f>
        <v>843250.584534331</v>
      </c>
      <c r="N22" s="140" t="n">
        <f aca="false">IF($G$12="","",$P$12)</f>
        <v>2461515.24496457</v>
      </c>
      <c r="O22" s="151" t="n">
        <f aca="false">IF($G$12="","",IFERROR($P$12/MIN($O$12:$O$15),0))</f>
        <v>0.174990458116687</v>
      </c>
      <c r="P22" s="139" t="str">
        <f aca="false">IF($G$12="","",IF($O$12=MIN($O$12:$O$15),"lowest",""))</f>
        <v/>
      </c>
      <c r="S22" s="150" t="s">
        <v>731</v>
      </c>
      <c r="T22" s="150" t="str">
        <f aca="false">IF('General Information'!$D$9="","",'General Information'!$D$13)</f>
        <v>West</v>
      </c>
      <c r="W22" s="143" t="n">
        <v>4.5</v>
      </c>
      <c r="X22" s="137" t="n">
        <f aca="true">IF($G$12="",0,IFERROR($J$12+SUMPRODUCT((INDIRECT("'"&amp;$G$12&amp;"'!$C$37:$C$52")&lt;='General Information'!$D$33)*INDIRECT("'"&amp;$G$12&amp;"'!$D$37:$D$52")/(1+$W22/100)^INDIRECT("'"&amp;$G$12&amp;"'!$C$37:$C$52")),0))</f>
        <v>15696671.6737287</v>
      </c>
      <c r="Y22" s="137" t="n">
        <f aca="true">IF($G$13="",0,IFERROR($J$13+SUMPRODUCT((INDIRECT("'"&amp;$G$13&amp;"'!$C$37:$C$52")&lt;='General Information'!$D$33)*INDIRECT("'"&amp;$G$13&amp;"'!$D$37:$D$52")/(1+$W22/100)^INDIRECT("'"&amp;$G$13&amp;"'!$C$37:$C$52")),0))</f>
        <v>14101589.0447311</v>
      </c>
      <c r="Z22" s="137" t="n">
        <f aca="true">IF($G$14="",0,IFERROR($J$14+SUMPRODUCT((INDIRECT("'"&amp;$G$14&amp;"'!$C$37:$C$52")&lt;='General Information'!$D$33)*INDIRECT("'"&amp;$G$14&amp;"'!$D$37:$D$52")/(1+$W22/100)^INDIRECT("'"&amp;$G$14&amp;"'!$C$37:$C$52")),0))</f>
        <v>17995875.8737287</v>
      </c>
      <c r="AA22" s="137" t="n">
        <f aca="true">IF($G$15="",0,IFERROR($J$15+SUMPRODUCT((INDIRECT("'"&amp;$G$15&amp;"'!$C$37:$C$52")&lt;='General Information'!$D$33)*INDIRECT("'"&amp;$G$15&amp;"'!$D$37:$D$52")/(1+$W22/100)^INDIRECT("'"&amp;$G$15&amp;"'!$C$37:$C$52")),0))</f>
        <v>14650561.8293132</v>
      </c>
    </row>
    <row r="23" customFormat="false" ht="15" hidden="false" customHeight="false" outlineLevel="0" collapsed="false">
      <c r="G23" s="139" t="str">
        <f aca="false">IF($G$13="","",$H$13)</f>
        <v>Alternative 2</v>
      </c>
      <c r="H23" s="140" t="n">
        <f aca="false">IF($G$13="","",$J$13+$K$13+$L$13+$N$13)</f>
        <v>13915434.271426</v>
      </c>
      <c r="I23" s="140" t="n">
        <f aca="false">IF($G$13="","",H23*(('General Information'!$D$34/100)*(1+'General Information'!$D$34/100)^'General Information'!$D$33/((1+'General Information'!$D$34/100)^'General Information'!$D$33-1)))</f>
        <v>709955.149647815</v>
      </c>
      <c r="J23" s="140" t="n">
        <f aca="false">IF($G$13="","",$M$13)</f>
        <v>151134.108680669</v>
      </c>
      <c r="K23" s="140" t="n">
        <f aca="false">IF($G$13="","",J23*(('General Information'!$D$34/100)*(1+'General Information'!$D$34/100)^'General Information'!$D$33/((1+'General Information'!$D$34/100)^'General Information'!$D$33-1)))</f>
        <v>7710.75028291431</v>
      </c>
      <c r="L23" s="140" t="n">
        <f aca="false">IF($G$13="","",$O$13)</f>
        <v>14066568.3801067</v>
      </c>
      <c r="M23" s="140" t="n">
        <f aca="false">IF($G$13="","",L23*(('General Information'!$D$34/100)*(1+'General Information'!$D$34/100)^'General Information'!$D$33/((1+'General Information'!$D$34/100)^'General Information'!$D$33-1)))</f>
        <v>717665.899930729</v>
      </c>
      <c r="N23" s="140" t="n">
        <f aca="false">IF($G$13="","",$P$13)</f>
        <v>0</v>
      </c>
      <c r="O23" s="151" t="n">
        <f aca="false">IF($G$13="","",IFERROR($P$13/MIN($O$12:$O$15),0))</f>
        <v>0</v>
      </c>
      <c r="P23" s="139" t="str">
        <f aca="false">IF($G$13="","",IF($O$13=MIN($O$12:$O$15),"lowest",""))</f>
        <v>lowest</v>
      </c>
      <c r="S23" s="150" t="s">
        <v>732</v>
      </c>
      <c r="T23" s="150" t="str">
        <f aca="false">IF(AE132="","not in the reference list",TEXT(AE132,"0.0000")&amp;"° N, "&amp;TEXT(-AD132,"0.0000")&amp;"° W")</f>
        <v>35.5999° N, 88.9156° W</v>
      </c>
      <c r="W23" s="143" t="n">
        <v>4.75</v>
      </c>
      <c r="X23" s="137" t="n">
        <f aca="true">IF($G$12="",0,IFERROR($J$12+SUMPRODUCT((INDIRECT("'"&amp;$G$12&amp;"'!$C$37:$C$52")&lt;='General Information'!$D$33)*INDIRECT("'"&amp;$G$12&amp;"'!$D$37:$D$52")/(1+$W23/100)^INDIRECT("'"&amp;$G$12&amp;"'!$C$37:$C$52")),0))</f>
        <v>15579230.7403418</v>
      </c>
      <c r="Y23" s="137" t="n">
        <f aca="true">IF($G$13="",0,IFERROR($J$13+SUMPRODUCT((INDIRECT("'"&amp;$G$13&amp;"'!$C$37:$C$52")&lt;='General Information'!$D$33)*INDIRECT("'"&amp;$G$13&amp;"'!$D$37:$D$52")/(1+$W23/100)^INDIRECT("'"&amp;$G$13&amp;"'!$C$37:$C$52")),0))</f>
        <v>14102496.2409046</v>
      </c>
      <c r="Z23" s="137" t="n">
        <f aca="true">IF($G$14="",0,IFERROR($J$14+SUMPRODUCT((INDIRECT("'"&amp;$G$14&amp;"'!$C$37:$C$52")&lt;='General Information'!$D$33)*INDIRECT("'"&amp;$G$14&amp;"'!$D$37:$D$52")/(1+$W23/100)^INDIRECT("'"&amp;$G$14&amp;"'!$C$37:$C$52")),0))</f>
        <v>17878434.9403418</v>
      </c>
      <c r="AA23" s="137" t="n">
        <f aca="true">IF($G$15="",0,IFERROR($J$15+SUMPRODUCT((INDIRECT("'"&amp;$G$15&amp;"'!$C$37:$C$52")&lt;='General Information'!$D$33)*INDIRECT("'"&amp;$G$15&amp;"'!$D$37:$D$52")/(1+$W23/100)^INDIRECT("'"&amp;$G$15&amp;"'!$C$37:$C$52")),0))</f>
        <v>14654185.1956735</v>
      </c>
    </row>
    <row r="24" customFormat="false" ht="15" hidden="false" customHeight="false" outlineLevel="0" collapsed="false">
      <c r="G24" s="139" t="str">
        <f aca="false">IF($G$14="","",$H$14)</f>
        <v>Alternative 3</v>
      </c>
      <c r="H24" s="140" t="n">
        <f aca="false">IF($G$14="","",$J$14+$K$14+$L$14+$N$14)</f>
        <v>18331045.2958102</v>
      </c>
      <c r="I24" s="140" t="n">
        <f aca="false">IF($G$14="","",H24*(('General Information'!$D$34/100)*(1+'General Information'!$D$34/100)^'General Information'!$D$33/((1+'General Information'!$D$34/100)^'General Information'!$D$33-1)))</f>
        <v>935236.353558239</v>
      </c>
      <c r="J24" s="140" t="n">
        <f aca="false">IF($G$14="","",$M$14)</f>
        <v>496242.529261035</v>
      </c>
      <c r="K24" s="140" t="n">
        <f aca="false">IF($G$14="","",J24*(('General Information'!$D$34/100)*(1+'General Information'!$D$34/100)^'General Information'!$D$33/((1+'General Information'!$D$34/100)^'General Information'!$D$33-1)))</f>
        <v>25317.9262861068</v>
      </c>
      <c r="L24" s="140" t="n">
        <f aca="false">IF($G$14="","",$O$14)</f>
        <v>18827287.8250713</v>
      </c>
      <c r="M24" s="140" t="n">
        <f aca="false">IF($G$14="","",L24*(('General Information'!$D$34/100)*(1+'General Information'!$D$34/100)^'General Information'!$D$33/((1+'General Information'!$D$34/100)^'General Information'!$D$33-1)))</f>
        <v>960554.279844345</v>
      </c>
      <c r="N24" s="140" t="n">
        <f aca="false">IF($G$14="","",$P$14)</f>
        <v>4760719.44496457</v>
      </c>
      <c r="O24" s="151" t="n">
        <f aca="false">IF($G$14="","",IFERROR($P$14/MIN($O$12:$O$15),0))</f>
        <v>0.338442135730652</v>
      </c>
      <c r="P24" s="139" t="str">
        <f aca="false">IF($G$14="","",IF($O$14=MIN($O$12:$O$15),"lowest",""))</f>
        <v/>
      </c>
      <c r="S24" s="150" t="s">
        <v>733</v>
      </c>
      <c r="T24" s="150" t="str">
        <f aca="false">IFERROR(IF(INDEX($AB$132:$AB$210,MATCH('General Information'!$D$10,$X$132:$X$210,0))="","",TEXT(INDEX($AB$132:$AB$210,MATCH('General Information'!$D$10,$X$132:$X$210,0)),"#,##0")&amp;" ft"),"")</f>
        <v>435 ft</v>
      </c>
      <c r="W24" s="143" t="n">
        <v>5</v>
      </c>
      <c r="X24" s="137" t="n">
        <f aca="true">IF($G$12="",0,IFERROR($J$12+SUMPRODUCT((INDIRECT("'"&amp;$G$12&amp;"'!$C$37:$C$52")&lt;='General Information'!$D$33)*INDIRECT("'"&amp;$G$12&amp;"'!$D$37:$D$52")/(1+$W24/100)^INDIRECT("'"&amp;$G$12&amp;"'!$C$37:$C$52")),0))</f>
        <v>15467023.4515934</v>
      </c>
      <c r="Y24" s="137" t="n">
        <f aca="true">IF($G$13="",0,IFERROR($J$13+SUMPRODUCT((INDIRECT("'"&amp;$G$13&amp;"'!$C$37:$C$52")&lt;='General Information'!$D$33)*INDIRECT("'"&amp;$G$13&amp;"'!$D$37:$D$52")/(1+$W24/100)^INDIRECT("'"&amp;$G$13&amp;"'!$C$37:$C$52")),0))</f>
        <v>14102403.2438256</v>
      </c>
      <c r="Z24" s="137" t="n">
        <f aca="true">IF($G$14="",0,IFERROR($J$14+SUMPRODUCT((INDIRECT("'"&amp;$G$14&amp;"'!$C$37:$C$52")&lt;='General Information'!$D$33)*INDIRECT("'"&amp;$G$14&amp;"'!$D$37:$D$52")/(1+$W24/100)^INDIRECT("'"&amp;$G$14&amp;"'!$C$37:$C$52")),0))</f>
        <v>17766227.6515934</v>
      </c>
      <c r="AA24" s="137" t="n">
        <f aca="true">IF($G$15="",0,IFERROR($J$15+SUMPRODUCT((INDIRECT("'"&amp;$G$15&amp;"'!$C$37:$C$52")&lt;='General Information'!$D$33)*INDIRECT("'"&amp;$G$15&amp;"'!$D$37:$D$52")/(1+$W24/100)^INDIRECT("'"&amp;$G$15&amp;"'!$C$37:$C$52")),0))</f>
        <v>14656614.6621605</v>
      </c>
    </row>
    <row r="25" customFormat="false" ht="15" hidden="false" customHeight="false" outlineLevel="0" collapsed="false">
      <c r="G25" s="139" t="str">
        <f aca="false">IF($G$15="","",$H$15)</f>
        <v>Alternative 4</v>
      </c>
      <c r="H25" s="140" t="n">
        <f aca="false">IF($G$15="","",$J$15+$K$15+$L$15+$N$15)</f>
        <v>14443085.3906138</v>
      </c>
      <c r="I25" s="140" t="n">
        <f aca="false">IF($G$15="","",H25*(('General Information'!$D$34/100)*(1+'General Information'!$D$34/100)^'General Information'!$D$33/((1+'General Information'!$D$34/100)^'General Information'!$D$33-1)))</f>
        <v>736875.518928279</v>
      </c>
      <c r="J25" s="140" t="n">
        <f aca="false">IF($G$15="","",$M$15)</f>
        <v>151134.108680669</v>
      </c>
      <c r="K25" s="140" t="n">
        <f aca="false">IF($G$15="","",J25*(('General Information'!$D$34/100)*(1+'General Information'!$D$34/100)^'General Information'!$D$33/((1+'General Information'!$D$34/100)^'General Information'!$D$33-1)))</f>
        <v>7710.75028291431</v>
      </c>
      <c r="L25" s="140" t="n">
        <f aca="false">IF($G$15="","",$O$15)</f>
        <v>14594219.4992945</v>
      </c>
      <c r="M25" s="140" t="n">
        <f aca="false">IF($G$15="","",L25*(('General Information'!$D$34/100)*(1+'General Information'!$D$34/100)^'General Information'!$D$33/((1+'General Information'!$D$34/100)^'General Information'!$D$33-1)))</f>
        <v>744586.269211193</v>
      </c>
      <c r="N25" s="140" t="n">
        <f aca="false">IF($G$15="","",$P$15)</f>
        <v>527651.119187811</v>
      </c>
      <c r="O25" s="151" t="n">
        <f aca="false">IF($G$15="","",IFERROR($P$15/MIN($O$12:$O$15),0))</f>
        <v>0.0375110051669765</v>
      </c>
      <c r="P25" s="139" t="str">
        <f aca="false">IF($G$15="","",IF($O$15=MIN($O$12:$O$15),"lowest",""))</f>
        <v/>
      </c>
      <c r="S25" s="150" t="s">
        <v>734</v>
      </c>
      <c r="T25" s="150" t="str">
        <f aca="false">IF('General Information'!$D$22="","",'General Information'!$D$22&amp;IF('General Information'!$D$23=""," ",", "&amp;'General Information'!$D$23))</f>
        <v>Runway 2-20, Reconstruction</v>
      </c>
      <c r="W25" s="143" t="n">
        <v>5.25</v>
      </c>
      <c r="X25" s="137" t="n">
        <f aca="true">IF($G$12="",0,IFERROR($J$12+SUMPRODUCT((INDIRECT("'"&amp;$G$12&amp;"'!$C$37:$C$52")&lt;='General Information'!$D$33)*INDIRECT("'"&amp;$G$12&amp;"'!$D$37:$D$52")/(1+$W25/100)^INDIRECT("'"&amp;$G$12&amp;"'!$C$37:$C$52")),0))</f>
        <v>15359785.6705284</v>
      </c>
      <c r="Y25" s="137" t="n">
        <f aca="true">IF($G$13="",0,IFERROR($J$13+SUMPRODUCT((INDIRECT("'"&amp;$G$13&amp;"'!$C$37:$C$52")&lt;='General Information'!$D$33)*INDIRECT("'"&amp;$G$13&amp;"'!$D$37:$D$52")/(1+$W25/100)^INDIRECT("'"&amp;$G$13&amp;"'!$C$37:$C$52")),0))</f>
        <v>14101431.0899802</v>
      </c>
      <c r="Z25" s="137" t="n">
        <f aca="true">IF($G$14="",0,IFERROR($J$14+SUMPRODUCT((INDIRECT("'"&amp;$G$14&amp;"'!$C$37:$C$52")&lt;='General Information'!$D$33)*INDIRECT("'"&amp;$G$14&amp;"'!$D$37:$D$52")/(1+$W25/100)^INDIRECT("'"&amp;$G$14&amp;"'!$C$37:$C$52")),0))</f>
        <v>17658989.8705284</v>
      </c>
      <c r="AA25" s="137" t="n">
        <f aca="true">IF($G$15="",0,IFERROR($J$15+SUMPRODUCT((INDIRECT("'"&amp;$G$15&amp;"'!$C$37:$C$52")&lt;='General Information'!$D$33)*INDIRECT("'"&amp;$G$15&amp;"'!$D$37:$D$52")/(1+$W25/100)^INDIRECT("'"&amp;$G$15&amp;"'!$C$37:$C$52")),0))</f>
        <v>14657985.4923725</v>
      </c>
    </row>
    <row r="26" customFormat="false" ht="15" hidden="false" customHeight="false" outlineLevel="0" collapsed="false">
      <c r="G26" s="60" t="s">
        <v>735</v>
      </c>
      <c r="S26" s="150" t="s">
        <v>736</v>
      </c>
      <c r="T26" s="150" t="str">
        <f aca="false">IF('General Information'!$D$26="","",TEXT('General Information'!$D$26,"#,##0")&amp;" S.Y."&amp;IF('General Information'!$D$27&gt;0," + "&amp;TEXT('General Information'!$D$27,"#,##0")&amp;" S.Y. shoulder",""))</f>
        <v>100,083 S.Y. + 33,361 S.Y. shoulder</v>
      </c>
      <c r="W26" s="143" t="n">
        <v>5.5</v>
      </c>
      <c r="X26" s="137" t="n">
        <f aca="true">IF($G$12="",0,IFERROR($J$12+SUMPRODUCT((INDIRECT("'"&amp;$G$12&amp;"'!$C$37:$C$52")&lt;='General Information'!$D$33)*INDIRECT("'"&amp;$G$12&amp;"'!$D$37:$D$52")/(1+$W26/100)^INDIRECT("'"&amp;$G$12&amp;"'!$C$37:$C$52")),0))</f>
        <v>15257267.7578851</v>
      </c>
      <c r="Y26" s="137" t="n">
        <f aca="true">IF($G$13="",0,IFERROR($J$13+SUMPRODUCT((INDIRECT("'"&amp;$G$13&amp;"'!$C$37:$C$52")&lt;='General Information'!$D$33)*INDIRECT("'"&amp;$G$13&amp;"'!$D$37:$D$52")/(1+$W26/100)^INDIRECT("'"&amp;$G$13&amp;"'!$C$37:$C$52")),0))</f>
        <v>14099689.0898387</v>
      </c>
      <c r="Z26" s="137" t="n">
        <f aca="true">IF($G$14="",0,IFERROR($J$14+SUMPRODUCT((INDIRECT("'"&amp;$G$14&amp;"'!$C$37:$C$52")&lt;='General Information'!$D$33)*INDIRECT("'"&amp;$G$14&amp;"'!$D$37:$D$52")/(1+$W26/100)^INDIRECT("'"&amp;$G$14&amp;"'!$C$37:$C$52")),0))</f>
        <v>17556471.9578851</v>
      </c>
      <c r="AA26" s="137" t="n">
        <f aca="true">IF($G$15="",0,IFERROR($J$15+SUMPRODUCT((INDIRECT("'"&amp;$G$15&amp;"'!$C$37:$C$52")&lt;='General Information'!$D$33)*INDIRECT("'"&amp;$G$15&amp;"'!$D$37:$D$52")/(1+$W26/100)^INDIRECT("'"&amp;$G$15&amp;"'!$C$37:$C$52")),0))</f>
        <v>14658420.1487846</v>
      </c>
    </row>
    <row r="27" customFormat="false" ht="15" hidden="false" customHeight="false" outlineLevel="0" collapsed="false">
      <c r="S27" s="150" t="s">
        <v>737</v>
      </c>
      <c r="T27" s="152" t="n">
        <v>150</v>
      </c>
      <c r="W27" s="143" t="n">
        <v>5.75</v>
      </c>
      <c r="X27" s="137" t="n">
        <f aca="true">IF($G$12="",0,IFERROR($J$12+SUMPRODUCT((INDIRECT("'"&amp;$G$12&amp;"'!$C$37:$C$52")&lt;='General Information'!$D$33)*INDIRECT("'"&amp;$G$12&amp;"'!$D$37:$D$52")/(1+$W27/100)^INDIRECT("'"&amp;$G$12&amp;"'!$C$37:$C$52")),0))</f>
        <v>15159233.7225235</v>
      </c>
      <c r="Y27" s="137" t="n">
        <f aca="true">IF($G$13="",0,IFERROR($J$13+SUMPRODUCT((INDIRECT("'"&amp;$G$13&amp;"'!$C$37:$C$52")&lt;='General Information'!$D$33)*INDIRECT("'"&amp;$G$13&amp;"'!$D$37:$D$52")/(1+$W27/100)^INDIRECT("'"&amp;$G$13&amp;"'!$C$37:$C$52")),0))</f>
        <v>14097275.8874616</v>
      </c>
      <c r="Z27" s="137" t="n">
        <f aca="true">IF($G$14="",0,IFERROR($J$14+SUMPRODUCT((INDIRECT("'"&amp;$G$14&amp;"'!$C$37:$C$52")&lt;='General Information'!$D$33)*INDIRECT("'"&amp;$G$14&amp;"'!$D$37:$D$52")/(1+$W27/100)^INDIRECT("'"&amp;$G$14&amp;"'!$C$37:$C$52")),0))</f>
        <v>17458437.9225235</v>
      </c>
      <c r="AA27" s="137" t="n">
        <f aca="true">IF($G$15="",0,IFERROR($J$15+SUMPRODUCT((INDIRECT("'"&amp;$G$15&amp;"'!$C$37:$C$52")&lt;='General Information'!$D$33)*INDIRECT("'"&amp;$G$15&amp;"'!$D$37:$D$52")/(1+$W27/100)^INDIRECT("'"&amp;$G$15&amp;"'!$C$37:$C$52")),0))</f>
        <v>14658029.4358675</v>
      </c>
    </row>
    <row r="28" customFormat="false" ht="43.5" hidden="false" customHeight="true" outlineLevel="0" collapsed="false">
      <c r="G28" s="129" t="s">
        <v>738</v>
      </c>
      <c r="S28" s="153"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West division project is priced on the same statewide numbers as any other.</v>
      </c>
      <c r="T28" s="153"/>
      <c r="U28" s="153"/>
      <c r="V28" s="153"/>
      <c r="W28" s="143" t="n">
        <v>6</v>
      </c>
      <c r="X28" s="137" t="n">
        <f aca="true">IF($G$12="",0,IFERROR($J$12+SUMPRODUCT((INDIRECT("'"&amp;$G$12&amp;"'!$C$37:$C$52")&lt;='General Information'!$D$33)*INDIRECT("'"&amp;$G$12&amp;"'!$D$37:$D$52")/(1+$W28/100)^INDIRECT("'"&amp;$G$12&amp;"'!$C$37:$C$52")),0))</f>
        <v>15065460.4244543</v>
      </c>
      <c r="Y28" s="137" t="n">
        <f aca="true">IF($G$13="",0,IFERROR($J$13+SUMPRODUCT((INDIRECT("'"&amp;$G$13&amp;"'!$C$37:$C$52")&lt;='General Information'!$D$33)*INDIRECT("'"&amp;$G$13&amp;"'!$D$37:$D$52")/(1+$W28/100)^INDIRECT("'"&amp;$G$13&amp;"'!$C$37:$C$52")),0))</f>
        <v>14094280.4264773</v>
      </c>
      <c r="Z28" s="137" t="n">
        <f aca="true">IF($G$14="",0,IFERROR($J$14+SUMPRODUCT((INDIRECT("'"&amp;$G$14&amp;"'!$C$37:$C$52")&lt;='General Information'!$D$33)*INDIRECT("'"&amp;$G$14&amp;"'!$D$37:$D$52")/(1+$W28/100)^INDIRECT("'"&amp;$G$14&amp;"'!$C$37:$C$52")),0))</f>
        <v>17364664.6244543</v>
      </c>
      <c r="AA28" s="137" t="n">
        <f aca="true">IF($G$15="",0,IFERROR($J$15+SUMPRODUCT((INDIRECT("'"&amp;$G$15&amp;"'!$C$37:$C$52")&lt;='General Information'!$D$33)*INDIRECT("'"&amp;$G$15&amp;"'!$D$37:$D$52")/(1+$W28/100)^INDIRECT("'"&amp;$G$15&amp;"'!$C$37:$C$52")),0))</f>
        <v>14656913.5429153</v>
      </c>
    </row>
    <row r="29" customFormat="false" ht="25.5" hidden="false" customHeight="true" outlineLevel="0" collapsed="false">
      <c r="G29" s="60" t="s">
        <v>739</v>
      </c>
      <c r="S29" s="154" t="s">
        <v>740</v>
      </c>
      <c r="T29" s="154"/>
      <c r="U29" s="154"/>
      <c r="V29" s="154"/>
      <c r="W29" s="143" t="n">
        <v>6.25</v>
      </c>
      <c r="X29" s="137" t="n">
        <f aca="true">IF($G$12="",0,IFERROR($J$12+SUMPRODUCT((INDIRECT("'"&amp;$G$12&amp;"'!$C$37:$C$52")&lt;='General Information'!$D$33)*INDIRECT("'"&amp;$G$12&amp;"'!$D$37:$D$52")/(1+$W29/100)^INDIRECT("'"&amp;$G$12&amp;"'!$C$37:$C$52")),0))</f>
        <v>14975736.8270522</v>
      </c>
      <c r="Y29" s="137" t="n">
        <f aca="true">IF($G$13="",0,IFERROR($J$13+SUMPRODUCT((INDIRECT("'"&amp;$G$13&amp;"'!$C$37:$C$52")&lt;='General Information'!$D$33)*INDIRECT("'"&amp;$G$13&amp;"'!$D$37:$D$52")/(1+$W29/100)^INDIRECT("'"&amp;$G$13&amp;"'!$C$37:$C$52")),0))</f>
        <v>14090782.8306857</v>
      </c>
      <c r="Z29" s="137" t="n">
        <f aca="true">IF($G$14="",0,IFERROR($J$14+SUMPRODUCT((INDIRECT("'"&amp;$G$14&amp;"'!$C$37:$C$52")&lt;='General Information'!$D$33)*INDIRECT("'"&amp;$G$14&amp;"'!$D$37:$D$52")/(1+$W29/100)^INDIRECT("'"&amp;$G$14&amp;"'!$C$37:$C$52")),0))</f>
        <v>17274941.0270522</v>
      </c>
      <c r="AA29" s="137" t="n">
        <f aca="true">IF($G$15="",0,IFERROR($J$15+SUMPRODUCT((INDIRECT("'"&amp;$G$15&amp;"'!$C$37:$C$52")&lt;='General Information'!$D$33)*INDIRECT("'"&amp;$G$15&amp;"'!$D$37:$D$52")/(1+$W29/100)^INDIRECT("'"&amp;$G$15&amp;"'!$C$37:$C$52")),0))</f>
        <v>14655162.9953821</v>
      </c>
    </row>
    <row r="30" customFormat="false" ht="25.5" hidden="false" customHeight="true" outlineLevel="0" collapsed="false">
      <c r="S30" s="154" t="s">
        <v>741</v>
      </c>
      <c r="T30" s="154"/>
      <c r="U30" s="154"/>
      <c r="V30" s="154"/>
      <c r="W30" s="143" t="n">
        <v>6.5</v>
      </c>
      <c r="X30" s="137" t="n">
        <f aca="true">IF($G$12="",0,IFERROR($J$12+SUMPRODUCT((INDIRECT("'"&amp;$G$12&amp;"'!$C$37:$C$52")&lt;='General Information'!$D$33)*INDIRECT("'"&amp;$G$12&amp;"'!$D$37:$D$52")/(1+$W30/100)^INDIRECT("'"&amp;$G$12&amp;"'!$C$37:$C$52")),0))</f>
        <v>14889863.295268</v>
      </c>
      <c r="Y30" s="137" t="n">
        <f aca="true">IF($G$13="",0,IFERROR($J$13+SUMPRODUCT((INDIRECT("'"&amp;$G$13&amp;"'!$C$37:$C$52")&lt;='General Information'!$D$33)*INDIRECT("'"&amp;$G$13&amp;"'!$D$37:$D$52")/(1+$W30/100)^INDIRECT("'"&amp;$G$13&amp;"'!$C$37:$C$52")),0))</f>
        <v>14086855.2068048</v>
      </c>
      <c r="Z30" s="137" t="n">
        <f aca="true">IF($G$14="",0,IFERROR($J$14+SUMPRODUCT((INDIRECT("'"&amp;$G$14&amp;"'!$C$37:$C$52")&lt;='General Information'!$D$33)*INDIRECT("'"&amp;$G$14&amp;"'!$D$37:$D$52")/(1+$W30/100)^INDIRECT("'"&amp;$G$14&amp;"'!$C$37:$C$52")),0))</f>
        <v>17189067.495268</v>
      </c>
      <c r="AA30" s="137" t="n">
        <f aca="true">IF($G$15="",0,IFERROR($J$15+SUMPRODUCT((INDIRECT("'"&amp;$G$15&amp;"'!$C$37:$C$52")&lt;='General Information'!$D$33)*INDIRECT("'"&amp;$G$15&amp;"'!$D$37:$D$52")/(1+$W30/100)^INDIRECT("'"&amp;$G$15&amp;"'!$C$37:$C$52")),0))</f>
        <v>14652859.5227445</v>
      </c>
    </row>
    <row r="31" customFormat="false" ht="15" hidden="false" customHeight="false" outlineLevel="0" collapsed="false">
      <c r="W31" s="143" t="n">
        <v>6.75</v>
      </c>
      <c r="X31" s="137" t="n">
        <f aca="true">IF($G$12="",0,IFERROR($J$12+SUMPRODUCT((INDIRECT("'"&amp;$G$12&amp;"'!$C$37:$C$52")&lt;='General Information'!$D$33)*INDIRECT("'"&amp;$G$12&amp;"'!$D$37:$D$52")/(1+$W31/100)^INDIRECT("'"&amp;$G$12&amp;"'!$C$37:$C$52")),0))</f>
        <v>14807650.9368703</v>
      </c>
      <c r="Y31" s="137" t="n">
        <f aca="true">IF($G$13="",0,IFERROR($J$13+SUMPRODUCT((INDIRECT("'"&amp;$G$13&amp;"'!$C$37:$C$52")&lt;='General Information'!$D$33)*INDIRECT("'"&amp;$G$13&amp;"'!$D$37:$D$52")/(1+$W31/100)^INDIRECT("'"&amp;$G$13&amp;"'!$C$37:$C$52")),0))</f>
        <v>14082562.3762169</v>
      </c>
      <c r="Z31" s="137" t="n">
        <f aca="true">IF($G$14="",0,IFERROR($J$14+SUMPRODUCT((INDIRECT("'"&amp;$G$14&amp;"'!$C$37:$C$52")&lt;='General Information'!$D$33)*INDIRECT("'"&amp;$G$14&amp;"'!$D$37:$D$52")/(1+$W31/100)^INDIRECT("'"&amp;$G$14&amp;"'!$C$37:$C$52")),0))</f>
        <v>17106855.1368703</v>
      </c>
      <c r="AA31" s="137" t="n">
        <f aca="true">IF($G$15="",0,IFERROR($J$15+SUMPRODUCT((INDIRECT("'"&amp;$G$15&amp;"'!$C$37:$C$52")&lt;='General Information'!$D$33)*INDIRECT("'"&amp;$G$15&amp;"'!$D$37:$D$52")/(1+$W31/100)^INDIRECT("'"&amp;$G$15&amp;"'!$C$37:$C$52")),0))</f>
        <v>14650076.8502029</v>
      </c>
    </row>
    <row r="32" customFormat="false" ht="15" hidden="false" customHeight="false" outlineLevel="0" collapsed="false">
      <c r="W32" s="143" t="n">
        <v>7</v>
      </c>
      <c r="X32" s="137" t="n">
        <f aca="true">IF($G$12="",0,IFERROR($J$12+SUMPRODUCT((INDIRECT("'"&amp;$G$12&amp;"'!$C$37:$C$52")&lt;='General Information'!$D$33)*INDIRECT("'"&amp;$G$12&amp;"'!$D$37:$D$52")/(1+$W32/100)^INDIRECT("'"&amp;$G$12&amp;"'!$C$37:$C$52")),0))</f>
        <v>14728920.9839463</v>
      </c>
      <c r="Y32" s="137" t="n">
        <f aca="true">IF($G$13="",0,IFERROR($J$13+SUMPRODUCT((INDIRECT("'"&amp;$G$13&amp;"'!$C$37:$C$52")&lt;='General Information'!$D$33)*INDIRECT("'"&amp;$G$13&amp;"'!$D$37:$D$52")/(1+$W32/100)^INDIRECT("'"&amp;$G$13&amp;"'!$C$37:$C$52")),0))</f>
        <v>14077962.5419561</v>
      </c>
      <c r="Z32" s="137" t="n">
        <f aca="true">IF($G$14="",0,IFERROR($J$14+SUMPRODUCT((INDIRECT("'"&amp;$G$14&amp;"'!$C$37:$C$52")&lt;='General Information'!$D$33)*INDIRECT("'"&amp;$G$14&amp;"'!$D$37:$D$52")/(1+$W32/100)^INDIRECT("'"&amp;$G$14&amp;"'!$C$37:$C$52")),0))</f>
        <v>17028125.1839463</v>
      </c>
      <c r="AA32" s="137" t="n">
        <f aca="true">IF($G$15="",0,IFERROR($J$15+SUMPRODUCT((INDIRECT("'"&amp;$G$15&amp;"'!$C$37:$C$52")&lt;='General Information'!$D$33)*INDIRECT("'"&amp;$G$15&amp;"'!$D$37:$D$52")/(1+$W32/100)^INDIRECT("'"&amp;$G$15&amp;"'!$C$37:$C$52")),0))</f>
        <v>14646881.4208856</v>
      </c>
    </row>
    <row r="33" customFormat="false" ht="15" hidden="false" customHeight="false" outlineLevel="0" collapsed="false">
      <c r="W33" s="143" t="n">
        <v>7.25</v>
      </c>
      <c r="X33" s="137" t="n">
        <f aca="true">IF($G$12="",0,IFERROR($J$12+SUMPRODUCT((INDIRECT("'"&amp;$G$12&amp;"'!$C$37:$C$52")&lt;='General Information'!$D$33)*INDIRECT("'"&amp;$G$12&amp;"'!$D$37:$D$52")/(1+$W33/100)^INDIRECT("'"&amp;$G$12&amp;"'!$C$37:$C$52")),0))</f>
        <v>14653504.2120786</v>
      </c>
      <c r="Y33" s="137" t="n">
        <f aca="true">IF($G$13="",0,IFERROR($J$13+SUMPRODUCT((INDIRECT("'"&amp;$G$13&amp;"'!$C$37:$C$52")&lt;='General Information'!$D$33)*INDIRECT("'"&amp;$G$13&amp;"'!$D$37:$D$52")/(1+$W33/100)^INDIRECT("'"&amp;$G$13&amp;"'!$C$37:$C$52")),0))</f>
        <v>14073107.8966348</v>
      </c>
      <c r="Z33" s="137" t="n">
        <f aca="true">IF($G$14="",0,IFERROR($J$14+SUMPRODUCT((INDIRECT("'"&amp;$G$14&amp;"'!$C$37:$C$52")&lt;='General Information'!$D$33)*INDIRECT("'"&amp;$G$14&amp;"'!$D$37:$D$52")/(1+$W33/100)^INDIRECT("'"&amp;$G$14&amp;"'!$C$37:$C$52")),0))</f>
        <v>16952708.4120786</v>
      </c>
      <c r="AA33" s="137" t="n">
        <f aca="true">IF($G$15="",0,IFERROR($J$15+SUMPRODUCT((INDIRECT("'"&amp;$G$15&amp;"'!$C$37:$C$52")&lt;='General Information'!$D$33)*INDIRECT("'"&amp;$G$15&amp;"'!$D$37:$D$52")/(1+$W33/100)^INDIRECT("'"&amp;$G$15&amp;"'!$C$37:$C$52")),0))</f>
        <v>14643333.0546348</v>
      </c>
    </row>
    <row r="34" customFormat="false" ht="15" hidden="false" customHeight="false" outlineLevel="0" collapsed="false">
      <c r="W34" s="143" t="n">
        <v>7.5</v>
      </c>
      <c r="X34" s="137" t="n">
        <f aca="true">IF($G$12="",0,IFERROR($J$12+SUMPRODUCT((INDIRECT("'"&amp;$G$12&amp;"'!$C$37:$C$52")&lt;='General Information'!$D$33)*INDIRECT("'"&amp;$G$12&amp;"'!$D$37:$D$52")/(1+$W34/100)^INDIRECT("'"&amp;$G$12&amp;"'!$C$37:$C$52")),0))</f>
        <v>14581240.3947873</v>
      </c>
      <c r="Y34" s="137" t="n">
        <f aca="true">IF($G$13="",0,IFERROR($J$13+SUMPRODUCT((INDIRECT("'"&amp;$G$13&amp;"'!$C$37:$C$52")&lt;='General Information'!$D$33)*INDIRECT("'"&amp;$G$13&amp;"'!$D$37:$D$52")/(1+$W34/100)^INDIRECT("'"&amp;$G$13&amp;"'!$C$37:$C$52")),0))</f>
        <v>14068045.1764953</v>
      </c>
      <c r="Z34" s="137" t="n">
        <f aca="true">IF($G$14="",0,IFERROR($J$14+SUMPRODUCT((INDIRECT("'"&amp;$G$14&amp;"'!$C$37:$C$52")&lt;='General Information'!$D$33)*INDIRECT("'"&amp;$G$14&amp;"'!$D$37:$D$52")/(1+$W34/100)^INDIRECT("'"&amp;$G$14&amp;"'!$C$37:$C$52")),0))</f>
        <v>16880444.5947873</v>
      </c>
      <c r="AA34" s="137" t="n">
        <f aca="true">IF($G$15="",0,IFERROR($J$15+SUMPRODUCT((INDIRECT("'"&amp;$G$15&amp;"'!$C$37:$C$52")&lt;='General Information'!$D$33)*INDIRECT("'"&amp;$G$15&amp;"'!$D$37:$D$52")/(1+$W34/100)^INDIRECT("'"&amp;$G$15&amp;"'!$C$37:$C$52")),0))</f>
        <v>14639485.5489164</v>
      </c>
    </row>
    <row r="35" customFormat="false" ht="15" hidden="false" customHeight="false" outlineLevel="0" collapsed="false">
      <c r="W35" s="143" t="n">
        <v>7.75</v>
      </c>
      <c r="X35" s="137" t="n">
        <f aca="true">IF($G$12="",0,IFERROR($J$12+SUMPRODUCT((INDIRECT("'"&amp;$G$12&amp;"'!$C$37:$C$52")&lt;='General Information'!$D$33)*INDIRECT("'"&amp;$G$12&amp;"'!$D$37:$D$52")/(1+$W35/100)^INDIRECT("'"&amp;$G$12&amp;"'!$C$37:$C$52")),0))</f>
        <v>14511977.7909877</v>
      </c>
      <c r="Y35" s="137" t="n">
        <f aca="true">IF($G$13="",0,IFERROR($J$13+SUMPRODUCT((INDIRECT("'"&amp;$G$13&amp;"'!$C$37:$C$52")&lt;='General Information'!$D$33)*INDIRECT("'"&amp;$G$13&amp;"'!$D$37:$D$52")/(1+$W35/100)^INDIRECT("'"&amp;$G$13&amp;"'!$C$37:$C$52")),0))</f>
        <v>14062816.1663221</v>
      </c>
      <c r="Z35" s="137" t="n">
        <f aca="true">IF($G$14="",0,IFERROR($J$14+SUMPRODUCT((INDIRECT("'"&amp;$G$14&amp;"'!$C$37:$C$52")&lt;='General Information'!$D$33)*INDIRECT("'"&amp;$G$14&amp;"'!$D$37:$D$52")/(1+$W35/100)^INDIRECT("'"&amp;$G$14&amp;"'!$C$37:$C$52")),0))</f>
        <v>16811181.9909877</v>
      </c>
      <c r="AA35" s="137" t="n">
        <f aca="true">IF($G$15="",0,IFERROR($J$15+SUMPRODUCT((INDIRECT("'"&amp;$G$15&amp;"'!$C$37:$C$52")&lt;='General Information'!$D$33)*INDIRECT("'"&amp;$G$15&amp;"'!$D$37:$D$52")/(1+$W35/100)^INDIRECT("'"&amp;$G$15&amp;"'!$C$37:$C$52")),0))</f>
        <v>14635387.2269095</v>
      </c>
    </row>
    <row r="36" customFormat="false" ht="15" hidden="false" customHeight="false" outlineLevel="0" collapsed="false">
      <c r="W36" s="143" t="n">
        <v>8</v>
      </c>
      <c r="X36" s="137" t="n">
        <f aca="true">IF($G$12="",0,IFERROR($J$12+SUMPRODUCT((INDIRECT("'"&amp;$G$12&amp;"'!$C$37:$C$52")&lt;='General Information'!$D$33)*INDIRECT("'"&amp;$G$12&amp;"'!$D$37:$D$52")/(1+$W36/100)^INDIRECT("'"&amp;$G$12&amp;"'!$C$37:$C$52")),0))</f>
        <v>14445572.6633656</v>
      </c>
      <c r="Y36" s="137" t="n">
        <f aca="true">IF($G$13="",0,IFERROR($J$13+SUMPRODUCT((INDIRECT("'"&amp;$G$13&amp;"'!$C$37:$C$52")&lt;='General Information'!$D$33)*INDIRECT("'"&amp;$G$13&amp;"'!$D$37:$D$52")/(1+$W36/100)^INDIRECT("'"&amp;$G$13&amp;"'!$C$37:$C$52")),0))</f>
        <v>14057458.1595278</v>
      </c>
      <c r="Z36" s="137" t="n">
        <f aca="true">IF($G$14="",0,IFERROR($J$14+SUMPRODUCT((INDIRECT("'"&amp;$G$14&amp;"'!$C$37:$C$52")&lt;='General Information'!$D$33)*INDIRECT("'"&amp;$G$14&amp;"'!$D$37:$D$52")/(1+$W36/100)^INDIRECT("'"&amp;$G$14&amp;"'!$C$37:$C$52")),0))</f>
        <v>16744776.8633656</v>
      </c>
      <c r="AA36" s="137" t="n">
        <f aca="true">IF($G$15="",0,IFERROR($J$15+SUMPRODUCT((INDIRECT("'"&amp;$G$15&amp;"'!$C$37:$C$52")&lt;='General Information'!$D$33)*INDIRECT("'"&amp;$G$15&amp;"'!$D$37:$D$52")/(1+$W36/100)^INDIRECT("'"&amp;$G$15&amp;"'!$C$37:$C$52")),0))</f>
        <v>14631081.4373872</v>
      </c>
    </row>
    <row r="39" customFormat="false" ht="15" hidden="false" customHeight="false" outlineLevel="0" collapsed="false">
      <c r="W39" s="130" t="s">
        <v>742</v>
      </c>
    </row>
    <row r="40" customFormat="false" ht="15" hidden="false" customHeight="false" outlineLevel="0" collapsed="false">
      <c r="W40" s="132" t="s">
        <v>35</v>
      </c>
      <c r="X40" s="132" t="s">
        <v>743</v>
      </c>
      <c r="Y40" s="132" t="str">
        <f aca="false">IF(X$4="","",X$4&amp;" spend")</f>
        <v>Alternative 1 spend</v>
      </c>
      <c r="Z40" s="132" t="str">
        <f aca="false">IF(Y$4="","",Y$4&amp;" spend")</f>
        <v>Alternative 2 spend</v>
      </c>
      <c r="AA40" s="132" t="str">
        <f aca="false">IF(Z$4="","",Z$4&amp;" spend")</f>
        <v>Alternative 3 spend</v>
      </c>
      <c r="AB40" s="132" t="str">
        <f aca="false">IF(AA$4="","",AA$4&amp;" spend")</f>
        <v>Alternative 4 spend</v>
      </c>
      <c r="AC40" s="132" t="str">
        <f aca="false">IF(X$4="","",X$4&amp;" cumulative PW")</f>
        <v>Alternative 1 cumulative PW</v>
      </c>
      <c r="AD40" s="132" t="str">
        <f aca="false">IF(Y$4="","",Y$4&amp;" cumulative PW")</f>
        <v>Alternative 2 cumulative PW</v>
      </c>
      <c r="AE40" s="132" t="str">
        <f aca="false">IF(Z$4="","",Z$4&amp;" cumulative PW")</f>
        <v>Alternative 3 cumulative PW</v>
      </c>
      <c r="AF40" s="132" t="str">
        <f aca="false">IF(AA$4="","",AA$4&amp;" cumulative PW")</f>
        <v>Alternative 4 cumulative PW</v>
      </c>
      <c r="AG40" s="132" t="str">
        <f aca="false">IF(X$4="","",X$4&amp;" closure days")</f>
        <v>Alternative 1 closure days</v>
      </c>
      <c r="AH40" s="132" t="str">
        <f aca="false">IF(Y$4="","",Y$4&amp;" closure days")</f>
        <v>Alternative 2 closure days</v>
      </c>
      <c r="AI40" s="132" t="str">
        <f aca="false">IF(Z$4="","",Z$4&amp;" closure days")</f>
        <v>Alternative 3 closure days</v>
      </c>
      <c r="AJ40" s="132" t="str">
        <f aca="false">IF(AA$4="","",AA$4&amp;" closure days")</f>
        <v>Alternative 4 closure days</v>
      </c>
    </row>
    <row r="41" customFormat="false" ht="15" hidden="false" customHeight="false" outlineLevel="0" collapsed="false">
      <c r="W41" s="136" t="n">
        <v>0</v>
      </c>
      <c r="X41" s="136" t="n">
        <f aca="false">'General Information'!$D$25+W41</f>
        <v>2027</v>
      </c>
      <c r="Y41" s="137" t="n">
        <f aca="true">IF($G$12="",0,IF(W41&gt;'General Information'!$D$33,0,IF(W41=0,$J$12,IFERROR(SUMIF(INDIRECT("'"&amp;$G$12&amp;"'!$C$37:$C$52"),W41,INDIRECT("'"&amp;$G$12&amp;"'!$D$37:$D$52")),0))))</f>
        <v>12372457.4666667</v>
      </c>
      <c r="Z41" s="137" t="n">
        <f aca="true">IF($G$13="",0,IF(W41&gt;'General Information'!$D$33,0,IF(W41=0,$J$13,IFERROR(SUMIF(INDIRECT("'"&amp;$G$13&amp;"'!$C$37:$C$52"),W41,INDIRECT("'"&amp;$G$13&amp;"'!$D$37:$D$52")),0))))</f>
        <v>13830665.5166667</v>
      </c>
      <c r="AA41" s="137" t="n">
        <f aca="true">IF($G$14="",0,IF(W41&gt;'General Information'!$D$33,0,IF(W41=0,$J$14,IFERROR(SUMIF(INDIRECT("'"&amp;$G$14&amp;"'!$C$37:$C$52"),W41,INDIRECT("'"&amp;$G$14&amp;"'!$D$37:$D$52")),0))))</f>
        <v>14671661.6666667</v>
      </c>
      <c r="AB41" s="137" t="n">
        <f aca="true">IF($G$15="",0,IF(W41&gt;'General Information'!$D$33,0,IF(W41=0,$J$15,IFERROR(SUMIF(INDIRECT("'"&amp;$G$15&amp;"'!$C$37:$C$52"),W41,INDIRECT("'"&amp;$G$15&amp;"'!$D$37:$D$52")),0))))</f>
        <v>14418903.1666667</v>
      </c>
      <c r="AC41" s="137" t="n">
        <f aca="true">IF($G$12="",0,IF(W41&gt;'General Information'!$D$33,0,IF(W41=0,$J$12,IFERROR(SUMIF(INDIRECT("'"&amp;$G$12&amp;"'!$C$37:$C$52"),W41,INDIRECT("'"&amp;$G$12&amp;"'!$E$37:$E$52")),0))))</f>
        <v>12372457.4666667</v>
      </c>
      <c r="AD41" s="137" t="n">
        <f aca="true">IF($G$13="",0,IF(W41&gt;'General Information'!$D$33,0,IF(W41=0,$J$13,IFERROR(SUMIF(INDIRECT("'"&amp;$G$13&amp;"'!$C$37:$C$52"),W41,INDIRECT("'"&amp;$G$13&amp;"'!$E$37:$E$52")),0))))</f>
        <v>13830665.5166667</v>
      </c>
      <c r="AE41" s="137" t="n">
        <f aca="true">IF($G$14="",0,IF(W41&gt;'General Information'!$D$33,0,IF(W41=0,$J$14,IFERROR(SUMIF(INDIRECT("'"&amp;$G$14&amp;"'!$C$37:$C$52"),W41,INDIRECT("'"&amp;$G$14&amp;"'!$E$37:$E$52")),0))))</f>
        <v>14671661.6666667</v>
      </c>
      <c r="AF41" s="137" t="n">
        <f aca="true">IF($G$15="",0,IF(W41&gt;'General Information'!$D$33,0,IF(W41=0,$J$15,IFERROR(SUMIF(INDIRECT("'"&amp;$G$15&amp;"'!$C$37:$C$52"),W41,INDIRECT("'"&amp;$G$15&amp;"'!$E$37:$E$52")),0))))</f>
        <v>14418903.1666667</v>
      </c>
      <c r="AG41" s="155" t="n">
        <f aca="true">IF($G$12="",0,IF(W41&gt;'General Information'!$D$33,0,IFERROR(SUMIFS(INDIRECT("'"&amp;$G$12&amp;"'!$D$37:$D$52"),INDIRECT("'"&amp;$G$12&amp;"'!$C$37:$C$52"),W41,INDIRECT("'"&amp;$G$12&amp;"'!$B$37:$B$52"),"*Indirect*")/INDIRECT("'"&amp;$G$12&amp;"'!$F$2"),0)))</f>
        <v>0</v>
      </c>
      <c r="AH41" s="155" t="n">
        <f aca="true">IF($G$13="",0,IF(W41&gt;'General Information'!$D$33,0,IFERROR(SUMIFS(INDIRECT("'"&amp;$G$13&amp;"'!$D$37:$D$52"),INDIRECT("'"&amp;$G$13&amp;"'!$C$37:$C$52"),W41,INDIRECT("'"&amp;$G$13&amp;"'!$B$37:$B$52"),"*Indirect*")/INDIRECT("'"&amp;$G$13&amp;"'!$F$2"),0)))</f>
        <v>0</v>
      </c>
      <c r="AI41" s="155" t="n">
        <f aca="true">IF($G$14="",0,IF(W41&gt;'General Information'!$D$33,0,IFERROR(SUMIFS(INDIRECT("'"&amp;$G$14&amp;"'!$D$37:$D$52"),INDIRECT("'"&amp;$G$14&amp;"'!$C$37:$C$52"),W41,INDIRECT("'"&amp;$G$14&amp;"'!$B$37:$B$52"),"*Indirect*")/INDIRECT("'"&amp;$G$14&amp;"'!$F$2"),0)))</f>
        <v>0</v>
      </c>
      <c r="AJ41" s="155" t="n">
        <f aca="true">IF($G$15="",0,IF(W41&gt;'General Information'!$D$33,0,IFERROR(SUMIFS(INDIRECT("'"&amp;$G$15&amp;"'!$D$37:$D$52"),INDIRECT("'"&amp;$G$15&amp;"'!$C$37:$C$52"),W41,INDIRECT("'"&amp;$G$15&amp;"'!$B$37:$B$52"),"*Indirect*")/INDIRECT("'"&amp;$G$15&amp;"'!$F$2"),0)))</f>
        <v>0</v>
      </c>
    </row>
    <row r="42" customFormat="false" ht="15" hidden="false" customHeight="false" outlineLevel="0" collapsed="false">
      <c r="W42" s="136" t="n">
        <v>1</v>
      </c>
      <c r="X42" s="136" t="n">
        <f aca="false">'General Information'!$D$25+W42</f>
        <v>2028</v>
      </c>
      <c r="Y42" s="137" t="n">
        <f aca="true">IF($G$12="",0,IF(W42&gt;'General Information'!$D$33,0,IF(W42=0,$J$12,IFERROR(SUMIF(INDIRECT("'"&amp;$G$12&amp;"'!$C$37:$C$52"),W42,INDIRECT("'"&amp;$G$12&amp;"'!$D$37:$D$52")),0))))</f>
        <v>0</v>
      </c>
      <c r="Z42" s="137" t="n">
        <f aca="true">IF($G$13="",0,IF(W42&gt;'General Information'!$D$33,0,IF(W42=0,$J$13,IFERROR(SUMIF(INDIRECT("'"&amp;$G$13&amp;"'!$C$37:$C$52"),W42,INDIRECT("'"&amp;$G$13&amp;"'!$D$37:$D$52")),0))))</f>
        <v>0</v>
      </c>
      <c r="AA42" s="137" t="n">
        <f aca="true">IF($G$14="",0,IF(W42&gt;'General Information'!$D$33,0,IF(W42=0,$J$14,IFERROR(SUMIF(INDIRECT("'"&amp;$G$14&amp;"'!$C$37:$C$52"),W42,INDIRECT("'"&amp;$G$14&amp;"'!$D$37:$D$52")),0))))</f>
        <v>0</v>
      </c>
      <c r="AB42" s="137" t="n">
        <f aca="true">IF($G$15="",0,IF(W42&gt;'General Information'!$D$33,0,IF(W42=0,$J$15,IFERROR(SUMIF(INDIRECT("'"&amp;$G$15&amp;"'!$C$37:$C$52"),W42,INDIRECT("'"&amp;$G$15&amp;"'!$D$37:$D$52")),0))))</f>
        <v>0</v>
      </c>
      <c r="AC42" s="137" t="n">
        <f aca="true">IF($G$12="",0,AC41+IF(W42&gt;'General Information'!$D$33,0,IF(W42=0,$J$12,IFERROR(SUMIF(INDIRECT("'"&amp;$G$12&amp;"'!$C$37:$C$52"),W42,INDIRECT("'"&amp;$G$12&amp;"'!$E$37:$E$52")),0))))</f>
        <v>12372457.4666667</v>
      </c>
      <c r="AD42" s="137" t="n">
        <f aca="true">IF($G$13="",0,AD41+IF(W42&gt;'General Information'!$D$33,0,IF(W42=0,$J$13,IFERROR(SUMIF(INDIRECT("'"&amp;$G$13&amp;"'!$C$37:$C$52"),W42,INDIRECT("'"&amp;$G$13&amp;"'!$E$37:$E$52")),0))))</f>
        <v>13830665.5166667</v>
      </c>
      <c r="AE42" s="137" t="n">
        <f aca="true">IF($G$14="",0,AE41+IF(W42&gt;'General Information'!$D$33,0,IF(W42=0,$J$14,IFERROR(SUMIF(INDIRECT("'"&amp;$G$14&amp;"'!$C$37:$C$52"),W42,INDIRECT("'"&amp;$G$14&amp;"'!$E$37:$E$52")),0))))</f>
        <v>14671661.6666667</v>
      </c>
      <c r="AF42" s="137" t="n">
        <f aca="true">IF($G$15="",0,AF41+IF(W42&gt;'General Information'!$D$33,0,IF(W42=0,$J$15,IFERROR(SUMIF(INDIRECT("'"&amp;$G$15&amp;"'!$C$37:$C$52"),W42,INDIRECT("'"&amp;$G$15&amp;"'!$E$37:$E$52")),0))))</f>
        <v>14418903.1666667</v>
      </c>
      <c r="AG42" s="155" t="n">
        <f aca="true">IF($G$12="",0,IF(W42&gt;'General Information'!$D$33,0,IFERROR(SUMIFS(INDIRECT("'"&amp;$G$12&amp;"'!$D$37:$D$52"),INDIRECT("'"&amp;$G$12&amp;"'!$C$37:$C$52"),W42,INDIRECT("'"&amp;$G$12&amp;"'!$B$37:$B$52"),"*Indirect*")/INDIRECT("'"&amp;$G$12&amp;"'!$F$2"),0)))</f>
        <v>0</v>
      </c>
      <c r="AH42" s="155" t="n">
        <f aca="true">IF($G$13="",0,IF(W42&gt;'General Information'!$D$33,0,IFERROR(SUMIFS(INDIRECT("'"&amp;$G$13&amp;"'!$D$37:$D$52"),INDIRECT("'"&amp;$G$13&amp;"'!$C$37:$C$52"),W42,INDIRECT("'"&amp;$G$13&amp;"'!$B$37:$B$52"),"*Indirect*")/INDIRECT("'"&amp;$G$13&amp;"'!$F$2"),0)))</f>
        <v>0</v>
      </c>
      <c r="AI42" s="155" t="n">
        <f aca="true">IF($G$14="",0,IF(W42&gt;'General Information'!$D$33,0,IFERROR(SUMIFS(INDIRECT("'"&amp;$G$14&amp;"'!$D$37:$D$52"),INDIRECT("'"&amp;$G$14&amp;"'!$C$37:$C$52"),W42,INDIRECT("'"&amp;$G$14&amp;"'!$B$37:$B$52"),"*Indirect*")/INDIRECT("'"&amp;$G$14&amp;"'!$F$2"),0)))</f>
        <v>0</v>
      </c>
      <c r="AJ42" s="155" t="n">
        <f aca="true">IF($G$15="",0,IF(W42&gt;'General Information'!$D$33,0,IFERROR(SUMIFS(INDIRECT("'"&amp;$G$15&amp;"'!$D$37:$D$52"),INDIRECT("'"&amp;$G$15&amp;"'!$C$37:$C$52"),W42,INDIRECT("'"&amp;$G$15&amp;"'!$B$37:$B$52"),"*Indirect*")/INDIRECT("'"&amp;$G$15&amp;"'!$F$2"),0)))</f>
        <v>0</v>
      </c>
    </row>
    <row r="43" customFormat="false" ht="15" hidden="false" customHeight="false" outlineLevel="0" collapsed="false">
      <c r="W43" s="136" t="n">
        <v>2</v>
      </c>
      <c r="X43" s="136" t="n">
        <f aca="false">'General Information'!$D$25+W43</f>
        <v>2029</v>
      </c>
      <c r="Y43" s="137" t="n">
        <f aca="true">IF($G$12="",0,IF(W43&gt;'General Information'!$D$33,0,IF(W43=0,$J$12,IFERROR(SUMIF(INDIRECT("'"&amp;$G$12&amp;"'!$C$37:$C$52"),W43,INDIRECT("'"&amp;$G$12&amp;"'!$D$37:$D$52")),0))))</f>
        <v>0</v>
      </c>
      <c r="Z43" s="137" t="n">
        <f aca="true">IF($G$13="",0,IF(W43&gt;'General Information'!$D$33,0,IF(W43=0,$J$13,IFERROR(SUMIF(INDIRECT("'"&amp;$G$13&amp;"'!$C$37:$C$52"),W43,INDIRECT("'"&amp;$G$13&amp;"'!$D$37:$D$52")),0))))</f>
        <v>0</v>
      </c>
      <c r="AA43" s="137" t="n">
        <f aca="true">IF($G$14="",0,IF(W43&gt;'General Information'!$D$33,0,IF(W43=0,$J$14,IFERROR(SUMIF(INDIRECT("'"&amp;$G$14&amp;"'!$C$37:$C$52"),W43,INDIRECT("'"&amp;$G$14&amp;"'!$D$37:$D$52")),0))))</f>
        <v>0</v>
      </c>
      <c r="AB43" s="137" t="n">
        <f aca="true">IF($G$15="",0,IF(W43&gt;'General Information'!$D$33,0,IF(W43=0,$J$15,IFERROR(SUMIF(INDIRECT("'"&amp;$G$15&amp;"'!$C$37:$C$52"),W43,INDIRECT("'"&amp;$G$15&amp;"'!$D$37:$D$52")),0))))</f>
        <v>0</v>
      </c>
      <c r="AC43" s="137" t="n">
        <f aca="true">IF($G$12="",0,AC42+IF(W43&gt;'General Information'!$D$33,0,IF(W43=0,$J$12,IFERROR(SUMIF(INDIRECT("'"&amp;$G$12&amp;"'!$C$37:$C$52"),W43,INDIRECT("'"&amp;$G$12&amp;"'!$E$37:$E$52")),0))))</f>
        <v>12372457.4666667</v>
      </c>
      <c r="AD43" s="137" t="n">
        <f aca="true">IF($G$13="",0,AD42+IF(W43&gt;'General Information'!$D$33,0,IF(W43=0,$J$13,IFERROR(SUMIF(INDIRECT("'"&amp;$G$13&amp;"'!$C$37:$C$52"),W43,INDIRECT("'"&amp;$G$13&amp;"'!$E$37:$E$52")),0))))</f>
        <v>13830665.5166667</v>
      </c>
      <c r="AE43" s="137" t="n">
        <f aca="true">IF($G$14="",0,AE42+IF(W43&gt;'General Information'!$D$33,0,IF(W43=0,$J$14,IFERROR(SUMIF(INDIRECT("'"&amp;$G$14&amp;"'!$C$37:$C$52"),W43,INDIRECT("'"&amp;$G$14&amp;"'!$E$37:$E$52")),0))))</f>
        <v>14671661.6666667</v>
      </c>
      <c r="AF43" s="137" t="n">
        <f aca="true">IF($G$15="",0,AF42+IF(W43&gt;'General Information'!$D$33,0,IF(W43=0,$J$15,IFERROR(SUMIF(INDIRECT("'"&amp;$G$15&amp;"'!$C$37:$C$52"),W43,INDIRECT("'"&amp;$G$15&amp;"'!$E$37:$E$52")),0))))</f>
        <v>14418903.1666667</v>
      </c>
      <c r="AG43" s="155" t="n">
        <f aca="true">IF($G$12="",0,IF(W43&gt;'General Information'!$D$33,0,IFERROR(SUMIFS(INDIRECT("'"&amp;$G$12&amp;"'!$D$37:$D$52"),INDIRECT("'"&amp;$G$12&amp;"'!$C$37:$C$52"),W43,INDIRECT("'"&amp;$G$12&amp;"'!$B$37:$B$52"),"*Indirect*")/INDIRECT("'"&amp;$G$12&amp;"'!$F$2"),0)))</f>
        <v>0</v>
      </c>
      <c r="AH43" s="155" t="n">
        <f aca="true">IF($G$13="",0,IF(W43&gt;'General Information'!$D$33,0,IFERROR(SUMIFS(INDIRECT("'"&amp;$G$13&amp;"'!$D$37:$D$52"),INDIRECT("'"&amp;$G$13&amp;"'!$C$37:$C$52"),W43,INDIRECT("'"&amp;$G$13&amp;"'!$B$37:$B$52"),"*Indirect*")/INDIRECT("'"&amp;$G$13&amp;"'!$F$2"),0)))</f>
        <v>0</v>
      </c>
      <c r="AI43" s="155" t="n">
        <f aca="true">IF($G$14="",0,IF(W43&gt;'General Information'!$D$33,0,IFERROR(SUMIFS(INDIRECT("'"&amp;$G$14&amp;"'!$D$37:$D$52"),INDIRECT("'"&amp;$G$14&amp;"'!$C$37:$C$52"),W43,INDIRECT("'"&amp;$G$14&amp;"'!$B$37:$B$52"),"*Indirect*")/INDIRECT("'"&amp;$G$14&amp;"'!$F$2"),0)))</f>
        <v>0</v>
      </c>
      <c r="AJ43" s="155" t="n">
        <f aca="true">IF($G$15="",0,IF(W43&gt;'General Information'!$D$33,0,IFERROR(SUMIFS(INDIRECT("'"&amp;$G$15&amp;"'!$D$37:$D$52"),INDIRECT("'"&amp;$G$15&amp;"'!$C$37:$C$52"),W43,INDIRECT("'"&amp;$G$15&amp;"'!$B$37:$B$52"),"*Indirect*")/INDIRECT("'"&amp;$G$15&amp;"'!$F$2"),0)))</f>
        <v>0</v>
      </c>
    </row>
    <row r="44" customFormat="false" ht="15" hidden="false" customHeight="false" outlineLevel="0" collapsed="false">
      <c r="W44" s="136" t="n">
        <v>3</v>
      </c>
      <c r="X44" s="136" t="n">
        <f aca="false">'General Information'!$D$25+W44</f>
        <v>2030</v>
      </c>
      <c r="Y44" s="137" t="n">
        <f aca="true">IF($G$12="",0,IF(W44&gt;'General Information'!$D$33,0,IF(W44=0,$J$12,IFERROR(SUMIF(INDIRECT("'"&amp;$G$12&amp;"'!$C$37:$C$52"),W44,INDIRECT("'"&amp;$G$12&amp;"'!$D$37:$D$52")),0))))</f>
        <v>0</v>
      </c>
      <c r="Z44" s="137" t="n">
        <f aca="true">IF($G$13="",0,IF(W44&gt;'General Information'!$D$33,0,IF(W44=0,$J$13,IFERROR(SUMIF(INDIRECT("'"&amp;$G$13&amp;"'!$C$37:$C$52"),W44,INDIRECT("'"&amp;$G$13&amp;"'!$D$37:$D$52")),0))))</f>
        <v>0</v>
      </c>
      <c r="AA44" s="137" t="n">
        <f aca="true">IF($G$14="",0,IF(W44&gt;'General Information'!$D$33,0,IF(W44=0,$J$14,IFERROR(SUMIF(INDIRECT("'"&amp;$G$14&amp;"'!$C$37:$C$52"),W44,INDIRECT("'"&amp;$G$14&amp;"'!$D$37:$D$52")),0))))</f>
        <v>0</v>
      </c>
      <c r="AB44" s="137" t="n">
        <f aca="true">IF($G$15="",0,IF(W44&gt;'General Information'!$D$33,0,IF(W44=0,$J$15,IFERROR(SUMIF(INDIRECT("'"&amp;$G$15&amp;"'!$C$37:$C$52"),W44,INDIRECT("'"&amp;$G$15&amp;"'!$D$37:$D$52")),0))))</f>
        <v>0</v>
      </c>
      <c r="AC44" s="137" t="n">
        <f aca="true">IF($G$12="",0,AC43+IF(W44&gt;'General Information'!$D$33,0,IF(W44=0,$J$12,IFERROR(SUMIF(INDIRECT("'"&amp;$G$12&amp;"'!$C$37:$C$52"),W44,INDIRECT("'"&amp;$G$12&amp;"'!$E$37:$E$52")),0))))</f>
        <v>12372457.4666667</v>
      </c>
      <c r="AD44" s="137" t="n">
        <f aca="true">IF($G$13="",0,AD43+IF(W44&gt;'General Information'!$D$33,0,IF(W44=0,$J$13,IFERROR(SUMIF(INDIRECT("'"&amp;$G$13&amp;"'!$C$37:$C$52"),W44,INDIRECT("'"&amp;$G$13&amp;"'!$E$37:$E$52")),0))))</f>
        <v>13830665.5166667</v>
      </c>
      <c r="AE44" s="137" t="n">
        <f aca="true">IF($G$14="",0,AE43+IF(W44&gt;'General Information'!$D$33,0,IF(W44=0,$J$14,IFERROR(SUMIF(INDIRECT("'"&amp;$G$14&amp;"'!$C$37:$C$52"),W44,INDIRECT("'"&amp;$G$14&amp;"'!$E$37:$E$52")),0))))</f>
        <v>14671661.6666667</v>
      </c>
      <c r="AF44" s="137" t="n">
        <f aca="true">IF($G$15="",0,AF43+IF(W44&gt;'General Information'!$D$33,0,IF(W44=0,$J$15,IFERROR(SUMIF(INDIRECT("'"&amp;$G$15&amp;"'!$C$37:$C$52"),W44,INDIRECT("'"&amp;$G$15&amp;"'!$E$37:$E$52")),0))))</f>
        <v>14418903.1666667</v>
      </c>
      <c r="AG44" s="155" t="n">
        <f aca="true">IF($G$12="",0,IF(W44&gt;'General Information'!$D$33,0,IFERROR(SUMIFS(INDIRECT("'"&amp;$G$12&amp;"'!$D$37:$D$52"),INDIRECT("'"&amp;$G$12&amp;"'!$C$37:$C$52"),W44,INDIRECT("'"&amp;$G$12&amp;"'!$B$37:$B$52"),"*Indirect*")/INDIRECT("'"&amp;$G$12&amp;"'!$F$2"),0)))</f>
        <v>0</v>
      </c>
      <c r="AH44" s="155" t="n">
        <f aca="true">IF($G$13="",0,IF(W44&gt;'General Information'!$D$33,0,IFERROR(SUMIFS(INDIRECT("'"&amp;$G$13&amp;"'!$D$37:$D$52"),INDIRECT("'"&amp;$G$13&amp;"'!$C$37:$C$52"),W44,INDIRECT("'"&amp;$G$13&amp;"'!$B$37:$B$52"),"*Indirect*")/INDIRECT("'"&amp;$G$13&amp;"'!$F$2"),0)))</f>
        <v>0</v>
      </c>
      <c r="AI44" s="155" t="n">
        <f aca="true">IF($G$14="",0,IF(W44&gt;'General Information'!$D$33,0,IFERROR(SUMIFS(INDIRECT("'"&amp;$G$14&amp;"'!$D$37:$D$52"),INDIRECT("'"&amp;$G$14&amp;"'!$C$37:$C$52"),W44,INDIRECT("'"&amp;$G$14&amp;"'!$B$37:$B$52"),"*Indirect*")/INDIRECT("'"&amp;$G$14&amp;"'!$F$2"),0)))</f>
        <v>0</v>
      </c>
      <c r="AJ44" s="155" t="n">
        <f aca="true">IF($G$15="",0,IF(W44&gt;'General Information'!$D$33,0,IFERROR(SUMIFS(INDIRECT("'"&amp;$G$15&amp;"'!$D$37:$D$52"),INDIRECT("'"&amp;$G$15&amp;"'!$C$37:$C$52"),W44,INDIRECT("'"&amp;$G$15&amp;"'!$B$37:$B$52"),"*Indirect*")/INDIRECT("'"&amp;$G$15&amp;"'!$F$2"),0)))</f>
        <v>0</v>
      </c>
    </row>
    <row r="45" customFormat="false" ht="15" hidden="false" customHeight="false" outlineLevel="0" collapsed="false">
      <c r="W45" s="136" t="n">
        <v>4</v>
      </c>
      <c r="X45" s="136" t="n">
        <f aca="false">'General Information'!$D$25+W45</f>
        <v>2031</v>
      </c>
      <c r="Y45" s="137" t="n">
        <f aca="true">IF($G$12="",0,IF(W45&gt;'General Information'!$D$33,0,IF(W45=0,$J$12,IFERROR(SUMIF(INDIRECT("'"&amp;$G$12&amp;"'!$C$37:$C$52"),W45,INDIRECT("'"&amp;$G$12&amp;"'!$D$37:$D$52")),0))))</f>
        <v>586968.977777778</v>
      </c>
      <c r="Z45" s="137" t="n">
        <f aca="true">IF($G$13="",0,IF(W45&gt;'General Information'!$D$33,0,IF(W45=0,$J$13,IFERROR(SUMIF(INDIRECT("'"&amp;$G$13&amp;"'!$C$37:$C$52"),W45,INDIRECT("'"&amp;$G$13&amp;"'!$D$37:$D$52")),0))))</f>
        <v>0</v>
      </c>
      <c r="AA45" s="137" t="n">
        <f aca="true">IF($G$14="",0,IF(W45&gt;'General Information'!$D$33,0,IF(W45=0,$J$14,IFERROR(SUMIF(INDIRECT("'"&amp;$G$14&amp;"'!$C$37:$C$52"),W45,INDIRECT("'"&amp;$G$14&amp;"'!$D$37:$D$52")),0))))</f>
        <v>586968.977777778</v>
      </c>
      <c r="AB45" s="137" t="n">
        <f aca="true">IF($G$15="",0,IF(W45&gt;'General Information'!$D$33,0,IF(W45=0,$J$15,IFERROR(SUMIF(INDIRECT("'"&amp;$G$15&amp;"'!$C$37:$C$52"),W45,INDIRECT("'"&amp;$G$15&amp;"'!$D$37:$D$52")),0))))</f>
        <v>0</v>
      </c>
      <c r="AC45" s="137" t="n">
        <f aca="true">IF($G$12="",0,AC44+IF(W45&gt;'General Information'!$D$33,0,IF(W45=0,$J$12,IFERROR(SUMIF(INDIRECT("'"&amp;$G$12&amp;"'!$C$37:$C$52"),W45,INDIRECT("'"&amp;$G$12&amp;"'!$E$37:$E$52")),0))))</f>
        <v>12893971.8009505</v>
      </c>
      <c r="AD45" s="137" t="n">
        <f aca="true">IF($G$13="",0,AD44+IF(W45&gt;'General Information'!$D$33,0,IF(W45=0,$J$13,IFERROR(SUMIF(INDIRECT("'"&amp;$G$13&amp;"'!$C$37:$C$52"),W45,INDIRECT("'"&amp;$G$13&amp;"'!$E$37:$E$52")),0))))</f>
        <v>13830665.5166667</v>
      </c>
      <c r="AE45" s="137" t="n">
        <f aca="true">IF($G$14="",0,AE44+IF(W45&gt;'General Information'!$D$33,0,IF(W45=0,$J$14,IFERROR(SUMIF(INDIRECT("'"&amp;$G$14&amp;"'!$C$37:$C$52"),W45,INDIRECT("'"&amp;$G$14&amp;"'!$E$37:$E$52")),0))))</f>
        <v>15193176.0009505</v>
      </c>
      <c r="AF45" s="137" t="n">
        <f aca="true">IF($G$15="",0,AF44+IF(W45&gt;'General Information'!$D$33,0,IF(W45=0,$J$15,IFERROR(SUMIF(INDIRECT("'"&amp;$G$15&amp;"'!$C$37:$C$52"),W45,INDIRECT("'"&amp;$G$15&amp;"'!$E$37:$E$52")),0))))</f>
        <v>14418903.1666667</v>
      </c>
      <c r="AG45" s="155" t="n">
        <f aca="true">IF($G$12="",0,IF(W45&gt;'General Information'!$D$33,0,IFERROR(SUMIFS(INDIRECT("'"&amp;$G$12&amp;"'!$D$37:$D$52"),INDIRECT("'"&amp;$G$12&amp;"'!$C$37:$C$52"),W45,INDIRECT("'"&amp;$G$12&amp;"'!$B$37:$B$52"),"*Indirect*")/INDIRECT("'"&amp;$G$12&amp;"'!$F$2"),0)))</f>
        <v>10</v>
      </c>
      <c r="AH45" s="155" t="n">
        <f aca="true">IF($G$13="",0,IF(W45&gt;'General Information'!$D$33,0,IFERROR(SUMIFS(INDIRECT("'"&amp;$G$13&amp;"'!$D$37:$D$52"),INDIRECT("'"&amp;$G$13&amp;"'!$C$37:$C$52"),W45,INDIRECT("'"&amp;$G$13&amp;"'!$B$37:$B$52"),"*Indirect*")/INDIRECT("'"&amp;$G$13&amp;"'!$F$2"),0)))</f>
        <v>0</v>
      </c>
      <c r="AI45" s="155" t="n">
        <f aca="true">IF($G$14="",0,IF(W45&gt;'General Information'!$D$33,0,IFERROR(SUMIFS(INDIRECT("'"&amp;$G$14&amp;"'!$D$37:$D$52"),INDIRECT("'"&amp;$G$14&amp;"'!$C$37:$C$52"),W45,INDIRECT("'"&amp;$G$14&amp;"'!$B$37:$B$52"),"*Indirect*")/INDIRECT("'"&amp;$G$14&amp;"'!$F$2"),0)))</f>
        <v>10</v>
      </c>
      <c r="AJ45" s="155" t="n">
        <f aca="true">IF($G$15="",0,IF(W45&gt;'General Information'!$D$33,0,IFERROR(SUMIFS(INDIRECT("'"&amp;$G$15&amp;"'!$D$37:$D$52"),INDIRECT("'"&amp;$G$15&amp;"'!$C$37:$C$52"),W45,INDIRECT("'"&amp;$G$15&amp;"'!$B$37:$B$52"),"*Indirect*")/INDIRECT("'"&amp;$G$15&amp;"'!$F$2"),0)))</f>
        <v>0</v>
      </c>
    </row>
    <row r="46" customFormat="false" ht="15" hidden="false" customHeight="false" outlineLevel="0" collapsed="false">
      <c r="W46" s="136" t="n">
        <v>5</v>
      </c>
      <c r="X46" s="136" t="n">
        <f aca="false">'General Information'!$D$25+W46</f>
        <v>2032</v>
      </c>
      <c r="Y46" s="137" t="n">
        <f aca="true">IF($G$12="",0,IF(W46&gt;'General Information'!$D$33,0,IF(W46=0,$J$12,IFERROR(SUMIF(INDIRECT("'"&amp;$G$12&amp;"'!$C$37:$C$52"),W46,INDIRECT("'"&amp;$G$12&amp;"'!$D$37:$D$52")),0))))</f>
        <v>0</v>
      </c>
      <c r="Z46" s="137" t="n">
        <f aca="true">IF($G$13="",0,IF(W46&gt;'General Information'!$D$33,0,IF(W46=0,$J$13,IFERROR(SUMIF(INDIRECT("'"&amp;$G$13&amp;"'!$C$37:$C$52"),W46,INDIRECT("'"&amp;$G$13&amp;"'!$D$37:$D$52")),0))))</f>
        <v>0</v>
      </c>
      <c r="AA46" s="137" t="n">
        <f aca="true">IF($G$14="",0,IF(W46&gt;'General Information'!$D$33,0,IF(W46=0,$J$14,IFERROR(SUMIF(INDIRECT("'"&amp;$G$14&amp;"'!$C$37:$C$52"),W46,INDIRECT("'"&amp;$G$14&amp;"'!$D$37:$D$52")),0))))</f>
        <v>0</v>
      </c>
      <c r="AB46" s="137" t="n">
        <f aca="true">IF($G$15="",0,IF(W46&gt;'General Information'!$D$33,0,IF(W46=0,$J$15,IFERROR(SUMIF(INDIRECT("'"&amp;$G$15&amp;"'!$C$37:$C$52"),W46,INDIRECT("'"&amp;$G$15&amp;"'!$D$37:$D$52")),0))))</f>
        <v>0</v>
      </c>
      <c r="AC46" s="137" t="n">
        <f aca="true">IF($G$12="",0,AC45+IF(W46&gt;'General Information'!$D$33,0,IF(W46=0,$J$12,IFERROR(SUMIF(INDIRECT("'"&amp;$G$12&amp;"'!$C$37:$C$52"),W46,INDIRECT("'"&amp;$G$12&amp;"'!$E$37:$E$52")),0))))</f>
        <v>12893971.8009505</v>
      </c>
      <c r="AD46" s="137" t="n">
        <f aca="true">IF($G$13="",0,AD45+IF(W46&gt;'General Information'!$D$33,0,IF(W46=0,$J$13,IFERROR(SUMIF(INDIRECT("'"&amp;$G$13&amp;"'!$C$37:$C$52"),W46,INDIRECT("'"&amp;$G$13&amp;"'!$E$37:$E$52")),0))))</f>
        <v>13830665.5166667</v>
      </c>
      <c r="AE46" s="137" t="n">
        <f aca="true">IF($G$14="",0,AE45+IF(W46&gt;'General Information'!$D$33,0,IF(W46=0,$J$14,IFERROR(SUMIF(INDIRECT("'"&amp;$G$14&amp;"'!$C$37:$C$52"),W46,INDIRECT("'"&amp;$G$14&amp;"'!$E$37:$E$52")),0))))</f>
        <v>15193176.0009505</v>
      </c>
      <c r="AF46" s="137" t="n">
        <f aca="true">IF($G$15="",0,AF45+IF(W46&gt;'General Information'!$D$33,0,IF(W46=0,$J$15,IFERROR(SUMIF(INDIRECT("'"&amp;$G$15&amp;"'!$C$37:$C$52"),W46,INDIRECT("'"&amp;$G$15&amp;"'!$E$37:$E$52")),0))))</f>
        <v>14418903.1666667</v>
      </c>
      <c r="AG46" s="155" t="n">
        <f aca="true">IF($G$12="",0,IF(W46&gt;'General Information'!$D$33,0,IFERROR(SUMIFS(INDIRECT("'"&amp;$G$12&amp;"'!$D$37:$D$52"),INDIRECT("'"&amp;$G$12&amp;"'!$C$37:$C$52"),W46,INDIRECT("'"&amp;$G$12&amp;"'!$B$37:$B$52"),"*Indirect*")/INDIRECT("'"&amp;$G$12&amp;"'!$F$2"),0)))</f>
        <v>0</v>
      </c>
      <c r="AH46" s="155" t="n">
        <f aca="true">IF($G$13="",0,IF(W46&gt;'General Information'!$D$33,0,IFERROR(SUMIFS(INDIRECT("'"&amp;$G$13&amp;"'!$D$37:$D$52"),INDIRECT("'"&amp;$G$13&amp;"'!$C$37:$C$52"),W46,INDIRECT("'"&amp;$G$13&amp;"'!$B$37:$B$52"),"*Indirect*")/INDIRECT("'"&amp;$G$13&amp;"'!$F$2"),0)))</f>
        <v>0</v>
      </c>
      <c r="AI46" s="155" t="n">
        <f aca="true">IF($G$14="",0,IF(W46&gt;'General Information'!$D$33,0,IFERROR(SUMIFS(INDIRECT("'"&amp;$G$14&amp;"'!$D$37:$D$52"),INDIRECT("'"&amp;$G$14&amp;"'!$C$37:$C$52"),W46,INDIRECT("'"&amp;$G$14&amp;"'!$B$37:$B$52"),"*Indirect*")/INDIRECT("'"&amp;$G$14&amp;"'!$F$2"),0)))</f>
        <v>0</v>
      </c>
      <c r="AJ46" s="155" t="n">
        <f aca="true">IF($G$15="",0,IF(W46&gt;'General Information'!$D$33,0,IFERROR(SUMIFS(INDIRECT("'"&amp;$G$15&amp;"'!$D$37:$D$52"),INDIRECT("'"&amp;$G$15&amp;"'!$C$37:$C$52"),W46,INDIRECT("'"&amp;$G$15&amp;"'!$B$37:$B$52"),"*Indirect*")/INDIRECT("'"&amp;$G$15&amp;"'!$F$2"),0)))</f>
        <v>0</v>
      </c>
    </row>
    <row r="47" customFormat="false" ht="15" hidden="false" customHeight="false" outlineLevel="0" collapsed="false">
      <c r="W47" s="136" t="n">
        <v>6</v>
      </c>
      <c r="X47" s="136" t="n">
        <f aca="false">'General Information'!$D$25+W47</f>
        <v>2033</v>
      </c>
      <c r="Y47" s="137" t="n">
        <f aca="true">IF($G$12="",0,IF(W47&gt;'General Information'!$D$33,0,IF(W47=0,$J$12,IFERROR(SUMIF(INDIRECT("'"&amp;$G$12&amp;"'!$C$37:$C$52"),W47,INDIRECT("'"&amp;$G$12&amp;"'!$D$37:$D$52")),0))))</f>
        <v>0</v>
      </c>
      <c r="Z47" s="137" t="n">
        <f aca="true">IF($G$13="",0,IF(W47&gt;'General Information'!$D$33,0,IF(W47=0,$J$13,IFERROR(SUMIF(INDIRECT("'"&amp;$G$13&amp;"'!$C$37:$C$52"),W47,INDIRECT("'"&amp;$G$13&amp;"'!$D$37:$D$52")),0))))</f>
        <v>0</v>
      </c>
      <c r="AA47" s="137" t="n">
        <f aca="true">IF($G$14="",0,IF(W47&gt;'General Information'!$D$33,0,IF(W47=0,$J$14,IFERROR(SUMIF(INDIRECT("'"&amp;$G$14&amp;"'!$C$37:$C$52"),W47,INDIRECT("'"&amp;$G$14&amp;"'!$D$37:$D$52")),0))))</f>
        <v>0</v>
      </c>
      <c r="AB47" s="137" t="n">
        <f aca="true">IF($G$15="",0,IF(W47&gt;'General Information'!$D$33,0,IF(W47=0,$J$15,IFERROR(SUMIF(INDIRECT("'"&amp;$G$15&amp;"'!$C$37:$C$52"),W47,INDIRECT("'"&amp;$G$15&amp;"'!$D$37:$D$52")),0))))</f>
        <v>0</v>
      </c>
      <c r="AC47" s="137" t="n">
        <f aca="true">IF($G$12="",0,AC46+IF(W47&gt;'General Information'!$D$33,0,IF(W47=0,$J$12,IFERROR(SUMIF(INDIRECT("'"&amp;$G$12&amp;"'!$C$37:$C$52"),W47,INDIRECT("'"&amp;$G$12&amp;"'!$E$37:$E$52")),0))))</f>
        <v>12893971.8009505</v>
      </c>
      <c r="AD47" s="137" t="n">
        <f aca="true">IF($G$13="",0,AD46+IF(W47&gt;'General Information'!$D$33,0,IF(W47=0,$J$13,IFERROR(SUMIF(INDIRECT("'"&amp;$G$13&amp;"'!$C$37:$C$52"),W47,INDIRECT("'"&amp;$G$13&amp;"'!$E$37:$E$52")),0))))</f>
        <v>13830665.5166667</v>
      </c>
      <c r="AE47" s="137" t="n">
        <f aca="true">IF($G$14="",0,AE46+IF(W47&gt;'General Information'!$D$33,0,IF(W47=0,$J$14,IFERROR(SUMIF(INDIRECT("'"&amp;$G$14&amp;"'!$C$37:$C$52"),W47,INDIRECT("'"&amp;$G$14&amp;"'!$E$37:$E$52")),0))))</f>
        <v>15193176.0009505</v>
      </c>
      <c r="AF47" s="137" t="n">
        <f aca="true">IF($G$15="",0,AF46+IF(W47&gt;'General Information'!$D$33,0,IF(W47=0,$J$15,IFERROR(SUMIF(INDIRECT("'"&amp;$G$15&amp;"'!$C$37:$C$52"),W47,INDIRECT("'"&amp;$G$15&amp;"'!$E$37:$E$52")),0))))</f>
        <v>14418903.1666667</v>
      </c>
      <c r="AG47" s="155" t="n">
        <f aca="true">IF($G$12="",0,IF(W47&gt;'General Information'!$D$33,0,IFERROR(SUMIFS(INDIRECT("'"&amp;$G$12&amp;"'!$D$37:$D$52"),INDIRECT("'"&amp;$G$12&amp;"'!$C$37:$C$52"),W47,INDIRECT("'"&amp;$G$12&amp;"'!$B$37:$B$52"),"*Indirect*")/INDIRECT("'"&amp;$G$12&amp;"'!$F$2"),0)))</f>
        <v>0</v>
      </c>
      <c r="AH47" s="155" t="n">
        <f aca="true">IF($G$13="",0,IF(W47&gt;'General Information'!$D$33,0,IFERROR(SUMIFS(INDIRECT("'"&amp;$G$13&amp;"'!$D$37:$D$52"),INDIRECT("'"&amp;$G$13&amp;"'!$C$37:$C$52"),W47,INDIRECT("'"&amp;$G$13&amp;"'!$B$37:$B$52"),"*Indirect*")/INDIRECT("'"&amp;$G$13&amp;"'!$F$2"),0)))</f>
        <v>0</v>
      </c>
      <c r="AI47" s="155" t="n">
        <f aca="true">IF($G$14="",0,IF(W47&gt;'General Information'!$D$33,0,IFERROR(SUMIFS(INDIRECT("'"&amp;$G$14&amp;"'!$D$37:$D$52"),INDIRECT("'"&amp;$G$14&amp;"'!$C$37:$C$52"),W47,INDIRECT("'"&amp;$G$14&amp;"'!$B$37:$B$52"),"*Indirect*")/INDIRECT("'"&amp;$G$14&amp;"'!$F$2"),0)))</f>
        <v>0</v>
      </c>
      <c r="AJ47" s="155" t="n">
        <f aca="true">IF($G$15="",0,IF(W47&gt;'General Information'!$D$33,0,IFERROR(SUMIFS(INDIRECT("'"&amp;$G$15&amp;"'!$D$37:$D$52"),INDIRECT("'"&amp;$G$15&amp;"'!$C$37:$C$52"),W47,INDIRECT("'"&amp;$G$15&amp;"'!$B$37:$B$52"),"*Indirect*")/INDIRECT("'"&amp;$G$15&amp;"'!$F$2"),0)))</f>
        <v>0</v>
      </c>
    </row>
    <row r="48" customFormat="false" ht="15" hidden="false" customHeight="false" outlineLevel="0" collapsed="false">
      <c r="W48" s="136" t="n">
        <v>7</v>
      </c>
      <c r="X48" s="136" t="n">
        <f aca="false">'General Information'!$D$25+W48</f>
        <v>2034</v>
      </c>
      <c r="Y48" s="137" t="n">
        <f aca="true">IF($G$12="",0,IF(W48&gt;'General Information'!$D$33,0,IF(W48=0,$J$12,IFERROR(SUMIF(INDIRECT("'"&amp;$G$12&amp;"'!$C$37:$C$52"),W48,INDIRECT("'"&amp;$G$12&amp;"'!$D$37:$D$52")),0))))</f>
        <v>0</v>
      </c>
      <c r="Z48" s="137" t="n">
        <f aca="true">IF($G$13="",0,IF(W48&gt;'General Information'!$D$33,0,IF(W48=0,$J$13,IFERROR(SUMIF(INDIRECT("'"&amp;$G$13&amp;"'!$C$37:$C$52"),W48,INDIRECT("'"&amp;$G$13&amp;"'!$D$37:$D$52")),0))))</f>
        <v>0</v>
      </c>
      <c r="AA48" s="137" t="n">
        <f aca="true">IF($G$14="",0,IF(W48&gt;'General Information'!$D$33,0,IF(W48=0,$J$14,IFERROR(SUMIF(INDIRECT("'"&amp;$G$14&amp;"'!$C$37:$C$52"),W48,INDIRECT("'"&amp;$G$14&amp;"'!$D$37:$D$52")),0))))</f>
        <v>0</v>
      </c>
      <c r="AB48" s="137" t="n">
        <f aca="true">IF($G$15="",0,IF(W48&gt;'General Information'!$D$33,0,IF(W48=0,$J$15,IFERROR(SUMIF(INDIRECT("'"&amp;$G$15&amp;"'!$C$37:$C$52"),W48,INDIRECT("'"&amp;$G$15&amp;"'!$D$37:$D$52")),0))))</f>
        <v>0</v>
      </c>
      <c r="AC48" s="137" t="n">
        <f aca="true">IF($G$12="",0,AC47+IF(W48&gt;'General Information'!$D$33,0,IF(W48=0,$J$12,IFERROR(SUMIF(INDIRECT("'"&amp;$G$12&amp;"'!$C$37:$C$52"),W48,INDIRECT("'"&amp;$G$12&amp;"'!$E$37:$E$52")),0))))</f>
        <v>12893971.8009505</v>
      </c>
      <c r="AD48" s="137" t="n">
        <f aca="true">IF($G$13="",0,AD47+IF(W48&gt;'General Information'!$D$33,0,IF(W48=0,$J$13,IFERROR(SUMIF(INDIRECT("'"&amp;$G$13&amp;"'!$C$37:$C$52"),W48,INDIRECT("'"&amp;$G$13&amp;"'!$E$37:$E$52")),0))))</f>
        <v>13830665.5166667</v>
      </c>
      <c r="AE48" s="137" t="n">
        <f aca="true">IF($G$14="",0,AE47+IF(W48&gt;'General Information'!$D$33,0,IF(W48=0,$J$14,IFERROR(SUMIF(INDIRECT("'"&amp;$G$14&amp;"'!$C$37:$C$52"),W48,INDIRECT("'"&amp;$G$14&amp;"'!$E$37:$E$52")),0))))</f>
        <v>15193176.0009505</v>
      </c>
      <c r="AF48" s="137" t="n">
        <f aca="true">IF($G$15="",0,AF47+IF(W48&gt;'General Information'!$D$33,0,IF(W48=0,$J$15,IFERROR(SUMIF(INDIRECT("'"&amp;$G$15&amp;"'!$C$37:$C$52"),W48,INDIRECT("'"&amp;$G$15&amp;"'!$E$37:$E$52")),0))))</f>
        <v>14418903.1666667</v>
      </c>
      <c r="AG48" s="155" t="n">
        <f aca="true">IF($G$12="",0,IF(W48&gt;'General Information'!$D$33,0,IFERROR(SUMIFS(INDIRECT("'"&amp;$G$12&amp;"'!$D$37:$D$52"),INDIRECT("'"&amp;$G$12&amp;"'!$C$37:$C$52"),W48,INDIRECT("'"&amp;$G$12&amp;"'!$B$37:$B$52"),"*Indirect*")/INDIRECT("'"&amp;$G$12&amp;"'!$F$2"),0)))</f>
        <v>0</v>
      </c>
      <c r="AH48" s="155" t="n">
        <f aca="true">IF($G$13="",0,IF(W48&gt;'General Information'!$D$33,0,IFERROR(SUMIFS(INDIRECT("'"&amp;$G$13&amp;"'!$D$37:$D$52"),INDIRECT("'"&amp;$G$13&amp;"'!$C$37:$C$52"),W48,INDIRECT("'"&amp;$G$13&amp;"'!$B$37:$B$52"),"*Indirect*")/INDIRECT("'"&amp;$G$13&amp;"'!$F$2"),0)))</f>
        <v>0</v>
      </c>
      <c r="AI48" s="155" t="n">
        <f aca="true">IF($G$14="",0,IF(W48&gt;'General Information'!$D$33,0,IFERROR(SUMIFS(INDIRECT("'"&amp;$G$14&amp;"'!$D$37:$D$52"),INDIRECT("'"&amp;$G$14&amp;"'!$C$37:$C$52"),W48,INDIRECT("'"&amp;$G$14&amp;"'!$B$37:$B$52"),"*Indirect*")/INDIRECT("'"&amp;$G$14&amp;"'!$F$2"),0)))</f>
        <v>0</v>
      </c>
      <c r="AJ48" s="155" t="n">
        <f aca="true">IF($G$15="",0,IF(W48&gt;'General Information'!$D$33,0,IFERROR(SUMIFS(INDIRECT("'"&amp;$G$15&amp;"'!$D$37:$D$52"),INDIRECT("'"&amp;$G$15&amp;"'!$C$37:$C$52"),W48,INDIRECT("'"&amp;$G$15&amp;"'!$B$37:$B$52"),"*Indirect*")/INDIRECT("'"&amp;$G$15&amp;"'!$F$2"),0)))</f>
        <v>0</v>
      </c>
    </row>
    <row r="49" customFormat="false" ht="15" hidden="false" customHeight="false" outlineLevel="0" collapsed="false">
      <c r="W49" s="136" t="n">
        <v>8</v>
      </c>
      <c r="X49" s="136" t="n">
        <f aca="false">'General Information'!$D$25+W49</f>
        <v>2035</v>
      </c>
      <c r="Y49" s="137" t="n">
        <f aca="true">IF($G$12="",0,IF(W49&gt;'General Information'!$D$33,0,IF(W49=0,$J$12,IFERROR(SUMIF(INDIRECT("'"&amp;$G$12&amp;"'!$C$37:$C$52"),W49,INDIRECT("'"&amp;$G$12&amp;"'!$D$37:$D$52")),0))))</f>
        <v>586968.977777778</v>
      </c>
      <c r="Z49" s="137" t="n">
        <f aca="true">IF($G$13="",0,IF(W49&gt;'General Information'!$D$33,0,IF(W49=0,$J$13,IFERROR(SUMIF(INDIRECT("'"&amp;$G$13&amp;"'!$C$37:$C$52"),W49,INDIRECT("'"&amp;$G$13&amp;"'!$D$37:$D$52")),0))))</f>
        <v>0</v>
      </c>
      <c r="AA49" s="137" t="n">
        <f aca="true">IF($G$14="",0,IF(W49&gt;'General Information'!$D$33,0,IF(W49=0,$J$14,IFERROR(SUMIF(INDIRECT("'"&amp;$G$14&amp;"'!$C$37:$C$52"),W49,INDIRECT("'"&amp;$G$14&amp;"'!$D$37:$D$52")),0))))</f>
        <v>586968.977777778</v>
      </c>
      <c r="AB49" s="137" t="n">
        <f aca="true">IF($G$15="",0,IF(W49&gt;'General Information'!$D$33,0,IF(W49=0,$J$15,IFERROR(SUMIF(INDIRECT("'"&amp;$G$15&amp;"'!$C$37:$C$52"),W49,INDIRECT("'"&amp;$G$15&amp;"'!$D$37:$D$52")),0))))</f>
        <v>0</v>
      </c>
      <c r="AC49" s="137" t="n">
        <f aca="true">IF($G$12="",0,AC48+IF(W49&gt;'General Information'!$D$33,0,IF(W49=0,$J$12,IFERROR(SUMIF(INDIRECT("'"&amp;$G$12&amp;"'!$C$37:$C$52"),W49,INDIRECT("'"&amp;$G$12&amp;"'!$E$37:$E$52")),0))))</f>
        <v>13357330.5322641</v>
      </c>
      <c r="AD49" s="137" t="n">
        <f aca="true">IF($G$13="",0,AD48+IF(W49&gt;'General Information'!$D$33,0,IF(W49=0,$J$13,IFERROR(SUMIF(INDIRECT("'"&amp;$G$13&amp;"'!$C$37:$C$52"),W49,INDIRECT("'"&amp;$G$13&amp;"'!$E$37:$E$52")),0))))</f>
        <v>13830665.5166667</v>
      </c>
      <c r="AE49" s="137" t="n">
        <f aca="true">IF($G$14="",0,AE48+IF(W49&gt;'General Information'!$D$33,0,IF(W49=0,$J$14,IFERROR(SUMIF(INDIRECT("'"&amp;$G$14&amp;"'!$C$37:$C$52"),W49,INDIRECT("'"&amp;$G$14&amp;"'!$E$37:$E$52")),0))))</f>
        <v>15656534.7322641</v>
      </c>
      <c r="AF49" s="137" t="n">
        <f aca="true">IF($G$15="",0,AF48+IF(W49&gt;'General Information'!$D$33,0,IF(W49=0,$J$15,IFERROR(SUMIF(INDIRECT("'"&amp;$G$15&amp;"'!$C$37:$C$52"),W49,INDIRECT("'"&amp;$G$15&amp;"'!$E$37:$E$52")),0))))</f>
        <v>14418903.1666667</v>
      </c>
      <c r="AG49" s="155" t="n">
        <f aca="true">IF($G$12="",0,IF(W49&gt;'General Information'!$D$33,0,IFERROR(SUMIFS(INDIRECT("'"&amp;$G$12&amp;"'!$D$37:$D$52"),INDIRECT("'"&amp;$G$12&amp;"'!$C$37:$C$52"),W49,INDIRECT("'"&amp;$G$12&amp;"'!$B$37:$B$52"),"*Indirect*")/INDIRECT("'"&amp;$G$12&amp;"'!$F$2"),0)))</f>
        <v>10</v>
      </c>
      <c r="AH49" s="155" t="n">
        <f aca="true">IF($G$13="",0,IF(W49&gt;'General Information'!$D$33,0,IFERROR(SUMIFS(INDIRECT("'"&amp;$G$13&amp;"'!$D$37:$D$52"),INDIRECT("'"&amp;$G$13&amp;"'!$C$37:$C$52"),W49,INDIRECT("'"&amp;$G$13&amp;"'!$B$37:$B$52"),"*Indirect*")/INDIRECT("'"&amp;$G$13&amp;"'!$F$2"),0)))</f>
        <v>0</v>
      </c>
      <c r="AI49" s="155" t="n">
        <f aca="true">IF($G$14="",0,IF(W49&gt;'General Information'!$D$33,0,IFERROR(SUMIFS(INDIRECT("'"&amp;$G$14&amp;"'!$D$37:$D$52"),INDIRECT("'"&amp;$G$14&amp;"'!$C$37:$C$52"),W49,INDIRECT("'"&amp;$G$14&amp;"'!$B$37:$B$52"),"*Indirect*")/INDIRECT("'"&amp;$G$14&amp;"'!$F$2"),0)))</f>
        <v>10</v>
      </c>
      <c r="AJ49" s="155" t="n">
        <f aca="true">IF($G$15="",0,IF(W49&gt;'General Information'!$D$33,0,IFERROR(SUMIFS(INDIRECT("'"&amp;$G$15&amp;"'!$D$37:$D$52"),INDIRECT("'"&amp;$G$15&amp;"'!$C$37:$C$52"),W49,INDIRECT("'"&amp;$G$15&amp;"'!$B$37:$B$52"),"*Indirect*")/INDIRECT("'"&amp;$G$15&amp;"'!$F$2"),0)))</f>
        <v>0</v>
      </c>
    </row>
    <row r="50" customFormat="false" ht="15" hidden="false" customHeight="false" outlineLevel="0" collapsed="false">
      <c r="W50" s="136" t="n">
        <v>9</v>
      </c>
      <c r="X50" s="136" t="n">
        <f aca="false">'General Information'!$D$25+W50</f>
        <v>2036</v>
      </c>
      <c r="Y50" s="137" t="n">
        <f aca="true">IF($G$12="",0,IF(W50&gt;'General Information'!$D$33,0,IF(W50=0,$J$12,IFERROR(SUMIF(INDIRECT("'"&amp;$G$12&amp;"'!$C$37:$C$52"),W50,INDIRECT("'"&amp;$G$12&amp;"'!$D$37:$D$52")),0))))</f>
        <v>0</v>
      </c>
      <c r="Z50" s="137" t="n">
        <f aca="true">IF($G$13="",0,IF(W50&gt;'General Information'!$D$33,0,IF(W50=0,$J$13,IFERROR(SUMIF(INDIRECT("'"&amp;$G$13&amp;"'!$C$37:$C$52"),W50,INDIRECT("'"&amp;$G$13&amp;"'!$D$37:$D$52")),0))))</f>
        <v>0</v>
      </c>
      <c r="AA50" s="137" t="n">
        <f aca="true">IF($G$14="",0,IF(W50&gt;'General Information'!$D$33,0,IF(W50=0,$J$14,IFERROR(SUMIF(INDIRECT("'"&amp;$G$14&amp;"'!$C$37:$C$52"),W50,INDIRECT("'"&amp;$G$14&amp;"'!$D$37:$D$52")),0))))</f>
        <v>0</v>
      </c>
      <c r="AB50" s="137" t="n">
        <f aca="true">IF($G$15="",0,IF(W50&gt;'General Information'!$D$33,0,IF(W50=0,$J$15,IFERROR(SUMIF(INDIRECT("'"&amp;$G$15&amp;"'!$C$37:$C$52"),W50,INDIRECT("'"&amp;$G$15&amp;"'!$D$37:$D$52")),0))))</f>
        <v>0</v>
      </c>
      <c r="AC50" s="137" t="n">
        <f aca="true">IF($G$12="",0,AC49+IF(W50&gt;'General Information'!$D$33,0,IF(W50=0,$J$12,IFERROR(SUMIF(INDIRECT("'"&amp;$G$12&amp;"'!$C$37:$C$52"),W50,INDIRECT("'"&amp;$G$12&amp;"'!$E$37:$E$52")),0))))</f>
        <v>13357330.5322641</v>
      </c>
      <c r="AD50" s="137" t="n">
        <f aca="true">IF($G$13="",0,AD49+IF(W50&gt;'General Information'!$D$33,0,IF(W50=0,$J$13,IFERROR(SUMIF(INDIRECT("'"&amp;$G$13&amp;"'!$C$37:$C$52"),W50,INDIRECT("'"&amp;$G$13&amp;"'!$E$37:$E$52")),0))))</f>
        <v>13830665.5166667</v>
      </c>
      <c r="AE50" s="137" t="n">
        <f aca="true">IF($G$14="",0,AE49+IF(W50&gt;'General Information'!$D$33,0,IF(W50=0,$J$14,IFERROR(SUMIF(INDIRECT("'"&amp;$G$14&amp;"'!$C$37:$C$52"),W50,INDIRECT("'"&amp;$G$14&amp;"'!$E$37:$E$52")),0))))</f>
        <v>15656534.7322641</v>
      </c>
      <c r="AF50" s="137" t="n">
        <f aca="true">IF($G$15="",0,AF49+IF(W50&gt;'General Information'!$D$33,0,IF(W50=0,$J$15,IFERROR(SUMIF(INDIRECT("'"&amp;$G$15&amp;"'!$C$37:$C$52"),W50,INDIRECT("'"&amp;$G$15&amp;"'!$E$37:$E$52")),0))))</f>
        <v>14418903.1666667</v>
      </c>
      <c r="AG50" s="155" t="n">
        <f aca="true">IF($G$12="",0,IF(W50&gt;'General Information'!$D$33,0,IFERROR(SUMIFS(INDIRECT("'"&amp;$G$12&amp;"'!$D$37:$D$52"),INDIRECT("'"&amp;$G$12&amp;"'!$C$37:$C$52"),W50,INDIRECT("'"&amp;$G$12&amp;"'!$B$37:$B$52"),"*Indirect*")/INDIRECT("'"&amp;$G$12&amp;"'!$F$2"),0)))</f>
        <v>0</v>
      </c>
      <c r="AH50" s="155" t="n">
        <f aca="true">IF($G$13="",0,IF(W50&gt;'General Information'!$D$33,0,IFERROR(SUMIFS(INDIRECT("'"&amp;$G$13&amp;"'!$D$37:$D$52"),INDIRECT("'"&amp;$G$13&amp;"'!$C$37:$C$52"),W50,INDIRECT("'"&amp;$G$13&amp;"'!$B$37:$B$52"),"*Indirect*")/INDIRECT("'"&amp;$G$13&amp;"'!$F$2"),0)))</f>
        <v>0</v>
      </c>
      <c r="AI50" s="155" t="n">
        <f aca="true">IF($G$14="",0,IF(W50&gt;'General Information'!$D$33,0,IFERROR(SUMIFS(INDIRECT("'"&amp;$G$14&amp;"'!$D$37:$D$52"),INDIRECT("'"&amp;$G$14&amp;"'!$C$37:$C$52"),W50,INDIRECT("'"&amp;$G$14&amp;"'!$B$37:$B$52"),"*Indirect*")/INDIRECT("'"&amp;$G$14&amp;"'!$F$2"),0)))</f>
        <v>0</v>
      </c>
      <c r="AJ50" s="155" t="n">
        <f aca="true">IF($G$15="",0,IF(W50&gt;'General Information'!$D$33,0,IFERROR(SUMIFS(INDIRECT("'"&amp;$G$15&amp;"'!$D$37:$D$52"),INDIRECT("'"&amp;$G$15&amp;"'!$C$37:$C$52"),W50,INDIRECT("'"&amp;$G$15&amp;"'!$B$37:$B$52"),"*Indirect*")/INDIRECT("'"&amp;$G$15&amp;"'!$F$2"),0)))</f>
        <v>0</v>
      </c>
    </row>
    <row r="51" customFormat="false" ht="15" hidden="false" customHeight="false" outlineLevel="0" collapsed="false">
      <c r="W51" s="136" t="n">
        <v>10</v>
      </c>
      <c r="X51" s="136" t="n">
        <f aca="false">'General Information'!$D$25+W51</f>
        <v>2037</v>
      </c>
      <c r="Y51" s="137" t="n">
        <f aca="true">IF($G$12="",0,IF(W51&gt;'General Information'!$D$33,0,IF(W51=0,$J$12,IFERROR(SUMIF(INDIRECT("'"&amp;$G$12&amp;"'!$C$37:$C$52"),W51,INDIRECT("'"&amp;$G$12&amp;"'!$D$37:$D$52")),0))))</f>
        <v>0</v>
      </c>
      <c r="Z51" s="137" t="n">
        <f aca="true">IF($G$13="",0,IF(W51&gt;'General Information'!$D$33,0,IF(W51=0,$J$13,IFERROR(SUMIF(INDIRECT("'"&amp;$G$13&amp;"'!$C$37:$C$52"),W51,INDIRECT("'"&amp;$G$13&amp;"'!$D$37:$D$52")),0))))</f>
        <v>0</v>
      </c>
      <c r="AA51" s="137" t="n">
        <f aca="true">IF($G$14="",0,IF(W51&gt;'General Information'!$D$33,0,IF(W51=0,$J$14,IFERROR(SUMIF(INDIRECT("'"&amp;$G$14&amp;"'!$C$37:$C$52"),W51,INDIRECT("'"&amp;$G$14&amp;"'!$D$37:$D$52")),0))))</f>
        <v>0</v>
      </c>
      <c r="AB51" s="137" t="n">
        <f aca="true">IF($G$15="",0,IF(W51&gt;'General Information'!$D$33,0,IF(W51=0,$J$15,IFERROR(SUMIF(INDIRECT("'"&amp;$G$15&amp;"'!$C$37:$C$52"),W51,INDIRECT("'"&amp;$G$15&amp;"'!$D$37:$D$52")),0))))</f>
        <v>0</v>
      </c>
      <c r="AC51" s="137" t="n">
        <f aca="true">IF($G$12="",0,AC50+IF(W51&gt;'General Information'!$D$33,0,IF(W51=0,$J$12,IFERROR(SUMIF(INDIRECT("'"&amp;$G$12&amp;"'!$C$37:$C$52"),W51,INDIRECT("'"&amp;$G$12&amp;"'!$E$37:$E$52")),0))))</f>
        <v>13357330.5322641</v>
      </c>
      <c r="AD51" s="137" t="n">
        <f aca="true">IF($G$13="",0,AD50+IF(W51&gt;'General Information'!$D$33,0,IF(W51=0,$J$13,IFERROR(SUMIF(INDIRECT("'"&amp;$G$13&amp;"'!$C$37:$C$52"),W51,INDIRECT("'"&amp;$G$13&amp;"'!$E$37:$E$52")),0))))</f>
        <v>13830665.5166667</v>
      </c>
      <c r="AE51" s="137" t="n">
        <f aca="true">IF($G$14="",0,AE50+IF(W51&gt;'General Information'!$D$33,0,IF(W51=0,$J$14,IFERROR(SUMIF(INDIRECT("'"&amp;$G$14&amp;"'!$C$37:$C$52"),W51,INDIRECT("'"&amp;$G$14&amp;"'!$E$37:$E$52")),0))))</f>
        <v>15656534.7322641</v>
      </c>
      <c r="AF51" s="137" t="n">
        <f aca="true">IF($G$15="",0,AF50+IF(W51&gt;'General Information'!$D$33,0,IF(W51=0,$J$15,IFERROR(SUMIF(INDIRECT("'"&amp;$G$15&amp;"'!$C$37:$C$52"),W51,INDIRECT("'"&amp;$G$15&amp;"'!$E$37:$E$52")),0))))</f>
        <v>14418903.1666667</v>
      </c>
      <c r="AG51" s="155" t="n">
        <f aca="true">IF($G$12="",0,IF(W51&gt;'General Information'!$D$33,0,IFERROR(SUMIFS(INDIRECT("'"&amp;$G$12&amp;"'!$D$37:$D$52"),INDIRECT("'"&amp;$G$12&amp;"'!$C$37:$C$52"),W51,INDIRECT("'"&amp;$G$12&amp;"'!$B$37:$B$52"),"*Indirect*")/INDIRECT("'"&amp;$G$12&amp;"'!$F$2"),0)))</f>
        <v>0</v>
      </c>
      <c r="AH51" s="155" t="n">
        <f aca="true">IF($G$13="",0,IF(W51&gt;'General Information'!$D$33,0,IFERROR(SUMIFS(INDIRECT("'"&amp;$G$13&amp;"'!$D$37:$D$52"),INDIRECT("'"&amp;$G$13&amp;"'!$C$37:$C$52"),W51,INDIRECT("'"&amp;$G$13&amp;"'!$B$37:$B$52"),"*Indirect*")/INDIRECT("'"&amp;$G$13&amp;"'!$F$2"),0)))</f>
        <v>0</v>
      </c>
      <c r="AI51" s="155" t="n">
        <f aca="true">IF($G$14="",0,IF(W51&gt;'General Information'!$D$33,0,IFERROR(SUMIFS(INDIRECT("'"&amp;$G$14&amp;"'!$D$37:$D$52"),INDIRECT("'"&amp;$G$14&amp;"'!$C$37:$C$52"),W51,INDIRECT("'"&amp;$G$14&amp;"'!$B$37:$B$52"),"*Indirect*")/INDIRECT("'"&amp;$G$14&amp;"'!$F$2"),0)))</f>
        <v>0</v>
      </c>
      <c r="AJ51" s="155" t="n">
        <f aca="true">IF($G$15="",0,IF(W51&gt;'General Information'!$D$33,0,IFERROR(SUMIFS(INDIRECT("'"&amp;$G$15&amp;"'!$D$37:$D$52"),INDIRECT("'"&amp;$G$15&amp;"'!$C$37:$C$52"),W51,INDIRECT("'"&amp;$G$15&amp;"'!$B$37:$B$52"),"*Indirect*")/INDIRECT("'"&amp;$G$15&amp;"'!$F$2"),0)))</f>
        <v>0</v>
      </c>
    </row>
    <row r="52" customFormat="false" ht="15" hidden="false" customHeight="false" outlineLevel="0" collapsed="false">
      <c r="W52" s="136" t="n">
        <v>11</v>
      </c>
      <c r="X52" s="136" t="n">
        <f aca="false">'General Information'!$D$25+W52</f>
        <v>2038</v>
      </c>
      <c r="Y52" s="137" t="n">
        <f aca="true">IF($G$12="",0,IF(W52&gt;'General Information'!$D$33,0,IF(W52=0,$J$12,IFERROR(SUMIF(INDIRECT("'"&amp;$G$12&amp;"'!$C$37:$C$52"),W52,INDIRECT("'"&amp;$G$12&amp;"'!$D$37:$D$52")),0))))</f>
        <v>0</v>
      </c>
      <c r="Z52" s="137" t="n">
        <f aca="true">IF($G$13="",0,IF(W52&gt;'General Information'!$D$33,0,IF(W52=0,$J$13,IFERROR(SUMIF(INDIRECT("'"&amp;$G$13&amp;"'!$C$37:$C$52"),W52,INDIRECT("'"&amp;$G$13&amp;"'!$D$37:$D$52")),0))))</f>
        <v>0</v>
      </c>
      <c r="AA52" s="137" t="n">
        <f aca="true">IF($G$14="",0,IF(W52&gt;'General Information'!$D$33,0,IF(W52=0,$J$14,IFERROR(SUMIF(INDIRECT("'"&amp;$G$14&amp;"'!$C$37:$C$52"),W52,INDIRECT("'"&amp;$G$14&amp;"'!$D$37:$D$52")),0))))</f>
        <v>0</v>
      </c>
      <c r="AB52" s="137" t="n">
        <f aca="true">IF($G$15="",0,IF(W52&gt;'General Information'!$D$33,0,IF(W52=0,$J$15,IFERROR(SUMIF(INDIRECT("'"&amp;$G$15&amp;"'!$C$37:$C$52"),W52,INDIRECT("'"&amp;$G$15&amp;"'!$D$37:$D$52")),0))))</f>
        <v>0</v>
      </c>
      <c r="AC52" s="137" t="n">
        <f aca="true">IF($G$12="",0,AC51+IF(W52&gt;'General Information'!$D$33,0,IF(W52=0,$J$12,IFERROR(SUMIF(INDIRECT("'"&amp;$G$12&amp;"'!$C$37:$C$52"),W52,INDIRECT("'"&amp;$G$12&amp;"'!$E$37:$E$52")),0))))</f>
        <v>13357330.5322641</v>
      </c>
      <c r="AD52" s="137" t="n">
        <f aca="true">IF($G$13="",0,AD51+IF(W52&gt;'General Information'!$D$33,0,IF(W52=0,$J$13,IFERROR(SUMIF(INDIRECT("'"&amp;$G$13&amp;"'!$C$37:$C$52"),W52,INDIRECT("'"&amp;$G$13&amp;"'!$E$37:$E$52")),0))))</f>
        <v>13830665.5166667</v>
      </c>
      <c r="AE52" s="137" t="n">
        <f aca="true">IF($G$14="",0,AE51+IF(W52&gt;'General Information'!$D$33,0,IF(W52=0,$J$14,IFERROR(SUMIF(INDIRECT("'"&amp;$G$14&amp;"'!$C$37:$C$52"),W52,INDIRECT("'"&amp;$G$14&amp;"'!$E$37:$E$52")),0))))</f>
        <v>15656534.7322641</v>
      </c>
      <c r="AF52" s="137" t="n">
        <f aca="true">IF($G$15="",0,AF51+IF(W52&gt;'General Information'!$D$33,0,IF(W52=0,$J$15,IFERROR(SUMIF(INDIRECT("'"&amp;$G$15&amp;"'!$C$37:$C$52"),W52,INDIRECT("'"&amp;$G$15&amp;"'!$E$37:$E$52")),0))))</f>
        <v>14418903.1666667</v>
      </c>
      <c r="AG52" s="155" t="n">
        <f aca="true">IF($G$12="",0,IF(W52&gt;'General Information'!$D$33,0,IFERROR(SUMIFS(INDIRECT("'"&amp;$G$12&amp;"'!$D$37:$D$52"),INDIRECT("'"&amp;$G$12&amp;"'!$C$37:$C$52"),W52,INDIRECT("'"&amp;$G$12&amp;"'!$B$37:$B$52"),"*Indirect*")/INDIRECT("'"&amp;$G$12&amp;"'!$F$2"),0)))</f>
        <v>0</v>
      </c>
      <c r="AH52" s="155" t="n">
        <f aca="true">IF($G$13="",0,IF(W52&gt;'General Information'!$D$33,0,IFERROR(SUMIFS(INDIRECT("'"&amp;$G$13&amp;"'!$D$37:$D$52"),INDIRECT("'"&amp;$G$13&amp;"'!$C$37:$C$52"),W52,INDIRECT("'"&amp;$G$13&amp;"'!$B$37:$B$52"),"*Indirect*")/INDIRECT("'"&amp;$G$13&amp;"'!$F$2"),0)))</f>
        <v>0</v>
      </c>
      <c r="AI52" s="155" t="n">
        <f aca="true">IF($G$14="",0,IF(W52&gt;'General Information'!$D$33,0,IFERROR(SUMIFS(INDIRECT("'"&amp;$G$14&amp;"'!$D$37:$D$52"),INDIRECT("'"&amp;$G$14&amp;"'!$C$37:$C$52"),W52,INDIRECT("'"&amp;$G$14&amp;"'!$B$37:$B$52"),"*Indirect*")/INDIRECT("'"&amp;$G$14&amp;"'!$F$2"),0)))</f>
        <v>0</v>
      </c>
      <c r="AJ52" s="155" t="n">
        <f aca="true">IF($G$15="",0,IF(W52&gt;'General Information'!$D$33,0,IFERROR(SUMIFS(INDIRECT("'"&amp;$G$15&amp;"'!$D$37:$D$52"),INDIRECT("'"&amp;$G$15&amp;"'!$C$37:$C$52"),W52,INDIRECT("'"&amp;$G$15&amp;"'!$B$37:$B$52"),"*Indirect*")/INDIRECT("'"&amp;$G$15&amp;"'!$F$2"),0)))</f>
        <v>0</v>
      </c>
    </row>
    <row r="53" customFormat="false" ht="15" hidden="false" customHeight="false" outlineLevel="0" collapsed="false">
      <c r="W53" s="136" t="n">
        <v>12</v>
      </c>
      <c r="X53" s="136" t="n">
        <f aca="false">'General Information'!$D$25+W53</f>
        <v>2039</v>
      </c>
      <c r="Y53" s="137" t="n">
        <f aca="true">IF($G$12="",0,IF(W53&gt;'General Information'!$D$33,0,IF(W53=0,$J$12,IFERROR(SUMIF(INDIRECT("'"&amp;$G$12&amp;"'!$C$37:$C$52"),W53,INDIRECT("'"&amp;$G$12&amp;"'!$D$37:$D$52")),0))))</f>
        <v>804678.548715278</v>
      </c>
      <c r="Z53" s="137" t="n">
        <f aca="true">IF($G$13="",0,IF(W53&gt;'General Information'!$D$33,0,IF(W53=0,$J$13,IFERROR(SUMIF(INDIRECT("'"&amp;$G$13&amp;"'!$C$37:$C$52"),W53,INDIRECT("'"&amp;$G$13&amp;"'!$D$37:$D$52")),0))))</f>
        <v>0</v>
      </c>
      <c r="AA53" s="137" t="n">
        <f aca="true">IF($G$14="",0,IF(W53&gt;'General Information'!$D$33,0,IF(W53=0,$J$14,IFERROR(SUMIF(INDIRECT("'"&amp;$G$14&amp;"'!$C$37:$C$52"),W53,INDIRECT("'"&amp;$G$14&amp;"'!$D$37:$D$52")),0))))</f>
        <v>804678.548715278</v>
      </c>
      <c r="AB53" s="137" t="n">
        <f aca="true">IF($G$15="",0,IF(W53&gt;'General Information'!$D$33,0,IF(W53=0,$J$15,IFERROR(SUMIF(INDIRECT("'"&amp;$G$15&amp;"'!$C$37:$C$52"),W53,INDIRECT("'"&amp;$G$15&amp;"'!$D$37:$D$52")),0))))</f>
        <v>0</v>
      </c>
      <c r="AC53" s="137" t="n">
        <f aca="true">IF($G$12="",0,AC52+IF(W53&gt;'General Information'!$D$33,0,IF(W53=0,$J$12,IFERROR(SUMIF(INDIRECT("'"&amp;$G$12&amp;"'!$C$37:$C$52"),W53,INDIRECT("'"&amp;$G$12&amp;"'!$E$37:$E$52")),0))))</f>
        <v>13921715.8763559</v>
      </c>
      <c r="AD53" s="137" t="n">
        <f aca="true">IF($G$13="",0,AD52+IF(W53&gt;'General Information'!$D$33,0,IF(W53=0,$J$13,IFERROR(SUMIF(INDIRECT("'"&amp;$G$13&amp;"'!$C$37:$C$52"),W53,INDIRECT("'"&amp;$G$13&amp;"'!$E$37:$E$52")),0))))</f>
        <v>13830665.5166667</v>
      </c>
      <c r="AE53" s="137" t="n">
        <f aca="true">IF($G$14="",0,AE52+IF(W53&gt;'General Information'!$D$33,0,IF(W53=0,$J$14,IFERROR(SUMIF(INDIRECT("'"&amp;$G$14&amp;"'!$C$37:$C$52"),W53,INDIRECT("'"&amp;$G$14&amp;"'!$E$37:$E$52")),0))))</f>
        <v>16220920.0763559</v>
      </c>
      <c r="AF53" s="137" t="n">
        <f aca="true">IF($G$15="",0,AF52+IF(W53&gt;'General Information'!$D$33,0,IF(W53=0,$J$15,IFERROR(SUMIF(INDIRECT("'"&amp;$G$15&amp;"'!$C$37:$C$52"),W53,INDIRECT("'"&amp;$G$15&amp;"'!$E$37:$E$52")),0))))</f>
        <v>14418903.1666667</v>
      </c>
      <c r="AG53" s="155" t="n">
        <f aca="true">IF($G$12="",0,IF(W53&gt;'General Information'!$D$33,0,IFERROR(SUMIFS(INDIRECT("'"&amp;$G$12&amp;"'!$D$37:$D$52"),INDIRECT("'"&amp;$G$12&amp;"'!$C$37:$C$52"),W53,INDIRECT("'"&amp;$G$12&amp;"'!$B$37:$B$52"),"*Indirect*")/INDIRECT("'"&amp;$G$12&amp;"'!$F$2"),0)))</f>
        <v>12</v>
      </c>
      <c r="AH53" s="155" t="n">
        <f aca="true">IF($G$13="",0,IF(W53&gt;'General Information'!$D$33,0,IFERROR(SUMIFS(INDIRECT("'"&amp;$G$13&amp;"'!$D$37:$D$52"),INDIRECT("'"&amp;$G$13&amp;"'!$C$37:$C$52"),W53,INDIRECT("'"&amp;$G$13&amp;"'!$B$37:$B$52"),"*Indirect*")/INDIRECT("'"&amp;$G$13&amp;"'!$F$2"),0)))</f>
        <v>0</v>
      </c>
      <c r="AI53" s="155" t="n">
        <f aca="true">IF($G$14="",0,IF(W53&gt;'General Information'!$D$33,0,IFERROR(SUMIFS(INDIRECT("'"&amp;$G$14&amp;"'!$D$37:$D$52"),INDIRECT("'"&amp;$G$14&amp;"'!$C$37:$C$52"),W53,INDIRECT("'"&amp;$G$14&amp;"'!$B$37:$B$52"),"*Indirect*")/INDIRECT("'"&amp;$G$14&amp;"'!$F$2"),0)))</f>
        <v>12</v>
      </c>
      <c r="AJ53" s="155" t="n">
        <f aca="true">IF($G$15="",0,IF(W53&gt;'General Information'!$D$33,0,IFERROR(SUMIFS(INDIRECT("'"&amp;$G$15&amp;"'!$D$37:$D$52"),INDIRECT("'"&amp;$G$15&amp;"'!$C$37:$C$52"),W53,INDIRECT("'"&amp;$G$15&amp;"'!$B$37:$B$52"),"*Indirect*")/INDIRECT("'"&amp;$G$15&amp;"'!$F$2"),0)))</f>
        <v>0</v>
      </c>
    </row>
    <row r="54" customFormat="false" ht="15" hidden="false" customHeight="false" outlineLevel="0" collapsed="false">
      <c r="W54" s="136" t="n">
        <v>13</v>
      </c>
      <c r="X54" s="136" t="n">
        <f aca="false">'General Information'!$D$25+W54</f>
        <v>2040</v>
      </c>
      <c r="Y54" s="137" t="n">
        <f aca="true">IF($G$12="",0,IF(W54&gt;'General Information'!$D$33,0,IF(W54=0,$J$12,IFERROR(SUMIF(INDIRECT("'"&amp;$G$12&amp;"'!$C$37:$C$52"),W54,INDIRECT("'"&amp;$G$12&amp;"'!$D$37:$D$52")),0))))</f>
        <v>0</v>
      </c>
      <c r="Z54" s="137" t="n">
        <f aca="true">IF($G$13="",0,IF(W54&gt;'General Information'!$D$33,0,IF(W54=0,$J$13,IFERROR(SUMIF(INDIRECT("'"&amp;$G$13&amp;"'!$C$37:$C$52"),W54,INDIRECT("'"&amp;$G$13&amp;"'!$D$37:$D$52")),0))))</f>
        <v>0</v>
      </c>
      <c r="AA54" s="137" t="n">
        <f aca="true">IF($G$14="",0,IF(W54&gt;'General Information'!$D$33,0,IF(W54=0,$J$14,IFERROR(SUMIF(INDIRECT("'"&amp;$G$14&amp;"'!$C$37:$C$52"),W54,INDIRECT("'"&amp;$G$14&amp;"'!$D$37:$D$52")),0))))</f>
        <v>0</v>
      </c>
      <c r="AB54" s="137" t="n">
        <f aca="true">IF($G$15="",0,IF(W54&gt;'General Information'!$D$33,0,IF(W54=0,$J$15,IFERROR(SUMIF(INDIRECT("'"&amp;$G$15&amp;"'!$C$37:$C$52"),W54,INDIRECT("'"&amp;$G$15&amp;"'!$D$37:$D$52")),0))))</f>
        <v>0</v>
      </c>
      <c r="AC54" s="137" t="n">
        <f aca="true">IF($G$12="",0,AC53+IF(W54&gt;'General Information'!$D$33,0,IF(W54=0,$J$12,IFERROR(SUMIF(INDIRECT("'"&amp;$G$12&amp;"'!$C$37:$C$52"),W54,INDIRECT("'"&amp;$G$12&amp;"'!$E$37:$E$52")),0))))</f>
        <v>13921715.8763559</v>
      </c>
      <c r="AD54" s="137" t="n">
        <f aca="true">IF($G$13="",0,AD53+IF(W54&gt;'General Information'!$D$33,0,IF(W54=0,$J$13,IFERROR(SUMIF(INDIRECT("'"&amp;$G$13&amp;"'!$C$37:$C$52"),W54,INDIRECT("'"&amp;$G$13&amp;"'!$E$37:$E$52")),0))))</f>
        <v>13830665.5166667</v>
      </c>
      <c r="AE54" s="137" t="n">
        <f aca="true">IF($G$14="",0,AE53+IF(W54&gt;'General Information'!$D$33,0,IF(W54=0,$J$14,IFERROR(SUMIF(INDIRECT("'"&amp;$G$14&amp;"'!$C$37:$C$52"),W54,INDIRECT("'"&amp;$G$14&amp;"'!$E$37:$E$52")),0))))</f>
        <v>16220920.0763559</v>
      </c>
      <c r="AF54" s="137" t="n">
        <f aca="true">IF($G$15="",0,AF53+IF(W54&gt;'General Information'!$D$33,0,IF(W54=0,$J$15,IFERROR(SUMIF(INDIRECT("'"&amp;$G$15&amp;"'!$C$37:$C$52"),W54,INDIRECT("'"&amp;$G$15&amp;"'!$E$37:$E$52")),0))))</f>
        <v>14418903.1666667</v>
      </c>
      <c r="AG54" s="155" t="n">
        <f aca="true">IF($G$12="",0,IF(W54&gt;'General Information'!$D$33,0,IFERROR(SUMIFS(INDIRECT("'"&amp;$G$12&amp;"'!$D$37:$D$52"),INDIRECT("'"&amp;$G$12&amp;"'!$C$37:$C$52"),W54,INDIRECT("'"&amp;$G$12&amp;"'!$B$37:$B$52"),"*Indirect*")/INDIRECT("'"&amp;$G$12&amp;"'!$F$2"),0)))</f>
        <v>0</v>
      </c>
      <c r="AH54" s="155" t="n">
        <f aca="true">IF($G$13="",0,IF(W54&gt;'General Information'!$D$33,0,IFERROR(SUMIFS(INDIRECT("'"&amp;$G$13&amp;"'!$D$37:$D$52"),INDIRECT("'"&amp;$G$13&amp;"'!$C$37:$C$52"),W54,INDIRECT("'"&amp;$G$13&amp;"'!$B$37:$B$52"),"*Indirect*")/INDIRECT("'"&amp;$G$13&amp;"'!$F$2"),0)))</f>
        <v>0</v>
      </c>
      <c r="AI54" s="155" t="n">
        <f aca="true">IF($G$14="",0,IF(W54&gt;'General Information'!$D$33,0,IFERROR(SUMIFS(INDIRECT("'"&amp;$G$14&amp;"'!$D$37:$D$52"),INDIRECT("'"&amp;$G$14&amp;"'!$C$37:$C$52"),W54,INDIRECT("'"&amp;$G$14&amp;"'!$B$37:$B$52"),"*Indirect*")/INDIRECT("'"&amp;$G$14&amp;"'!$F$2"),0)))</f>
        <v>0</v>
      </c>
      <c r="AJ54" s="155" t="n">
        <f aca="true">IF($G$15="",0,IF(W54&gt;'General Information'!$D$33,0,IFERROR(SUMIFS(INDIRECT("'"&amp;$G$15&amp;"'!$D$37:$D$52"),INDIRECT("'"&amp;$G$15&amp;"'!$C$37:$C$52"),W54,INDIRECT("'"&amp;$G$15&amp;"'!$B$37:$B$52"),"*Indirect*")/INDIRECT("'"&amp;$G$15&amp;"'!$F$2"),0)))</f>
        <v>0</v>
      </c>
    </row>
    <row r="55" customFormat="false" ht="15" hidden="false" customHeight="false" outlineLevel="0" collapsed="false">
      <c r="W55" s="136" t="n">
        <v>14</v>
      </c>
      <c r="X55" s="136" t="n">
        <f aca="false">'General Information'!$D$25+W55</f>
        <v>2041</v>
      </c>
      <c r="Y55" s="137" t="n">
        <f aca="true">IF($G$12="",0,IF(W55&gt;'General Information'!$D$33,0,IF(W55=0,$J$12,IFERROR(SUMIF(INDIRECT("'"&amp;$G$12&amp;"'!$C$37:$C$52"),W55,INDIRECT("'"&amp;$G$12&amp;"'!$D$37:$D$52")),0))))</f>
        <v>0</v>
      </c>
      <c r="Z55" s="137" t="n">
        <f aca="true">IF($G$13="",0,IF(W55&gt;'General Information'!$D$33,0,IF(W55=0,$J$13,IFERROR(SUMIF(INDIRECT("'"&amp;$G$13&amp;"'!$C$37:$C$52"),W55,INDIRECT("'"&amp;$G$13&amp;"'!$D$37:$D$52")),0))))</f>
        <v>0</v>
      </c>
      <c r="AA55" s="137" t="n">
        <f aca="true">IF($G$14="",0,IF(W55&gt;'General Information'!$D$33,0,IF(W55=0,$J$14,IFERROR(SUMIF(INDIRECT("'"&amp;$G$14&amp;"'!$C$37:$C$52"),W55,INDIRECT("'"&amp;$G$14&amp;"'!$D$37:$D$52")),0))))</f>
        <v>0</v>
      </c>
      <c r="AB55" s="137" t="n">
        <f aca="true">IF($G$15="",0,IF(W55&gt;'General Information'!$D$33,0,IF(W55=0,$J$15,IFERROR(SUMIF(INDIRECT("'"&amp;$G$15&amp;"'!$C$37:$C$52"),W55,INDIRECT("'"&amp;$G$15&amp;"'!$D$37:$D$52")),0))))</f>
        <v>0</v>
      </c>
      <c r="AC55" s="137" t="n">
        <f aca="true">IF($G$12="",0,AC54+IF(W55&gt;'General Information'!$D$33,0,IF(W55=0,$J$12,IFERROR(SUMIF(INDIRECT("'"&amp;$G$12&amp;"'!$C$37:$C$52"),W55,INDIRECT("'"&amp;$G$12&amp;"'!$E$37:$E$52")),0))))</f>
        <v>13921715.8763559</v>
      </c>
      <c r="AD55" s="137" t="n">
        <f aca="true">IF($G$13="",0,AD54+IF(W55&gt;'General Information'!$D$33,0,IF(W55=0,$J$13,IFERROR(SUMIF(INDIRECT("'"&amp;$G$13&amp;"'!$C$37:$C$52"),W55,INDIRECT("'"&amp;$G$13&amp;"'!$E$37:$E$52")),0))))</f>
        <v>13830665.5166667</v>
      </c>
      <c r="AE55" s="137" t="n">
        <f aca="true">IF($G$14="",0,AE54+IF(W55&gt;'General Information'!$D$33,0,IF(W55=0,$J$14,IFERROR(SUMIF(INDIRECT("'"&amp;$G$14&amp;"'!$C$37:$C$52"),W55,INDIRECT("'"&amp;$G$14&amp;"'!$E$37:$E$52")),0))))</f>
        <v>16220920.0763559</v>
      </c>
      <c r="AF55" s="137" t="n">
        <f aca="true">IF($G$15="",0,AF54+IF(W55&gt;'General Information'!$D$33,0,IF(W55=0,$J$15,IFERROR(SUMIF(INDIRECT("'"&amp;$G$15&amp;"'!$C$37:$C$52"),W55,INDIRECT("'"&amp;$G$15&amp;"'!$E$37:$E$52")),0))))</f>
        <v>14418903.1666667</v>
      </c>
      <c r="AG55" s="155" t="n">
        <f aca="true">IF($G$12="",0,IF(W55&gt;'General Information'!$D$33,0,IFERROR(SUMIFS(INDIRECT("'"&amp;$G$12&amp;"'!$D$37:$D$52"),INDIRECT("'"&amp;$G$12&amp;"'!$C$37:$C$52"),W55,INDIRECT("'"&amp;$G$12&amp;"'!$B$37:$B$52"),"*Indirect*")/INDIRECT("'"&amp;$G$12&amp;"'!$F$2"),0)))</f>
        <v>0</v>
      </c>
      <c r="AH55" s="155" t="n">
        <f aca="true">IF($G$13="",0,IF(W55&gt;'General Information'!$D$33,0,IFERROR(SUMIFS(INDIRECT("'"&amp;$G$13&amp;"'!$D$37:$D$52"),INDIRECT("'"&amp;$G$13&amp;"'!$C$37:$C$52"),W55,INDIRECT("'"&amp;$G$13&amp;"'!$B$37:$B$52"),"*Indirect*")/INDIRECT("'"&amp;$G$13&amp;"'!$F$2"),0)))</f>
        <v>0</v>
      </c>
      <c r="AI55" s="155" t="n">
        <f aca="true">IF($G$14="",0,IF(W55&gt;'General Information'!$D$33,0,IFERROR(SUMIFS(INDIRECT("'"&amp;$G$14&amp;"'!$D$37:$D$52"),INDIRECT("'"&amp;$G$14&amp;"'!$C$37:$C$52"),W55,INDIRECT("'"&amp;$G$14&amp;"'!$B$37:$B$52"),"*Indirect*")/INDIRECT("'"&amp;$G$14&amp;"'!$F$2"),0)))</f>
        <v>0</v>
      </c>
      <c r="AJ55" s="155" t="n">
        <f aca="true">IF($G$15="",0,IF(W55&gt;'General Information'!$D$33,0,IFERROR(SUMIFS(INDIRECT("'"&amp;$G$15&amp;"'!$D$37:$D$52"),INDIRECT("'"&amp;$G$15&amp;"'!$C$37:$C$52"),W55,INDIRECT("'"&amp;$G$15&amp;"'!$B$37:$B$52"),"*Indirect*")/INDIRECT("'"&amp;$G$15&amp;"'!$F$2"),0)))</f>
        <v>0</v>
      </c>
    </row>
    <row r="56" customFormat="false" ht="15" hidden="false" customHeight="false" outlineLevel="0" collapsed="false">
      <c r="W56" s="136" t="n">
        <v>15</v>
      </c>
      <c r="X56" s="136" t="n">
        <f aca="false">'General Information'!$D$25+W56</f>
        <v>2042</v>
      </c>
      <c r="Y56" s="137" t="n">
        <f aca="true">IF($G$12="",0,IF(W56&gt;'General Information'!$D$33,0,IF(W56=0,$J$12,IFERROR(SUMIF(INDIRECT("'"&amp;$G$12&amp;"'!$C$37:$C$52"),W56,INDIRECT("'"&amp;$G$12&amp;"'!$D$37:$D$52")),0))))</f>
        <v>0</v>
      </c>
      <c r="Z56" s="137" t="n">
        <f aca="true">IF($G$13="",0,IF(W56&gt;'General Information'!$D$33,0,IF(W56=0,$J$13,IFERROR(SUMIF(INDIRECT("'"&amp;$G$13&amp;"'!$C$37:$C$52"),W56,INDIRECT("'"&amp;$G$13&amp;"'!$D$37:$D$52")),0))))</f>
        <v>0</v>
      </c>
      <c r="AA56" s="137" t="n">
        <f aca="true">IF($G$14="",0,IF(W56&gt;'General Information'!$D$33,0,IF(W56=0,$J$14,IFERROR(SUMIF(INDIRECT("'"&amp;$G$14&amp;"'!$C$37:$C$52"),W56,INDIRECT("'"&amp;$G$14&amp;"'!$D$37:$D$52")),0))))</f>
        <v>0</v>
      </c>
      <c r="AB56" s="137" t="n">
        <f aca="true">IF($G$15="",0,IF(W56&gt;'General Information'!$D$33,0,IF(W56=0,$J$15,IFERROR(SUMIF(INDIRECT("'"&amp;$G$15&amp;"'!$C$37:$C$52"),W56,INDIRECT("'"&amp;$G$15&amp;"'!$D$37:$D$52")),0))))</f>
        <v>0</v>
      </c>
      <c r="AC56" s="137" t="n">
        <f aca="true">IF($G$12="",0,AC55+IF(W56&gt;'General Information'!$D$33,0,IF(W56=0,$J$12,IFERROR(SUMIF(INDIRECT("'"&amp;$G$12&amp;"'!$C$37:$C$52"),W56,INDIRECT("'"&amp;$G$12&amp;"'!$E$37:$E$52")),0))))</f>
        <v>13921715.8763559</v>
      </c>
      <c r="AD56" s="137" t="n">
        <f aca="true">IF($G$13="",0,AD55+IF(W56&gt;'General Information'!$D$33,0,IF(W56=0,$J$13,IFERROR(SUMIF(INDIRECT("'"&amp;$G$13&amp;"'!$C$37:$C$52"),W56,INDIRECT("'"&amp;$G$13&amp;"'!$E$37:$E$52")),0))))</f>
        <v>13830665.5166667</v>
      </c>
      <c r="AE56" s="137" t="n">
        <f aca="true">IF($G$14="",0,AE55+IF(W56&gt;'General Information'!$D$33,0,IF(W56=0,$J$14,IFERROR(SUMIF(INDIRECT("'"&amp;$G$14&amp;"'!$C$37:$C$52"),W56,INDIRECT("'"&amp;$G$14&amp;"'!$E$37:$E$52")),0))))</f>
        <v>16220920.0763559</v>
      </c>
      <c r="AF56" s="137" t="n">
        <f aca="true">IF($G$15="",0,AF55+IF(W56&gt;'General Information'!$D$33,0,IF(W56=0,$J$15,IFERROR(SUMIF(INDIRECT("'"&amp;$G$15&amp;"'!$C$37:$C$52"),W56,INDIRECT("'"&amp;$G$15&amp;"'!$E$37:$E$52")),0))))</f>
        <v>14418903.1666667</v>
      </c>
      <c r="AG56" s="155" t="n">
        <f aca="true">IF($G$12="",0,IF(W56&gt;'General Information'!$D$33,0,IFERROR(SUMIFS(INDIRECT("'"&amp;$G$12&amp;"'!$D$37:$D$52"),INDIRECT("'"&amp;$G$12&amp;"'!$C$37:$C$52"),W56,INDIRECT("'"&amp;$G$12&amp;"'!$B$37:$B$52"),"*Indirect*")/INDIRECT("'"&amp;$G$12&amp;"'!$F$2"),0)))</f>
        <v>0</v>
      </c>
      <c r="AH56" s="155" t="n">
        <f aca="true">IF($G$13="",0,IF(W56&gt;'General Information'!$D$33,0,IFERROR(SUMIFS(INDIRECT("'"&amp;$G$13&amp;"'!$D$37:$D$52"),INDIRECT("'"&amp;$G$13&amp;"'!$C$37:$C$52"),W56,INDIRECT("'"&amp;$G$13&amp;"'!$B$37:$B$52"),"*Indirect*")/INDIRECT("'"&amp;$G$13&amp;"'!$F$2"),0)))</f>
        <v>0</v>
      </c>
      <c r="AI56" s="155" t="n">
        <f aca="true">IF($G$14="",0,IF(W56&gt;'General Information'!$D$33,0,IFERROR(SUMIFS(INDIRECT("'"&amp;$G$14&amp;"'!$D$37:$D$52"),INDIRECT("'"&amp;$G$14&amp;"'!$C$37:$C$52"),W56,INDIRECT("'"&amp;$G$14&amp;"'!$B$37:$B$52"),"*Indirect*")/INDIRECT("'"&amp;$G$14&amp;"'!$F$2"),0)))</f>
        <v>0</v>
      </c>
      <c r="AJ56" s="155" t="n">
        <f aca="true">IF($G$15="",0,IF(W56&gt;'General Information'!$D$33,0,IFERROR(SUMIFS(INDIRECT("'"&amp;$G$15&amp;"'!$D$37:$D$52"),INDIRECT("'"&amp;$G$15&amp;"'!$C$37:$C$52"),W56,INDIRECT("'"&amp;$G$15&amp;"'!$B$37:$B$52"),"*Indirect*")/INDIRECT("'"&amp;$G$15&amp;"'!$F$2"),0)))</f>
        <v>0</v>
      </c>
    </row>
    <row r="57" customFormat="false" ht="15" hidden="false" customHeight="false" outlineLevel="0" collapsed="false">
      <c r="W57" s="136" t="n">
        <v>16</v>
      </c>
      <c r="X57" s="136" t="n">
        <f aca="false">'General Information'!$D$25+W57</f>
        <v>2043</v>
      </c>
      <c r="Y57" s="137" t="n">
        <f aca="true">IF($G$12="",0,IF(W57&gt;'General Information'!$D$33,0,IF(W57=0,$J$12,IFERROR(SUMIF(INDIRECT("'"&amp;$G$12&amp;"'!$C$37:$C$52"),W57,INDIRECT("'"&amp;$G$12&amp;"'!$D$37:$D$52")),0))))</f>
        <v>837049.144027778</v>
      </c>
      <c r="Z57" s="137" t="n">
        <f aca="true">IF($G$13="",0,IF(W57&gt;'General Information'!$D$33,0,IF(W57=0,$J$13,IFERROR(SUMIF(INDIRECT("'"&amp;$G$13&amp;"'!$C$37:$C$52"),W57,INDIRECT("'"&amp;$G$13&amp;"'!$D$37:$D$52")),0))))</f>
        <v>0</v>
      </c>
      <c r="AA57" s="137" t="n">
        <f aca="true">IF($G$14="",0,IF(W57&gt;'General Information'!$D$33,0,IF(W57=0,$J$14,IFERROR(SUMIF(INDIRECT("'"&amp;$G$14&amp;"'!$C$37:$C$52"),W57,INDIRECT("'"&amp;$G$14&amp;"'!$D$37:$D$52")),0))))</f>
        <v>837049.144027778</v>
      </c>
      <c r="AB57" s="137" t="n">
        <f aca="true">IF($G$15="",0,IF(W57&gt;'General Information'!$D$33,0,IF(W57=0,$J$15,IFERROR(SUMIF(INDIRECT("'"&amp;$G$15&amp;"'!$C$37:$C$52"),W57,INDIRECT("'"&amp;$G$15&amp;"'!$D$37:$D$52")),0))))</f>
        <v>0</v>
      </c>
      <c r="AC57" s="137" t="n">
        <f aca="true">IF($G$12="",0,AC56+IF(W57&gt;'General Information'!$D$33,0,IF(W57=0,$J$12,IFERROR(SUMIF(INDIRECT("'"&amp;$G$12&amp;"'!$C$37:$C$52"),W57,INDIRECT("'"&amp;$G$12&amp;"'!$E$37:$E$52")),0))))</f>
        <v>14443337.2294165</v>
      </c>
      <c r="AD57" s="137" t="n">
        <f aca="true">IF($G$13="",0,AD56+IF(W57&gt;'General Information'!$D$33,0,IF(W57=0,$J$13,IFERROR(SUMIF(INDIRECT("'"&amp;$G$13&amp;"'!$C$37:$C$52"),W57,INDIRECT("'"&amp;$G$13&amp;"'!$E$37:$E$52")),0))))</f>
        <v>13830665.5166667</v>
      </c>
      <c r="AE57" s="137" t="n">
        <f aca="true">IF($G$14="",0,AE56+IF(W57&gt;'General Information'!$D$33,0,IF(W57=0,$J$14,IFERROR(SUMIF(INDIRECT("'"&amp;$G$14&amp;"'!$C$37:$C$52"),W57,INDIRECT("'"&amp;$G$14&amp;"'!$E$37:$E$52")),0))))</f>
        <v>16742541.4294165</v>
      </c>
      <c r="AF57" s="137" t="n">
        <f aca="true">IF($G$15="",0,AF56+IF(W57&gt;'General Information'!$D$33,0,IF(W57=0,$J$15,IFERROR(SUMIF(INDIRECT("'"&amp;$G$15&amp;"'!$C$37:$C$52"),W57,INDIRECT("'"&amp;$G$15&amp;"'!$E$37:$E$52")),0))))</f>
        <v>14418903.1666667</v>
      </c>
      <c r="AG57" s="155" t="n">
        <f aca="true">IF($G$12="",0,IF(W57&gt;'General Information'!$D$33,0,IFERROR(SUMIFS(INDIRECT("'"&amp;$G$12&amp;"'!$D$37:$D$52"),INDIRECT("'"&amp;$G$12&amp;"'!$C$37:$C$52"),W57,INDIRECT("'"&amp;$G$12&amp;"'!$B$37:$B$52"),"*Indirect*")/INDIRECT("'"&amp;$G$12&amp;"'!$F$2"),0)))</f>
        <v>12</v>
      </c>
      <c r="AH57" s="155" t="n">
        <f aca="true">IF($G$13="",0,IF(W57&gt;'General Information'!$D$33,0,IFERROR(SUMIFS(INDIRECT("'"&amp;$G$13&amp;"'!$D$37:$D$52"),INDIRECT("'"&amp;$G$13&amp;"'!$C$37:$C$52"),W57,INDIRECT("'"&amp;$G$13&amp;"'!$B$37:$B$52"),"*Indirect*")/INDIRECT("'"&amp;$G$13&amp;"'!$F$2"),0)))</f>
        <v>0</v>
      </c>
      <c r="AI57" s="155" t="n">
        <f aca="true">IF($G$14="",0,IF(W57&gt;'General Information'!$D$33,0,IFERROR(SUMIFS(INDIRECT("'"&amp;$G$14&amp;"'!$D$37:$D$52"),INDIRECT("'"&amp;$G$14&amp;"'!$C$37:$C$52"),W57,INDIRECT("'"&amp;$G$14&amp;"'!$B$37:$B$52"),"*Indirect*")/INDIRECT("'"&amp;$G$14&amp;"'!$F$2"),0)))</f>
        <v>12</v>
      </c>
      <c r="AJ57" s="155" t="n">
        <f aca="true">IF($G$15="",0,IF(W57&gt;'General Information'!$D$33,0,IFERROR(SUMIFS(INDIRECT("'"&amp;$G$15&amp;"'!$D$37:$D$52"),INDIRECT("'"&amp;$G$15&amp;"'!$C$37:$C$52"),W57,INDIRECT("'"&amp;$G$15&amp;"'!$B$37:$B$52"),"*Indirect*")/INDIRECT("'"&amp;$G$15&amp;"'!$F$2"),0)))</f>
        <v>0</v>
      </c>
    </row>
    <row r="58" customFormat="false" ht="15" hidden="false" customHeight="false" outlineLevel="0" collapsed="false">
      <c r="W58" s="136" t="n">
        <v>17</v>
      </c>
      <c r="X58" s="136" t="n">
        <f aca="false">'General Information'!$D$25+W58</f>
        <v>2044</v>
      </c>
      <c r="Y58" s="137" t="n">
        <f aca="true">IF($G$12="",0,IF(W58&gt;'General Information'!$D$33,0,IF(W58=0,$J$12,IFERROR(SUMIF(INDIRECT("'"&amp;$G$12&amp;"'!$C$37:$C$52"),W58,INDIRECT("'"&amp;$G$12&amp;"'!$D$37:$D$52")),0))))</f>
        <v>0</v>
      </c>
      <c r="Z58" s="137" t="n">
        <f aca="true">IF($G$13="",0,IF(W58&gt;'General Information'!$D$33,0,IF(W58=0,$J$13,IFERROR(SUMIF(INDIRECT("'"&amp;$G$13&amp;"'!$C$37:$C$52"),W58,INDIRECT("'"&amp;$G$13&amp;"'!$D$37:$D$52")),0))))</f>
        <v>0</v>
      </c>
      <c r="AA58" s="137" t="n">
        <f aca="true">IF($G$14="",0,IF(W58&gt;'General Information'!$D$33,0,IF(W58=0,$J$14,IFERROR(SUMIF(INDIRECT("'"&amp;$G$14&amp;"'!$C$37:$C$52"),W58,INDIRECT("'"&amp;$G$14&amp;"'!$D$37:$D$52")),0))))</f>
        <v>0</v>
      </c>
      <c r="AB58" s="137" t="n">
        <f aca="true">IF($G$15="",0,IF(W58&gt;'General Information'!$D$33,0,IF(W58=0,$J$15,IFERROR(SUMIF(INDIRECT("'"&amp;$G$15&amp;"'!$C$37:$C$52"),W58,INDIRECT("'"&amp;$G$15&amp;"'!$D$37:$D$52")),0))))</f>
        <v>0</v>
      </c>
      <c r="AC58" s="137" t="n">
        <f aca="true">IF($G$12="",0,AC57+IF(W58&gt;'General Information'!$D$33,0,IF(W58=0,$J$12,IFERROR(SUMIF(INDIRECT("'"&amp;$G$12&amp;"'!$C$37:$C$52"),W58,INDIRECT("'"&amp;$G$12&amp;"'!$E$37:$E$52")),0))))</f>
        <v>14443337.2294165</v>
      </c>
      <c r="AD58" s="137" t="n">
        <f aca="true">IF($G$13="",0,AD57+IF(W58&gt;'General Information'!$D$33,0,IF(W58=0,$J$13,IFERROR(SUMIF(INDIRECT("'"&amp;$G$13&amp;"'!$C$37:$C$52"),W58,INDIRECT("'"&amp;$G$13&amp;"'!$E$37:$E$52")),0))))</f>
        <v>13830665.5166667</v>
      </c>
      <c r="AE58" s="137" t="n">
        <f aca="true">IF($G$14="",0,AE57+IF(W58&gt;'General Information'!$D$33,0,IF(W58=0,$J$14,IFERROR(SUMIF(INDIRECT("'"&amp;$G$14&amp;"'!$C$37:$C$52"),W58,INDIRECT("'"&amp;$G$14&amp;"'!$E$37:$E$52")),0))))</f>
        <v>16742541.4294165</v>
      </c>
      <c r="AF58" s="137" t="n">
        <f aca="true">IF($G$15="",0,AF57+IF(W58&gt;'General Information'!$D$33,0,IF(W58=0,$J$15,IFERROR(SUMIF(INDIRECT("'"&amp;$G$15&amp;"'!$C$37:$C$52"),W58,INDIRECT("'"&amp;$G$15&amp;"'!$E$37:$E$52")),0))))</f>
        <v>14418903.1666667</v>
      </c>
      <c r="AG58" s="155" t="n">
        <f aca="true">IF($G$12="",0,IF(W58&gt;'General Information'!$D$33,0,IFERROR(SUMIFS(INDIRECT("'"&amp;$G$12&amp;"'!$D$37:$D$52"),INDIRECT("'"&amp;$G$12&amp;"'!$C$37:$C$52"),W58,INDIRECT("'"&amp;$G$12&amp;"'!$B$37:$B$52"),"*Indirect*")/INDIRECT("'"&amp;$G$12&amp;"'!$F$2"),0)))</f>
        <v>0</v>
      </c>
      <c r="AH58" s="155" t="n">
        <f aca="true">IF($G$13="",0,IF(W58&gt;'General Information'!$D$33,0,IFERROR(SUMIFS(INDIRECT("'"&amp;$G$13&amp;"'!$D$37:$D$52"),INDIRECT("'"&amp;$G$13&amp;"'!$C$37:$C$52"),W58,INDIRECT("'"&amp;$G$13&amp;"'!$B$37:$B$52"),"*Indirect*")/INDIRECT("'"&amp;$G$13&amp;"'!$F$2"),0)))</f>
        <v>0</v>
      </c>
      <c r="AI58" s="155" t="n">
        <f aca="true">IF($G$14="",0,IF(W58&gt;'General Information'!$D$33,0,IFERROR(SUMIFS(INDIRECT("'"&amp;$G$14&amp;"'!$D$37:$D$52"),INDIRECT("'"&amp;$G$14&amp;"'!$C$37:$C$52"),W58,INDIRECT("'"&amp;$G$14&amp;"'!$B$37:$B$52"),"*Indirect*")/INDIRECT("'"&amp;$G$14&amp;"'!$F$2"),0)))</f>
        <v>0</v>
      </c>
      <c r="AJ58" s="155" t="n">
        <f aca="true">IF($G$15="",0,IF(W58&gt;'General Information'!$D$33,0,IFERROR(SUMIFS(INDIRECT("'"&amp;$G$15&amp;"'!$D$37:$D$52"),INDIRECT("'"&amp;$G$15&amp;"'!$C$37:$C$52"),W58,INDIRECT("'"&amp;$G$15&amp;"'!$B$37:$B$52"),"*Indirect*")/INDIRECT("'"&amp;$G$15&amp;"'!$F$2"),0)))</f>
        <v>0</v>
      </c>
    </row>
    <row r="59" customFormat="false" ht="15" hidden="false" customHeight="false" outlineLevel="0" collapsed="false">
      <c r="W59" s="136" t="n">
        <v>18</v>
      </c>
      <c r="X59" s="136" t="n">
        <f aca="false">'General Information'!$D$25+W59</f>
        <v>2045</v>
      </c>
      <c r="Y59" s="137" t="n">
        <f aca="true">IF($G$12="",0,IF(W59&gt;'General Information'!$D$33,0,IF(W59=0,$J$12,IFERROR(SUMIF(INDIRECT("'"&amp;$G$12&amp;"'!$C$37:$C$52"),W59,INDIRECT("'"&amp;$G$12&amp;"'!$D$37:$D$52")),0))))</f>
        <v>0</v>
      </c>
      <c r="Z59" s="137" t="n">
        <f aca="true">IF($G$13="",0,IF(W59&gt;'General Information'!$D$33,0,IF(W59=0,$J$13,IFERROR(SUMIF(INDIRECT("'"&amp;$G$13&amp;"'!$C$37:$C$52"),W59,INDIRECT("'"&amp;$G$13&amp;"'!$D$37:$D$52")),0))))</f>
        <v>0</v>
      </c>
      <c r="AA59" s="137" t="n">
        <f aca="true">IF($G$14="",0,IF(W59&gt;'General Information'!$D$33,0,IF(W59=0,$J$14,IFERROR(SUMIF(INDIRECT("'"&amp;$G$14&amp;"'!$C$37:$C$52"),W59,INDIRECT("'"&amp;$G$14&amp;"'!$D$37:$D$52")),0))))</f>
        <v>0</v>
      </c>
      <c r="AB59" s="137" t="n">
        <f aca="true">IF($G$15="",0,IF(W59&gt;'General Information'!$D$33,0,IF(W59=0,$J$15,IFERROR(SUMIF(INDIRECT("'"&amp;$G$15&amp;"'!$C$37:$C$52"),W59,INDIRECT("'"&amp;$G$15&amp;"'!$D$37:$D$52")),0))))</f>
        <v>0</v>
      </c>
      <c r="AC59" s="137" t="n">
        <f aca="true">IF($G$12="",0,AC58+IF(W59&gt;'General Information'!$D$33,0,IF(W59=0,$J$12,IFERROR(SUMIF(INDIRECT("'"&amp;$G$12&amp;"'!$C$37:$C$52"),W59,INDIRECT("'"&amp;$G$12&amp;"'!$E$37:$E$52")),0))))</f>
        <v>14443337.2294165</v>
      </c>
      <c r="AD59" s="137" t="n">
        <f aca="true">IF($G$13="",0,AD58+IF(W59&gt;'General Information'!$D$33,0,IF(W59=0,$J$13,IFERROR(SUMIF(INDIRECT("'"&amp;$G$13&amp;"'!$C$37:$C$52"),W59,INDIRECT("'"&amp;$G$13&amp;"'!$E$37:$E$52")),0))))</f>
        <v>13830665.5166667</v>
      </c>
      <c r="AE59" s="137" t="n">
        <f aca="true">IF($G$14="",0,AE58+IF(W59&gt;'General Information'!$D$33,0,IF(W59=0,$J$14,IFERROR(SUMIF(INDIRECT("'"&amp;$G$14&amp;"'!$C$37:$C$52"),W59,INDIRECT("'"&amp;$G$14&amp;"'!$E$37:$E$52")),0))))</f>
        <v>16742541.4294165</v>
      </c>
      <c r="AF59" s="137" t="n">
        <f aca="true">IF($G$15="",0,AF58+IF(W59&gt;'General Information'!$D$33,0,IF(W59=0,$J$15,IFERROR(SUMIF(INDIRECT("'"&amp;$G$15&amp;"'!$C$37:$C$52"),W59,INDIRECT("'"&amp;$G$15&amp;"'!$E$37:$E$52")),0))))</f>
        <v>14418903.1666667</v>
      </c>
      <c r="AG59" s="155" t="n">
        <f aca="true">IF($G$12="",0,IF(W59&gt;'General Information'!$D$33,0,IFERROR(SUMIFS(INDIRECT("'"&amp;$G$12&amp;"'!$D$37:$D$52"),INDIRECT("'"&amp;$G$12&amp;"'!$C$37:$C$52"),W59,INDIRECT("'"&amp;$G$12&amp;"'!$B$37:$B$52"),"*Indirect*")/INDIRECT("'"&amp;$G$12&amp;"'!$F$2"),0)))</f>
        <v>0</v>
      </c>
      <c r="AH59" s="155" t="n">
        <f aca="true">IF($G$13="",0,IF(W59&gt;'General Information'!$D$33,0,IFERROR(SUMIFS(INDIRECT("'"&amp;$G$13&amp;"'!$D$37:$D$52"),INDIRECT("'"&amp;$G$13&amp;"'!$C$37:$C$52"),W59,INDIRECT("'"&amp;$G$13&amp;"'!$B$37:$B$52"),"*Indirect*")/INDIRECT("'"&amp;$G$13&amp;"'!$F$2"),0)))</f>
        <v>0</v>
      </c>
      <c r="AI59" s="155" t="n">
        <f aca="true">IF($G$14="",0,IF(W59&gt;'General Information'!$D$33,0,IFERROR(SUMIFS(INDIRECT("'"&amp;$G$14&amp;"'!$D$37:$D$52"),INDIRECT("'"&amp;$G$14&amp;"'!$C$37:$C$52"),W59,INDIRECT("'"&amp;$G$14&amp;"'!$B$37:$B$52"),"*Indirect*")/INDIRECT("'"&amp;$G$14&amp;"'!$F$2"),0)))</f>
        <v>0</v>
      </c>
      <c r="AJ59" s="155" t="n">
        <f aca="true">IF($G$15="",0,IF(W59&gt;'General Information'!$D$33,0,IFERROR(SUMIFS(INDIRECT("'"&amp;$G$15&amp;"'!$D$37:$D$52"),INDIRECT("'"&amp;$G$15&amp;"'!$C$37:$C$52"),W59,INDIRECT("'"&amp;$G$15&amp;"'!$B$37:$B$52"),"*Indirect*")/INDIRECT("'"&amp;$G$15&amp;"'!$F$2"),0)))</f>
        <v>0</v>
      </c>
    </row>
    <row r="60" customFormat="false" ht="15" hidden="false" customHeight="false" outlineLevel="0" collapsed="false">
      <c r="W60" s="136" t="n">
        <v>19</v>
      </c>
      <c r="X60" s="136" t="n">
        <f aca="false">'General Information'!$D$25+W60</f>
        <v>2046</v>
      </c>
      <c r="Y60" s="137" t="n">
        <f aca="true">IF($G$12="",0,IF(W60&gt;'General Information'!$D$33,0,IF(W60=0,$J$12,IFERROR(SUMIF(INDIRECT("'"&amp;$G$12&amp;"'!$C$37:$C$52"),W60,INDIRECT("'"&amp;$G$12&amp;"'!$D$37:$D$52")),0))))</f>
        <v>0</v>
      </c>
      <c r="Z60" s="137" t="n">
        <f aca="true">IF($G$13="",0,IF(W60&gt;'General Information'!$D$33,0,IF(W60=0,$J$13,IFERROR(SUMIF(INDIRECT("'"&amp;$G$13&amp;"'!$C$37:$C$52"),W60,INDIRECT("'"&amp;$G$13&amp;"'!$D$37:$D$52")),0))))</f>
        <v>1486198.0384</v>
      </c>
      <c r="AA60" s="137" t="n">
        <f aca="true">IF($G$14="",0,IF(W60&gt;'General Information'!$D$33,0,IF(W60=0,$J$14,IFERROR(SUMIF(INDIRECT("'"&amp;$G$14&amp;"'!$C$37:$C$52"),W60,INDIRECT("'"&amp;$G$14&amp;"'!$D$37:$D$52")),0))))</f>
        <v>0</v>
      </c>
      <c r="AB60" s="137" t="n">
        <f aca="true">IF($G$15="",0,IF(W60&gt;'General Information'!$D$33,0,IF(W60=0,$J$15,IFERROR(SUMIF(INDIRECT("'"&amp;$G$15&amp;"'!$C$37:$C$52"),W60,INDIRECT("'"&amp;$G$15&amp;"'!$D$37:$D$52")),0))))</f>
        <v>1486198.0384</v>
      </c>
      <c r="AC60" s="137" t="n">
        <f aca="true">IF($G$12="",0,AC59+IF(W60&gt;'General Information'!$D$33,0,IF(W60=0,$J$12,IFERROR(SUMIF(INDIRECT("'"&amp;$G$12&amp;"'!$C$37:$C$52"),W60,INDIRECT("'"&amp;$G$12&amp;"'!$E$37:$E$52")),0))))</f>
        <v>14443337.2294165</v>
      </c>
      <c r="AD60" s="137" t="n">
        <f aca="true">IF($G$13="",0,AD59+IF(W60&gt;'General Information'!$D$33,0,IF(W60=0,$J$13,IFERROR(SUMIF(INDIRECT("'"&amp;$G$13&amp;"'!$C$37:$C$52"),W60,INDIRECT("'"&amp;$G$13&amp;"'!$E$37:$E$52")),0))))</f>
        <v>14678223.4910415</v>
      </c>
      <c r="AE60" s="137" t="n">
        <f aca="true">IF($G$14="",0,AE59+IF(W60&gt;'General Information'!$D$33,0,IF(W60=0,$J$14,IFERROR(SUMIF(INDIRECT("'"&amp;$G$14&amp;"'!$C$37:$C$52"),W60,INDIRECT("'"&amp;$G$14&amp;"'!$E$37:$E$52")),0))))</f>
        <v>16742541.4294165</v>
      </c>
      <c r="AF60" s="137" t="n">
        <f aca="true">IF($G$15="",0,AF59+IF(W60&gt;'General Information'!$D$33,0,IF(W60=0,$J$15,IFERROR(SUMIF(INDIRECT("'"&amp;$G$15&amp;"'!$C$37:$C$52"),W60,INDIRECT("'"&amp;$G$15&amp;"'!$E$37:$E$52")),0))))</f>
        <v>15266461.1410415</v>
      </c>
      <c r="AG60" s="155" t="n">
        <f aca="true">IF($G$12="",0,IF(W60&gt;'General Information'!$D$33,0,IFERROR(SUMIFS(INDIRECT("'"&amp;$G$12&amp;"'!$D$37:$D$52"),INDIRECT("'"&amp;$G$12&amp;"'!$C$37:$C$52"),W60,INDIRECT("'"&amp;$G$12&amp;"'!$B$37:$B$52"),"*Indirect*")/INDIRECT("'"&amp;$G$12&amp;"'!$F$2"),0)))</f>
        <v>0</v>
      </c>
      <c r="AH60" s="155" t="n">
        <f aca="true">IF($G$13="",0,IF(W60&gt;'General Information'!$D$33,0,IFERROR(SUMIFS(INDIRECT("'"&amp;$G$13&amp;"'!$D$37:$D$52"),INDIRECT("'"&amp;$G$13&amp;"'!$C$37:$C$52"),W60,INDIRECT("'"&amp;$G$13&amp;"'!$B$37:$B$52"),"*Indirect*")/INDIRECT("'"&amp;$G$13&amp;"'!$F$2"),0)))</f>
        <v>13</v>
      </c>
      <c r="AI60" s="155" t="n">
        <f aca="true">IF($G$14="",0,IF(W60&gt;'General Information'!$D$33,0,IFERROR(SUMIFS(INDIRECT("'"&amp;$G$14&amp;"'!$D$37:$D$52"),INDIRECT("'"&amp;$G$14&amp;"'!$C$37:$C$52"),W60,INDIRECT("'"&amp;$G$14&amp;"'!$B$37:$B$52"),"*Indirect*")/INDIRECT("'"&amp;$G$14&amp;"'!$F$2"),0)))</f>
        <v>0</v>
      </c>
      <c r="AJ60" s="155" t="n">
        <f aca="true">IF($G$15="",0,IF(W60&gt;'General Information'!$D$33,0,IFERROR(SUMIFS(INDIRECT("'"&amp;$G$15&amp;"'!$D$37:$D$52"),INDIRECT("'"&amp;$G$15&amp;"'!$C$37:$C$52"),W60,INDIRECT("'"&amp;$G$15&amp;"'!$B$37:$B$52"),"*Indirect*")/INDIRECT("'"&amp;$G$15&amp;"'!$F$2"),0)))</f>
        <v>13</v>
      </c>
    </row>
    <row r="61" customFormat="false" ht="15" hidden="false" customHeight="false" outlineLevel="0" collapsed="false">
      <c r="W61" s="136" t="n">
        <v>20</v>
      </c>
      <c r="X61" s="136" t="n">
        <f aca="false">'General Information'!$D$25+W61</f>
        <v>2047</v>
      </c>
      <c r="Y61" s="137" t="n">
        <f aca="true">IF($G$12="",0,IF(W61&gt;'General Information'!$D$33,0,IF(W61=0,$J$12,IFERROR(SUMIF(INDIRECT("'"&amp;$G$12&amp;"'!$C$37:$C$52"),W61,INDIRECT("'"&amp;$G$12&amp;"'!$D$37:$D$52")),0))))</f>
        <v>2786267.76179167</v>
      </c>
      <c r="Z61" s="137" t="n">
        <f aca="true">IF($G$13="",0,IF(W61&gt;'General Information'!$D$33,0,IF(W61=0,$J$13,IFERROR(SUMIF(INDIRECT("'"&amp;$G$13&amp;"'!$C$37:$C$52"),W61,INDIRECT("'"&amp;$G$13&amp;"'!$D$37:$D$52")),0))))</f>
        <v>0</v>
      </c>
      <c r="AA61" s="137" t="n">
        <f aca="true">IF($G$14="",0,IF(W61&gt;'General Information'!$D$33,0,IF(W61=0,$J$14,IFERROR(SUMIF(INDIRECT("'"&amp;$G$14&amp;"'!$C$37:$C$52"),W61,INDIRECT("'"&amp;$G$14&amp;"'!$D$37:$D$52")),0))))</f>
        <v>2786267.76179167</v>
      </c>
      <c r="AB61" s="137" t="n">
        <f aca="true">IF($G$15="",0,IF(W61&gt;'General Information'!$D$33,0,IF(W61=0,$J$15,IFERROR(SUMIF(INDIRECT("'"&amp;$G$15&amp;"'!$C$37:$C$52"),W61,INDIRECT("'"&amp;$G$15&amp;"'!$D$37:$D$52")),0))))</f>
        <v>0</v>
      </c>
      <c r="AC61" s="137" t="n">
        <f aca="true">IF($G$12="",0,AC60+IF(W61&gt;'General Information'!$D$33,0,IF(W61=0,$J$12,IFERROR(SUMIF(INDIRECT("'"&amp;$G$12&amp;"'!$C$37:$C$52"),W61,INDIRECT("'"&amp;$G$12&amp;"'!$E$37:$E$52")),0))))</f>
        <v>15986026.1337916</v>
      </c>
      <c r="AD61" s="137" t="n">
        <f aca="true">IF($G$13="",0,AD60+IF(W61&gt;'General Information'!$D$33,0,IF(W61=0,$J$13,IFERROR(SUMIF(INDIRECT("'"&amp;$G$13&amp;"'!$C$37:$C$52"),W61,INDIRECT("'"&amp;$G$13&amp;"'!$E$37:$E$52")),0))))</f>
        <v>14678223.4910415</v>
      </c>
      <c r="AE61" s="137" t="n">
        <f aca="true">IF($G$14="",0,AE60+IF(W61&gt;'General Information'!$D$33,0,IF(W61=0,$J$14,IFERROR(SUMIF(INDIRECT("'"&amp;$G$14&amp;"'!$C$37:$C$52"),W61,INDIRECT("'"&amp;$G$14&amp;"'!$E$37:$E$52")),0))))</f>
        <v>18285230.3337916</v>
      </c>
      <c r="AF61" s="137" t="n">
        <f aca="true">IF($G$15="",0,AF60+IF(W61&gt;'General Information'!$D$33,0,IF(W61=0,$J$15,IFERROR(SUMIF(INDIRECT("'"&amp;$G$15&amp;"'!$C$37:$C$52"),W61,INDIRECT("'"&amp;$G$15&amp;"'!$E$37:$E$52")),0))))</f>
        <v>15266461.1410415</v>
      </c>
      <c r="AG61" s="155" t="n">
        <f aca="true">IF($G$12="",0,IF(W61&gt;'General Information'!$D$33,0,IFERROR(SUMIFS(INDIRECT("'"&amp;$G$12&amp;"'!$D$37:$D$52"),INDIRECT("'"&amp;$G$12&amp;"'!$C$37:$C$52"),W61,INDIRECT("'"&amp;$G$12&amp;"'!$B$37:$B$52"),"*Indirect*")/INDIRECT("'"&amp;$G$12&amp;"'!$F$2"),0)))</f>
        <v>28</v>
      </c>
      <c r="AH61" s="155" t="n">
        <f aca="true">IF($G$13="",0,IF(W61&gt;'General Information'!$D$33,0,IFERROR(SUMIFS(INDIRECT("'"&amp;$G$13&amp;"'!$D$37:$D$52"),INDIRECT("'"&amp;$G$13&amp;"'!$C$37:$C$52"),W61,INDIRECT("'"&amp;$G$13&amp;"'!$B$37:$B$52"),"*Indirect*")/INDIRECT("'"&amp;$G$13&amp;"'!$F$2"),0)))</f>
        <v>0</v>
      </c>
      <c r="AI61" s="155" t="n">
        <f aca="true">IF($G$14="",0,IF(W61&gt;'General Information'!$D$33,0,IFERROR(SUMIFS(INDIRECT("'"&amp;$G$14&amp;"'!$D$37:$D$52"),INDIRECT("'"&amp;$G$14&amp;"'!$C$37:$C$52"),W61,INDIRECT("'"&amp;$G$14&amp;"'!$B$37:$B$52"),"*Indirect*")/INDIRECT("'"&amp;$G$14&amp;"'!$F$2"),0)))</f>
        <v>28</v>
      </c>
      <c r="AJ61" s="155" t="n">
        <f aca="true">IF($G$15="",0,IF(W61&gt;'General Information'!$D$33,0,IFERROR(SUMIFS(INDIRECT("'"&amp;$G$15&amp;"'!$D$37:$D$52"),INDIRECT("'"&amp;$G$15&amp;"'!$C$37:$C$52"),W61,INDIRECT("'"&amp;$G$15&amp;"'!$B$37:$B$52"),"*Indirect*")/INDIRECT("'"&amp;$G$15&amp;"'!$F$2"),0)))</f>
        <v>0</v>
      </c>
    </row>
    <row r="62" customFormat="false" ht="15" hidden="false" customHeight="false" outlineLevel="0" collapsed="false">
      <c r="W62" s="136" t="n">
        <v>21</v>
      </c>
      <c r="X62" s="136" t="n">
        <f aca="false">'General Information'!$D$25+W62</f>
        <v>2048</v>
      </c>
      <c r="Y62" s="137" t="n">
        <f aca="true">IF($G$12="",0,IF(W62&gt;'General Information'!$D$33,0,IF(W62=0,$J$12,IFERROR(SUMIF(INDIRECT("'"&amp;$G$12&amp;"'!$C$37:$C$52"),W62,INDIRECT("'"&amp;$G$12&amp;"'!$D$37:$D$52")),0))))</f>
        <v>0</v>
      </c>
      <c r="Z62" s="137" t="n">
        <f aca="true">IF($G$13="",0,IF(W62&gt;'General Information'!$D$33,0,IF(W62=0,$J$13,IFERROR(SUMIF(INDIRECT("'"&amp;$G$13&amp;"'!$C$37:$C$52"),W62,INDIRECT("'"&amp;$G$13&amp;"'!$D$37:$D$52")),0))))</f>
        <v>0</v>
      </c>
      <c r="AA62" s="137" t="n">
        <f aca="true">IF($G$14="",0,IF(W62&gt;'General Information'!$D$33,0,IF(W62=0,$J$14,IFERROR(SUMIF(INDIRECT("'"&amp;$G$14&amp;"'!$C$37:$C$52"),W62,INDIRECT("'"&amp;$G$14&amp;"'!$D$37:$D$52")),0))))</f>
        <v>0</v>
      </c>
      <c r="AB62" s="137" t="n">
        <f aca="true">IF($G$15="",0,IF(W62&gt;'General Information'!$D$33,0,IF(W62=0,$J$15,IFERROR(SUMIF(INDIRECT("'"&amp;$G$15&amp;"'!$C$37:$C$52"),W62,INDIRECT("'"&amp;$G$15&amp;"'!$D$37:$D$52")),0))))</f>
        <v>0</v>
      </c>
      <c r="AC62" s="137" t="n">
        <f aca="true">IF($G$12="",0,AC61+IF(W62&gt;'General Information'!$D$33,0,IF(W62=0,$J$12,IFERROR(SUMIF(INDIRECT("'"&amp;$G$12&amp;"'!$C$37:$C$52"),W62,INDIRECT("'"&amp;$G$12&amp;"'!$E$37:$E$52")),0))))</f>
        <v>15986026.1337916</v>
      </c>
      <c r="AD62" s="137" t="n">
        <f aca="true">IF($G$13="",0,AD61+IF(W62&gt;'General Information'!$D$33,0,IF(W62=0,$J$13,IFERROR(SUMIF(INDIRECT("'"&amp;$G$13&amp;"'!$C$37:$C$52"),W62,INDIRECT("'"&amp;$G$13&amp;"'!$E$37:$E$52")),0))))</f>
        <v>14678223.4910415</v>
      </c>
      <c r="AE62" s="137" t="n">
        <f aca="true">IF($G$14="",0,AE61+IF(W62&gt;'General Information'!$D$33,0,IF(W62=0,$J$14,IFERROR(SUMIF(INDIRECT("'"&amp;$G$14&amp;"'!$C$37:$C$52"),W62,INDIRECT("'"&amp;$G$14&amp;"'!$E$37:$E$52")),0))))</f>
        <v>18285230.3337916</v>
      </c>
      <c r="AF62" s="137" t="n">
        <f aca="true">IF($G$15="",0,AF61+IF(W62&gt;'General Information'!$D$33,0,IF(W62=0,$J$15,IFERROR(SUMIF(INDIRECT("'"&amp;$G$15&amp;"'!$C$37:$C$52"),W62,INDIRECT("'"&amp;$G$15&amp;"'!$E$37:$E$52")),0))))</f>
        <v>15266461.1410415</v>
      </c>
      <c r="AG62" s="155" t="n">
        <f aca="true">IF($G$12="",0,IF(W62&gt;'General Information'!$D$33,0,IFERROR(SUMIFS(INDIRECT("'"&amp;$G$12&amp;"'!$D$37:$D$52"),INDIRECT("'"&amp;$G$12&amp;"'!$C$37:$C$52"),W62,INDIRECT("'"&amp;$G$12&amp;"'!$B$37:$B$52"),"*Indirect*")/INDIRECT("'"&amp;$G$12&amp;"'!$F$2"),0)))</f>
        <v>0</v>
      </c>
      <c r="AH62" s="155" t="n">
        <f aca="true">IF($G$13="",0,IF(W62&gt;'General Information'!$D$33,0,IFERROR(SUMIFS(INDIRECT("'"&amp;$G$13&amp;"'!$D$37:$D$52"),INDIRECT("'"&amp;$G$13&amp;"'!$C$37:$C$52"),W62,INDIRECT("'"&amp;$G$13&amp;"'!$B$37:$B$52"),"*Indirect*")/INDIRECT("'"&amp;$G$13&amp;"'!$F$2"),0)))</f>
        <v>0</v>
      </c>
      <c r="AI62" s="155" t="n">
        <f aca="true">IF($G$14="",0,IF(W62&gt;'General Information'!$D$33,0,IFERROR(SUMIFS(INDIRECT("'"&amp;$G$14&amp;"'!$D$37:$D$52"),INDIRECT("'"&amp;$G$14&amp;"'!$C$37:$C$52"),W62,INDIRECT("'"&amp;$G$14&amp;"'!$B$37:$B$52"),"*Indirect*")/INDIRECT("'"&amp;$G$14&amp;"'!$F$2"),0)))</f>
        <v>0</v>
      </c>
      <c r="AJ62" s="155" t="n">
        <f aca="true">IF($G$15="",0,IF(W62&gt;'General Information'!$D$33,0,IFERROR(SUMIFS(INDIRECT("'"&amp;$G$15&amp;"'!$D$37:$D$52"),INDIRECT("'"&amp;$G$15&amp;"'!$C$37:$C$52"),W62,INDIRECT("'"&amp;$G$15&amp;"'!$B$37:$B$52"),"*Indirect*")/INDIRECT("'"&amp;$G$15&amp;"'!$F$2"),0)))</f>
        <v>0</v>
      </c>
    </row>
    <row r="63" customFormat="false" ht="15" hidden="false" customHeight="false" outlineLevel="0" collapsed="false">
      <c r="W63" s="136" t="n">
        <v>22</v>
      </c>
      <c r="X63" s="136" t="n">
        <f aca="false">'General Information'!$D$25+W63</f>
        <v>2049</v>
      </c>
      <c r="Y63" s="137" t="n">
        <f aca="true">IF($G$12="",0,IF(W63&gt;'General Information'!$D$33,0,IF(W63=0,$J$12,IFERROR(SUMIF(INDIRECT("'"&amp;$G$12&amp;"'!$C$37:$C$52"),W63,INDIRECT("'"&amp;$G$12&amp;"'!$D$37:$D$52")),0))))</f>
        <v>0</v>
      </c>
      <c r="Z63" s="137" t="n">
        <f aca="true">IF($G$13="",0,IF(W63&gt;'General Information'!$D$33,0,IF(W63=0,$J$13,IFERROR(SUMIF(INDIRECT("'"&amp;$G$13&amp;"'!$C$37:$C$52"),W63,INDIRECT("'"&amp;$G$13&amp;"'!$D$37:$D$52")),0))))</f>
        <v>0</v>
      </c>
      <c r="AA63" s="137" t="n">
        <f aca="true">IF($G$14="",0,IF(W63&gt;'General Information'!$D$33,0,IF(W63=0,$J$14,IFERROR(SUMIF(INDIRECT("'"&amp;$G$14&amp;"'!$C$37:$C$52"),W63,INDIRECT("'"&amp;$G$14&amp;"'!$D$37:$D$52")),0))))</f>
        <v>0</v>
      </c>
      <c r="AB63" s="137" t="n">
        <f aca="true">IF($G$15="",0,IF(W63&gt;'General Information'!$D$33,0,IF(W63=0,$J$15,IFERROR(SUMIF(INDIRECT("'"&amp;$G$15&amp;"'!$C$37:$C$52"),W63,INDIRECT("'"&amp;$G$15&amp;"'!$D$37:$D$52")),0))))</f>
        <v>0</v>
      </c>
      <c r="AC63" s="137" t="n">
        <f aca="true">IF($G$12="",0,AC62+IF(W63&gt;'General Information'!$D$33,0,IF(W63=0,$J$12,IFERROR(SUMIF(INDIRECT("'"&amp;$G$12&amp;"'!$C$37:$C$52"),W63,INDIRECT("'"&amp;$G$12&amp;"'!$E$37:$E$52")),0))))</f>
        <v>15986026.1337916</v>
      </c>
      <c r="AD63" s="137" t="n">
        <f aca="true">IF($G$13="",0,AD62+IF(W63&gt;'General Information'!$D$33,0,IF(W63=0,$J$13,IFERROR(SUMIF(INDIRECT("'"&amp;$G$13&amp;"'!$C$37:$C$52"),W63,INDIRECT("'"&amp;$G$13&amp;"'!$E$37:$E$52")),0))))</f>
        <v>14678223.4910415</v>
      </c>
      <c r="AE63" s="137" t="n">
        <f aca="true">IF($G$14="",0,AE62+IF(W63&gt;'General Information'!$D$33,0,IF(W63=0,$J$14,IFERROR(SUMIF(INDIRECT("'"&amp;$G$14&amp;"'!$C$37:$C$52"),W63,INDIRECT("'"&amp;$G$14&amp;"'!$E$37:$E$52")),0))))</f>
        <v>18285230.3337916</v>
      </c>
      <c r="AF63" s="137" t="n">
        <f aca="true">IF($G$15="",0,AF62+IF(W63&gt;'General Information'!$D$33,0,IF(W63=0,$J$15,IFERROR(SUMIF(INDIRECT("'"&amp;$G$15&amp;"'!$C$37:$C$52"),W63,INDIRECT("'"&amp;$G$15&amp;"'!$E$37:$E$52")),0))))</f>
        <v>15266461.1410415</v>
      </c>
      <c r="AG63" s="155" t="n">
        <f aca="true">IF($G$12="",0,IF(W63&gt;'General Information'!$D$33,0,IFERROR(SUMIFS(INDIRECT("'"&amp;$G$12&amp;"'!$D$37:$D$52"),INDIRECT("'"&amp;$G$12&amp;"'!$C$37:$C$52"),W63,INDIRECT("'"&amp;$G$12&amp;"'!$B$37:$B$52"),"*Indirect*")/INDIRECT("'"&amp;$G$12&amp;"'!$F$2"),0)))</f>
        <v>0</v>
      </c>
      <c r="AH63" s="155" t="n">
        <f aca="true">IF($G$13="",0,IF(W63&gt;'General Information'!$D$33,0,IFERROR(SUMIFS(INDIRECT("'"&amp;$G$13&amp;"'!$D$37:$D$52"),INDIRECT("'"&amp;$G$13&amp;"'!$C$37:$C$52"),W63,INDIRECT("'"&amp;$G$13&amp;"'!$B$37:$B$52"),"*Indirect*")/INDIRECT("'"&amp;$G$13&amp;"'!$F$2"),0)))</f>
        <v>0</v>
      </c>
      <c r="AI63" s="155" t="n">
        <f aca="true">IF($G$14="",0,IF(W63&gt;'General Information'!$D$33,0,IFERROR(SUMIFS(INDIRECT("'"&amp;$G$14&amp;"'!$D$37:$D$52"),INDIRECT("'"&amp;$G$14&amp;"'!$C$37:$C$52"),W63,INDIRECT("'"&amp;$G$14&amp;"'!$B$37:$B$52"),"*Indirect*")/INDIRECT("'"&amp;$G$14&amp;"'!$F$2"),0)))</f>
        <v>0</v>
      </c>
      <c r="AJ63" s="155" t="n">
        <f aca="true">IF($G$15="",0,IF(W63&gt;'General Information'!$D$33,0,IFERROR(SUMIFS(INDIRECT("'"&amp;$G$15&amp;"'!$D$37:$D$52"),INDIRECT("'"&amp;$G$15&amp;"'!$C$37:$C$52"),W63,INDIRECT("'"&amp;$G$15&amp;"'!$B$37:$B$52"),"*Indirect*")/INDIRECT("'"&amp;$G$15&amp;"'!$F$2"),0)))</f>
        <v>0</v>
      </c>
    </row>
    <row r="64" customFormat="false" ht="15" hidden="false" customHeight="false" outlineLevel="0" collapsed="false">
      <c r="W64" s="136" t="n">
        <v>23</v>
      </c>
      <c r="X64" s="136" t="n">
        <f aca="false">'General Information'!$D$25+W64</f>
        <v>2050</v>
      </c>
      <c r="Y64" s="137" t="n">
        <f aca="true">IF($G$12="",0,IF(W64&gt;'General Information'!$D$33,0,IF(W64=0,$J$12,IFERROR(SUMIF(INDIRECT("'"&amp;$G$12&amp;"'!$C$37:$C$52"),W64,INDIRECT("'"&amp;$G$12&amp;"'!$D$37:$D$52")),0))))</f>
        <v>0</v>
      </c>
      <c r="Z64" s="137" t="n">
        <f aca="true">IF($G$13="",0,IF(W64&gt;'General Information'!$D$33,0,IF(W64=0,$J$13,IFERROR(SUMIF(INDIRECT("'"&amp;$G$13&amp;"'!$C$37:$C$52"),W64,INDIRECT("'"&amp;$G$13&amp;"'!$D$37:$D$52")),0))))</f>
        <v>0</v>
      </c>
      <c r="AA64" s="137" t="n">
        <f aca="true">IF($G$14="",0,IF(W64&gt;'General Information'!$D$33,0,IF(W64=0,$J$14,IFERROR(SUMIF(INDIRECT("'"&amp;$G$14&amp;"'!$C$37:$C$52"),W64,INDIRECT("'"&amp;$G$14&amp;"'!$D$37:$D$52")),0))))</f>
        <v>0</v>
      </c>
      <c r="AB64" s="137" t="n">
        <f aca="true">IF($G$15="",0,IF(W64&gt;'General Information'!$D$33,0,IF(W64=0,$J$15,IFERROR(SUMIF(INDIRECT("'"&amp;$G$15&amp;"'!$C$37:$C$52"),W64,INDIRECT("'"&amp;$G$15&amp;"'!$D$37:$D$52")),0))))</f>
        <v>0</v>
      </c>
      <c r="AC64" s="137" t="n">
        <f aca="true">IF($G$12="",0,AC63+IF(W64&gt;'General Information'!$D$33,0,IF(W64=0,$J$12,IFERROR(SUMIF(INDIRECT("'"&amp;$G$12&amp;"'!$C$37:$C$52"),W64,INDIRECT("'"&amp;$G$12&amp;"'!$E$37:$E$52")),0))))</f>
        <v>15986026.1337916</v>
      </c>
      <c r="AD64" s="137" t="n">
        <f aca="true">IF($G$13="",0,AD63+IF(W64&gt;'General Information'!$D$33,0,IF(W64=0,$J$13,IFERROR(SUMIF(INDIRECT("'"&amp;$G$13&amp;"'!$C$37:$C$52"),W64,INDIRECT("'"&amp;$G$13&amp;"'!$E$37:$E$52")),0))))</f>
        <v>14678223.4910415</v>
      </c>
      <c r="AE64" s="137" t="n">
        <f aca="true">IF($G$14="",0,AE63+IF(W64&gt;'General Information'!$D$33,0,IF(W64=0,$J$14,IFERROR(SUMIF(INDIRECT("'"&amp;$G$14&amp;"'!$C$37:$C$52"),W64,INDIRECT("'"&amp;$G$14&amp;"'!$E$37:$E$52")),0))))</f>
        <v>18285230.3337916</v>
      </c>
      <c r="AF64" s="137" t="n">
        <f aca="true">IF($G$15="",0,AF63+IF(W64&gt;'General Information'!$D$33,0,IF(W64=0,$J$15,IFERROR(SUMIF(INDIRECT("'"&amp;$G$15&amp;"'!$C$37:$C$52"),W64,INDIRECT("'"&amp;$G$15&amp;"'!$E$37:$E$52")),0))))</f>
        <v>15266461.1410415</v>
      </c>
      <c r="AG64" s="155" t="n">
        <f aca="true">IF($G$12="",0,IF(W64&gt;'General Information'!$D$33,0,IFERROR(SUMIFS(INDIRECT("'"&amp;$G$12&amp;"'!$D$37:$D$52"),INDIRECT("'"&amp;$G$12&amp;"'!$C$37:$C$52"),W64,INDIRECT("'"&amp;$G$12&amp;"'!$B$37:$B$52"),"*Indirect*")/INDIRECT("'"&amp;$G$12&amp;"'!$F$2"),0)))</f>
        <v>0</v>
      </c>
      <c r="AH64" s="155" t="n">
        <f aca="true">IF($G$13="",0,IF(W64&gt;'General Information'!$D$33,0,IFERROR(SUMIFS(INDIRECT("'"&amp;$G$13&amp;"'!$D$37:$D$52"),INDIRECT("'"&amp;$G$13&amp;"'!$C$37:$C$52"),W64,INDIRECT("'"&amp;$G$13&amp;"'!$B$37:$B$52"),"*Indirect*")/INDIRECT("'"&amp;$G$13&amp;"'!$F$2"),0)))</f>
        <v>0</v>
      </c>
      <c r="AI64" s="155" t="n">
        <f aca="true">IF($G$14="",0,IF(W64&gt;'General Information'!$D$33,0,IFERROR(SUMIFS(INDIRECT("'"&amp;$G$14&amp;"'!$D$37:$D$52"),INDIRECT("'"&amp;$G$14&amp;"'!$C$37:$C$52"),W64,INDIRECT("'"&amp;$G$14&amp;"'!$B$37:$B$52"),"*Indirect*")/INDIRECT("'"&amp;$G$14&amp;"'!$F$2"),0)))</f>
        <v>0</v>
      </c>
      <c r="AJ64" s="155" t="n">
        <f aca="true">IF($G$15="",0,IF(W64&gt;'General Information'!$D$33,0,IFERROR(SUMIFS(INDIRECT("'"&amp;$G$15&amp;"'!$D$37:$D$52"),INDIRECT("'"&amp;$G$15&amp;"'!$C$37:$C$52"),W64,INDIRECT("'"&amp;$G$15&amp;"'!$B$37:$B$52"),"*Indirect*")/INDIRECT("'"&amp;$G$15&amp;"'!$F$2"),0)))</f>
        <v>0</v>
      </c>
    </row>
    <row r="65" customFormat="false" ht="15" hidden="false" customHeight="false" outlineLevel="0" collapsed="false">
      <c r="W65" s="136" t="n">
        <v>24</v>
      </c>
      <c r="X65" s="136" t="n">
        <f aca="false">'General Information'!$D$25+W65</f>
        <v>2051</v>
      </c>
      <c r="Y65" s="137" t="n">
        <f aca="true">IF($G$12="",0,IF(W65&gt;'General Information'!$D$33,0,IF(W65=0,$J$12,IFERROR(SUMIF(INDIRECT("'"&amp;$G$12&amp;"'!$C$37:$C$52"),W65,INDIRECT("'"&amp;$G$12&amp;"'!$D$37:$D$52")),0))))</f>
        <v>586968.977777778</v>
      </c>
      <c r="Z65" s="137" t="n">
        <f aca="true">IF($G$13="",0,IF(W65&gt;'General Information'!$D$33,0,IF(W65=0,$J$13,IFERROR(SUMIF(INDIRECT("'"&amp;$G$13&amp;"'!$C$37:$C$52"),W65,INDIRECT("'"&amp;$G$13&amp;"'!$D$37:$D$52")),0))))</f>
        <v>0</v>
      </c>
      <c r="AA65" s="137" t="n">
        <f aca="true">IF($G$14="",0,IF(W65&gt;'General Information'!$D$33,0,IF(W65=0,$J$14,IFERROR(SUMIF(INDIRECT("'"&amp;$G$14&amp;"'!$C$37:$C$52"),W65,INDIRECT("'"&amp;$G$14&amp;"'!$D$37:$D$52")),0))))</f>
        <v>586968.977777778</v>
      </c>
      <c r="AB65" s="137" t="n">
        <f aca="true">IF($G$15="",0,IF(W65&gt;'General Information'!$D$33,0,IF(W65=0,$J$15,IFERROR(SUMIF(INDIRECT("'"&amp;$G$15&amp;"'!$C$37:$C$52"),W65,INDIRECT("'"&amp;$G$15&amp;"'!$D$37:$D$52")),0))))</f>
        <v>0</v>
      </c>
      <c r="AC65" s="137" t="n">
        <f aca="true">IF($G$12="",0,AC64+IF(W65&gt;'General Information'!$D$33,0,IF(W65=0,$J$12,IFERROR(SUMIF(INDIRECT("'"&amp;$G$12&amp;"'!$C$37:$C$52"),W65,INDIRECT("'"&amp;$G$12&amp;"'!$E$37:$E$52")),0))))</f>
        <v>16274775.9761452</v>
      </c>
      <c r="AD65" s="137" t="n">
        <f aca="true">IF($G$13="",0,AD64+IF(W65&gt;'General Information'!$D$33,0,IF(W65=0,$J$13,IFERROR(SUMIF(INDIRECT("'"&amp;$G$13&amp;"'!$C$37:$C$52"),W65,INDIRECT("'"&amp;$G$13&amp;"'!$E$37:$E$52")),0))))</f>
        <v>14678223.4910415</v>
      </c>
      <c r="AE65" s="137" t="n">
        <f aca="true">IF($G$14="",0,AE64+IF(W65&gt;'General Information'!$D$33,0,IF(W65=0,$J$14,IFERROR(SUMIF(INDIRECT("'"&amp;$G$14&amp;"'!$C$37:$C$52"),W65,INDIRECT("'"&amp;$G$14&amp;"'!$E$37:$E$52")),0))))</f>
        <v>18573980.1761452</v>
      </c>
      <c r="AF65" s="137" t="n">
        <f aca="true">IF($G$15="",0,AF64+IF(W65&gt;'General Information'!$D$33,0,IF(W65=0,$J$15,IFERROR(SUMIF(INDIRECT("'"&amp;$G$15&amp;"'!$C$37:$C$52"),W65,INDIRECT("'"&amp;$G$15&amp;"'!$E$37:$E$52")),0))))</f>
        <v>15266461.1410415</v>
      </c>
      <c r="AG65" s="155" t="n">
        <f aca="true">IF($G$12="",0,IF(W65&gt;'General Information'!$D$33,0,IFERROR(SUMIFS(INDIRECT("'"&amp;$G$12&amp;"'!$D$37:$D$52"),INDIRECT("'"&amp;$G$12&amp;"'!$C$37:$C$52"),W65,INDIRECT("'"&amp;$G$12&amp;"'!$B$37:$B$52"),"*Indirect*")/INDIRECT("'"&amp;$G$12&amp;"'!$F$2"),0)))</f>
        <v>10</v>
      </c>
      <c r="AH65" s="155" t="n">
        <f aca="true">IF($G$13="",0,IF(W65&gt;'General Information'!$D$33,0,IFERROR(SUMIFS(INDIRECT("'"&amp;$G$13&amp;"'!$D$37:$D$52"),INDIRECT("'"&amp;$G$13&amp;"'!$C$37:$C$52"),W65,INDIRECT("'"&amp;$G$13&amp;"'!$B$37:$B$52"),"*Indirect*")/INDIRECT("'"&amp;$G$13&amp;"'!$F$2"),0)))</f>
        <v>0</v>
      </c>
      <c r="AI65" s="155" t="n">
        <f aca="true">IF($G$14="",0,IF(W65&gt;'General Information'!$D$33,0,IFERROR(SUMIFS(INDIRECT("'"&amp;$G$14&amp;"'!$D$37:$D$52"),INDIRECT("'"&amp;$G$14&amp;"'!$C$37:$C$52"),W65,INDIRECT("'"&amp;$G$14&amp;"'!$B$37:$B$52"),"*Indirect*")/INDIRECT("'"&amp;$G$14&amp;"'!$F$2"),0)))</f>
        <v>10</v>
      </c>
      <c r="AJ65" s="155" t="n">
        <f aca="true">IF($G$15="",0,IF(W65&gt;'General Information'!$D$33,0,IFERROR(SUMIFS(INDIRECT("'"&amp;$G$15&amp;"'!$D$37:$D$52"),INDIRECT("'"&amp;$G$15&amp;"'!$C$37:$C$52"),W65,INDIRECT("'"&amp;$G$15&amp;"'!$B$37:$B$52"),"*Indirect*")/INDIRECT("'"&amp;$G$15&amp;"'!$F$2"),0)))</f>
        <v>0</v>
      </c>
    </row>
    <row r="66" customFormat="false" ht="15" hidden="false" customHeight="false" outlineLevel="0" collapsed="false">
      <c r="W66" s="136" t="n">
        <v>25</v>
      </c>
      <c r="X66" s="136" t="n">
        <f aca="false">'General Information'!$D$25+W66</f>
        <v>2052</v>
      </c>
      <c r="Y66" s="137" t="n">
        <f aca="true">IF($G$12="",0,IF(W66&gt;'General Information'!$D$33,0,IF(W66=0,$J$12,IFERROR(SUMIF(INDIRECT("'"&amp;$G$12&amp;"'!$C$37:$C$52"),W66,INDIRECT("'"&amp;$G$12&amp;"'!$D$37:$D$52")),0))))</f>
        <v>0</v>
      </c>
      <c r="Z66" s="137" t="n">
        <f aca="true">IF($G$13="",0,IF(W66&gt;'General Information'!$D$33,0,IF(W66=0,$J$13,IFERROR(SUMIF(INDIRECT("'"&amp;$G$13&amp;"'!$C$37:$C$52"),W66,INDIRECT("'"&amp;$G$13&amp;"'!$D$37:$D$52")),0))))</f>
        <v>0</v>
      </c>
      <c r="AA66" s="137" t="n">
        <f aca="true">IF($G$14="",0,IF(W66&gt;'General Information'!$D$33,0,IF(W66=0,$J$14,IFERROR(SUMIF(INDIRECT("'"&amp;$G$14&amp;"'!$C$37:$C$52"),W66,INDIRECT("'"&amp;$G$14&amp;"'!$D$37:$D$52")),0))))</f>
        <v>0</v>
      </c>
      <c r="AB66" s="137" t="n">
        <f aca="true">IF($G$15="",0,IF(W66&gt;'General Information'!$D$33,0,IF(W66=0,$J$15,IFERROR(SUMIF(INDIRECT("'"&amp;$G$15&amp;"'!$C$37:$C$52"),W66,INDIRECT("'"&amp;$G$15&amp;"'!$D$37:$D$52")),0))))</f>
        <v>0</v>
      </c>
      <c r="AC66" s="137" t="n">
        <f aca="true">IF($G$12="",0,AC65+IF(W66&gt;'General Information'!$D$33,0,IF(W66=0,$J$12,IFERROR(SUMIF(INDIRECT("'"&amp;$G$12&amp;"'!$C$37:$C$52"),W66,INDIRECT("'"&amp;$G$12&amp;"'!$E$37:$E$52")),0))))</f>
        <v>16274775.9761452</v>
      </c>
      <c r="AD66" s="137" t="n">
        <f aca="true">IF($G$13="",0,AD65+IF(W66&gt;'General Information'!$D$33,0,IF(W66=0,$J$13,IFERROR(SUMIF(INDIRECT("'"&amp;$G$13&amp;"'!$C$37:$C$52"),W66,INDIRECT("'"&amp;$G$13&amp;"'!$E$37:$E$52")),0))))</f>
        <v>14678223.4910415</v>
      </c>
      <c r="AE66" s="137" t="n">
        <f aca="true">IF($G$14="",0,AE65+IF(W66&gt;'General Information'!$D$33,0,IF(W66=0,$J$14,IFERROR(SUMIF(INDIRECT("'"&amp;$G$14&amp;"'!$C$37:$C$52"),W66,INDIRECT("'"&amp;$G$14&amp;"'!$E$37:$E$52")),0))))</f>
        <v>18573980.1761452</v>
      </c>
      <c r="AF66" s="137" t="n">
        <f aca="true">IF($G$15="",0,AF65+IF(W66&gt;'General Information'!$D$33,0,IF(W66=0,$J$15,IFERROR(SUMIF(INDIRECT("'"&amp;$G$15&amp;"'!$C$37:$C$52"),W66,INDIRECT("'"&amp;$G$15&amp;"'!$E$37:$E$52")),0))))</f>
        <v>15266461.1410415</v>
      </c>
      <c r="AG66" s="155" t="n">
        <f aca="true">IF($G$12="",0,IF(W66&gt;'General Information'!$D$33,0,IFERROR(SUMIFS(INDIRECT("'"&amp;$G$12&amp;"'!$D$37:$D$52"),INDIRECT("'"&amp;$G$12&amp;"'!$C$37:$C$52"),W66,INDIRECT("'"&amp;$G$12&amp;"'!$B$37:$B$52"),"*Indirect*")/INDIRECT("'"&amp;$G$12&amp;"'!$F$2"),0)))</f>
        <v>0</v>
      </c>
      <c r="AH66" s="155" t="n">
        <f aca="true">IF($G$13="",0,IF(W66&gt;'General Information'!$D$33,0,IFERROR(SUMIFS(INDIRECT("'"&amp;$G$13&amp;"'!$D$37:$D$52"),INDIRECT("'"&amp;$G$13&amp;"'!$C$37:$C$52"),W66,INDIRECT("'"&amp;$G$13&amp;"'!$B$37:$B$52"),"*Indirect*")/INDIRECT("'"&amp;$G$13&amp;"'!$F$2"),0)))</f>
        <v>0</v>
      </c>
      <c r="AI66" s="155" t="n">
        <f aca="true">IF($G$14="",0,IF(W66&gt;'General Information'!$D$33,0,IFERROR(SUMIFS(INDIRECT("'"&amp;$G$14&amp;"'!$D$37:$D$52"),INDIRECT("'"&amp;$G$14&amp;"'!$C$37:$C$52"),W66,INDIRECT("'"&amp;$G$14&amp;"'!$B$37:$B$52"),"*Indirect*")/INDIRECT("'"&amp;$G$14&amp;"'!$F$2"),0)))</f>
        <v>0</v>
      </c>
      <c r="AJ66" s="155" t="n">
        <f aca="true">IF($G$15="",0,IF(W66&gt;'General Information'!$D$33,0,IFERROR(SUMIFS(INDIRECT("'"&amp;$G$15&amp;"'!$D$37:$D$52"),INDIRECT("'"&amp;$G$15&amp;"'!$C$37:$C$52"),W66,INDIRECT("'"&amp;$G$15&amp;"'!$B$37:$B$52"),"*Indirect*")/INDIRECT("'"&amp;$G$15&amp;"'!$F$2"),0)))</f>
        <v>0</v>
      </c>
    </row>
    <row r="67" customFormat="false" ht="15" hidden="false" customHeight="false" outlineLevel="0" collapsed="false">
      <c r="W67" s="136" t="n">
        <v>26</v>
      </c>
      <c r="X67" s="136" t="n">
        <f aca="false">'General Information'!$D$25+W67</f>
        <v>2053</v>
      </c>
      <c r="Y67" s="137" t="n">
        <f aca="true">IF($G$12="",0,IF(W67&gt;'General Information'!$D$33,0,IF(W67=0,$J$12,IFERROR(SUMIF(INDIRECT("'"&amp;$G$12&amp;"'!$C$37:$C$52"),W67,INDIRECT("'"&amp;$G$12&amp;"'!$D$37:$D$52")),0))))</f>
        <v>0</v>
      </c>
      <c r="Z67" s="137" t="n">
        <f aca="true">IF($G$13="",0,IF(W67&gt;'General Information'!$D$33,0,IF(W67=0,$J$13,IFERROR(SUMIF(INDIRECT("'"&amp;$G$13&amp;"'!$C$37:$C$52"),W67,INDIRECT("'"&amp;$G$13&amp;"'!$D$37:$D$52")),0))))</f>
        <v>0</v>
      </c>
      <c r="AA67" s="137" t="n">
        <f aca="true">IF($G$14="",0,IF(W67&gt;'General Information'!$D$33,0,IF(W67=0,$J$14,IFERROR(SUMIF(INDIRECT("'"&amp;$G$14&amp;"'!$C$37:$C$52"),W67,INDIRECT("'"&amp;$G$14&amp;"'!$D$37:$D$52")),0))))</f>
        <v>0</v>
      </c>
      <c r="AB67" s="137" t="n">
        <f aca="true">IF($G$15="",0,IF(W67&gt;'General Information'!$D$33,0,IF(W67=0,$J$15,IFERROR(SUMIF(INDIRECT("'"&amp;$G$15&amp;"'!$C$37:$C$52"),W67,INDIRECT("'"&amp;$G$15&amp;"'!$D$37:$D$52")),0))))</f>
        <v>0</v>
      </c>
      <c r="AC67" s="137" t="n">
        <f aca="true">IF($G$12="",0,AC66+IF(W67&gt;'General Information'!$D$33,0,IF(W67=0,$J$12,IFERROR(SUMIF(INDIRECT("'"&amp;$G$12&amp;"'!$C$37:$C$52"),W67,INDIRECT("'"&amp;$G$12&amp;"'!$E$37:$E$52")),0))))</f>
        <v>16274775.9761452</v>
      </c>
      <c r="AD67" s="137" t="n">
        <f aca="true">IF($G$13="",0,AD66+IF(W67&gt;'General Information'!$D$33,0,IF(W67=0,$J$13,IFERROR(SUMIF(INDIRECT("'"&amp;$G$13&amp;"'!$C$37:$C$52"),W67,INDIRECT("'"&amp;$G$13&amp;"'!$E$37:$E$52")),0))))</f>
        <v>14678223.4910415</v>
      </c>
      <c r="AE67" s="137" t="n">
        <f aca="true">IF($G$14="",0,AE66+IF(W67&gt;'General Information'!$D$33,0,IF(W67=0,$J$14,IFERROR(SUMIF(INDIRECT("'"&amp;$G$14&amp;"'!$C$37:$C$52"),W67,INDIRECT("'"&amp;$G$14&amp;"'!$E$37:$E$52")),0))))</f>
        <v>18573980.1761452</v>
      </c>
      <c r="AF67" s="137" t="n">
        <f aca="true">IF($G$15="",0,AF66+IF(W67&gt;'General Information'!$D$33,0,IF(W67=0,$J$15,IFERROR(SUMIF(INDIRECT("'"&amp;$G$15&amp;"'!$C$37:$C$52"),W67,INDIRECT("'"&amp;$G$15&amp;"'!$E$37:$E$52")),0))))</f>
        <v>15266461.1410415</v>
      </c>
      <c r="AG67" s="155" t="n">
        <f aca="true">IF($G$12="",0,IF(W67&gt;'General Information'!$D$33,0,IFERROR(SUMIFS(INDIRECT("'"&amp;$G$12&amp;"'!$D$37:$D$52"),INDIRECT("'"&amp;$G$12&amp;"'!$C$37:$C$52"),W67,INDIRECT("'"&amp;$G$12&amp;"'!$B$37:$B$52"),"*Indirect*")/INDIRECT("'"&amp;$G$12&amp;"'!$F$2"),0)))</f>
        <v>0</v>
      </c>
      <c r="AH67" s="155" t="n">
        <f aca="true">IF($G$13="",0,IF(W67&gt;'General Information'!$D$33,0,IFERROR(SUMIFS(INDIRECT("'"&amp;$G$13&amp;"'!$D$37:$D$52"),INDIRECT("'"&amp;$G$13&amp;"'!$C$37:$C$52"),W67,INDIRECT("'"&amp;$G$13&amp;"'!$B$37:$B$52"),"*Indirect*")/INDIRECT("'"&amp;$G$13&amp;"'!$F$2"),0)))</f>
        <v>0</v>
      </c>
      <c r="AI67" s="155" t="n">
        <f aca="true">IF($G$14="",0,IF(W67&gt;'General Information'!$D$33,0,IFERROR(SUMIFS(INDIRECT("'"&amp;$G$14&amp;"'!$D$37:$D$52"),INDIRECT("'"&amp;$G$14&amp;"'!$C$37:$C$52"),W67,INDIRECT("'"&amp;$G$14&amp;"'!$B$37:$B$52"),"*Indirect*")/INDIRECT("'"&amp;$G$14&amp;"'!$F$2"),0)))</f>
        <v>0</v>
      </c>
      <c r="AJ67" s="155" t="n">
        <f aca="true">IF($G$15="",0,IF(W67&gt;'General Information'!$D$33,0,IFERROR(SUMIFS(INDIRECT("'"&amp;$G$15&amp;"'!$D$37:$D$52"),INDIRECT("'"&amp;$G$15&amp;"'!$C$37:$C$52"),W67,INDIRECT("'"&amp;$G$15&amp;"'!$B$37:$B$52"),"*Indirect*")/INDIRECT("'"&amp;$G$15&amp;"'!$F$2"),0)))</f>
        <v>0</v>
      </c>
    </row>
    <row r="68" customFormat="false" ht="15" hidden="false" customHeight="false" outlineLevel="0" collapsed="false">
      <c r="W68" s="136" t="n">
        <v>27</v>
      </c>
      <c r="X68" s="136" t="n">
        <f aca="false">'General Information'!$D$25+W68</f>
        <v>2054</v>
      </c>
      <c r="Y68" s="137" t="n">
        <f aca="true">IF($G$12="",0,IF(W68&gt;'General Information'!$D$33,0,IF(W68=0,$J$12,IFERROR(SUMIF(INDIRECT("'"&amp;$G$12&amp;"'!$C$37:$C$52"),W68,INDIRECT("'"&amp;$G$12&amp;"'!$D$37:$D$52")),0))))</f>
        <v>0</v>
      </c>
      <c r="Z68" s="137" t="n">
        <f aca="true">IF($G$13="",0,IF(W68&gt;'General Information'!$D$33,0,IF(W68=0,$J$13,IFERROR(SUMIF(INDIRECT("'"&amp;$G$13&amp;"'!$C$37:$C$52"),W68,INDIRECT("'"&amp;$G$13&amp;"'!$D$37:$D$52")),0))))</f>
        <v>1805591.7746</v>
      </c>
      <c r="AA68" s="137" t="n">
        <f aca="true">IF($G$14="",0,IF(W68&gt;'General Information'!$D$33,0,IF(W68=0,$J$14,IFERROR(SUMIF(INDIRECT("'"&amp;$G$14&amp;"'!$C$37:$C$52"),W68,INDIRECT("'"&amp;$G$14&amp;"'!$D$37:$D$52")),0))))</f>
        <v>0</v>
      </c>
      <c r="AB68" s="137" t="n">
        <f aca="true">IF($G$15="",0,IF(W68&gt;'General Information'!$D$33,0,IF(W68=0,$J$15,IFERROR(SUMIF(INDIRECT("'"&amp;$G$15&amp;"'!$C$37:$C$52"),W68,INDIRECT("'"&amp;$G$15&amp;"'!$D$37:$D$52")),0))))</f>
        <v>1805591.7746</v>
      </c>
      <c r="AC68" s="137" t="n">
        <f aca="true">IF($G$12="",0,AC67+IF(W68&gt;'General Information'!$D$33,0,IF(W68=0,$J$12,IFERROR(SUMIF(INDIRECT("'"&amp;$G$12&amp;"'!$C$37:$C$52"),W68,INDIRECT("'"&amp;$G$12&amp;"'!$E$37:$E$52")),0))))</f>
        <v>16274775.9761452</v>
      </c>
      <c r="AD68" s="137" t="n">
        <f aca="true">IF($G$13="",0,AD67+IF(W68&gt;'General Information'!$D$33,0,IF(W68=0,$J$13,IFERROR(SUMIF(INDIRECT("'"&amp;$G$13&amp;"'!$C$37:$C$52"),W68,INDIRECT("'"&amp;$G$13&amp;"'!$E$37:$E$52")),0))))</f>
        <v>15491081.1471467</v>
      </c>
      <c r="AE68" s="137" t="n">
        <f aca="true">IF($G$14="",0,AE67+IF(W68&gt;'General Information'!$D$33,0,IF(W68=0,$J$14,IFERROR(SUMIF(INDIRECT("'"&amp;$G$14&amp;"'!$C$37:$C$52"),W68,INDIRECT("'"&amp;$G$14&amp;"'!$E$37:$E$52")),0))))</f>
        <v>18573980.1761452</v>
      </c>
      <c r="AF68" s="137" t="n">
        <f aca="true">IF($G$15="",0,AF67+IF(W68&gt;'General Information'!$D$33,0,IF(W68=0,$J$15,IFERROR(SUMIF(INDIRECT("'"&amp;$G$15&amp;"'!$C$37:$C$52"),W68,INDIRECT("'"&amp;$G$15&amp;"'!$E$37:$E$52")),0))))</f>
        <v>16079318.7971467</v>
      </c>
      <c r="AG68" s="155" t="n">
        <f aca="true">IF($G$12="",0,IF(W68&gt;'General Information'!$D$33,0,IFERROR(SUMIFS(INDIRECT("'"&amp;$G$12&amp;"'!$D$37:$D$52"),INDIRECT("'"&amp;$G$12&amp;"'!$C$37:$C$52"),W68,INDIRECT("'"&amp;$G$12&amp;"'!$B$37:$B$52"),"*Indirect*")/INDIRECT("'"&amp;$G$12&amp;"'!$F$2"),0)))</f>
        <v>0</v>
      </c>
      <c r="AH68" s="155" t="n">
        <f aca="true">IF($G$13="",0,IF(W68&gt;'General Information'!$D$33,0,IFERROR(SUMIFS(INDIRECT("'"&amp;$G$13&amp;"'!$D$37:$D$52"),INDIRECT("'"&amp;$G$13&amp;"'!$C$37:$C$52"),W68,INDIRECT("'"&amp;$G$13&amp;"'!$B$37:$B$52"),"*Indirect*")/INDIRECT("'"&amp;$G$13&amp;"'!$F$2"),0)))</f>
        <v>23</v>
      </c>
      <c r="AI68" s="155" t="n">
        <f aca="true">IF($G$14="",0,IF(W68&gt;'General Information'!$D$33,0,IFERROR(SUMIFS(INDIRECT("'"&amp;$G$14&amp;"'!$D$37:$D$52"),INDIRECT("'"&amp;$G$14&amp;"'!$C$37:$C$52"),W68,INDIRECT("'"&amp;$G$14&amp;"'!$B$37:$B$52"),"*Indirect*")/INDIRECT("'"&amp;$G$14&amp;"'!$F$2"),0)))</f>
        <v>0</v>
      </c>
      <c r="AJ68" s="155" t="n">
        <f aca="true">IF($G$15="",0,IF(W68&gt;'General Information'!$D$33,0,IFERROR(SUMIFS(INDIRECT("'"&amp;$G$15&amp;"'!$D$37:$D$52"),INDIRECT("'"&amp;$G$15&amp;"'!$C$37:$C$52"),W68,INDIRECT("'"&amp;$G$15&amp;"'!$B$37:$B$52"),"*Indirect*")/INDIRECT("'"&amp;$G$15&amp;"'!$F$2"),0)))</f>
        <v>23</v>
      </c>
    </row>
    <row r="69" customFormat="false" ht="15" hidden="false" customHeight="false" outlineLevel="0" collapsed="false">
      <c r="W69" s="136" t="n">
        <v>28</v>
      </c>
      <c r="X69" s="136" t="n">
        <f aca="false">'General Information'!$D$25+W69</f>
        <v>2055</v>
      </c>
      <c r="Y69" s="137" t="n">
        <f aca="true">IF($G$12="",0,IF(W69&gt;'General Information'!$D$33,0,IF(W69=0,$J$12,IFERROR(SUMIF(INDIRECT("'"&amp;$G$12&amp;"'!$C$37:$C$52"),W69,INDIRECT("'"&amp;$G$12&amp;"'!$D$37:$D$52")),0))))</f>
        <v>879778.329840278</v>
      </c>
      <c r="Z69" s="137" t="n">
        <f aca="true">IF($G$13="",0,IF(W69&gt;'General Information'!$D$33,0,IF(W69=0,$J$13,IFERROR(SUMIF(INDIRECT("'"&amp;$G$13&amp;"'!$C$37:$C$52"),W69,INDIRECT("'"&amp;$G$13&amp;"'!$D$37:$D$52")),0))))</f>
        <v>0</v>
      </c>
      <c r="AA69" s="137" t="n">
        <f aca="true">IF($G$14="",0,IF(W69&gt;'General Information'!$D$33,0,IF(W69=0,$J$14,IFERROR(SUMIF(INDIRECT("'"&amp;$G$14&amp;"'!$C$37:$C$52"),W69,INDIRECT("'"&amp;$G$14&amp;"'!$D$37:$D$52")),0))))</f>
        <v>879778.329840278</v>
      </c>
      <c r="AB69" s="137" t="n">
        <f aca="true">IF($G$15="",0,IF(W69&gt;'General Information'!$D$33,0,IF(W69=0,$J$15,IFERROR(SUMIF(INDIRECT("'"&amp;$G$15&amp;"'!$C$37:$C$52"),W69,INDIRECT("'"&amp;$G$15&amp;"'!$D$37:$D$52")),0))))</f>
        <v>0</v>
      </c>
      <c r="AC69" s="137" t="n">
        <f aca="true">IF($G$12="",0,AC68+IF(W69&gt;'General Information'!$D$33,0,IF(W69=0,$J$12,IFERROR(SUMIF(INDIRECT("'"&amp;$G$12&amp;"'!$C$37:$C$52"),W69,INDIRECT("'"&amp;$G$12&amp;"'!$E$37:$E$52")),0))))</f>
        <v>16659306.6320615</v>
      </c>
      <c r="AD69" s="137" t="n">
        <f aca="true">IF($G$13="",0,AD68+IF(W69&gt;'General Information'!$D$33,0,IF(W69=0,$J$13,IFERROR(SUMIF(INDIRECT("'"&amp;$G$13&amp;"'!$C$37:$C$52"),W69,INDIRECT("'"&amp;$G$13&amp;"'!$E$37:$E$52")),0))))</f>
        <v>15491081.1471467</v>
      </c>
      <c r="AE69" s="137" t="n">
        <f aca="true">IF($G$14="",0,AE68+IF(W69&gt;'General Information'!$D$33,0,IF(W69=0,$J$14,IFERROR(SUMIF(INDIRECT("'"&amp;$G$14&amp;"'!$C$37:$C$52"),W69,INDIRECT("'"&amp;$G$14&amp;"'!$E$37:$E$52")),0))))</f>
        <v>18958510.8320615</v>
      </c>
      <c r="AF69" s="137" t="n">
        <f aca="true">IF($G$15="",0,AF68+IF(W69&gt;'General Information'!$D$33,0,IF(W69=0,$J$15,IFERROR(SUMIF(INDIRECT("'"&amp;$G$15&amp;"'!$C$37:$C$52"),W69,INDIRECT("'"&amp;$G$15&amp;"'!$E$37:$E$52")),0))))</f>
        <v>16079318.7971467</v>
      </c>
      <c r="AG69" s="155" t="n">
        <f aca="true">IF($G$12="",0,IF(W69&gt;'General Information'!$D$33,0,IFERROR(SUMIFS(INDIRECT("'"&amp;$G$12&amp;"'!$D$37:$D$52"),INDIRECT("'"&amp;$G$12&amp;"'!$C$37:$C$52"),W69,INDIRECT("'"&amp;$G$12&amp;"'!$B$37:$B$52"),"*Indirect*")/INDIRECT("'"&amp;$G$12&amp;"'!$F$2"),0)))</f>
        <v>12</v>
      </c>
      <c r="AH69" s="155" t="n">
        <f aca="true">IF($G$13="",0,IF(W69&gt;'General Information'!$D$33,0,IFERROR(SUMIFS(INDIRECT("'"&amp;$G$13&amp;"'!$D$37:$D$52"),INDIRECT("'"&amp;$G$13&amp;"'!$C$37:$C$52"),W69,INDIRECT("'"&amp;$G$13&amp;"'!$B$37:$B$52"),"*Indirect*")/INDIRECT("'"&amp;$G$13&amp;"'!$F$2"),0)))</f>
        <v>0</v>
      </c>
      <c r="AI69" s="155" t="n">
        <f aca="true">IF($G$14="",0,IF(W69&gt;'General Information'!$D$33,0,IFERROR(SUMIFS(INDIRECT("'"&amp;$G$14&amp;"'!$D$37:$D$52"),INDIRECT("'"&amp;$G$14&amp;"'!$C$37:$C$52"),W69,INDIRECT("'"&amp;$G$14&amp;"'!$B$37:$B$52"),"*Indirect*")/INDIRECT("'"&amp;$G$14&amp;"'!$F$2"),0)))</f>
        <v>12</v>
      </c>
      <c r="AJ69" s="155" t="n">
        <f aca="true">IF($G$15="",0,IF(W69&gt;'General Information'!$D$33,0,IFERROR(SUMIFS(INDIRECT("'"&amp;$G$15&amp;"'!$D$37:$D$52"),INDIRECT("'"&amp;$G$15&amp;"'!$C$37:$C$52"),W69,INDIRECT("'"&amp;$G$15&amp;"'!$B$37:$B$52"),"*Indirect*")/INDIRECT("'"&amp;$G$15&amp;"'!$F$2"),0)))</f>
        <v>0</v>
      </c>
    </row>
    <row r="70" customFormat="false" ht="15" hidden="false" customHeight="false" outlineLevel="0" collapsed="false">
      <c r="W70" s="136" t="n">
        <v>29</v>
      </c>
      <c r="X70" s="136" t="n">
        <f aca="false">'General Information'!$D$25+W70</f>
        <v>2056</v>
      </c>
      <c r="Y70" s="137" t="n">
        <f aca="true">IF($G$12="",0,IF(W70&gt;'General Information'!$D$33,0,IF(W70=0,$J$12,IFERROR(SUMIF(INDIRECT("'"&amp;$G$12&amp;"'!$C$37:$C$52"),W70,INDIRECT("'"&amp;$G$12&amp;"'!$D$37:$D$52")),0))))</f>
        <v>0</v>
      </c>
      <c r="Z70" s="137" t="n">
        <f aca="true">IF($G$13="",0,IF(W70&gt;'General Information'!$D$33,0,IF(W70=0,$J$13,IFERROR(SUMIF(INDIRECT("'"&amp;$G$13&amp;"'!$C$37:$C$52"),W70,INDIRECT("'"&amp;$G$13&amp;"'!$D$37:$D$52")),0))))</f>
        <v>0</v>
      </c>
      <c r="AA70" s="137" t="n">
        <f aca="true">IF($G$14="",0,IF(W70&gt;'General Information'!$D$33,0,IF(W70=0,$J$14,IFERROR(SUMIF(INDIRECT("'"&amp;$G$14&amp;"'!$C$37:$C$52"),W70,INDIRECT("'"&amp;$G$14&amp;"'!$D$37:$D$52")),0))))</f>
        <v>0</v>
      </c>
      <c r="AB70" s="137" t="n">
        <f aca="true">IF($G$15="",0,IF(W70&gt;'General Information'!$D$33,0,IF(W70=0,$J$15,IFERROR(SUMIF(INDIRECT("'"&amp;$G$15&amp;"'!$C$37:$C$52"),W70,INDIRECT("'"&amp;$G$15&amp;"'!$D$37:$D$52")),0))))</f>
        <v>0</v>
      </c>
      <c r="AC70" s="137" t="n">
        <f aca="true">IF($G$12="",0,AC69+IF(W70&gt;'General Information'!$D$33,0,IF(W70=0,$J$12,IFERROR(SUMIF(INDIRECT("'"&amp;$G$12&amp;"'!$C$37:$C$52"),W70,INDIRECT("'"&amp;$G$12&amp;"'!$E$37:$E$52")),0))))</f>
        <v>16659306.6320615</v>
      </c>
      <c r="AD70" s="137" t="n">
        <f aca="true">IF($G$13="",0,AD69+IF(W70&gt;'General Information'!$D$33,0,IF(W70=0,$J$13,IFERROR(SUMIF(INDIRECT("'"&amp;$G$13&amp;"'!$C$37:$C$52"),W70,INDIRECT("'"&amp;$G$13&amp;"'!$E$37:$E$52")),0))))</f>
        <v>15491081.1471467</v>
      </c>
      <c r="AE70" s="137" t="n">
        <f aca="true">IF($G$14="",0,AE69+IF(W70&gt;'General Information'!$D$33,0,IF(W70=0,$J$14,IFERROR(SUMIF(INDIRECT("'"&amp;$G$14&amp;"'!$C$37:$C$52"),W70,INDIRECT("'"&amp;$G$14&amp;"'!$E$37:$E$52")),0))))</f>
        <v>18958510.8320615</v>
      </c>
      <c r="AF70" s="137" t="n">
        <f aca="true">IF($G$15="",0,AF69+IF(W70&gt;'General Information'!$D$33,0,IF(W70=0,$J$15,IFERROR(SUMIF(INDIRECT("'"&amp;$G$15&amp;"'!$C$37:$C$52"),W70,INDIRECT("'"&amp;$G$15&amp;"'!$E$37:$E$52")),0))))</f>
        <v>16079318.7971467</v>
      </c>
      <c r="AG70" s="155" t="n">
        <f aca="true">IF($G$12="",0,IF(W70&gt;'General Information'!$D$33,0,IFERROR(SUMIFS(INDIRECT("'"&amp;$G$12&amp;"'!$D$37:$D$52"),INDIRECT("'"&amp;$G$12&amp;"'!$C$37:$C$52"),W70,INDIRECT("'"&amp;$G$12&amp;"'!$B$37:$B$52"),"*Indirect*")/INDIRECT("'"&amp;$G$12&amp;"'!$F$2"),0)))</f>
        <v>0</v>
      </c>
      <c r="AH70" s="155" t="n">
        <f aca="true">IF($G$13="",0,IF(W70&gt;'General Information'!$D$33,0,IFERROR(SUMIFS(INDIRECT("'"&amp;$G$13&amp;"'!$D$37:$D$52"),INDIRECT("'"&amp;$G$13&amp;"'!$C$37:$C$52"),W70,INDIRECT("'"&amp;$G$13&amp;"'!$B$37:$B$52"),"*Indirect*")/INDIRECT("'"&amp;$G$13&amp;"'!$F$2"),0)))</f>
        <v>0</v>
      </c>
      <c r="AI70" s="155" t="n">
        <f aca="true">IF($G$14="",0,IF(W70&gt;'General Information'!$D$33,0,IFERROR(SUMIFS(INDIRECT("'"&amp;$G$14&amp;"'!$D$37:$D$52"),INDIRECT("'"&amp;$G$14&amp;"'!$C$37:$C$52"),W70,INDIRECT("'"&amp;$G$14&amp;"'!$B$37:$B$52"),"*Indirect*")/INDIRECT("'"&amp;$G$14&amp;"'!$F$2"),0)))</f>
        <v>0</v>
      </c>
      <c r="AJ70" s="155" t="n">
        <f aca="true">IF($G$15="",0,IF(W70&gt;'General Information'!$D$33,0,IFERROR(SUMIFS(INDIRECT("'"&amp;$G$15&amp;"'!$D$37:$D$52"),INDIRECT("'"&amp;$G$15&amp;"'!$C$37:$C$52"),W70,INDIRECT("'"&amp;$G$15&amp;"'!$B$37:$B$52"),"*Indirect*")/INDIRECT("'"&amp;$G$15&amp;"'!$F$2"),0)))</f>
        <v>0</v>
      </c>
    </row>
    <row r="71" customFormat="false" ht="15" hidden="false" customHeight="false" outlineLevel="0" collapsed="false">
      <c r="W71" s="136" t="n">
        <v>30</v>
      </c>
      <c r="X71" s="136" t="n">
        <f aca="false">'General Information'!$D$25+W71</f>
        <v>2057</v>
      </c>
      <c r="Y71" s="137" t="n">
        <f aca="true">IF($G$12="",0,IF(W71&gt;'General Information'!$D$33,0,IF(W71=0,$J$12,IFERROR(SUMIF(INDIRECT("'"&amp;$G$12&amp;"'!$C$37:$C$52"),W71,INDIRECT("'"&amp;$G$12&amp;"'!$D$37:$D$52")),0))))</f>
        <v>-318512.680223958</v>
      </c>
      <c r="Z71" s="137" t="n">
        <f aca="true">IF($G$13="",0,IF(W71&gt;'General Information'!$D$33,0,IF(W71=0,$J$13,IFERROR(SUMIF(INDIRECT("'"&amp;$G$13&amp;"'!$C$37:$C$52"),W71,INDIRECT("'"&amp;$G$13&amp;"'!$D$37:$D$52")),0))))</f>
        <v>-3457666.37916667</v>
      </c>
      <c r="AA71" s="137" t="n">
        <f aca="true">IF($G$14="",0,IF(W71&gt;'General Information'!$D$33,0,IF(W71=0,$J$14,IFERROR(SUMIF(INDIRECT("'"&amp;$G$14&amp;"'!$C$37:$C$52"),W71,INDIRECT("'"&amp;$G$14&amp;"'!$D$37:$D$52")),0))))</f>
        <v>-318512.680223958</v>
      </c>
      <c r="AB71" s="137" t="n">
        <f aca="true">IF($G$15="",0,IF(W71&gt;'General Information'!$D$33,0,IF(W71=0,$J$15,IFERROR(SUMIF(INDIRECT("'"&amp;$G$15&amp;"'!$C$37:$C$52"),W71,INDIRECT("'"&amp;$G$15&amp;"'!$D$37:$D$52")),0))))</f>
        <v>-3604725.79166667</v>
      </c>
      <c r="AC71" s="137" t="n">
        <f aca="true">IF($G$12="",0,AC70+IF(W71&gt;'General Information'!$D$33,0,IF(W71=0,$J$12,IFERROR(SUMIF(INDIRECT("'"&amp;$G$12&amp;"'!$C$37:$C$52"),W71,INDIRECT("'"&amp;$G$12&amp;"'!$E$37:$E$52")),0))))</f>
        <v>16528083.6250713</v>
      </c>
      <c r="AD71" s="137" t="n">
        <f aca="true">IF($G$13="",0,AD70+IF(W71&gt;'General Information'!$D$33,0,IF(W71=0,$J$13,IFERROR(SUMIF(INDIRECT("'"&amp;$G$13&amp;"'!$C$37:$C$52"),W71,INDIRECT("'"&amp;$G$13&amp;"'!$E$37:$E$52")),0))))</f>
        <v>14066568.3801067</v>
      </c>
      <c r="AE71" s="137" t="n">
        <f aca="true">IF($G$14="",0,AE70+IF(W71&gt;'General Information'!$D$33,0,IF(W71=0,$J$14,IFERROR(SUMIF(INDIRECT("'"&amp;$G$14&amp;"'!$C$37:$C$52"),W71,INDIRECT("'"&amp;$G$14&amp;"'!$E$37:$E$52")),0))))</f>
        <v>18827287.8250713</v>
      </c>
      <c r="AF71" s="137" t="n">
        <f aca="true">IF($G$15="",0,AF70+IF(W71&gt;'General Information'!$D$33,0,IF(W71=0,$J$15,IFERROR(SUMIF(INDIRECT("'"&amp;$G$15&amp;"'!$C$37:$C$52"),W71,INDIRECT("'"&amp;$G$15&amp;"'!$E$37:$E$52")),0))))</f>
        <v>14594219.4992945</v>
      </c>
      <c r="AG71" s="155" t="n">
        <f aca="true">IF($G$12="",0,IF(W71&gt;'General Information'!$D$33,0,IFERROR(SUMIFS(INDIRECT("'"&amp;$G$12&amp;"'!$D$37:$D$52"),INDIRECT("'"&amp;$G$12&amp;"'!$C$37:$C$52"),W71,INDIRECT("'"&amp;$G$12&amp;"'!$B$37:$B$52"),"*Indirect*")/INDIRECT("'"&amp;$G$12&amp;"'!$F$2"),0)))</f>
        <v>0</v>
      </c>
      <c r="AH71" s="155" t="n">
        <f aca="true">IF($G$13="",0,IF(W71&gt;'General Information'!$D$33,0,IFERROR(SUMIFS(INDIRECT("'"&amp;$G$13&amp;"'!$D$37:$D$52"),INDIRECT("'"&amp;$G$13&amp;"'!$C$37:$C$52"),W71,INDIRECT("'"&amp;$G$13&amp;"'!$B$37:$B$52"),"*Indirect*")/INDIRECT("'"&amp;$G$13&amp;"'!$F$2"),0)))</f>
        <v>0</v>
      </c>
      <c r="AI71" s="155" t="n">
        <f aca="true">IF($G$14="",0,IF(W71&gt;'General Information'!$D$33,0,IFERROR(SUMIFS(INDIRECT("'"&amp;$G$14&amp;"'!$D$37:$D$52"),INDIRECT("'"&amp;$G$14&amp;"'!$C$37:$C$52"),W71,INDIRECT("'"&amp;$G$14&amp;"'!$B$37:$B$52"),"*Indirect*")/INDIRECT("'"&amp;$G$14&amp;"'!$F$2"),0)))</f>
        <v>0</v>
      </c>
      <c r="AJ71" s="155" t="n">
        <f aca="true">IF($G$15="",0,IF(W71&gt;'General Information'!$D$33,0,IFERROR(SUMIFS(INDIRECT("'"&amp;$G$15&amp;"'!$D$37:$D$52"),INDIRECT("'"&amp;$G$15&amp;"'!$C$37:$C$52"),W71,INDIRECT("'"&amp;$G$15&amp;"'!$B$37:$B$52"),"*Indirect*")/INDIRECT("'"&amp;$G$15&amp;"'!$F$2"),0)))</f>
        <v>0</v>
      </c>
    </row>
    <row r="74" customFormat="false" ht="15" hidden="false" customHeight="false" outlineLevel="0" collapsed="false">
      <c r="W74" s="130" t="s">
        <v>744</v>
      </c>
    </row>
    <row r="75" customFormat="false" ht="15" hidden="false" customHeight="false" outlineLevel="0" collapsed="false">
      <c r="W75" s="132" t="s">
        <v>745</v>
      </c>
      <c r="X75" s="132" t="str">
        <f aca="false">IF(X$4="","",X$4)</f>
        <v>Alternative 1</v>
      </c>
      <c r="Y75" s="132" t="str">
        <f aca="false">IF(Y$4="","",Y$4)</f>
        <v>Alternative 2</v>
      </c>
      <c r="Z75" s="132" t="str">
        <f aca="false">IF(Z$4="","",Z$4)</f>
        <v>Alternative 3</v>
      </c>
      <c r="AA75" s="132" t="str">
        <f aca="false">IF(AA$4="","",AA$4)</f>
        <v>Alternative 4</v>
      </c>
    </row>
    <row r="76" customFormat="false" ht="15" hidden="false" customHeight="false" outlineLevel="0" collapsed="false">
      <c r="W76" s="136" t="s">
        <v>746</v>
      </c>
      <c r="X76" s="156" t="n">
        <f aca="false">IF($G$12="",0,IFERROR(J93,0))</f>
        <v>8.0001199004826</v>
      </c>
      <c r="Y76" s="156" t="n">
        <f aca="false">IF($G$13="",0,IFERROR(J94,0))</f>
        <v>8.0001199004826</v>
      </c>
      <c r="Z76" s="156" t="n">
        <f aca="false">IF($G$14="",0,IFERROR(J95,0))</f>
        <v>0</v>
      </c>
      <c r="AA76" s="156" t="n">
        <f aca="false">IF($G$15="",0,IFERROR(J96,0))</f>
        <v>0</v>
      </c>
    </row>
    <row r="77" customFormat="false" ht="15" hidden="false" customHeight="false" outlineLevel="0" collapsed="false">
      <c r="W77" s="136" t="s">
        <v>747</v>
      </c>
      <c r="X77" s="156" t="n">
        <f aca="false">IF($G$12="",0,IFERROR(I93,0))</f>
        <v>8.0001199004826</v>
      </c>
      <c r="Y77" s="156" t="n">
        <f aca="false">IF($G$13="",0,IFERROR(I94,0))</f>
        <v>8.0001199004826</v>
      </c>
      <c r="Z77" s="156" t="n">
        <f aca="false">IF($G$14="",0,IFERROR(I95,0))</f>
        <v>13.3334132669884</v>
      </c>
      <c r="AA77" s="156" t="n">
        <f aca="false">IF($G$15="",0,IFERROR(I96,0))</f>
        <v>8.0001199004826</v>
      </c>
    </row>
    <row r="78" customFormat="false" ht="15" hidden="false" customHeight="false" outlineLevel="0" collapsed="false">
      <c r="W78" s="136" t="s">
        <v>748</v>
      </c>
      <c r="X78" s="156" t="n">
        <f aca="true">IF($G$12="",0,IFERROR(IF(SUMIFS(INDIRECT("'"&amp;$G$12&amp;"'!$E$13:$E$22"),INDIRECT("'"&amp;$G$12&amp;"'!$D$13:$D$22"),"TON")&gt;0,H93,0),0))</f>
        <v>10.6666410742256</v>
      </c>
      <c r="Y78" s="156" t="n">
        <f aca="true">IF($G$13="",0,IFERROR(IF(SUMIFS(INDIRECT("'"&amp;$G$13&amp;"'!$E$13:$E$22"),INDIRECT("'"&amp;$G$13&amp;"'!$D$13:$D$22"),"TON")&gt;0,H94,0),0))</f>
        <v>0</v>
      </c>
      <c r="Z78" s="156" t="n">
        <f aca="true">IF($G$14="",0,IFERROR(IF(SUMIFS(INDIRECT("'"&amp;$G$14&amp;"'!$E$13:$E$22"),INDIRECT("'"&amp;$G$14&amp;"'!$D$13:$D$22"),"TON")&gt;0,H95,0),0))</f>
        <v>13.333301342782</v>
      </c>
      <c r="AA78" s="156" t="n">
        <f aca="true">IF($G$15="",0,IFERROR(IF(SUMIFS(INDIRECT("'"&amp;$G$15&amp;"'!$E$13:$E$22"),INDIRECT("'"&amp;$G$15&amp;"'!$D$13:$D$22"),"TON")&gt;0,H96,0),0))</f>
        <v>0</v>
      </c>
    </row>
    <row r="79" customFormat="false" ht="15" hidden="false" customHeight="false" outlineLevel="0" collapsed="false">
      <c r="W79" s="136" t="s">
        <v>749</v>
      </c>
      <c r="X79" s="156" t="n">
        <f aca="true">IF($G$12="",0,IFERROR(IF(SUMIFS(INDIRECT("'"&amp;$G$12&amp;"'!$E$13:$E$22"),INDIRECT("'"&amp;$G$12&amp;"'!$D$13:$D$22"),"TON")&gt;0,0,H93),0))</f>
        <v>0</v>
      </c>
      <c r="Y79" s="156" t="n">
        <f aca="true">IF($G$13="",0,IFERROR(IF(SUMIFS(INDIRECT("'"&amp;$G$13&amp;"'!$E$13:$E$22"),INDIRECT("'"&amp;$G$13&amp;"'!$D$13:$D$22"),"TON")&gt;0,0,H94),0))</f>
        <v>9</v>
      </c>
      <c r="Z79" s="156" t="n">
        <f aca="true">IF($G$14="",0,IFERROR(IF(SUMIFS(INDIRECT("'"&amp;$G$14&amp;"'!$E$13:$E$22"),INDIRECT("'"&amp;$G$14&amp;"'!$D$13:$D$22"),"TON")&gt;0,0,H95),0))</f>
        <v>0</v>
      </c>
      <c r="AA79" s="156" t="n">
        <f aca="true">IF($G$15="",0,IFERROR(IF(SUMIFS(INDIRECT("'"&amp;$G$15&amp;"'!$E$13:$E$22"),INDIRECT("'"&amp;$G$15&amp;"'!$D$13:$D$22"),"TON")&gt;0,0,H96),0))</f>
        <v>11</v>
      </c>
    </row>
    <row r="81" customFormat="false" ht="15" hidden="false" customHeight="false" outlineLevel="0" collapsed="false">
      <c r="W81" s="130" t="s">
        <v>750</v>
      </c>
    </row>
    <row r="82" customFormat="false" ht="15" hidden="false" customHeight="false" outlineLevel="0" collapsed="false">
      <c r="W82" s="132" t="s">
        <v>745</v>
      </c>
      <c r="X82" s="132" t="str">
        <f aca="false">X$4</f>
        <v>Alternative 1</v>
      </c>
      <c r="Y82" s="132" t="str">
        <f aca="false">Y$4</f>
        <v>Alternative 2</v>
      </c>
      <c r="Z82" s="132" t="str">
        <f aca="false">Z$4</f>
        <v>Alternative 3</v>
      </c>
      <c r="AA82" s="132" t="str">
        <f aca="false">AA$4</f>
        <v>Alternative 4</v>
      </c>
    </row>
    <row r="83" customFormat="false" ht="15" hidden="false" customHeight="false" outlineLevel="0" collapsed="false">
      <c r="W83" s="136" t="s">
        <v>746</v>
      </c>
      <c r="X83" s="156" t="n">
        <f aca="false">IFERROR(X76*IF('General Information'!$D$27&gt;0,'General Information'!$D$26/('General Information'!$D$26+'General Information'!$D$27),0),0)</f>
        <v>6.00008992536195</v>
      </c>
      <c r="Y83" s="156" t="n">
        <f aca="false">IFERROR(Y76*IF('General Information'!$D$27&gt;0,'General Information'!$D$26/('General Information'!$D$26+'General Information'!$D$27),0),0)</f>
        <v>6.00008992536195</v>
      </c>
      <c r="Z83" s="156" t="n">
        <f aca="false">IFERROR(Z76*IF('General Information'!$D$27&gt;0,'General Information'!$D$26/('General Information'!$D$26+'General Information'!$D$27),0),0)</f>
        <v>0</v>
      </c>
      <c r="AA83" s="156" t="n">
        <f aca="false">IFERROR(AA76*IF('General Information'!$D$27&gt;0,'General Information'!$D$26/('General Information'!$D$26+'General Information'!$D$27),0),0)</f>
        <v>0</v>
      </c>
    </row>
    <row r="84" customFormat="false" ht="15" hidden="false" customHeight="false" outlineLevel="0" collapsed="false">
      <c r="W84" s="136" t="s">
        <v>747</v>
      </c>
      <c r="X84" s="156" t="n">
        <f aca="false">IFERROR(X77*IF('General Information'!$D$27&gt;0,'General Information'!$D$26/('General Information'!$D$26+'General Information'!$D$27),0),0)</f>
        <v>6.00008992536195</v>
      </c>
      <c r="Y84" s="156" t="n">
        <f aca="false">IFERROR(Y77*IF('General Information'!$D$27&gt;0,'General Information'!$D$26/('General Information'!$D$26+'General Information'!$D$27),0),0)</f>
        <v>6.00008992536195</v>
      </c>
      <c r="Z84" s="156" t="n">
        <f aca="false">IFERROR(Z77*IF('General Information'!$D$27&gt;0,'General Information'!$D$26/('General Information'!$D$26+'General Information'!$D$27),0),0)</f>
        <v>10.0000599502413</v>
      </c>
      <c r="AA84" s="156" t="n">
        <f aca="false">IFERROR(AA77*IF('General Information'!$D$27&gt;0,'General Information'!$D$26/('General Information'!$D$26+'General Information'!$D$27),0),0)</f>
        <v>6.00008992536195</v>
      </c>
    </row>
    <row r="85" customFormat="false" ht="15" hidden="false" customHeight="false" outlineLevel="0" collapsed="false">
      <c r="W85" s="136" t="s">
        <v>748</v>
      </c>
      <c r="X85" s="156" t="n">
        <f aca="false">IFERROR(X78*IF('General Information'!$D$27&gt;0,'General Information'!$D$26/('General Information'!$D$26+'General Information'!$D$27),0),0)</f>
        <v>7.99998080566923</v>
      </c>
      <c r="Y85" s="156" t="n">
        <f aca="false">IFERROR(Y78*IF('General Information'!$D$27&gt;0,'General Information'!$D$26/('General Information'!$D$26+'General Information'!$D$27),0),0)</f>
        <v>0</v>
      </c>
      <c r="Z85" s="156" t="n">
        <f aca="false">IFERROR(Z78*IF('General Information'!$D$27&gt;0,'General Information'!$D$26/('General Information'!$D$26+'General Information'!$D$27),0),0)</f>
        <v>9.99997600708653</v>
      </c>
      <c r="AA85" s="156" t="n">
        <f aca="false">IFERROR(AA78*IF('General Information'!$D$27&gt;0,'General Information'!$D$26/('General Information'!$D$26+'General Information'!$D$27),0),0)</f>
        <v>0</v>
      </c>
    </row>
    <row r="86" customFormat="false" ht="15" hidden="false" customHeight="false" outlineLevel="0" collapsed="false">
      <c r="W86" s="136" t="s">
        <v>749</v>
      </c>
      <c r="X86" s="156" t="n">
        <f aca="false">IFERROR(X79*IF('General Information'!$D$27&gt;0,1,0),0)</f>
        <v>0</v>
      </c>
      <c r="Y86" s="156" t="n">
        <f aca="false">IFERROR(Y79*IF('General Information'!$D$27&gt;0,1,0),0)</f>
        <v>9</v>
      </c>
      <c r="Z86" s="156" t="n">
        <f aca="false">IFERROR(Z79*IF('General Information'!$D$27&gt;0,1,0),0)</f>
        <v>0</v>
      </c>
      <c r="AA86" s="156" t="n">
        <f aca="false">IFERROR(AA79*IF('General Information'!$D$27&gt;0,1,0),0)</f>
        <v>11</v>
      </c>
    </row>
    <row r="87" customFormat="false" ht="15" hidden="false" customHeight="false" outlineLevel="0" collapsed="false">
      <c r="G87" s="60" t="s">
        <v>751</v>
      </c>
    </row>
    <row r="89" customFormat="false" ht="15" hidden="false" customHeight="false" outlineLevel="0" collapsed="false">
      <c r="W89" s="130" t="s">
        <v>752</v>
      </c>
    </row>
    <row r="90" customFormat="false" ht="15" hidden="false" customHeight="false" outlineLevel="0" collapsed="false">
      <c r="G90" s="129" t="s">
        <v>753</v>
      </c>
      <c r="W90" s="132" t="s">
        <v>754</v>
      </c>
      <c r="X90" s="132" t="str">
        <f aca="false">IF(X$4="","",X$4)</f>
        <v>Alternative 1</v>
      </c>
      <c r="Y90" s="132" t="str">
        <f aca="false">IF(Y$4="","",Y$4)</f>
        <v>Alternative 2</v>
      </c>
      <c r="Z90" s="132" t="str">
        <f aca="false">IF(Z$4="","",Z$4)</f>
        <v>Alternative 3</v>
      </c>
      <c r="AA90" s="132" t="str">
        <f aca="false">IF(AA$4="","",AA$4)</f>
        <v>Alternative 4</v>
      </c>
      <c r="AB90" s="132" t="s">
        <v>755</v>
      </c>
    </row>
    <row r="91" customFormat="false" ht="15" hidden="false" customHeight="false" outlineLevel="0" collapsed="false">
      <c r="G91" s="130" t="s">
        <v>756</v>
      </c>
      <c r="J91" s="152" t="n">
        <v>145</v>
      </c>
      <c r="K91" s="60" t="s">
        <v>757</v>
      </c>
      <c r="W91" s="136" t="s">
        <v>758</v>
      </c>
      <c r="X91" s="157" t="n">
        <v>0</v>
      </c>
      <c r="Y91" s="157" t="n">
        <v>0</v>
      </c>
      <c r="Z91" s="157" t="n">
        <v>0</v>
      </c>
      <c r="AA91" s="157" t="n">
        <v>0</v>
      </c>
      <c r="AB91" s="157" t="n">
        <v>210</v>
      </c>
    </row>
    <row r="92" customFormat="false" ht="27" hidden="false" customHeight="true" outlineLevel="0" collapsed="false">
      <c r="G92" s="132" t="s">
        <v>680</v>
      </c>
      <c r="H92" s="132" t="s">
        <v>759</v>
      </c>
      <c r="I92" s="132" t="s">
        <v>760</v>
      </c>
      <c r="J92" s="132" t="s">
        <v>761</v>
      </c>
      <c r="K92" s="132" t="s">
        <v>762</v>
      </c>
      <c r="L92" s="132" t="s">
        <v>763</v>
      </c>
      <c r="M92" s="132" t="s">
        <v>764</v>
      </c>
      <c r="N92" s="132" t="s">
        <v>765</v>
      </c>
      <c r="O92" s="132"/>
      <c r="P92" s="132" t="s">
        <v>766</v>
      </c>
      <c r="Q92" s="132" t="s">
        <v>767</v>
      </c>
      <c r="W92" s="136" t="s">
        <v>768</v>
      </c>
      <c r="X92" s="157" t="n">
        <f aca="false">IFERROR(IF($G$12="",0,$J$12/'General Information'!$D$26),0)</f>
        <v>123.621968432867</v>
      </c>
      <c r="Y92" s="157" t="n">
        <f aca="false">IFERROR(IF($G$13="",0,$J$13/'General Information'!$D$26),0)</f>
        <v>138.191955843317</v>
      </c>
      <c r="Z92" s="157" t="n">
        <f aca="false">IFERROR(IF($G$14="",0,$J$14/'General Information'!$D$26),0)</f>
        <v>146.594942864089</v>
      </c>
      <c r="AA92" s="157" t="n">
        <f aca="false">IFERROR(IF($G$15="",0,$J$15/'General Information'!$D$26),0)</f>
        <v>144.06945401983</v>
      </c>
      <c r="AB92" s="157" t="n">
        <v>70</v>
      </c>
    </row>
    <row r="93" customFormat="false" ht="15" hidden="false" customHeight="false" outlineLevel="0" collapsed="false">
      <c r="G93" s="139" t="str">
        <f aca="false">IF($G$12="","",$H$12)</f>
        <v>Alternative 1</v>
      </c>
      <c r="H93" s="158" t="n">
        <f aca="true">IF($G$12="","",IF(SUMIFS(INDIRECT("'"&amp;$G$12&amp;"'!$E$13:$E$22"),INDIRECT("'"&amp;$G$12&amp;"'!$D$13:$D$22"),"TON")&gt;0,SUMIFS(INDIRECT("'"&amp;$G$12&amp;"'!$E$13:$E$22"),INDIRECT("'"&amp;$G$12&amp;"'!$D$13:$D$22"),"TON")*2666.6667/($J$91*'General Information'!$D$26),IFERROR(VALUE(TRIM(SUBSTITUTE(MID(IFERROR(INDEX(INDIRECT("'"&amp;$G$12&amp;"'!$C$13:$C$22"),MATCH("Concrete Pavement*",INDIRECT("'"&amp;$G$12&amp;"'!$C$13:$C$22"),0)),""),FIND(",",IFERROR(INDEX(INDIRECT("'"&amp;$G$12&amp;"'!$C$13:$C$22"),MATCH("Concrete Pavement*",INDIRECT("'"&amp;$G$12&amp;"'!$C$13:$C$22"),0)),""))+1,99),"-inch",""))),0)))</f>
        <v>10.6666410742256</v>
      </c>
      <c r="I93" s="158" t="n">
        <f aca="true">IF($G$12="","",36*(SUMIFS(INDIRECT("'"&amp;$G$12&amp;"'!$E$13:$E$22"),INDIRECT("'"&amp;$G$12&amp;"'!$D$13:$D$22"),"C.Y.",INDIRECT("'"&amp;$G$12&amp;"'!$B$13:$B$22"),"P-2*")+SUMIFS(INDIRECT("'"&amp;$G$12&amp;"'!$E$13:$E$22"),INDIRECT("'"&amp;$G$12&amp;"'!$D$13:$D$22"),"C.Y.",INDIRECT("'"&amp;$G$12&amp;"'!$B$13:$B$22"),"P-3*"))/'General Information'!$D$26)</f>
        <v>8.0001199004826</v>
      </c>
      <c r="J93" s="158" t="n">
        <f aca="true">IF($G$12="","",36*SUMIFS(INDIRECT("'"&amp;$G$12&amp;"'!$E$13:$E$22"),INDIRECT("'"&amp;$G$12&amp;"'!$D$13:$D$22"),"C.Y.",INDIRECT("'"&amp;$G$12&amp;"'!$B$13:$B$22"),"P-154*")/'General Information'!$D$26)</f>
        <v>8.0001199004826</v>
      </c>
      <c r="K93" s="158" t="str">
        <f aca="true">IF($G$12="","",IF(SUMIFS(INDIRECT("'"&amp;$G$12&amp;"'!$E$13:$E$22"),INDIRECT("'"&amp;$G$12&amp;"'!$D$13:$D$22"),"S.Y.",INDIRECT("'"&amp;$G$12&amp;"'!$B$13:$B$22"),"P-155*")+SUMIFS(INDIRECT("'"&amp;$G$12&amp;"'!$E$13:$E$22"),INDIRECT("'"&amp;$G$12&amp;"'!$D$13:$D$22"),"S.Y.",INDIRECT("'"&amp;$G$12&amp;"'!$B$13:$B$22"),"P-156*")+SUMIFS(INDIRECT("'"&amp;$G$12&amp;"'!$E$13:$E$22"),INDIRECT("'"&amp;$G$12&amp;"'!$D$13:$D$22"),"S.Y.",INDIRECT("'"&amp;$G$12&amp;"'!$B$13:$B$22"),"P-157*")+SUMIFS(INDIRECT("'"&amp;$G$12&amp;"'!$E$13:$E$22"),INDIRECT("'"&amp;$G$12&amp;"'!$D$13:$D$22"),"S.Y.",INDIRECT("'"&amp;$G$12&amp;"'!$B$13:$B$22"),"P-158*")&gt;0,"yes","-"))</f>
        <v>-</v>
      </c>
      <c r="L93" s="158" t="n">
        <f aca="false">IF($G$12="","",H93+I93+J93)</f>
        <v>26.6668808751908</v>
      </c>
      <c r="M93" s="158" t="n">
        <f aca="true">IF($G$12="","",36*SUMIFS(INDIRECT("'"&amp;$G$12&amp;"'!$E$13:$E$22"),INDIRECT("'"&amp;$G$12&amp;"'!$D$13:$D$22"),"C.Y.",INDIRECT("'"&amp;$G$12&amp;"'!$B$13:$B$22"),"P-152*")/'General Information'!$D$26)</f>
        <v>26.6668265339768</v>
      </c>
      <c r="N93" s="139" t="str">
        <f aca="false">IF($G$12="","",IF(M93=0,"no excavation item",IF(ABS(M93-L93)&lt;=0.5,"agrees","differs by "&amp;TEXT(M93-L93,"0.0")&amp;" in")))</f>
        <v>agrees</v>
      </c>
      <c r="P93" s="139" t="str">
        <f aca="true">IF($G$12="","",TEXT(H93,"0")&amp;""" "&amp;IF(SUMIFS(INDIRECT("'"&amp;$G$12&amp;"'!$E$13:$E$22"),INDIRECT("'"&amp;$G$12&amp;"'!$D$13:$D$22"),"TON")&gt;0,IFERROR(SUBSTITUTE(LEFT(INDEX(INDIRECT("'"&amp;$G$12&amp;"'!$B$13:$B$22"),MATCH("P-4*",INDIRECT("'"&amp;$G$12&amp;"'!$B$13:$B$22"),0)),5),"-",""),""),IFERROR(SUBSTITUTE(LEFT(INDEX(INDIRECT("'"&amp;$G$12&amp;"'!$B$13:$B$22"),MATCH("P-501*",INDIRECT("'"&amp;$G$12&amp;"'!$B$13:$B$22"),0)),5),"-",""),""))&amp;IF(I93&gt;0," on "&amp;TEXT(I93,"0")&amp;""" "&amp;IFERROR(SUBSTITUTE(LEFT(INDEX(INDIRECT("'"&amp;$G$12&amp;"'!$B$13:$B$22"),MATCH("P-2*",INDIRECT("'"&amp;$G$12&amp;"'!$B$13:$B$22"),0)),5),"-",""),""),"")&amp;IF(J93&gt;0," on "&amp;TEXT(J93,"0")&amp;""" P154",""))</f>
        <v>11" P401 on 8" P209 on 8" P154</v>
      </c>
      <c r="Q93" s="139" t="str">
        <f aca="true">IF(OR($G$12="",'General Information'!$D$27=0),"",TEXT(IF(SUMIFS(INDIRECT("'"&amp;$G$12&amp;"'!$E$13:$E$22"),INDIRECT("'"&amp;$G$12&amp;"'!$D$13:$D$22"),"TON")&gt;0,H93*'General Information'!$D$26/('General Information'!$D$26+'General Information'!$D$27),H93),"0")&amp;""" "&amp;IF(SUMIFS(INDIRECT("'"&amp;$G$12&amp;"'!$E$13:$E$22"),INDIRECT("'"&amp;$G$12&amp;"'!$D$13:$D$22"),"TON")&gt;0,IFERROR(SUBSTITUTE(LEFT(INDEX(INDIRECT("'"&amp;$G$12&amp;"'!$B$13:$B$22"),MATCH("P-4*",INDIRECT("'"&amp;$G$12&amp;"'!$B$13:$B$22"),0)),5),"-",""),""),IFERROR(SUBSTITUTE(LEFT(INDEX(INDIRECT("'"&amp;$G$12&amp;"'!$B$13:$B$22"),MATCH("P-501*",INDIRECT("'"&amp;$G$12&amp;"'!$B$13:$B$22"),0)),5),"-",""),""))&amp;IF(I93&gt;0," on "&amp;TEXT(I93*'General Information'!$D$26/('General Information'!$D$26+'General Information'!$D$27),"0")&amp;""" "&amp;IFERROR(SUBSTITUTE(LEFT(INDEX(INDIRECT("'"&amp;$G$12&amp;"'!$B$13:$B$22"),MATCH("P-2*",INDIRECT("'"&amp;$G$12&amp;"'!$B$13:$B$22"),0)),5),"-",""),""),"")&amp;IF(J93&gt;0," on "&amp;TEXT(J93*'General Information'!$D$26/('General Information'!$D$26+'General Information'!$D$27),"0")&amp;""" P154",""))</f>
        <v>8" P401 on 6" P209 on 6" P154</v>
      </c>
    </row>
    <row r="94" customFormat="false" ht="15" hidden="false" customHeight="false" outlineLevel="0" collapsed="false">
      <c r="G94" s="139" t="str">
        <f aca="false">IF($G$13="","",$H$13)</f>
        <v>Alternative 2</v>
      </c>
      <c r="H94" s="158" t="n">
        <f aca="true">IF($G$13="","",IF(SUMIFS(INDIRECT("'"&amp;$G$13&amp;"'!$E$13:$E$22"),INDIRECT("'"&amp;$G$13&amp;"'!$D$13:$D$22"),"TON")&gt;0,SUMIFS(INDIRECT("'"&amp;$G$13&amp;"'!$E$13:$E$22"),INDIRECT("'"&amp;$G$13&amp;"'!$D$13:$D$22"),"TON")*2666.6667/($J$91*'General Information'!$D$26),IFERROR(VALUE(TRIM(SUBSTITUTE(MID(IFERROR(INDEX(INDIRECT("'"&amp;$G$13&amp;"'!$C$13:$C$22"),MATCH("Concrete Pavement*",INDIRECT("'"&amp;$G$13&amp;"'!$C$13:$C$22"),0)),""),FIND(",",IFERROR(INDEX(INDIRECT("'"&amp;$G$13&amp;"'!$C$13:$C$22"),MATCH("Concrete Pavement*",INDIRECT("'"&amp;$G$13&amp;"'!$C$13:$C$22"),0)),""))+1,99),"-inch",""))),0)))</f>
        <v>9</v>
      </c>
      <c r="I94" s="158" t="n">
        <f aca="true">IF($G$13="","",36*(SUMIFS(INDIRECT("'"&amp;$G$13&amp;"'!$E$13:$E$22"),INDIRECT("'"&amp;$G$13&amp;"'!$D$13:$D$22"),"C.Y.",INDIRECT("'"&amp;$G$13&amp;"'!$B$13:$B$22"),"P-2*")+SUMIFS(INDIRECT("'"&amp;$G$13&amp;"'!$E$13:$E$22"),INDIRECT("'"&amp;$G$13&amp;"'!$D$13:$D$22"),"C.Y.",INDIRECT("'"&amp;$G$13&amp;"'!$B$13:$B$22"),"P-3*"))/'General Information'!$D$26)</f>
        <v>8.0001199004826</v>
      </c>
      <c r="J94" s="158" t="n">
        <f aca="true">IF($G$13="","",36*SUMIFS(INDIRECT("'"&amp;$G$13&amp;"'!$E$13:$E$22"),INDIRECT("'"&amp;$G$13&amp;"'!$D$13:$D$22"),"C.Y.",INDIRECT("'"&amp;$G$13&amp;"'!$B$13:$B$22"),"P-154*")/'General Information'!$D$26)</f>
        <v>8.0001199004826</v>
      </c>
      <c r="K94" s="158" t="str">
        <f aca="true">IF($G$13="","",IF(SUMIFS(INDIRECT("'"&amp;$G$13&amp;"'!$E$13:$E$22"),INDIRECT("'"&amp;$G$13&amp;"'!$D$13:$D$22"),"S.Y.",INDIRECT("'"&amp;$G$13&amp;"'!$B$13:$B$22"),"P-155*")+SUMIFS(INDIRECT("'"&amp;$G$13&amp;"'!$E$13:$E$22"),INDIRECT("'"&amp;$G$13&amp;"'!$D$13:$D$22"),"S.Y.",INDIRECT("'"&amp;$G$13&amp;"'!$B$13:$B$22"),"P-156*")+SUMIFS(INDIRECT("'"&amp;$G$13&amp;"'!$E$13:$E$22"),INDIRECT("'"&amp;$G$13&amp;"'!$D$13:$D$22"),"S.Y.",INDIRECT("'"&amp;$G$13&amp;"'!$B$13:$B$22"),"P-157*")+SUMIFS(INDIRECT("'"&amp;$G$13&amp;"'!$E$13:$E$22"),INDIRECT("'"&amp;$G$13&amp;"'!$D$13:$D$22"),"S.Y.",INDIRECT("'"&amp;$G$13&amp;"'!$B$13:$B$22"),"P-158*")&gt;0,"yes","-"))</f>
        <v>-</v>
      </c>
      <c r="L94" s="158" t="n">
        <f aca="false">IF($G$13="","",H94+I94+J94)</f>
        <v>25.0002398009652</v>
      </c>
      <c r="M94" s="158" t="n">
        <f aca="true">IF($G$13="","",36*SUMIFS(INDIRECT("'"&amp;$G$13&amp;"'!$E$13:$E$22"),INDIRECT("'"&amp;$G$13&amp;"'!$D$13:$D$22"),"C.Y.",INDIRECT("'"&amp;$G$13&amp;"'!$B$13:$B$22"),"P-152*")/'General Information'!$D$26)</f>
        <v>24.9999700248794</v>
      </c>
      <c r="N94" s="139" t="str">
        <f aca="false">IF($G$13="","",IF(M94=0,"no excavation item",IF(ABS(M94-L94)&lt;=0.5,"agrees","differs by "&amp;TEXT(M94-L94,"0.0")&amp;" in")))</f>
        <v>agrees</v>
      </c>
      <c r="P94" s="139" t="str">
        <f aca="true">IF($G$13="","",TEXT(H94,"0")&amp;""" "&amp;IF(SUMIFS(INDIRECT("'"&amp;$G$13&amp;"'!$E$13:$E$22"),INDIRECT("'"&amp;$G$13&amp;"'!$D$13:$D$22"),"TON")&gt;0,IFERROR(SUBSTITUTE(LEFT(INDEX(INDIRECT("'"&amp;$G$13&amp;"'!$B$13:$B$22"),MATCH("P-4*",INDIRECT("'"&amp;$G$13&amp;"'!$B$13:$B$22"),0)),5),"-",""),""),IFERROR(SUBSTITUTE(LEFT(INDEX(INDIRECT("'"&amp;$G$13&amp;"'!$B$13:$B$22"),MATCH("P-501*",INDIRECT("'"&amp;$G$13&amp;"'!$B$13:$B$22"),0)),5),"-",""),""))&amp;IF(I94&gt;0," on "&amp;TEXT(I94,"0")&amp;""" "&amp;IFERROR(SUBSTITUTE(LEFT(INDEX(INDIRECT("'"&amp;$G$13&amp;"'!$B$13:$B$22"),MATCH("P-2*",INDIRECT("'"&amp;$G$13&amp;"'!$B$13:$B$22"),0)),5),"-",""),""),"")&amp;IF(J94&gt;0," on "&amp;TEXT(J94,"0")&amp;""" P154",""))</f>
        <v>9" P501 on 8" P209 on 8" P154</v>
      </c>
      <c r="Q94" s="139" t="str">
        <f aca="true">IF(OR($G$13="",'General Information'!$D$27=0),"",TEXT(IF(SUMIFS(INDIRECT("'"&amp;$G$13&amp;"'!$E$13:$E$22"),INDIRECT("'"&amp;$G$13&amp;"'!$D$13:$D$22"),"TON")&gt;0,H94*'General Information'!$D$26/('General Information'!$D$26+'General Information'!$D$27),H94),"0")&amp;""" "&amp;IF(SUMIFS(INDIRECT("'"&amp;$G$13&amp;"'!$E$13:$E$22"),INDIRECT("'"&amp;$G$13&amp;"'!$D$13:$D$22"),"TON")&gt;0,IFERROR(SUBSTITUTE(LEFT(INDEX(INDIRECT("'"&amp;$G$13&amp;"'!$B$13:$B$22"),MATCH("P-4*",INDIRECT("'"&amp;$G$13&amp;"'!$B$13:$B$22"),0)),5),"-",""),""),IFERROR(SUBSTITUTE(LEFT(INDEX(INDIRECT("'"&amp;$G$13&amp;"'!$B$13:$B$22"),MATCH("P-501*",INDIRECT("'"&amp;$G$13&amp;"'!$B$13:$B$22"),0)),5),"-",""),""))&amp;IF(I94&gt;0," on "&amp;TEXT(I94*'General Information'!$D$26/('General Information'!$D$26+'General Information'!$D$27),"0")&amp;""" "&amp;IFERROR(SUBSTITUTE(LEFT(INDEX(INDIRECT("'"&amp;$G$13&amp;"'!$B$13:$B$22"),MATCH("P-2*",INDIRECT("'"&amp;$G$13&amp;"'!$B$13:$B$22"),0)),5),"-",""),""),"")&amp;IF(J94&gt;0," on "&amp;TEXT(J94*'General Information'!$D$26/('General Information'!$D$26+'General Information'!$D$27),"0")&amp;""" P154",""))</f>
        <v>9" P501 on 6" P209 on 6" P154</v>
      </c>
    </row>
    <row r="95" customFormat="false" ht="15" hidden="false" customHeight="false" outlineLevel="0" collapsed="false">
      <c r="G95" s="139" t="str">
        <f aca="false">IF($G$14="","",$H$14)</f>
        <v>Alternative 3</v>
      </c>
      <c r="H95" s="158" t="n">
        <f aca="true">IF($G$14="","",IF(SUMIFS(INDIRECT("'"&amp;$G$14&amp;"'!$E$13:$E$22"),INDIRECT("'"&amp;$G$14&amp;"'!$D$13:$D$22"),"TON")&gt;0,SUMIFS(INDIRECT("'"&amp;$G$14&amp;"'!$E$13:$E$22"),INDIRECT("'"&amp;$G$14&amp;"'!$D$13:$D$22"),"TON")*2666.6667/($J$91*'General Information'!$D$26),IFERROR(VALUE(TRIM(SUBSTITUTE(MID(IFERROR(INDEX(INDIRECT("'"&amp;$G$14&amp;"'!$C$13:$C$22"),MATCH("Concrete Pavement*",INDIRECT("'"&amp;$G$14&amp;"'!$C$13:$C$22"),0)),""),FIND(",",IFERROR(INDEX(INDIRECT("'"&amp;$G$14&amp;"'!$C$13:$C$22"),MATCH("Concrete Pavement*",INDIRECT("'"&amp;$G$14&amp;"'!$C$13:$C$22"),0)),""))+1,99),"-inch",""))),0)))</f>
        <v>13.333301342782</v>
      </c>
      <c r="I95" s="158" t="n">
        <f aca="true">IF($G$14="","",36*(SUMIFS(INDIRECT("'"&amp;$G$14&amp;"'!$E$13:$E$22"),INDIRECT("'"&amp;$G$14&amp;"'!$D$13:$D$22"),"C.Y.",INDIRECT("'"&amp;$G$14&amp;"'!$B$13:$B$22"),"P-2*")+SUMIFS(INDIRECT("'"&amp;$G$14&amp;"'!$E$13:$E$22"),INDIRECT("'"&amp;$G$14&amp;"'!$D$13:$D$22"),"C.Y.",INDIRECT("'"&amp;$G$14&amp;"'!$B$13:$B$22"),"P-3*"))/'General Information'!$D$26)</f>
        <v>13.3334132669884</v>
      </c>
      <c r="J95" s="158" t="n">
        <f aca="true">IF($G$14="","",36*SUMIFS(INDIRECT("'"&amp;$G$14&amp;"'!$E$13:$E$22"),INDIRECT("'"&amp;$G$14&amp;"'!$D$13:$D$22"),"C.Y.",INDIRECT("'"&amp;$G$14&amp;"'!$B$13:$B$22"),"P-154*")/'General Information'!$D$26)</f>
        <v>0</v>
      </c>
      <c r="K95" s="158" t="str">
        <f aca="true">IF($G$14="","",IF(SUMIFS(INDIRECT("'"&amp;$G$14&amp;"'!$E$13:$E$22"),INDIRECT("'"&amp;$G$14&amp;"'!$D$13:$D$22"),"S.Y.",INDIRECT("'"&amp;$G$14&amp;"'!$B$13:$B$22"),"P-155*")+SUMIFS(INDIRECT("'"&amp;$G$14&amp;"'!$E$13:$E$22"),INDIRECT("'"&amp;$G$14&amp;"'!$D$13:$D$22"),"S.Y.",INDIRECT("'"&amp;$G$14&amp;"'!$B$13:$B$22"),"P-156*")+SUMIFS(INDIRECT("'"&amp;$G$14&amp;"'!$E$13:$E$22"),INDIRECT("'"&amp;$G$14&amp;"'!$D$13:$D$22"),"S.Y.",INDIRECT("'"&amp;$G$14&amp;"'!$B$13:$B$22"),"P-157*")+SUMIFS(INDIRECT("'"&amp;$G$14&amp;"'!$E$13:$E$22"),INDIRECT("'"&amp;$G$14&amp;"'!$D$13:$D$22"),"S.Y.",INDIRECT("'"&amp;$G$14&amp;"'!$B$13:$B$22"),"P-158*")&gt;0,"yes","-"))</f>
        <v>yes</v>
      </c>
      <c r="L95" s="158" t="n">
        <f aca="false">IF($G$14="","",H95+I95+J95)</f>
        <v>26.6667146097704</v>
      </c>
      <c r="M95" s="158" t="n">
        <f aca="true">IF($G$14="","",36*SUMIFS(INDIRECT("'"&amp;$G$14&amp;"'!$E$13:$E$22"),INDIRECT("'"&amp;$G$14&amp;"'!$D$13:$D$22"),"C.Y.",INDIRECT("'"&amp;$G$14&amp;"'!$B$13:$B$22"),"P-152*")/'General Information'!$D$26)</f>
        <v>0</v>
      </c>
      <c r="N95" s="139" t="str">
        <f aca="false">IF($G$14="","",IF(M95=0,"no excavation item",IF(ABS(M95-L95)&lt;=0.5,"agrees","differs by "&amp;TEXT(M95-L95,"0.0")&amp;" in")))</f>
        <v>no excavation item</v>
      </c>
      <c r="P95" s="139" t="str">
        <f aca="true">IF($G$14="","",TEXT(H95,"0")&amp;""" "&amp;IF(SUMIFS(INDIRECT("'"&amp;$G$14&amp;"'!$E$13:$E$22"),INDIRECT("'"&amp;$G$14&amp;"'!$D$13:$D$22"),"TON")&gt;0,IFERROR(SUBSTITUTE(LEFT(INDEX(INDIRECT("'"&amp;$G$14&amp;"'!$B$13:$B$22"),MATCH("P-4*",INDIRECT("'"&amp;$G$14&amp;"'!$B$13:$B$22"),0)),5),"-",""),""),IFERROR(SUBSTITUTE(LEFT(INDEX(INDIRECT("'"&amp;$G$14&amp;"'!$B$13:$B$22"),MATCH("P-501*",INDIRECT("'"&amp;$G$14&amp;"'!$B$13:$B$22"),0)),5),"-",""),""))&amp;IF(I95&gt;0," on "&amp;TEXT(I95,"0")&amp;""" "&amp;IFERROR(SUBSTITUTE(LEFT(INDEX(INDIRECT("'"&amp;$G$14&amp;"'!$B$13:$B$22"),MATCH("P-2*",INDIRECT("'"&amp;$G$14&amp;"'!$B$13:$B$22"),0)),5),"-",""),""),"")&amp;IF(J95&gt;0," on "&amp;TEXT(J95,"0")&amp;""" P154",""))</f>
        <v>13" P401 on 13" P209</v>
      </c>
      <c r="Q95" s="139" t="str">
        <f aca="true">IF(OR($G$14="",'General Information'!$D$27=0),"",TEXT(IF(SUMIFS(INDIRECT("'"&amp;$G$14&amp;"'!$E$13:$E$22"),INDIRECT("'"&amp;$G$14&amp;"'!$D$13:$D$22"),"TON")&gt;0,H95*'General Information'!$D$26/('General Information'!$D$26+'General Information'!$D$27),H95),"0")&amp;""" "&amp;IF(SUMIFS(INDIRECT("'"&amp;$G$14&amp;"'!$E$13:$E$22"),INDIRECT("'"&amp;$G$14&amp;"'!$D$13:$D$22"),"TON")&gt;0,IFERROR(SUBSTITUTE(LEFT(INDEX(INDIRECT("'"&amp;$G$14&amp;"'!$B$13:$B$22"),MATCH("P-4*",INDIRECT("'"&amp;$G$14&amp;"'!$B$13:$B$22"),0)),5),"-",""),""),IFERROR(SUBSTITUTE(LEFT(INDEX(INDIRECT("'"&amp;$G$14&amp;"'!$B$13:$B$22"),MATCH("P-501*",INDIRECT("'"&amp;$G$14&amp;"'!$B$13:$B$22"),0)),5),"-",""),""))&amp;IF(I95&gt;0," on "&amp;TEXT(I95*'General Information'!$D$26/('General Information'!$D$26+'General Information'!$D$27),"0")&amp;""" "&amp;IFERROR(SUBSTITUTE(LEFT(INDEX(INDIRECT("'"&amp;$G$14&amp;"'!$B$13:$B$22"),MATCH("P-2*",INDIRECT("'"&amp;$G$14&amp;"'!$B$13:$B$22"),0)),5),"-",""),""),"")&amp;IF(J95&gt;0," on "&amp;TEXT(J95*'General Information'!$D$26/('General Information'!$D$26+'General Information'!$D$27),"0")&amp;""" P154",""))</f>
        <v>10" P401 on 10" P209</v>
      </c>
    </row>
    <row r="96" customFormat="false" ht="15" hidden="false" customHeight="false" outlineLevel="0" collapsed="false">
      <c r="G96" s="139" t="str">
        <f aca="false">IF($G$15="","",$H$15)</f>
        <v>Alternative 4</v>
      </c>
      <c r="H96" s="158" t="n">
        <f aca="true">IF($G$15="","",IF(SUMIFS(INDIRECT("'"&amp;$G$15&amp;"'!$E$13:$E$22"),INDIRECT("'"&amp;$G$15&amp;"'!$D$13:$D$22"),"TON")&gt;0,SUMIFS(INDIRECT("'"&amp;$G$15&amp;"'!$E$13:$E$22"),INDIRECT("'"&amp;$G$15&amp;"'!$D$13:$D$22"),"TON")*2666.6667/($J$91*'General Information'!$D$26),IFERROR(VALUE(TRIM(SUBSTITUTE(MID(IFERROR(INDEX(INDIRECT("'"&amp;$G$15&amp;"'!$C$13:$C$22"),MATCH("Concrete Pavement*",INDIRECT("'"&amp;$G$15&amp;"'!$C$13:$C$22"),0)),""),FIND(",",IFERROR(INDEX(INDIRECT("'"&amp;$G$15&amp;"'!$C$13:$C$22"),MATCH("Concrete Pavement*",INDIRECT("'"&amp;$G$15&amp;"'!$C$13:$C$22"),0)),""))+1,99),"-inch",""))),0)))</f>
        <v>11</v>
      </c>
      <c r="I96" s="158" t="n">
        <f aca="true">IF($G$15="","",36*(SUMIFS(INDIRECT("'"&amp;$G$15&amp;"'!$E$13:$E$22"),INDIRECT("'"&amp;$G$15&amp;"'!$D$13:$D$22"),"C.Y.",INDIRECT("'"&amp;$G$15&amp;"'!$B$13:$B$22"),"P-2*")+SUMIFS(INDIRECT("'"&amp;$G$15&amp;"'!$E$13:$E$22"),INDIRECT("'"&amp;$G$15&amp;"'!$D$13:$D$22"),"C.Y.",INDIRECT("'"&amp;$G$15&amp;"'!$B$13:$B$22"),"P-3*"))/'General Information'!$D$26)</f>
        <v>8.0001199004826</v>
      </c>
      <c r="J96" s="158" t="n">
        <f aca="true">IF($G$15="","",36*SUMIFS(INDIRECT("'"&amp;$G$15&amp;"'!$E$13:$E$22"),INDIRECT("'"&amp;$G$15&amp;"'!$D$13:$D$22"),"C.Y.",INDIRECT("'"&amp;$G$15&amp;"'!$B$13:$B$22"),"P-154*")/'General Information'!$D$26)</f>
        <v>0</v>
      </c>
      <c r="K96" s="158" t="str">
        <f aca="true">IF($G$15="","",IF(SUMIFS(INDIRECT("'"&amp;$G$15&amp;"'!$E$13:$E$22"),INDIRECT("'"&amp;$G$15&amp;"'!$D$13:$D$22"),"S.Y.",INDIRECT("'"&amp;$G$15&amp;"'!$B$13:$B$22"),"P-155*")+SUMIFS(INDIRECT("'"&amp;$G$15&amp;"'!$E$13:$E$22"),INDIRECT("'"&amp;$G$15&amp;"'!$D$13:$D$22"),"S.Y.",INDIRECT("'"&amp;$G$15&amp;"'!$B$13:$B$22"),"P-156*")+SUMIFS(INDIRECT("'"&amp;$G$15&amp;"'!$E$13:$E$22"),INDIRECT("'"&amp;$G$15&amp;"'!$D$13:$D$22"),"S.Y.",INDIRECT("'"&amp;$G$15&amp;"'!$B$13:$B$22"),"P-157*")+SUMIFS(INDIRECT("'"&amp;$G$15&amp;"'!$E$13:$E$22"),INDIRECT("'"&amp;$G$15&amp;"'!$D$13:$D$22"),"S.Y.",INDIRECT("'"&amp;$G$15&amp;"'!$B$13:$B$22"),"P-158*")&gt;0,"yes","-"))</f>
        <v>yes</v>
      </c>
      <c r="L96" s="158" t="n">
        <f aca="false">IF($G$15="","",H96+I96+J96)</f>
        <v>19.0001199004826</v>
      </c>
      <c r="M96" s="158" t="n">
        <f aca="true">IF($G$15="","",36*SUMIFS(INDIRECT("'"&amp;$G$15&amp;"'!$E$13:$E$22"),INDIRECT("'"&amp;$G$15&amp;"'!$D$13:$D$22"),"C.Y.",INDIRECT("'"&amp;$G$15&amp;"'!$B$13:$B$22"),"P-152*")/'General Information'!$D$26)</f>
        <v>18.9997901741555</v>
      </c>
      <c r="N96" s="139" t="str">
        <f aca="false">IF($G$15="","",IF(M96=0,"no excavation item",IF(ABS(M96-L96)&lt;=0.5,"agrees","differs by "&amp;TEXT(M96-L96,"0.0")&amp;" in")))</f>
        <v>agrees</v>
      </c>
      <c r="P96" s="139" t="str">
        <f aca="true">IF($G$15="","",TEXT(H96,"0")&amp;""" "&amp;IF(SUMIFS(INDIRECT("'"&amp;$G$15&amp;"'!$E$13:$E$22"),INDIRECT("'"&amp;$G$15&amp;"'!$D$13:$D$22"),"TON")&gt;0,IFERROR(SUBSTITUTE(LEFT(INDEX(INDIRECT("'"&amp;$G$15&amp;"'!$B$13:$B$22"),MATCH("P-4*",INDIRECT("'"&amp;$G$15&amp;"'!$B$13:$B$22"),0)),5),"-",""),""),IFERROR(SUBSTITUTE(LEFT(INDEX(INDIRECT("'"&amp;$G$15&amp;"'!$B$13:$B$22"),MATCH("P-501*",INDIRECT("'"&amp;$G$15&amp;"'!$B$13:$B$22"),0)),5),"-",""),""))&amp;IF(I96&gt;0," on "&amp;TEXT(I96,"0")&amp;""" "&amp;IFERROR(SUBSTITUTE(LEFT(INDEX(INDIRECT("'"&amp;$G$15&amp;"'!$B$13:$B$22"),MATCH("P-2*",INDIRECT("'"&amp;$G$15&amp;"'!$B$13:$B$22"),0)),5),"-",""),""),"")&amp;IF(J96&gt;0," on "&amp;TEXT(J96,"0")&amp;""" P154",""))</f>
        <v>11" P501 on 8" P209</v>
      </c>
      <c r="Q96" s="139" t="str">
        <f aca="true">IF(OR($G$15="",'General Information'!$D$27=0),"",TEXT(IF(SUMIFS(INDIRECT("'"&amp;$G$15&amp;"'!$E$13:$E$22"),INDIRECT("'"&amp;$G$15&amp;"'!$D$13:$D$22"),"TON")&gt;0,H96*'General Information'!$D$26/('General Information'!$D$26+'General Information'!$D$27),H96),"0")&amp;""" "&amp;IF(SUMIFS(INDIRECT("'"&amp;$G$15&amp;"'!$E$13:$E$22"),INDIRECT("'"&amp;$G$15&amp;"'!$D$13:$D$22"),"TON")&gt;0,IFERROR(SUBSTITUTE(LEFT(INDEX(INDIRECT("'"&amp;$G$15&amp;"'!$B$13:$B$22"),MATCH("P-4*",INDIRECT("'"&amp;$G$15&amp;"'!$B$13:$B$22"),0)),5),"-",""),""),IFERROR(SUBSTITUTE(LEFT(INDEX(INDIRECT("'"&amp;$G$15&amp;"'!$B$13:$B$22"),MATCH("P-501*",INDIRECT("'"&amp;$G$15&amp;"'!$B$13:$B$22"),0)),5),"-",""),""))&amp;IF(I96&gt;0," on "&amp;TEXT(I96*'General Information'!$D$26/('General Information'!$D$26+'General Information'!$D$27),"0")&amp;""" "&amp;IFERROR(SUBSTITUTE(LEFT(INDEX(INDIRECT("'"&amp;$G$15&amp;"'!$B$13:$B$22"),MATCH("P-2*",INDIRECT("'"&amp;$G$15&amp;"'!$B$13:$B$22"),0)),5),"-",""),""),"")&amp;IF(J96&gt;0," on "&amp;TEXT(J96*'General Information'!$D$26/('General Information'!$D$26+'General Information'!$D$27),"0")&amp;""" P154",""))</f>
        <v>11" P501 on 6" P209</v>
      </c>
    </row>
    <row r="97" customFormat="false" ht="15" hidden="false" customHeight="false" outlineLevel="0" collapsed="false">
      <c r="G97" s="60" t="s">
        <v>769</v>
      </c>
    </row>
    <row r="120" customFormat="false" ht="15" hidden="false" customHeight="false" outlineLevel="0" collapsed="false">
      <c r="G120" s="60" t="s">
        <v>770</v>
      </c>
    </row>
    <row r="122" customFormat="false" ht="15" hidden="false" customHeight="false" outlineLevel="0" collapsed="false">
      <c r="G122" s="60" t="s">
        <v>771</v>
      </c>
    </row>
    <row r="130" customFormat="false" ht="15" hidden="false" customHeight="false" outlineLevel="0" collapsed="false">
      <c r="W130" s="130" t="s">
        <v>772</v>
      </c>
    </row>
    <row r="131" customFormat="false" ht="23.85" hidden="false" customHeight="false" outlineLevel="0" collapsed="false">
      <c r="W131" s="132" t="s">
        <v>720</v>
      </c>
      <c r="X131" s="132" t="s">
        <v>653</v>
      </c>
      <c r="Y131" s="132" t="s">
        <v>773</v>
      </c>
      <c r="Z131" s="132" t="s">
        <v>774</v>
      </c>
      <c r="AA131" s="132" t="s">
        <v>59</v>
      </c>
      <c r="AB131" s="132" t="s">
        <v>775</v>
      </c>
      <c r="AC131" s="132"/>
      <c r="AD131" s="132" t="s">
        <v>776</v>
      </c>
      <c r="AE131" s="132" t="s">
        <v>774</v>
      </c>
      <c r="AF131" s="132" t="s">
        <v>777</v>
      </c>
      <c r="AG131" s="132"/>
      <c r="AH131" s="132" t="s">
        <v>778</v>
      </c>
      <c r="AI131" s="132" t="s">
        <v>779</v>
      </c>
    </row>
    <row r="132" customFormat="false" ht="15" hidden="false" customHeight="false" outlineLevel="0" collapsed="false">
      <c r="W132" s="136" t="s">
        <v>73</v>
      </c>
      <c r="X132" s="136" t="s">
        <v>74</v>
      </c>
      <c r="Y132" s="159"/>
      <c r="Z132" s="159"/>
      <c r="AA132" s="136" t="s">
        <v>77</v>
      </c>
      <c r="AB132" s="136"/>
      <c r="AD132" s="159" t="n">
        <f aca="false">IFERROR(IF(INDEX($Y$132:$Y$210,MATCH('General Information'!$D$10,$X$132:$X$210,0))="","",INDEX($Y$132:$Y$210,MATCH('General Information'!$D$10,$X$132:$X$210,0))),"")</f>
        <v>-88.91561</v>
      </c>
      <c r="AE132" s="159" t="n">
        <f aca="false">IFERROR(IF(INDEX($Z$132:$Z$210,MATCH('General Information'!$D$10,$X$132:$X$210,0))="","",INDEX($Z$132:$Z$210,MATCH('General Information'!$D$10,$X$132:$X$210,0))),"")</f>
        <v>35.59988</v>
      </c>
      <c r="AF132" s="136" t="str">
        <f aca="false">IF('General Information'!$D$9="","",'General Information'!$D$10)</f>
        <v>MKL</v>
      </c>
      <c r="AH132" s="159" t="n">
        <v>-89.425</v>
      </c>
      <c r="AI132" s="159" t="n">
        <v>36.49889</v>
      </c>
    </row>
    <row r="133" customFormat="false" ht="15" hidden="false" customHeight="false" outlineLevel="0" collapsed="false">
      <c r="W133" s="136" t="s">
        <v>80</v>
      </c>
      <c r="X133" s="136" t="s">
        <v>81</v>
      </c>
      <c r="Y133" s="159" t="n">
        <v>-88.19535</v>
      </c>
      <c r="Z133" s="159" t="n">
        <v>35.65636</v>
      </c>
      <c r="AA133" s="136" t="s">
        <v>77</v>
      </c>
      <c r="AB133" s="136" t="n">
        <v>488</v>
      </c>
      <c r="AH133" s="159" t="n">
        <v>-88.04278</v>
      </c>
      <c r="AI133" s="159" t="n">
        <v>36.49861</v>
      </c>
    </row>
    <row r="134" customFormat="false" ht="15" hidden="false" customHeight="false" outlineLevel="0" collapsed="false">
      <c r="W134" s="136" t="s">
        <v>86</v>
      </c>
      <c r="X134" s="136" t="s">
        <v>87</v>
      </c>
      <c r="Y134" s="159" t="n">
        <v>-88.12473</v>
      </c>
      <c r="Z134" s="159" t="n">
        <v>36.00954</v>
      </c>
      <c r="AA134" s="136" t="s">
        <v>77</v>
      </c>
      <c r="AB134" s="136" t="n">
        <v>468</v>
      </c>
      <c r="AH134" s="159" t="n">
        <v>-88.04</v>
      </c>
      <c r="AI134" s="159" t="n">
        <v>36.57389</v>
      </c>
    </row>
    <row r="135" customFormat="false" ht="15" hidden="false" customHeight="false" outlineLevel="0" collapsed="false">
      <c r="W135" s="136" t="s">
        <v>98</v>
      </c>
      <c r="X135" s="136" t="s">
        <v>99</v>
      </c>
      <c r="Y135" s="159" t="n">
        <v>-88.4633</v>
      </c>
      <c r="Z135" s="159" t="n">
        <v>36.0893</v>
      </c>
      <c r="AA135" s="136" t="s">
        <v>77</v>
      </c>
      <c r="AB135" s="136" t="n">
        <v>497</v>
      </c>
      <c r="AH135" s="159" t="n">
        <v>-88.07528</v>
      </c>
      <c r="AI135" s="159" t="n">
        <v>36.69055</v>
      </c>
    </row>
    <row r="136" customFormat="false" ht="15" hidden="false" customHeight="false" outlineLevel="0" collapsed="false">
      <c r="W136" s="136" t="s">
        <v>110</v>
      </c>
      <c r="X136" s="136" t="s">
        <v>111</v>
      </c>
      <c r="Y136" s="159" t="n">
        <v>-89.933</v>
      </c>
      <c r="Z136" s="159" t="n">
        <v>35.27848</v>
      </c>
      <c r="AA136" s="136" t="s">
        <v>77</v>
      </c>
      <c r="AB136" s="136" t="n">
        <v>247</v>
      </c>
      <c r="AH136" s="159" t="n">
        <v>-87.85833</v>
      </c>
      <c r="AI136" s="159" t="n">
        <v>36.67416</v>
      </c>
    </row>
    <row r="137" customFormat="false" ht="15" hidden="false" customHeight="false" outlineLevel="0" collapsed="false">
      <c r="W137" s="136" t="s">
        <v>137</v>
      </c>
      <c r="X137" s="136" t="s">
        <v>138</v>
      </c>
      <c r="Y137" s="159" t="n">
        <v>-89.58723</v>
      </c>
      <c r="Z137" s="159" t="n">
        <v>35.58336</v>
      </c>
      <c r="AA137" s="136" t="s">
        <v>77</v>
      </c>
      <c r="AB137" s="136" t="n">
        <v>280</v>
      </c>
      <c r="AH137" s="159" t="n">
        <v>-87.83972</v>
      </c>
      <c r="AI137" s="159" t="n">
        <v>36.63861</v>
      </c>
    </row>
    <row r="138" customFormat="false" ht="15" hidden="false" customHeight="false" outlineLevel="0" collapsed="false">
      <c r="W138" s="136" t="s">
        <v>161</v>
      </c>
      <c r="X138" s="136" t="s">
        <v>162</v>
      </c>
      <c r="Y138" s="159" t="n">
        <v>-89.40658</v>
      </c>
      <c r="Z138" s="159" t="n">
        <v>35.99797</v>
      </c>
      <c r="AA138" s="136" t="s">
        <v>77</v>
      </c>
      <c r="AB138" s="136" t="n">
        <v>338</v>
      </c>
      <c r="AH138" s="159" t="n">
        <v>-87.19056</v>
      </c>
      <c r="AI138" s="159" t="n">
        <v>36.65666</v>
      </c>
    </row>
    <row r="139" customFormat="false" ht="15" hidden="false" customHeight="false" outlineLevel="0" collapsed="false">
      <c r="W139" s="136" t="s">
        <v>178</v>
      </c>
      <c r="X139" s="136" t="s">
        <v>179</v>
      </c>
      <c r="Y139" s="159" t="n">
        <v>-88.9857</v>
      </c>
      <c r="Z139" s="159" t="n">
        <v>36.37974</v>
      </c>
      <c r="AA139" s="136" t="s">
        <v>77</v>
      </c>
      <c r="AB139" s="136" t="n">
        <v>346</v>
      </c>
      <c r="AH139" s="159" t="n">
        <v>-86.57972</v>
      </c>
      <c r="AI139" s="159" t="n">
        <v>36.65334</v>
      </c>
    </row>
    <row r="140" customFormat="false" ht="15" hidden="false" customHeight="false" outlineLevel="0" collapsed="false">
      <c r="W140" s="136" t="s">
        <v>182</v>
      </c>
      <c r="X140" s="136" t="s">
        <v>183</v>
      </c>
      <c r="Y140" s="159" t="n">
        <v>-89.39444</v>
      </c>
      <c r="Z140" s="159" t="n">
        <v>35.20769</v>
      </c>
      <c r="AA140" s="136" t="s">
        <v>77</v>
      </c>
      <c r="AB140" s="136" t="n">
        <v>436</v>
      </c>
      <c r="AH140" s="159" t="n">
        <v>-86.57167</v>
      </c>
      <c r="AI140" s="159" t="n">
        <v>36.64</v>
      </c>
    </row>
    <row r="141" customFormat="false" ht="15" hidden="false" customHeight="false" outlineLevel="0" collapsed="false">
      <c r="W141" s="136" t="s">
        <v>203</v>
      </c>
      <c r="X141" s="136" t="s">
        <v>204</v>
      </c>
      <c r="Y141" s="159" t="n">
        <v>-90.05397</v>
      </c>
      <c r="Z141" s="159" t="n">
        <v>35.20069</v>
      </c>
      <c r="AA141" s="136" t="s">
        <v>77</v>
      </c>
      <c r="AB141" s="136" t="n">
        <v>225</v>
      </c>
      <c r="AH141" s="159" t="n">
        <v>-86.52361</v>
      </c>
      <c r="AI141" s="159" t="n">
        <v>36.665</v>
      </c>
    </row>
    <row r="142" customFormat="false" ht="15" hidden="false" customHeight="false" outlineLevel="0" collapsed="false">
      <c r="W142" s="136" t="s">
        <v>208</v>
      </c>
      <c r="X142" s="136" t="s">
        <v>209</v>
      </c>
      <c r="Y142" s="159" t="n">
        <v>-88.84894</v>
      </c>
      <c r="Z142" s="159" t="n">
        <v>35.93245</v>
      </c>
      <c r="AA142" s="136" t="s">
        <v>77</v>
      </c>
      <c r="AB142" s="136" t="n">
        <v>358</v>
      </c>
      <c r="AH142" s="159" t="n">
        <v>-85.95944</v>
      </c>
      <c r="AI142" s="159" t="n">
        <v>36.63639</v>
      </c>
    </row>
    <row r="143" customFormat="false" ht="15" hidden="false" customHeight="false" outlineLevel="0" collapsed="false">
      <c r="W143" s="136" t="s">
        <v>232</v>
      </c>
      <c r="X143" s="136" t="s">
        <v>233</v>
      </c>
      <c r="Y143" s="159" t="n">
        <v>-88.38444</v>
      </c>
      <c r="Z143" s="159" t="n">
        <v>36.33595</v>
      </c>
      <c r="AA143" s="136" t="s">
        <v>77</v>
      </c>
      <c r="AB143" s="136" t="n">
        <v>580</v>
      </c>
      <c r="AH143" s="159" t="n">
        <v>-85.50945</v>
      </c>
      <c r="AI143" s="159" t="n">
        <v>36.62389</v>
      </c>
    </row>
    <row r="144" customFormat="false" ht="15" hidden="false" customHeight="false" outlineLevel="0" collapsed="false">
      <c r="W144" s="136" t="s">
        <v>241</v>
      </c>
      <c r="X144" s="136" t="s">
        <v>242</v>
      </c>
      <c r="Y144" s="159" t="n">
        <v>-88.87493</v>
      </c>
      <c r="Z144" s="159" t="n">
        <v>35.80218</v>
      </c>
      <c r="AA144" s="136" t="s">
        <v>77</v>
      </c>
      <c r="AB144" s="136" t="n">
        <v>421</v>
      </c>
      <c r="AH144" s="159" t="n">
        <v>-85.15472</v>
      </c>
      <c r="AI144" s="159" t="n">
        <v>36.63528</v>
      </c>
    </row>
    <row r="145" customFormat="false" ht="15" hidden="false" customHeight="false" outlineLevel="0" collapsed="false">
      <c r="W145" s="136" t="s">
        <v>63</v>
      </c>
      <c r="X145" s="136" t="s">
        <v>321</v>
      </c>
      <c r="Y145" s="159" t="n">
        <v>-88.91561</v>
      </c>
      <c r="Z145" s="159" t="n">
        <v>35.59988</v>
      </c>
      <c r="AA145" s="136" t="s">
        <v>77</v>
      </c>
      <c r="AB145" s="136" t="n">
        <v>435</v>
      </c>
      <c r="AH145" s="159" t="n">
        <v>-83.71222</v>
      </c>
      <c r="AI145" s="159" t="n">
        <v>36.5825</v>
      </c>
    </row>
    <row r="146" customFormat="false" ht="15" hidden="false" customHeight="false" outlineLevel="0" collapsed="false">
      <c r="W146" s="136" t="s">
        <v>327</v>
      </c>
      <c r="X146" s="136" t="s">
        <v>328</v>
      </c>
      <c r="Y146" s="159" t="n">
        <v>-89.97668</v>
      </c>
      <c r="Z146" s="159" t="n">
        <v>35.04241</v>
      </c>
      <c r="AA146" s="136" t="s">
        <v>77</v>
      </c>
      <c r="AB146" s="136" t="n">
        <v>341</v>
      </c>
      <c r="AH146" s="159" t="n">
        <v>-83.68111</v>
      </c>
      <c r="AI146" s="159" t="n">
        <v>36.60445</v>
      </c>
    </row>
    <row r="147" customFormat="false" ht="15" hidden="false" customHeight="false" outlineLevel="0" collapsed="false">
      <c r="W147" s="136" t="s">
        <v>329</v>
      </c>
      <c r="X147" s="136" t="s">
        <v>330</v>
      </c>
      <c r="Y147" s="159" t="n">
        <v>-89.87043</v>
      </c>
      <c r="Z147" s="159" t="n">
        <v>35.35664</v>
      </c>
      <c r="AA147" s="136" t="s">
        <v>77</v>
      </c>
      <c r="AB147" s="136" t="n">
        <v>322</v>
      </c>
      <c r="AH147" s="159" t="n">
        <v>-81.9525</v>
      </c>
      <c r="AI147" s="159" t="n">
        <v>36.59694</v>
      </c>
    </row>
    <row r="148" customFormat="false" ht="15" hidden="false" customHeight="false" outlineLevel="0" collapsed="false">
      <c r="W148" s="136" t="s">
        <v>363</v>
      </c>
      <c r="X148" s="136" t="s">
        <v>364</v>
      </c>
      <c r="Y148" s="159" t="n">
        <v>-89.34631</v>
      </c>
      <c r="Z148" s="159" t="n">
        <v>36.47533</v>
      </c>
      <c r="AA148" s="136" t="s">
        <v>77</v>
      </c>
      <c r="AB148" s="136" t="n">
        <v>289</v>
      </c>
      <c r="AH148" s="159" t="n">
        <v>-81.92278</v>
      </c>
      <c r="AI148" s="159" t="n">
        <v>36.61806</v>
      </c>
    </row>
    <row r="149" customFormat="false" ht="15" hidden="false" customHeight="false" outlineLevel="0" collapsed="false">
      <c r="W149" s="136" t="s">
        <v>367</v>
      </c>
      <c r="X149" s="136" t="s">
        <v>368</v>
      </c>
      <c r="Y149" s="159" t="n">
        <v>-88.49836</v>
      </c>
      <c r="Z149" s="159" t="n">
        <v>35.20294</v>
      </c>
      <c r="AA149" s="136" t="s">
        <v>77</v>
      </c>
      <c r="AB149" s="136" t="n">
        <v>610</v>
      </c>
      <c r="AH149" s="159" t="n">
        <v>-81.65722</v>
      </c>
      <c r="AI149" s="159" t="n">
        <v>36.61139</v>
      </c>
    </row>
    <row r="150" customFormat="false" ht="15" hidden="false" customHeight="false" outlineLevel="0" collapsed="false">
      <c r="W150" s="136" t="s">
        <v>375</v>
      </c>
      <c r="X150" s="136" t="s">
        <v>376</v>
      </c>
      <c r="Y150" s="159" t="n">
        <v>-88.21673</v>
      </c>
      <c r="Z150" s="159" t="n">
        <v>35.17025</v>
      </c>
      <c r="AA150" s="136" t="s">
        <v>77</v>
      </c>
      <c r="AB150" s="136" t="n">
        <v>473</v>
      </c>
      <c r="AH150" s="159" t="n">
        <v>-81.65083</v>
      </c>
      <c r="AI150" s="159" t="n">
        <v>36.59444</v>
      </c>
    </row>
    <row r="151" customFormat="false" ht="15" hidden="false" customHeight="false" outlineLevel="0" collapsed="false">
      <c r="W151" s="136" t="s">
        <v>410</v>
      </c>
      <c r="X151" s="136" t="s">
        <v>411</v>
      </c>
      <c r="Y151" s="159" t="n">
        <v>-89.04325</v>
      </c>
      <c r="Z151" s="159" t="n">
        <v>35.21514</v>
      </c>
      <c r="AA151" s="136" t="s">
        <v>77</v>
      </c>
      <c r="AB151" s="136" t="n">
        <v>499</v>
      </c>
      <c r="AH151" s="159" t="n">
        <v>-81.6109</v>
      </c>
      <c r="AI151" s="159" t="n">
        <v>36.59208</v>
      </c>
    </row>
    <row r="152" customFormat="false" ht="15" hidden="false" customHeight="false" outlineLevel="0" collapsed="false">
      <c r="W152" s="136" t="s">
        <v>417</v>
      </c>
      <c r="X152" s="136" t="s">
        <v>418</v>
      </c>
      <c r="Y152" s="159"/>
      <c r="Z152" s="159"/>
      <c r="AA152" s="136" t="s">
        <v>77</v>
      </c>
      <c r="AB152" s="136"/>
    </row>
    <row r="153" customFormat="false" ht="15" hidden="false" customHeight="false" outlineLevel="0" collapsed="false">
      <c r="W153" s="136" t="s">
        <v>66</v>
      </c>
      <c r="X153" s="136" t="s">
        <v>67</v>
      </c>
      <c r="Y153" s="159" t="n">
        <v>-87.05706</v>
      </c>
      <c r="Z153" s="159" t="n">
        <v>35.15408</v>
      </c>
      <c r="AA153" s="136" t="s">
        <v>70</v>
      </c>
      <c r="AB153" s="136" t="n">
        <v>689</v>
      </c>
      <c r="AH153" s="159" t="n">
        <v>-89.175</v>
      </c>
      <c r="AI153" s="159" t="n">
        <v>36.66888</v>
      </c>
    </row>
    <row r="154" customFormat="false" ht="15" hidden="false" customHeight="false" outlineLevel="0" collapsed="false">
      <c r="W154" s="136" t="s">
        <v>92</v>
      </c>
      <c r="X154" s="136" t="s">
        <v>93</v>
      </c>
      <c r="Y154" s="159" t="n">
        <v>-86.44247</v>
      </c>
      <c r="Z154" s="159" t="n">
        <v>35.5594</v>
      </c>
      <c r="AA154" s="136" t="s">
        <v>70</v>
      </c>
      <c r="AB154" s="136" t="n">
        <v>800</v>
      </c>
      <c r="AH154" s="159" t="n">
        <v>-89.22278</v>
      </c>
      <c r="AI154" s="159" t="n">
        <v>36.57667</v>
      </c>
    </row>
    <row r="155" customFormat="false" ht="15" hidden="false" customHeight="false" outlineLevel="0" collapsed="false">
      <c r="W155" s="136" t="s">
        <v>105</v>
      </c>
      <c r="X155" s="136" t="s">
        <v>106</v>
      </c>
      <c r="Y155" s="159" t="n">
        <v>-87.44538</v>
      </c>
      <c r="Z155" s="159" t="n">
        <v>35.83742</v>
      </c>
      <c r="AA155" s="136" t="s">
        <v>70</v>
      </c>
      <c r="AB155" s="136" t="n">
        <v>765</v>
      </c>
      <c r="AH155" s="159" t="n">
        <v>-89.27</v>
      </c>
      <c r="AI155" s="159" t="n">
        <v>36.56861</v>
      </c>
    </row>
    <row r="156" customFormat="false" ht="15" hidden="false" customHeight="false" outlineLevel="0" collapsed="false">
      <c r="W156" s="136" t="s">
        <v>155</v>
      </c>
      <c r="X156" s="136" t="s">
        <v>156</v>
      </c>
      <c r="Y156" s="159" t="n">
        <v>-87.42984</v>
      </c>
      <c r="Z156" s="159" t="n">
        <v>36.12796</v>
      </c>
      <c r="AA156" s="136" t="s">
        <v>70</v>
      </c>
      <c r="AB156" s="136" t="n">
        <v>892</v>
      </c>
      <c r="AH156" s="159" t="n">
        <v>-89.33889</v>
      </c>
      <c r="AI156" s="159" t="n">
        <v>36.62556</v>
      </c>
    </row>
    <row r="157" customFormat="false" ht="15" hidden="false" customHeight="false" outlineLevel="0" collapsed="false">
      <c r="W157" s="136" t="s">
        <v>173</v>
      </c>
      <c r="X157" s="136" t="s">
        <v>174</v>
      </c>
      <c r="Y157" s="159" t="n">
        <v>-86.80389</v>
      </c>
      <c r="Z157" s="159" t="n">
        <v>35.50697</v>
      </c>
      <c r="AA157" s="136" t="s">
        <v>70</v>
      </c>
      <c r="AB157" s="136" t="n">
        <v>718</v>
      </c>
      <c r="AH157" s="159" t="n">
        <v>-89.37222</v>
      </c>
      <c r="AI157" s="159" t="n">
        <v>36.62778</v>
      </c>
    </row>
    <row r="158" customFormat="false" ht="15" hidden="false" customHeight="false" outlineLevel="0" collapsed="false">
      <c r="W158" s="136" t="s">
        <v>186</v>
      </c>
      <c r="X158" s="136" t="s">
        <v>187</v>
      </c>
      <c r="Y158" s="159" t="n">
        <v>-86.564</v>
      </c>
      <c r="Z158" s="159" t="n">
        <v>35.05969</v>
      </c>
      <c r="AA158" s="136" t="s">
        <v>70</v>
      </c>
      <c r="AB158" s="136" t="n">
        <v>984</v>
      </c>
      <c r="AH158" s="159" t="n">
        <v>-89.42639</v>
      </c>
      <c r="AI158" s="159" t="n">
        <v>36.49695</v>
      </c>
    </row>
    <row r="159" customFormat="false" ht="15" hidden="false" customHeight="false" outlineLevel="0" collapsed="false">
      <c r="W159" s="136" t="s">
        <v>191</v>
      </c>
      <c r="X159" s="136" t="s">
        <v>192</v>
      </c>
      <c r="Y159" s="159" t="n">
        <v>-85.89815</v>
      </c>
      <c r="Z159" s="159" t="n">
        <v>35.20515</v>
      </c>
      <c r="AA159" s="136" t="s">
        <v>70</v>
      </c>
      <c r="AB159" s="136" t="n">
        <v>1953</v>
      </c>
      <c r="AH159" s="159" t="n">
        <v>-89.48583</v>
      </c>
      <c r="AI159" s="159" t="n">
        <v>36.44833</v>
      </c>
    </row>
    <row r="160" customFormat="false" ht="15" hidden="false" customHeight="false" outlineLevel="0" collapsed="false">
      <c r="W160" s="136" t="s">
        <v>220</v>
      </c>
      <c r="X160" s="136" t="s">
        <v>221</v>
      </c>
      <c r="Y160" s="159" t="n">
        <v>-87.96827</v>
      </c>
      <c r="Z160" s="159" t="n">
        <v>35.38303</v>
      </c>
      <c r="AA160" s="136" t="s">
        <v>70</v>
      </c>
      <c r="AB160" s="136" t="n">
        <v>407</v>
      </c>
      <c r="AH160" s="159" t="n">
        <v>-89.50777</v>
      </c>
      <c r="AI160" s="159" t="n">
        <v>36.45639</v>
      </c>
    </row>
    <row r="161" customFormat="false" ht="15" hidden="false" customHeight="false" outlineLevel="0" collapsed="false">
      <c r="W161" s="136" t="s">
        <v>236</v>
      </c>
      <c r="X161" s="136" t="s">
        <v>237</v>
      </c>
      <c r="Y161" s="159" t="n">
        <v>-87.9167</v>
      </c>
      <c r="Z161" s="159" t="n">
        <v>36.31672</v>
      </c>
      <c r="AA161" s="136" t="s">
        <v>70</v>
      </c>
      <c r="AB161" s="136" t="n">
        <v>370</v>
      </c>
      <c r="AH161" s="159" t="n">
        <v>-89.48889</v>
      </c>
      <c r="AI161" s="159" t="n">
        <v>36.51889</v>
      </c>
    </row>
    <row r="162" customFormat="false" ht="15" hidden="false" customHeight="false" outlineLevel="0" collapsed="false">
      <c r="W162" s="136" t="s">
        <v>244</v>
      </c>
      <c r="X162" s="136" t="s">
        <v>245</v>
      </c>
      <c r="Y162" s="159" t="n">
        <v>-87.73817</v>
      </c>
      <c r="Z162" s="159" t="n">
        <v>36.11661</v>
      </c>
      <c r="AA162" s="136" t="s">
        <v>70</v>
      </c>
      <c r="AB162" s="136" t="n">
        <v>756</v>
      </c>
      <c r="AH162" s="159" t="n">
        <v>-89.50417</v>
      </c>
      <c r="AI162" s="159" t="n">
        <v>36.55667</v>
      </c>
    </row>
    <row r="163" customFormat="false" ht="15" hidden="false" customHeight="false" outlineLevel="0" collapsed="false">
      <c r="W163" s="136" t="s">
        <v>248</v>
      </c>
      <c r="X163" s="136" t="s">
        <v>249</v>
      </c>
      <c r="Y163" s="159" t="n">
        <v>-85.64132</v>
      </c>
      <c r="Z163" s="159" t="n">
        <v>36.39682</v>
      </c>
      <c r="AA163" s="136" t="s">
        <v>70</v>
      </c>
      <c r="AB163" s="136" t="n">
        <v>517</v>
      </c>
      <c r="AH163" s="159" t="n">
        <v>-89.54611</v>
      </c>
      <c r="AI163" s="159" t="n">
        <v>36.56639</v>
      </c>
    </row>
    <row r="164" customFormat="false" ht="15" hidden="false" customHeight="false" outlineLevel="0" collapsed="false">
      <c r="W164" s="136" t="s">
        <v>253</v>
      </c>
      <c r="X164" s="136" t="s">
        <v>254</v>
      </c>
      <c r="Y164" s="159" t="n">
        <v>-87.87663</v>
      </c>
      <c r="Z164" s="159" t="n">
        <v>35.59484</v>
      </c>
      <c r="AA164" s="136" t="s">
        <v>70</v>
      </c>
      <c r="AB164" s="136" t="n">
        <v>740</v>
      </c>
      <c r="AH164" s="159" t="n">
        <v>-89.57528</v>
      </c>
      <c r="AI164" s="159" t="n">
        <v>36.54445</v>
      </c>
    </row>
    <row r="165" customFormat="false" ht="15" hidden="false" customHeight="false" outlineLevel="0" collapsed="false">
      <c r="W165" s="136" t="s">
        <v>257</v>
      </c>
      <c r="X165" s="136" t="s">
        <v>258</v>
      </c>
      <c r="Y165" s="159" t="n">
        <v>-84.94665</v>
      </c>
      <c r="Z165" s="159" t="n">
        <v>36.3497</v>
      </c>
      <c r="AA165" s="136" t="s">
        <v>70</v>
      </c>
      <c r="AB165" s="136" t="n">
        <v>1694</v>
      </c>
      <c r="AH165" s="159" t="n">
        <v>-89.57611</v>
      </c>
      <c r="AI165" s="159" t="n">
        <v>36.51778</v>
      </c>
    </row>
    <row r="166" customFormat="false" ht="15" hidden="false" customHeight="false" outlineLevel="0" collapsed="false">
      <c r="W166" s="136" t="s">
        <v>262</v>
      </c>
      <c r="X166" s="136" t="s">
        <v>263</v>
      </c>
      <c r="Y166" s="159" t="n">
        <v>-87.59732</v>
      </c>
      <c r="Z166" s="159" t="n">
        <v>35.54597</v>
      </c>
      <c r="AA166" s="136" t="s">
        <v>70</v>
      </c>
      <c r="AB166" s="136" t="n">
        <v>972</v>
      </c>
      <c r="AH166" s="159" t="n">
        <v>-89.54361</v>
      </c>
      <c r="AI166" s="159" t="n">
        <v>36.47945</v>
      </c>
    </row>
    <row r="167" customFormat="false" ht="15" hidden="false" customHeight="false" outlineLevel="0" collapsed="false">
      <c r="W167" s="136" t="s">
        <v>266</v>
      </c>
      <c r="X167" s="136" t="s">
        <v>267</v>
      </c>
      <c r="Y167" s="159" t="n">
        <v>-86.88649</v>
      </c>
      <c r="Z167" s="159" t="n">
        <v>36.18302</v>
      </c>
      <c r="AA167" s="136" t="s">
        <v>70</v>
      </c>
      <c r="AB167" s="136" t="n">
        <v>501</v>
      </c>
      <c r="AH167" s="159" t="n">
        <v>-89.55695</v>
      </c>
      <c r="AI167" s="159" t="n">
        <v>36.45167</v>
      </c>
    </row>
    <row r="168" customFormat="false" ht="15" hidden="false" customHeight="false" outlineLevel="0" collapsed="false">
      <c r="W168" s="136" t="s">
        <v>284</v>
      </c>
      <c r="X168" s="136" t="s">
        <v>285</v>
      </c>
      <c r="Y168" s="159" t="n">
        <v>-86.05806</v>
      </c>
      <c r="Z168" s="159" t="n">
        <v>36.52003</v>
      </c>
      <c r="AA168" s="136" t="s">
        <v>70</v>
      </c>
      <c r="AB168" s="136" t="n">
        <v>969</v>
      </c>
      <c r="AH168" s="159" t="n">
        <v>-89.52778</v>
      </c>
      <c r="AI168" s="159" t="n">
        <v>36.37527</v>
      </c>
    </row>
    <row r="169" customFormat="false" ht="15" hidden="false" customHeight="false" outlineLevel="0" collapsed="false">
      <c r="W169" s="136" t="s">
        <v>289</v>
      </c>
      <c r="X169" s="136" t="s">
        <v>290</v>
      </c>
      <c r="Y169" s="159" t="n">
        <v>-87.25794</v>
      </c>
      <c r="Z169" s="159" t="n">
        <v>35.2343</v>
      </c>
      <c r="AA169" s="136" t="s">
        <v>70</v>
      </c>
      <c r="AB169" s="136" t="n">
        <v>936</v>
      </c>
      <c r="AH169" s="159" t="n">
        <v>-89.55417</v>
      </c>
      <c r="AI169" s="159" t="n">
        <v>36.34889</v>
      </c>
    </row>
    <row r="170" customFormat="false" ht="15" hidden="false" customHeight="false" outlineLevel="0" collapsed="false">
      <c r="W170" s="136" t="s">
        <v>293</v>
      </c>
      <c r="X170" s="136" t="s">
        <v>294</v>
      </c>
      <c r="Y170" s="159" t="n">
        <v>-86.31569</v>
      </c>
      <c r="Z170" s="159" t="n">
        <v>36.19041</v>
      </c>
      <c r="AA170" s="136" t="s">
        <v>70</v>
      </c>
      <c r="AB170" s="136" t="n">
        <v>588</v>
      </c>
      <c r="AH170" s="159" t="n">
        <v>-89.61583</v>
      </c>
      <c r="AI170" s="159" t="n">
        <v>36.34473</v>
      </c>
    </row>
    <row r="171" customFormat="false" ht="15" hidden="false" customHeight="false" outlineLevel="0" collapsed="false">
      <c r="W171" s="136" t="s">
        <v>297</v>
      </c>
      <c r="X171" s="136" t="s">
        <v>298</v>
      </c>
      <c r="Y171" s="159" t="n">
        <v>-85.31046</v>
      </c>
      <c r="Z171" s="159" t="n">
        <v>36.4135</v>
      </c>
      <c r="AA171" s="136" t="s">
        <v>70</v>
      </c>
      <c r="AB171" s="136" t="n">
        <v>1372</v>
      </c>
      <c r="AH171" s="159" t="n">
        <v>-89.62917</v>
      </c>
      <c r="AI171" s="159" t="n">
        <v>36.31694</v>
      </c>
    </row>
    <row r="172" customFormat="false" ht="15" hidden="false" customHeight="false" outlineLevel="0" collapsed="false">
      <c r="W172" s="136" t="s">
        <v>314</v>
      </c>
      <c r="X172" s="136" t="s">
        <v>315</v>
      </c>
      <c r="Y172" s="159" t="n">
        <v>-87.17914</v>
      </c>
      <c r="Z172" s="159" t="n">
        <v>35.55434</v>
      </c>
      <c r="AA172" s="136" t="s">
        <v>70</v>
      </c>
      <c r="AB172" s="136" t="n">
        <v>681</v>
      </c>
      <c r="AH172" s="159" t="n">
        <v>-89.55889</v>
      </c>
      <c r="AI172" s="159" t="n">
        <v>36.26584</v>
      </c>
    </row>
    <row r="173" customFormat="false" ht="15" hidden="false" customHeight="false" outlineLevel="0" collapsed="false">
      <c r="W173" s="136" t="s">
        <v>339</v>
      </c>
      <c r="X173" s="136" t="s">
        <v>340</v>
      </c>
      <c r="Y173" s="159" t="n">
        <v>-86.37747</v>
      </c>
      <c r="Z173" s="159" t="n">
        <v>35.87865</v>
      </c>
      <c r="AA173" s="136" t="s">
        <v>70</v>
      </c>
      <c r="AB173" s="136" t="n">
        <v>614</v>
      </c>
      <c r="AH173" s="159" t="n">
        <v>-89.58334</v>
      </c>
      <c r="AI173" s="159" t="n">
        <v>36.25</v>
      </c>
    </row>
    <row r="174" customFormat="false" ht="15" hidden="false" customHeight="false" outlineLevel="0" collapsed="false">
      <c r="W174" s="136" t="s">
        <v>343</v>
      </c>
      <c r="X174" s="136" t="s">
        <v>344</v>
      </c>
      <c r="Y174" s="159" t="n">
        <v>-86.40841</v>
      </c>
      <c r="Z174" s="159" t="n">
        <v>36.37508</v>
      </c>
      <c r="AA174" s="136" t="s">
        <v>70</v>
      </c>
      <c r="AB174" s="136" t="n">
        <v>583</v>
      </c>
      <c r="AH174" s="159" t="n">
        <v>-89.69111</v>
      </c>
      <c r="AI174" s="159" t="n">
        <v>36.24111</v>
      </c>
    </row>
    <row r="175" customFormat="false" ht="15" hidden="false" customHeight="false" outlineLevel="0" collapsed="false">
      <c r="W175" s="136" t="s">
        <v>347</v>
      </c>
      <c r="X175" s="136" t="s">
        <v>348</v>
      </c>
      <c r="Y175" s="159" t="n">
        <v>-86.67818</v>
      </c>
      <c r="Z175" s="159" t="n">
        <v>36.12447</v>
      </c>
      <c r="AA175" s="136" t="s">
        <v>70</v>
      </c>
      <c r="AB175" s="136" t="n">
        <v>599</v>
      </c>
      <c r="AH175" s="159" t="n">
        <v>-89.60722</v>
      </c>
      <c r="AI175" s="159" t="n">
        <v>36.13306</v>
      </c>
    </row>
    <row r="176" customFormat="false" ht="15" hidden="false" customHeight="false" outlineLevel="0" collapsed="false">
      <c r="W176" s="136" t="s">
        <v>353</v>
      </c>
      <c r="X176" s="136" t="s">
        <v>354</v>
      </c>
      <c r="Y176" s="159" t="n">
        <v>-87.41495</v>
      </c>
      <c r="Z176" s="159" t="n">
        <v>36.62186</v>
      </c>
      <c r="AA176" s="136" t="s">
        <v>70</v>
      </c>
      <c r="AB176" s="136" t="n">
        <v>550</v>
      </c>
      <c r="AH176" s="159" t="n">
        <v>-89.67416</v>
      </c>
      <c r="AI176" s="159" t="n">
        <v>36.09583</v>
      </c>
    </row>
    <row r="177" customFormat="false" ht="15" hidden="false" customHeight="false" outlineLevel="0" collapsed="false">
      <c r="W177" s="136" t="s">
        <v>357</v>
      </c>
      <c r="X177" s="136" t="s">
        <v>358</v>
      </c>
      <c r="Y177" s="159" t="n">
        <v>-86.47691</v>
      </c>
      <c r="Z177" s="159" t="n">
        <v>36.59287</v>
      </c>
      <c r="AA177" s="136" t="s">
        <v>70</v>
      </c>
      <c r="AB177" s="136" t="n">
        <v>818</v>
      </c>
      <c r="AH177" s="159" t="n">
        <v>-89.73083</v>
      </c>
      <c r="AI177" s="159" t="n">
        <v>36.00222</v>
      </c>
    </row>
    <row r="178" customFormat="false" ht="15" hidden="false" customHeight="false" outlineLevel="0" collapsed="false">
      <c r="W178" s="136" t="s">
        <v>360</v>
      </c>
      <c r="X178" s="136" t="s">
        <v>361</v>
      </c>
      <c r="Y178" s="159"/>
      <c r="Z178" s="159"/>
      <c r="AA178" s="136" t="s">
        <v>70</v>
      </c>
      <c r="AB178" s="136"/>
      <c r="AH178" s="159" t="n">
        <v>-89.66444</v>
      </c>
      <c r="AI178" s="159" t="n">
        <v>35.89778</v>
      </c>
    </row>
    <row r="179" customFormat="false" ht="15" hidden="false" customHeight="false" outlineLevel="0" collapsed="false">
      <c r="W179" s="136" t="s">
        <v>383</v>
      </c>
      <c r="X179" s="136" t="s">
        <v>384</v>
      </c>
      <c r="Y179" s="159" t="n">
        <v>-85.80911</v>
      </c>
      <c r="Z179" s="159" t="n">
        <v>35.98544</v>
      </c>
      <c r="AA179" s="136" t="s">
        <v>70</v>
      </c>
      <c r="AB179" s="136" t="n">
        <v>1084</v>
      </c>
      <c r="AH179" s="159" t="n">
        <v>-89.74889</v>
      </c>
      <c r="AI179" s="159" t="n">
        <v>35.91055</v>
      </c>
    </row>
    <row r="180" customFormat="false" ht="15" hidden="false" customHeight="false" outlineLevel="0" collapsed="false">
      <c r="W180" s="136" t="s">
        <v>387</v>
      </c>
      <c r="X180" s="136" t="s">
        <v>388</v>
      </c>
      <c r="Y180" s="159" t="n">
        <v>-86.52009</v>
      </c>
      <c r="Z180" s="159" t="n">
        <v>36.00897</v>
      </c>
      <c r="AA180" s="136" t="s">
        <v>70</v>
      </c>
      <c r="AB180" s="136" t="n">
        <v>543</v>
      </c>
      <c r="AH180" s="159" t="n">
        <v>-89.78111</v>
      </c>
      <c r="AI180" s="159" t="n">
        <v>35.87917</v>
      </c>
    </row>
    <row r="181" customFormat="false" ht="15" hidden="false" customHeight="false" outlineLevel="0" collapsed="false">
      <c r="W181" s="136" t="s">
        <v>390</v>
      </c>
      <c r="X181" s="136" t="s">
        <v>391</v>
      </c>
      <c r="Y181" s="159" t="n">
        <v>-86.92117</v>
      </c>
      <c r="Z181" s="159" t="n">
        <v>36.53669</v>
      </c>
      <c r="AA181" s="136" t="s">
        <v>70</v>
      </c>
      <c r="AB181" s="136" t="n">
        <v>706</v>
      </c>
      <c r="AH181" s="159" t="n">
        <v>-89.72639</v>
      </c>
      <c r="AI181" s="159" t="n">
        <v>35.85056</v>
      </c>
    </row>
    <row r="182" customFormat="false" ht="15" hidden="false" customHeight="false" outlineLevel="0" collapsed="false">
      <c r="W182" s="136" t="s">
        <v>398</v>
      </c>
      <c r="X182" s="136" t="s">
        <v>399</v>
      </c>
      <c r="Y182" s="159" t="n">
        <v>-86.24678</v>
      </c>
      <c r="Z182" s="159" t="n">
        <v>35.38012</v>
      </c>
      <c r="AA182" s="136" t="s">
        <v>70</v>
      </c>
      <c r="AB182" s="136" t="n">
        <v>1084</v>
      </c>
      <c r="AH182" s="159" t="n">
        <v>-89.72916</v>
      </c>
      <c r="AI182" s="159" t="n">
        <v>35.82278</v>
      </c>
    </row>
    <row r="183" customFormat="false" ht="15" hidden="false" customHeight="false" outlineLevel="0" collapsed="false">
      <c r="W183" s="136" t="s">
        <v>402</v>
      </c>
      <c r="X183" s="136" t="s">
        <v>403</v>
      </c>
      <c r="Y183" s="159" t="n">
        <v>-85.53011</v>
      </c>
      <c r="Z183" s="159" t="n">
        <v>36.05674</v>
      </c>
      <c r="AA183" s="136" t="s">
        <v>70</v>
      </c>
      <c r="AB183" s="136" t="n">
        <v>1025</v>
      </c>
      <c r="AH183" s="159" t="n">
        <v>-89.79528</v>
      </c>
      <c r="AI183" s="159" t="n">
        <v>35.81055</v>
      </c>
    </row>
    <row r="184" customFormat="false" ht="15" hidden="false" customHeight="false" outlineLevel="0" collapsed="false">
      <c r="W184" s="136" t="s">
        <v>406</v>
      </c>
      <c r="X184" s="136" t="s">
        <v>407</v>
      </c>
      <c r="Y184" s="159" t="n">
        <v>-85.84382</v>
      </c>
      <c r="Z184" s="159" t="n">
        <v>35.6987</v>
      </c>
      <c r="AA184" s="136" t="s">
        <v>70</v>
      </c>
      <c r="AB184" s="136" t="n">
        <v>1032</v>
      </c>
      <c r="AH184" s="159" t="n">
        <v>-89.80944</v>
      </c>
      <c r="AI184" s="159" t="n">
        <v>35.77417</v>
      </c>
    </row>
    <row r="185" customFormat="false" ht="15" hidden="false" customHeight="false" outlineLevel="0" collapsed="false">
      <c r="W185" s="136" t="s">
        <v>414</v>
      </c>
      <c r="X185" s="136" t="s">
        <v>415</v>
      </c>
      <c r="Y185" s="159" t="n">
        <v>-86.06617</v>
      </c>
      <c r="Z185" s="159" t="n">
        <v>35.17753</v>
      </c>
      <c r="AA185" s="136" t="s">
        <v>70</v>
      </c>
      <c r="AB185" s="136" t="n">
        <v>979</v>
      </c>
      <c r="AH185" s="159" t="n">
        <v>-89.83694</v>
      </c>
      <c r="AI185" s="159" t="n">
        <v>35.75999</v>
      </c>
    </row>
    <row r="186" customFormat="false" ht="15" hidden="false" customHeight="false" outlineLevel="0" collapsed="false">
      <c r="W186" s="136" t="s">
        <v>115</v>
      </c>
      <c r="X186" s="136" t="s">
        <v>116</v>
      </c>
      <c r="Y186" s="159"/>
      <c r="Z186" s="159"/>
      <c r="AA186" s="136" t="s">
        <v>118</v>
      </c>
      <c r="AB186" s="136"/>
      <c r="AH186" s="159" t="n">
        <v>-89.95944</v>
      </c>
      <c r="AI186" s="159" t="n">
        <v>35.73833</v>
      </c>
    </row>
    <row r="187" customFormat="false" ht="15" hidden="false" customHeight="false" outlineLevel="0" collapsed="false">
      <c r="W187" s="136" t="s">
        <v>120</v>
      </c>
      <c r="X187" s="136" t="s">
        <v>121</v>
      </c>
      <c r="Y187" s="159" t="n">
        <v>-84.7992</v>
      </c>
      <c r="Z187" s="159" t="n">
        <v>35.21234</v>
      </c>
      <c r="AA187" s="136" t="s">
        <v>118</v>
      </c>
      <c r="AB187" s="136" t="n">
        <v>866</v>
      </c>
      <c r="AH187" s="159" t="n">
        <v>-89.96111</v>
      </c>
      <c r="AI187" s="159" t="n">
        <v>35.71389</v>
      </c>
    </row>
    <row r="188" customFormat="false" ht="15" hidden="false" customHeight="false" outlineLevel="0" collapsed="false">
      <c r="W188" s="136" t="s">
        <v>125</v>
      </c>
      <c r="X188" s="136" t="s">
        <v>126</v>
      </c>
      <c r="Y188" s="159" t="n">
        <v>-85.02007</v>
      </c>
      <c r="Z188" s="159" t="n">
        <v>35.04442</v>
      </c>
      <c r="AA188" s="136" t="s">
        <v>118</v>
      </c>
      <c r="AB188" s="136" t="n">
        <v>860</v>
      </c>
      <c r="AH188" s="159" t="n">
        <v>-89.91639</v>
      </c>
      <c r="AI188" s="159" t="n">
        <v>35.65944</v>
      </c>
    </row>
    <row r="189" customFormat="false" ht="15" hidden="false" customHeight="false" outlineLevel="0" collapsed="false">
      <c r="W189" s="136" t="s">
        <v>130</v>
      </c>
      <c r="X189" s="136" t="s">
        <v>131</v>
      </c>
      <c r="Y189" s="159" t="n">
        <v>-84.16296</v>
      </c>
      <c r="Z189" s="159" t="n">
        <v>36.33409</v>
      </c>
      <c r="AA189" s="136" t="s">
        <v>118</v>
      </c>
      <c r="AB189" s="136" t="n">
        <v>1180</v>
      </c>
      <c r="AH189" s="159" t="n">
        <v>-89.87361</v>
      </c>
      <c r="AI189" s="159" t="n">
        <v>35.67166</v>
      </c>
    </row>
    <row r="190" customFormat="false" ht="15" hidden="false" customHeight="false" outlineLevel="0" collapsed="false">
      <c r="W190" s="136" t="s">
        <v>143</v>
      </c>
      <c r="X190" s="136" t="s">
        <v>144</v>
      </c>
      <c r="Y190" s="159" t="n">
        <v>-85.08498</v>
      </c>
      <c r="Z190" s="159" t="n">
        <v>35.95129</v>
      </c>
      <c r="AA190" s="136" t="s">
        <v>118</v>
      </c>
      <c r="AB190" s="136" t="n">
        <v>1882</v>
      </c>
      <c r="AH190" s="159" t="n">
        <v>-89.85583</v>
      </c>
      <c r="AI190" s="159" t="n">
        <v>35.65167</v>
      </c>
    </row>
    <row r="191" customFormat="false" ht="15" hidden="false" customHeight="false" outlineLevel="0" collapsed="false">
      <c r="W191" s="136" t="s">
        <v>150</v>
      </c>
      <c r="X191" s="136" t="s">
        <v>151</v>
      </c>
      <c r="Y191" s="159"/>
      <c r="Z191" s="159"/>
      <c r="AA191" s="136" t="s">
        <v>118</v>
      </c>
      <c r="AB191" s="136"/>
      <c r="AH191" s="159" t="n">
        <v>-89.95</v>
      </c>
      <c r="AI191" s="159" t="n">
        <v>35.60472</v>
      </c>
    </row>
    <row r="192" customFormat="false" ht="15" hidden="false" customHeight="false" outlineLevel="0" collapsed="false">
      <c r="W192" s="136" t="s">
        <v>167</v>
      </c>
      <c r="X192" s="136" t="s">
        <v>168</v>
      </c>
      <c r="Y192" s="159" t="n">
        <v>-82.17272</v>
      </c>
      <c r="Z192" s="159" t="n">
        <v>36.37156</v>
      </c>
      <c r="AA192" s="136" t="s">
        <v>118</v>
      </c>
      <c r="AB192" s="136" t="n">
        <v>1592</v>
      </c>
      <c r="AH192" s="159" t="n">
        <v>-89.95861</v>
      </c>
      <c r="AI192" s="159" t="n">
        <v>35.58305</v>
      </c>
    </row>
    <row r="193" customFormat="false" ht="15" hidden="false" customHeight="false" outlineLevel="0" collapsed="false">
      <c r="W193" s="136" t="s">
        <v>197</v>
      </c>
      <c r="X193" s="136" t="s">
        <v>198</v>
      </c>
      <c r="Y193" s="159" t="n">
        <v>-83.5287</v>
      </c>
      <c r="Z193" s="159" t="n">
        <v>35.85776</v>
      </c>
      <c r="AA193" s="136" t="s">
        <v>118</v>
      </c>
      <c r="AB193" s="136" t="n">
        <v>1014</v>
      </c>
      <c r="AH193" s="159" t="n">
        <v>-89.93889</v>
      </c>
      <c r="AI193" s="159" t="n">
        <v>35.53889</v>
      </c>
    </row>
    <row r="194" customFormat="false" ht="15" hidden="false" customHeight="false" outlineLevel="0" collapsed="false">
      <c r="W194" s="136" t="s">
        <v>214</v>
      </c>
      <c r="X194" s="136" t="s">
        <v>215</v>
      </c>
      <c r="Y194" s="159" t="n">
        <v>-82.81137</v>
      </c>
      <c r="Z194" s="159" t="n">
        <v>36.19573</v>
      </c>
      <c r="AA194" s="136" t="s">
        <v>118</v>
      </c>
      <c r="AB194" s="136" t="n">
        <v>1608</v>
      </c>
      <c r="AH194" s="159" t="n">
        <v>-90.01639</v>
      </c>
      <c r="AI194" s="159" t="n">
        <v>35.56111</v>
      </c>
    </row>
    <row r="195" customFormat="false" ht="15" hidden="false" customHeight="false" outlineLevel="0" collapsed="false">
      <c r="W195" s="136" t="s">
        <v>227</v>
      </c>
      <c r="X195" s="136" t="s">
        <v>228</v>
      </c>
      <c r="Y195" s="159" t="n">
        <v>-82.88503</v>
      </c>
      <c r="Z195" s="159" t="n">
        <v>36.45758</v>
      </c>
      <c r="AA195" s="136" t="s">
        <v>118</v>
      </c>
      <c r="AB195" s="136" t="n">
        <v>1255</v>
      </c>
      <c r="AH195" s="159" t="n">
        <v>-90.04417</v>
      </c>
      <c r="AI195" s="159" t="n">
        <v>35.54972</v>
      </c>
    </row>
    <row r="196" customFormat="false" ht="15" hidden="false" customHeight="false" outlineLevel="0" collapsed="false">
      <c r="W196" s="136" t="s">
        <v>271</v>
      </c>
      <c r="X196" s="136" t="s">
        <v>272</v>
      </c>
      <c r="Y196" s="159" t="n">
        <v>-82.30903</v>
      </c>
      <c r="Z196" s="159" t="n">
        <v>36.36372</v>
      </c>
      <c r="AA196" s="136" t="s">
        <v>118</v>
      </c>
      <c r="AB196" s="136" t="n">
        <v>1550</v>
      </c>
      <c r="AH196" s="159" t="n">
        <v>-90.05139</v>
      </c>
      <c r="AI196" s="159" t="n">
        <v>35.5175</v>
      </c>
    </row>
    <row r="197" customFormat="false" ht="15" hidden="false" customHeight="false" outlineLevel="0" collapsed="false">
      <c r="W197" s="136" t="s">
        <v>275</v>
      </c>
      <c r="X197" s="136" t="s">
        <v>276</v>
      </c>
      <c r="Y197" s="159" t="n">
        <v>-81.82513</v>
      </c>
      <c r="Z197" s="159" t="n">
        <v>36.41784</v>
      </c>
      <c r="AA197" s="136" t="s">
        <v>118</v>
      </c>
      <c r="AB197" s="136" t="n">
        <v>2241</v>
      </c>
      <c r="AH197" s="159" t="n">
        <v>-90.00694</v>
      </c>
      <c r="AI197" s="159" t="n">
        <v>35.45639</v>
      </c>
    </row>
    <row r="198" customFormat="false" ht="15" hidden="false" customHeight="false" outlineLevel="0" collapsed="false">
      <c r="W198" s="136" t="s">
        <v>280</v>
      </c>
      <c r="X198" s="136" t="s">
        <v>281</v>
      </c>
      <c r="Y198" s="159" t="n">
        <v>-83.87367</v>
      </c>
      <c r="Z198" s="159" t="n">
        <v>35.96383</v>
      </c>
      <c r="AA198" s="136" t="s">
        <v>118</v>
      </c>
      <c r="AB198" s="136" t="n">
        <v>833</v>
      </c>
      <c r="AH198" s="159" t="n">
        <v>-90.01334</v>
      </c>
      <c r="AI198" s="159" t="n">
        <v>35.43361</v>
      </c>
    </row>
    <row r="199" customFormat="false" ht="15" hidden="false" customHeight="false" outlineLevel="0" collapsed="false">
      <c r="W199" s="136" t="s">
        <v>301</v>
      </c>
      <c r="X199" s="136" t="s">
        <v>302</v>
      </c>
      <c r="Y199" s="159" t="n">
        <v>-85.20356</v>
      </c>
      <c r="Z199" s="159" t="n">
        <v>35.03519</v>
      </c>
      <c r="AA199" s="136" t="s">
        <v>118</v>
      </c>
      <c r="AB199" s="136" t="n">
        <v>682</v>
      </c>
      <c r="AH199" s="159" t="n">
        <v>-90.05278</v>
      </c>
      <c r="AI199" s="159" t="n">
        <v>35.42194</v>
      </c>
    </row>
    <row r="200" customFormat="false" ht="15" hidden="false" customHeight="false" outlineLevel="0" collapsed="false">
      <c r="W200" s="136" t="s">
        <v>303</v>
      </c>
      <c r="X200" s="136" t="s">
        <v>304</v>
      </c>
      <c r="Y200" s="159" t="n">
        <v>-85.58531</v>
      </c>
      <c r="Z200" s="159" t="n">
        <v>35.06067</v>
      </c>
      <c r="AA200" s="136" t="s">
        <v>118</v>
      </c>
      <c r="AB200" s="136" t="n">
        <v>641</v>
      </c>
      <c r="AH200" s="159" t="n">
        <v>-90.07806</v>
      </c>
      <c r="AI200" s="159" t="n">
        <v>35.47194</v>
      </c>
    </row>
    <row r="201" customFormat="false" ht="15" hidden="false" customHeight="false" outlineLevel="0" collapsed="false">
      <c r="W201" s="136" t="s">
        <v>307</v>
      </c>
      <c r="X201" s="136" t="s">
        <v>308</v>
      </c>
      <c r="Y201" s="159" t="n">
        <v>-84.93108</v>
      </c>
      <c r="Z201" s="159" t="n">
        <v>35.48625</v>
      </c>
      <c r="AA201" s="136" t="s">
        <v>118</v>
      </c>
      <c r="AB201" s="136" t="n">
        <v>718</v>
      </c>
      <c r="AH201" s="159" t="n">
        <v>-90.10639</v>
      </c>
      <c r="AI201" s="159" t="n">
        <v>35.48334</v>
      </c>
    </row>
    <row r="202" customFormat="false" ht="15" hidden="false" customHeight="false" outlineLevel="0" collapsed="false">
      <c r="W202" s="136" t="s">
        <v>311</v>
      </c>
      <c r="X202" s="136" t="s">
        <v>312</v>
      </c>
      <c r="Y202" s="159" t="n">
        <v>-84.34683</v>
      </c>
      <c r="Z202" s="159" t="n">
        <v>35.01582</v>
      </c>
      <c r="AA202" s="136" t="s">
        <v>118</v>
      </c>
      <c r="AB202" s="136" t="n">
        <v>1789</v>
      </c>
      <c r="AH202" s="159" t="n">
        <v>-90.17889</v>
      </c>
      <c r="AI202" s="159" t="n">
        <v>35.42416</v>
      </c>
    </row>
    <row r="203" customFormat="false" ht="15" hidden="false" customHeight="false" outlineLevel="0" collapsed="false">
      <c r="W203" s="136" t="s">
        <v>318</v>
      </c>
      <c r="X203" s="136" t="s">
        <v>319</v>
      </c>
      <c r="Y203" s="159" t="n">
        <v>-83.99407</v>
      </c>
      <c r="Z203" s="159" t="n">
        <v>35.81109</v>
      </c>
      <c r="AA203" s="136" t="s">
        <v>118</v>
      </c>
      <c r="AB203" s="136" t="n">
        <v>986</v>
      </c>
      <c r="AH203" s="159" t="n">
        <v>-90.17861</v>
      </c>
      <c r="AI203" s="159" t="n">
        <v>35.38055</v>
      </c>
    </row>
    <row r="204" customFormat="false" ht="15" hidden="false" customHeight="false" outlineLevel="0" collapsed="false">
      <c r="W204" s="136" t="s">
        <v>323</v>
      </c>
      <c r="X204" s="136" t="s">
        <v>324</v>
      </c>
      <c r="Y204" s="159" t="n">
        <v>-84.56178</v>
      </c>
      <c r="Z204" s="159" t="n">
        <v>35.39919</v>
      </c>
      <c r="AA204" s="136" t="s">
        <v>118</v>
      </c>
      <c r="AB204" s="136" t="n">
        <v>874</v>
      </c>
      <c r="AH204" s="159" t="n">
        <v>-90.13306</v>
      </c>
      <c r="AI204" s="159" t="n">
        <v>35.40944</v>
      </c>
    </row>
    <row r="205" customFormat="false" ht="15" hidden="false" customHeight="false" outlineLevel="0" collapsed="false">
      <c r="W205" s="136" t="s">
        <v>331</v>
      </c>
      <c r="X205" s="136" t="s">
        <v>332</v>
      </c>
      <c r="Y205" s="159" t="n">
        <v>-84.3804</v>
      </c>
      <c r="Z205" s="159" t="n">
        <v>35.54523</v>
      </c>
      <c r="AA205" s="136" t="s">
        <v>118</v>
      </c>
      <c r="AB205" s="136" t="n">
        <v>1031</v>
      </c>
      <c r="AH205" s="159" t="n">
        <v>-90.09417</v>
      </c>
      <c r="AI205" s="159" t="n">
        <v>35.38972</v>
      </c>
    </row>
    <row r="206" customFormat="false" ht="15" hidden="false" customHeight="false" outlineLevel="0" collapsed="false">
      <c r="W206" s="136" t="s">
        <v>335</v>
      </c>
      <c r="X206" s="136" t="s">
        <v>336</v>
      </c>
      <c r="Y206" s="159" t="n">
        <v>-83.37545</v>
      </c>
      <c r="Z206" s="159" t="n">
        <v>36.17938</v>
      </c>
      <c r="AA206" s="136" t="s">
        <v>118</v>
      </c>
      <c r="AB206" s="136" t="n">
        <v>1313</v>
      </c>
      <c r="AH206" s="159" t="n">
        <v>-90.11361</v>
      </c>
      <c r="AI206" s="159" t="n">
        <v>35.35777</v>
      </c>
    </row>
    <row r="207" customFormat="false" ht="15" hidden="false" customHeight="false" outlineLevel="0" collapsed="false">
      <c r="W207" s="136" t="s">
        <v>349</v>
      </c>
      <c r="X207" s="136" t="s">
        <v>350</v>
      </c>
      <c r="Y207" s="159" t="n">
        <v>-83.55719</v>
      </c>
      <c r="Z207" s="159" t="n">
        <v>36.4089</v>
      </c>
      <c r="AA207" s="136" t="s">
        <v>118</v>
      </c>
      <c r="AB207" s="136" t="n">
        <v>1179</v>
      </c>
      <c r="AH207" s="159" t="n">
        <v>-90.10833</v>
      </c>
      <c r="AI207" s="159" t="n">
        <v>35.32389</v>
      </c>
    </row>
    <row r="208" customFormat="false" ht="15" hidden="false" customHeight="false" outlineLevel="0" collapsed="false">
      <c r="W208" s="136" t="s">
        <v>371</v>
      </c>
      <c r="X208" s="136" t="s">
        <v>372</v>
      </c>
      <c r="Y208" s="159" t="n">
        <v>-84.68978</v>
      </c>
      <c r="Z208" s="159" t="n">
        <v>35.92233</v>
      </c>
      <c r="AA208" s="136" t="s">
        <v>118</v>
      </c>
      <c r="AB208" s="136" t="n">
        <v>1664</v>
      </c>
      <c r="AH208" s="159" t="n">
        <v>-90.17555</v>
      </c>
      <c r="AI208" s="159" t="n">
        <v>35.285</v>
      </c>
    </row>
    <row r="209" customFormat="false" ht="15" hidden="false" customHeight="false" outlineLevel="0" collapsed="false">
      <c r="W209" s="136" t="s">
        <v>379</v>
      </c>
      <c r="X209" s="136" t="s">
        <v>380</v>
      </c>
      <c r="Y209" s="159" t="n">
        <v>-84.58575</v>
      </c>
      <c r="Z209" s="159" t="n">
        <v>36.45569</v>
      </c>
      <c r="AA209" s="136" t="s">
        <v>118</v>
      </c>
      <c r="AB209" s="136" t="n">
        <v>1545</v>
      </c>
      <c r="AH209" s="159" t="n">
        <v>-90.08389</v>
      </c>
      <c r="AI209" s="159" t="n">
        <v>35.23083</v>
      </c>
    </row>
    <row r="210" customFormat="false" ht="15" hidden="false" customHeight="false" outlineLevel="0" collapsed="false">
      <c r="W210" s="136" t="s">
        <v>394</v>
      </c>
      <c r="X210" s="136" t="s">
        <v>395</v>
      </c>
      <c r="Y210" s="159" t="n">
        <v>-82.40742</v>
      </c>
      <c r="Z210" s="159" t="n">
        <v>36.47521</v>
      </c>
      <c r="AA210" s="136" t="s">
        <v>118</v>
      </c>
      <c r="AB210" s="136" t="n">
        <v>1519</v>
      </c>
      <c r="AH210" s="159" t="n">
        <v>-90.09167</v>
      </c>
      <c r="AI210" s="159" t="n">
        <v>35.2</v>
      </c>
    </row>
    <row r="211" customFormat="false" ht="15" hidden="false" customHeight="false" outlineLevel="0" collapsed="false">
      <c r="AH211" s="159" t="n">
        <v>-90.07778</v>
      </c>
      <c r="AI211" s="159" t="n">
        <v>35.17361</v>
      </c>
    </row>
    <row r="212" customFormat="false" ht="15" hidden="false" customHeight="false" outlineLevel="0" collapsed="false">
      <c r="AH212" s="159" t="n">
        <v>-90.09222</v>
      </c>
      <c r="AI212" s="159" t="n">
        <v>35.13499</v>
      </c>
    </row>
    <row r="213" customFormat="false" ht="15" hidden="false" customHeight="false" outlineLevel="0" collapsed="false">
      <c r="AH213" s="159" t="n">
        <v>-90.17944</v>
      </c>
      <c r="AI213" s="159" t="n">
        <v>35.12305</v>
      </c>
    </row>
    <row r="214" customFormat="false" ht="15" hidden="false" customHeight="false" outlineLevel="0" collapsed="false">
      <c r="AH214" s="159" t="n">
        <v>-90.21416</v>
      </c>
      <c r="AI214" s="159" t="n">
        <v>35.05139</v>
      </c>
    </row>
    <row r="215" customFormat="false" ht="15" hidden="false" customHeight="false" outlineLevel="0" collapsed="false">
      <c r="AH215" s="159" t="n">
        <v>-90.30139</v>
      </c>
      <c r="AI215" s="159" t="n">
        <v>35.04361</v>
      </c>
    </row>
    <row r="216" customFormat="false" ht="15" hidden="false" customHeight="false" outlineLevel="0" collapsed="false">
      <c r="AH216" s="159" t="n">
        <v>-90.31306</v>
      </c>
      <c r="AI216" s="159" t="n">
        <v>35.00833</v>
      </c>
    </row>
    <row r="217" customFormat="false" ht="15" hidden="false" customHeight="false" outlineLevel="0" collapsed="false">
      <c r="AH217" s="159" t="n">
        <v>-90.26833</v>
      </c>
      <c r="AI217" s="159" t="n">
        <v>34.965</v>
      </c>
    </row>
    <row r="219" customFormat="false" ht="15" hidden="false" customHeight="false" outlineLevel="0" collapsed="false">
      <c r="AH219" s="159" t="n">
        <v>-81.65639</v>
      </c>
      <c r="AI219" s="159" t="n">
        <v>36.61056</v>
      </c>
    </row>
    <row r="220" customFormat="false" ht="15" hidden="false" customHeight="false" outlineLevel="0" collapsed="false">
      <c r="AH220" s="159" t="n">
        <v>-81.71528</v>
      </c>
      <c r="AI220" s="159" t="n">
        <v>36.53583</v>
      </c>
    </row>
    <row r="221" customFormat="false" ht="15" hidden="false" customHeight="false" outlineLevel="0" collapsed="false">
      <c r="AH221" s="159" t="n">
        <v>-81.69417</v>
      </c>
      <c r="AI221" s="159" t="n">
        <v>36.49167</v>
      </c>
    </row>
    <row r="222" customFormat="false" ht="15" hidden="false" customHeight="false" outlineLevel="0" collapsed="false">
      <c r="AH222" s="159" t="n">
        <v>-81.74583</v>
      </c>
      <c r="AI222" s="159" t="n">
        <v>36.40388</v>
      </c>
    </row>
    <row r="223" customFormat="false" ht="15" hidden="false" customHeight="false" outlineLevel="0" collapsed="false">
      <c r="AH223" s="159" t="n">
        <v>-81.71167</v>
      </c>
      <c r="AI223" s="159" t="n">
        <v>36.34473</v>
      </c>
    </row>
    <row r="224" customFormat="false" ht="15" hidden="false" customHeight="false" outlineLevel="0" collapsed="false">
      <c r="AH224" s="159" t="n">
        <v>-81.80944</v>
      </c>
      <c r="AI224" s="159" t="n">
        <v>36.36166</v>
      </c>
    </row>
    <row r="225" customFormat="false" ht="15" hidden="false" customHeight="false" outlineLevel="0" collapsed="false">
      <c r="AH225" s="159" t="n">
        <v>-81.90722</v>
      </c>
      <c r="AI225" s="159" t="n">
        <v>36.30806</v>
      </c>
    </row>
    <row r="226" customFormat="false" ht="15" hidden="false" customHeight="false" outlineLevel="0" collapsed="false">
      <c r="AH226" s="159" t="n">
        <v>-82.03194</v>
      </c>
      <c r="AI226" s="159" t="n">
        <v>36.12695</v>
      </c>
    </row>
    <row r="227" customFormat="false" ht="15" hidden="false" customHeight="false" outlineLevel="0" collapsed="false">
      <c r="AH227" s="159" t="n">
        <v>-82.05639</v>
      </c>
      <c r="AI227" s="159" t="n">
        <v>36.12666</v>
      </c>
    </row>
    <row r="228" customFormat="false" ht="15" hidden="false" customHeight="false" outlineLevel="0" collapsed="false">
      <c r="AH228" s="159" t="n">
        <v>-82.07417</v>
      </c>
      <c r="AI228" s="159" t="n">
        <v>36.10306</v>
      </c>
    </row>
    <row r="229" customFormat="false" ht="15" hidden="false" customHeight="false" outlineLevel="0" collapsed="false">
      <c r="AH229" s="159" t="n">
        <v>-82.12417</v>
      </c>
      <c r="AI229" s="159" t="n">
        <v>36.10695</v>
      </c>
    </row>
    <row r="230" customFormat="false" ht="15" hidden="false" customHeight="false" outlineLevel="0" collapsed="false">
      <c r="AH230" s="159" t="n">
        <v>-82.14694</v>
      </c>
      <c r="AI230" s="159" t="n">
        <v>36.14389</v>
      </c>
    </row>
    <row r="231" customFormat="false" ht="15" hidden="false" customHeight="false" outlineLevel="0" collapsed="false">
      <c r="AH231" s="159" t="n">
        <v>-82.20556</v>
      </c>
      <c r="AI231" s="159" t="n">
        <v>36.16111</v>
      </c>
    </row>
    <row r="232" customFormat="false" ht="15" hidden="false" customHeight="false" outlineLevel="0" collapsed="false">
      <c r="AH232" s="159" t="n">
        <v>-82.26</v>
      </c>
      <c r="AI232" s="159" t="n">
        <v>36.13389</v>
      </c>
    </row>
    <row r="233" customFormat="false" ht="15" hidden="false" customHeight="false" outlineLevel="0" collapsed="false">
      <c r="AH233" s="159" t="n">
        <v>-82.29305</v>
      </c>
      <c r="AI233" s="159" t="n">
        <v>36.1375</v>
      </c>
    </row>
    <row r="234" customFormat="false" ht="15" hidden="false" customHeight="false" outlineLevel="0" collapsed="false">
      <c r="AH234" s="159" t="n">
        <v>-82.38223</v>
      </c>
      <c r="AI234" s="159" t="n">
        <v>36.105</v>
      </c>
    </row>
    <row r="235" customFormat="false" ht="15" hidden="false" customHeight="false" outlineLevel="0" collapsed="false">
      <c r="AH235" s="159" t="n">
        <v>-82.48</v>
      </c>
      <c r="AI235" s="159" t="n">
        <v>35.99917</v>
      </c>
    </row>
    <row r="236" customFormat="false" ht="15" hidden="false" customHeight="false" outlineLevel="0" collapsed="false">
      <c r="AH236" s="159" t="n">
        <v>-82.55917</v>
      </c>
      <c r="AI236" s="159" t="n">
        <v>35.96111</v>
      </c>
    </row>
    <row r="237" customFormat="false" ht="15" hidden="false" customHeight="false" outlineLevel="0" collapsed="false">
      <c r="AH237" s="159" t="n">
        <v>-82.59472</v>
      </c>
      <c r="AI237" s="159" t="n">
        <v>35.98028</v>
      </c>
    </row>
    <row r="238" customFormat="false" ht="15" hidden="false" customHeight="false" outlineLevel="0" collapsed="false">
      <c r="AH238" s="159" t="n">
        <v>-82.59</v>
      </c>
      <c r="AI238" s="159" t="n">
        <v>36.03278</v>
      </c>
    </row>
    <row r="239" customFormat="false" ht="15" hidden="false" customHeight="false" outlineLevel="0" collapsed="false">
      <c r="AH239" s="159" t="n">
        <v>-82.63028</v>
      </c>
      <c r="AI239" s="159" t="n">
        <v>36.06306</v>
      </c>
    </row>
    <row r="240" customFormat="false" ht="15" hidden="false" customHeight="false" outlineLevel="0" collapsed="false">
      <c r="AH240" s="159" t="n">
        <v>-82.77084</v>
      </c>
      <c r="AI240" s="159" t="n">
        <v>36</v>
      </c>
    </row>
    <row r="241" customFormat="false" ht="15" hidden="false" customHeight="false" outlineLevel="0" collapsed="false">
      <c r="AH241" s="159" t="n">
        <v>-82.80417</v>
      </c>
      <c r="AI241" s="159" t="n">
        <v>35.93278</v>
      </c>
    </row>
    <row r="242" customFormat="false" ht="15" hidden="false" customHeight="false" outlineLevel="0" collapsed="false">
      <c r="AH242" s="159" t="n">
        <v>-82.86555</v>
      </c>
      <c r="AI242" s="159" t="n">
        <v>35.95639</v>
      </c>
    </row>
    <row r="243" customFormat="false" ht="15" hidden="false" customHeight="false" outlineLevel="0" collapsed="false">
      <c r="AH243" s="159" t="n">
        <v>-82.90417</v>
      </c>
      <c r="AI243" s="159" t="n">
        <v>35.95028</v>
      </c>
    </row>
    <row r="244" customFormat="false" ht="15" hidden="false" customHeight="false" outlineLevel="0" collapsed="false">
      <c r="AH244" s="159" t="n">
        <v>-82.91778</v>
      </c>
      <c r="AI244" s="159" t="n">
        <v>35.92027</v>
      </c>
    </row>
    <row r="245" customFormat="false" ht="15" hidden="false" customHeight="false" outlineLevel="0" collapsed="false">
      <c r="AH245" s="159" t="n">
        <v>-82.90472</v>
      </c>
      <c r="AI245" s="159" t="n">
        <v>35.88389</v>
      </c>
    </row>
    <row r="246" customFormat="false" ht="15" hidden="false" customHeight="false" outlineLevel="0" collapsed="false">
      <c r="AH246" s="159" t="n">
        <v>-82.98722</v>
      </c>
      <c r="AI246" s="159" t="n">
        <v>35.78166</v>
      </c>
    </row>
    <row r="247" customFormat="false" ht="15" hidden="false" customHeight="false" outlineLevel="0" collapsed="false">
      <c r="AH247" s="159" t="n">
        <v>-83.075</v>
      </c>
      <c r="AI247" s="159" t="n">
        <v>35.79167</v>
      </c>
    </row>
    <row r="248" customFormat="false" ht="15" hidden="false" customHeight="false" outlineLevel="0" collapsed="false">
      <c r="AH248" s="159" t="n">
        <v>-83.16278</v>
      </c>
      <c r="AI248" s="159" t="n">
        <v>35.76139</v>
      </c>
    </row>
    <row r="249" customFormat="false" ht="15" hidden="false" customHeight="false" outlineLevel="0" collapsed="false">
      <c r="AH249" s="159" t="n">
        <v>-83.24639</v>
      </c>
      <c r="AI249" s="159" t="n">
        <v>35.71667</v>
      </c>
    </row>
    <row r="250" customFormat="false" ht="15" hidden="false" customHeight="false" outlineLevel="0" collapsed="false">
      <c r="AH250" s="159" t="n">
        <v>-83.29305</v>
      </c>
      <c r="AI250" s="159" t="n">
        <v>35.66583</v>
      </c>
    </row>
    <row r="251" customFormat="false" ht="15" hidden="false" customHeight="false" outlineLevel="0" collapsed="false">
      <c r="AH251" s="159" t="n">
        <v>-83.3375</v>
      </c>
      <c r="AI251" s="159" t="n">
        <v>35.66806</v>
      </c>
    </row>
    <row r="252" customFormat="false" ht="15" hidden="false" customHeight="false" outlineLevel="0" collapsed="false">
      <c r="AH252" s="159" t="n">
        <v>-83.37417</v>
      </c>
      <c r="AI252" s="159" t="n">
        <v>35.63722</v>
      </c>
    </row>
    <row r="253" customFormat="false" ht="15" hidden="false" customHeight="false" outlineLevel="0" collapsed="false">
      <c r="AH253" s="159" t="n">
        <v>-83.44611</v>
      </c>
      <c r="AI253" s="159" t="n">
        <v>35.61222</v>
      </c>
    </row>
    <row r="254" customFormat="false" ht="15" hidden="false" customHeight="false" outlineLevel="0" collapsed="false">
      <c r="AH254" s="159" t="n">
        <v>-83.49223</v>
      </c>
      <c r="AI254" s="159" t="n">
        <v>35.57111</v>
      </c>
    </row>
    <row r="255" customFormat="false" ht="15" hidden="false" customHeight="false" outlineLevel="0" collapsed="false">
      <c r="AH255" s="159" t="n">
        <v>-83.57222</v>
      </c>
      <c r="AI255" s="159" t="n">
        <v>35.55888</v>
      </c>
    </row>
    <row r="256" customFormat="false" ht="15" hidden="false" customHeight="false" outlineLevel="0" collapsed="false">
      <c r="AH256" s="159" t="n">
        <v>-83.60722</v>
      </c>
      <c r="AI256" s="159" t="n">
        <v>35.58112</v>
      </c>
    </row>
    <row r="257" customFormat="false" ht="15" hidden="false" customHeight="false" outlineLevel="0" collapsed="false">
      <c r="AH257" s="159" t="n">
        <v>-83.63722</v>
      </c>
      <c r="AI257" s="159" t="n">
        <v>35.56528</v>
      </c>
    </row>
    <row r="258" customFormat="false" ht="15" hidden="false" customHeight="false" outlineLevel="0" collapsed="false">
      <c r="AH258" s="159" t="n">
        <v>-83.74111</v>
      </c>
      <c r="AI258" s="159" t="n">
        <v>35.56583</v>
      </c>
    </row>
    <row r="259" customFormat="false" ht="15" hidden="false" customHeight="false" outlineLevel="0" collapsed="false">
      <c r="AH259" s="159" t="n">
        <v>-83.88695</v>
      </c>
      <c r="AI259" s="159" t="n">
        <v>35.51556</v>
      </c>
    </row>
    <row r="260" customFormat="false" ht="15" hidden="false" customHeight="false" outlineLevel="0" collapsed="false">
      <c r="AH260" s="159" t="n">
        <v>-83.925</v>
      </c>
      <c r="AI260" s="159" t="n">
        <v>35.46611</v>
      </c>
    </row>
    <row r="261" customFormat="false" ht="15" hidden="false" customHeight="false" outlineLevel="0" collapsed="false">
      <c r="AH261" s="159" t="n">
        <v>-83.97945</v>
      </c>
      <c r="AI261" s="159" t="n">
        <v>35.45222</v>
      </c>
    </row>
    <row r="262" customFormat="false" ht="15" hidden="false" customHeight="false" outlineLevel="0" collapsed="false">
      <c r="AH262" s="159" t="n">
        <v>-84.01195</v>
      </c>
      <c r="AI262" s="159" t="n">
        <v>35.425</v>
      </c>
    </row>
    <row r="263" customFormat="false" ht="15" hidden="false" customHeight="false" outlineLevel="0" collapsed="false">
      <c r="AH263" s="159" t="n">
        <v>-84.05083</v>
      </c>
      <c r="AI263" s="159" t="n">
        <v>35.28583</v>
      </c>
    </row>
    <row r="264" customFormat="false" ht="15" hidden="false" customHeight="false" outlineLevel="0" collapsed="false">
      <c r="AH264" s="159" t="n">
        <v>-84.07917</v>
      </c>
      <c r="AI264" s="159" t="n">
        <v>35.265</v>
      </c>
    </row>
    <row r="265" customFormat="false" ht="15" hidden="false" customHeight="false" outlineLevel="0" collapsed="false">
      <c r="AH265" s="159" t="n">
        <v>-84.19305</v>
      </c>
      <c r="AI265" s="159" t="n">
        <v>35.25195</v>
      </c>
    </row>
    <row r="266" customFormat="false" ht="15" hidden="false" customHeight="false" outlineLevel="0" collapsed="false">
      <c r="AH266" s="159" t="n">
        <v>-84.23833</v>
      </c>
      <c r="AI266" s="159" t="n">
        <v>35.27</v>
      </c>
    </row>
    <row r="267" customFormat="false" ht="15" hidden="false" customHeight="false" outlineLevel="0" collapsed="false">
      <c r="AH267" s="159" t="n">
        <v>-84.29111</v>
      </c>
      <c r="AI267" s="159" t="n">
        <v>35.23</v>
      </c>
    </row>
    <row r="268" customFormat="false" ht="15" hidden="false" customHeight="false" outlineLevel="0" collapsed="false">
      <c r="AH268" s="159" t="n">
        <v>-84.32417</v>
      </c>
      <c r="AI268" s="159" t="n">
        <v>34.98611</v>
      </c>
    </row>
    <row r="270" customFormat="false" ht="15" hidden="false" customHeight="false" outlineLevel="0" collapsed="false">
      <c r="AH270" s="159" t="n">
        <v>-86.83361</v>
      </c>
      <c r="AI270" s="159" t="n">
        <v>34.99944</v>
      </c>
    </row>
    <row r="271" customFormat="false" ht="15" hidden="false" customHeight="false" outlineLevel="0" collapsed="false">
      <c r="AH271" s="159" t="n">
        <v>-84.58417</v>
      </c>
      <c r="AI271" s="159" t="n">
        <v>35</v>
      </c>
    </row>
    <row r="273" customFormat="false" ht="15" hidden="false" customHeight="false" outlineLevel="0" collapsed="false">
      <c r="AH273" s="159" t="n">
        <v>-90.30083</v>
      </c>
      <c r="AI273" s="159" t="n">
        <v>35.00166</v>
      </c>
    </row>
    <row r="274" customFormat="false" ht="15" hidden="false" customHeight="false" outlineLevel="0" collapsed="false">
      <c r="AH274" s="159" t="n">
        <v>-88.19083</v>
      </c>
      <c r="AI274" s="159" t="n">
        <v>35.0025</v>
      </c>
    </row>
    <row r="276" customFormat="false" ht="15" hidden="false" customHeight="false" outlineLevel="0" collapsed="false">
      <c r="AH276" s="159" t="n">
        <v>-83.09778</v>
      </c>
      <c r="AI276" s="159" t="n">
        <v>35.00027</v>
      </c>
    </row>
    <row r="277" customFormat="false" ht="15" hidden="false" customHeight="false" outlineLevel="0" collapsed="false">
      <c r="AH277" s="159" t="n">
        <v>-82.7775</v>
      </c>
      <c r="AI277" s="159" t="n">
        <v>35.09138</v>
      </c>
    </row>
    <row r="278" customFormat="false" ht="15" hidden="false" customHeight="false" outlineLevel="0" collapsed="false">
      <c r="AH278" s="159" t="n">
        <v>-82.75444</v>
      </c>
      <c r="AI278" s="159" t="n">
        <v>35.07028</v>
      </c>
    </row>
    <row r="279" customFormat="false" ht="15" hidden="false" customHeight="false" outlineLevel="0" collapsed="false">
      <c r="AH279" s="159" t="n">
        <v>-82.69667</v>
      </c>
      <c r="AI279" s="159" t="n">
        <v>35.0975</v>
      </c>
    </row>
    <row r="280" customFormat="false" ht="15" hidden="false" customHeight="false" outlineLevel="0" collapsed="false">
      <c r="AH280" s="159" t="n">
        <v>-82.67722</v>
      </c>
      <c r="AI280" s="159" t="n">
        <v>35.13083</v>
      </c>
    </row>
    <row r="281" customFormat="false" ht="15" hidden="false" customHeight="false" outlineLevel="0" collapsed="false">
      <c r="AH281" s="159" t="n">
        <v>-82.65222</v>
      </c>
      <c r="AI281" s="159" t="n">
        <v>35.125</v>
      </c>
    </row>
    <row r="282" customFormat="false" ht="15" hidden="false" customHeight="false" outlineLevel="0" collapsed="false">
      <c r="AH282" s="159" t="n">
        <v>-82.48389</v>
      </c>
      <c r="AI282" s="159" t="n">
        <v>35.17667</v>
      </c>
    </row>
    <row r="283" customFormat="false" ht="15" hidden="false" customHeight="false" outlineLevel="0" collapsed="false">
      <c r="AH283" s="159" t="n">
        <v>-82.43555</v>
      </c>
      <c r="AI283" s="159" t="n">
        <v>35.17472</v>
      </c>
    </row>
    <row r="284" customFormat="false" ht="15" hidden="false" customHeight="false" outlineLevel="0" collapsed="false">
      <c r="AH284" s="159" t="n">
        <v>-82.39139</v>
      </c>
      <c r="AI284" s="159" t="n">
        <v>35.22083</v>
      </c>
    </row>
    <row r="285" customFormat="false" ht="15" hidden="false" customHeight="false" outlineLevel="0" collapsed="false">
      <c r="AH285" s="159" t="n">
        <v>-82.36806</v>
      </c>
      <c r="AI285" s="159" t="n">
        <v>35.20056</v>
      </c>
    </row>
    <row r="286" customFormat="false" ht="15" hidden="false" customHeight="false" outlineLevel="0" collapsed="false">
      <c r="AH286" s="159" t="n">
        <v>-82.325</v>
      </c>
      <c r="AI286" s="159" t="n">
        <v>35.19611</v>
      </c>
    </row>
    <row r="287" customFormat="false" ht="15" hidden="false" customHeight="false" outlineLevel="0" collapsed="false">
      <c r="AH287" s="159" t="n">
        <v>-82.29056</v>
      </c>
      <c r="AI287" s="159" t="n">
        <v>35.20694</v>
      </c>
    </row>
    <row r="288" customFormat="false" ht="15" hidden="false" customHeight="false" outlineLevel="0" collapsed="false">
      <c r="AH288" s="159" t="n">
        <v>-81.61104</v>
      </c>
      <c r="AI288" s="159" t="n">
        <v>35.18138</v>
      </c>
    </row>
    <row r="290" customFormat="false" ht="15" hidden="false" customHeight="false" outlineLevel="0" collapsed="false">
      <c r="AH290" s="159" t="n">
        <v>-84.57972</v>
      </c>
      <c r="AI290" s="159" t="n">
        <v>34.99722</v>
      </c>
    </row>
    <row r="291" customFormat="false" ht="15" hidden="false" customHeight="false" outlineLevel="0" collapsed="false">
      <c r="AH291" s="159" t="n">
        <v>-84.315</v>
      </c>
      <c r="AI291" s="159" t="n">
        <v>34.98611</v>
      </c>
    </row>
    <row r="292" customFormat="false" ht="15" hidden="false" customHeight="false" outlineLevel="0" collapsed="false">
      <c r="AH292" s="159" t="n">
        <v>-83.09639</v>
      </c>
      <c r="AI292" s="159" t="n">
        <v>35</v>
      </c>
    </row>
    <row r="294" customFormat="false" ht="15" hidden="false" customHeight="false" outlineLevel="0" collapsed="false">
      <c r="AH294" s="159" t="n">
        <v>-86.8325</v>
      </c>
      <c r="AI294" s="159" t="n">
        <v>35.00222</v>
      </c>
    </row>
    <row r="295" customFormat="false" ht="15" hidden="false" customHeight="false" outlineLevel="0" collapsed="false">
      <c r="AH295" s="159" t="n">
        <v>-88.19639</v>
      </c>
      <c r="AI295" s="159" t="n">
        <v>35.02361</v>
      </c>
    </row>
    <row r="297" customFormat="false" ht="15" hidden="false" customHeight="false" outlineLevel="0" collapsed="false">
      <c r="AH297" s="159" t="n">
        <v>-90.3775</v>
      </c>
      <c r="AI297" s="159" t="n">
        <v>36.49976</v>
      </c>
    </row>
    <row r="298" customFormat="false" ht="15" hidden="false" customHeight="false" outlineLevel="0" collapsed="false">
      <c r="AH298" s="159" t="n">
        <v>-90.16222</v>
      </c>
      <c r="AI298" s="159" t="n">
        <v>36.49973</v>
      </c>
    </row>
    <row r="299" customFormat="false" ht="15" hidden="false" customHeight="false" outlineLevel="0" collapsed="false">
      <c r="AH299" s="159" t="n">
        <v>-90.12695</v>
      </c>
      <c r="AI299" s="159" t="n">
        <v>36.45361</v>
      </c>
    </row>
    <row r="300" customFormat="false" ht="15" hidden="false" customHeight="false" outlineLevel="0" collapsed="false">
      <c r="AH300" s="159" t="n">
        <v>-90.12028</v>
      </c>
      <c r="AI300" s="159" t="n">
        <v>36.41361</v>
      </c>
    </row>
    <row r="301" customFormat="false" ht="15" hidden="false" customHeight="false" outlineLevel="0" collapsed="false">
      <c r="AH301" s="159" t="n">
        <v>-90.06416</v>
      </c>
      <c r="AI301" s="159" t="n">
        <v>36.37473</v>
      </c>
    </row>
    <row r="302" customFormat="false" ht="15" hidden="false" customHeight="false" outlineLevel="0" collapsed="false">
      <c r="AH302" s="159" t="n">
        <v>-90.06944</v>
      </c>
      <c r="AI302" s="159" t="n">
        <v>36.28194</v>
      </c>
    </row>
    <row r="303" customFormat="false" ht="15" hidden="false" customHeight="false" outlineLevel="0" collapsed="false">
      <c r="AH303" s="159" t="n">
        <v>-90.12139</v>
      </c>
      <c r="AI303" s="159" t="n">
        <v>36.25694</v>
      </c>
    </row>
    <row r="304" customFormat="false" ht="15" hidden="false" customHeight="false" outlineLevel="0" collapsed="false">
      <c r="AH304" s="159" t="n">
        <v>-90.13805</v>
      </c>
      <c r="AI304" s="159" t="n">
        <v>36.21389</v>
      </c>
    </row>
    <row r="305" customFormat="false" ht="15" hidden="false" customHeight="false" outlineLevel="0" collapsed="false">
      <c r="AH305" s="159" t="n">
        <v>-90.22583</v>
      </c>
      <c r="AI305" s="159" t="n">
        <v>36.17944</v>
      </c>
    </row>
    <row r="306" customFormat="false" ht="15" hidden="false" customHeight="false" outlineLevel="0" collapsed="false">
      <c r="AH306" s="159" t="n">
        <v>-90.24834</v>
      </c>
      <c r="AI306" s="159" t="n">
        <v>36.13194</v>
      </c>
    </row>
    <row r="307" customFormat="false" ht="15" hidden="false" customHeight="false" outlineLevel="0" collapsed="false">
      <c r="AH307" s="159" t="n">
        <v>-90.29861</v>
      </c>
      <c r="AI307" s="159" t="n">
        <v>36.11361</v>
      </c>
    </row>
    <row r="308" customFormat="false" ht="15" hidden="false" customHeight="false" outlineLevel="0" collapsed="false">
      <c r="AH308" s="159" t="n">
        <v>-90.38277</v>
      </c>
      <c r="AI308" s="159" t="n">
        <v>35.98556</v>
      </c>
    </row>
    <row r="309" customFormat="false" ht="15" hidden="false" customHeight="false" outlineLevel="0" collapsed="false">
      <c r="AH309" s="159" t="n">
        <v>-89.72916</v>
      </c>
      <c r="AI309" s="159" t="n">
        <v>36</v>
      </c>
    </row>
    <row r="311" customFormat="false" ht="15" hidden="false" customHeight="false" outlineLevel="0" collapsed="false">
      <c r="AH311" s="159" t="n">
        <v>-83.35639</v>
      </c>
      <c r="AI311" s="159" t="n">
        <v>36.70639</v>
      </c>
    </row>
    <row r="312" customFormat="false" ht="15" hidden="false" customHeight="false" outlineLevel="0" collapsed="false">
      <c r="AH312" s="159" t="n">
        <v>-83.41222</v>
      </c>
      <c r="AI312" s="159" t="n">
        <v>36.67416</v>
      </c>
    </row>
    <row r="313" customFormat="false" ht="15" hidden="false" customHeight="false" outlineLevel="0" collapsed="false">
      <c r="AH313" s="159" t="n">
        <v>-83.50889</v>
      </c>
      <c r="AI313" s="159" t="n">
        <v>36.66888</v>
      </c>
    </row>
    <row r="314" customFormat="false" ht="15" hidden="false" customHeight="false" outlineLevel="0" collapsed="false">
      <c r="AH314" s="159" t="n">
        <v>-83.6175</v>
      </c>
      <c r="AI314" s="159" t="n">
        <v>36.64056</v>
      </c>
    </row>
    <row r="315" customFormat="false" ht="15" hidden="false" customHeight="false" outlineLevel="0" collapsed="false">
      <c r="AH315" s="159" t="n">
        <v>-83.67278</v>
      </c>
      <c r="AI315" s="159" t="n">
        <v>36.6025</v>
      </c>
    </row>
    <row r="317" customFormat="false" ht="15" hidden="false" customHeight="false" outlineLevel="0" collapsed="false">
      <c r="AH317" s="159" t="n">
        <v>-85.61707</v>
      </c>
      <c r="AI317" s="159" t="n">
        <v>34.97196</v>
      </c>
    </row>
    <row r="318" customFormat="false" ht="15" hidden="false" customHeight="false" outlineLevel="0" collapsed="false">
      <c r="AH318" s="159" t="n">
        <v>-85.62334</v>
      </c>
      <c r="AI318" s="159" t="n">
        <v>34.99917</v>
      </c>
    </row>
    <row r="320" customFormat="false" ht="15" hidden="false" customHeight="false" outlineLevel="0" collapsed="false">
      <c r="AH320" s="159" t="n">
        <v>-89.56389</v>
      </c>
      <c r="AI320" s="159" t="n">
        <v>36.50083</v>
      </c>
    </row>
    <row r="321" customFormat="false" ht="15" hidden="false" customHeight="false" outlineLevel="0" collapsed="false">
      <c r="AH321" s="159" t="n">
        <v>-89.49223</v>
      </c>
      <c r="AI321" s="159" t="n">
        <v>36.50139</v>
      </c>
    </row>
  </sheetData>
  <mergeCells count="21">
    <mergeCell ref="G3:J3"/>
    <mergeCell ref="K3:N3"/>
    <mergeCell ref="O3:R3"/>
    <mergeCell ref="G4:J4"/>
    <mergeCell ref="K4:N4"/>
    <mergeCell ref="O4:R4"/>
    <mergeCell ref="G5:J5"/>
    <mergeCell ref="K5:N5"/>
    <mergeCell ref="O5:R5"/>
    <mergeCell ref="G7:J7"/>
    <mergeCell ref="K7:N7"/>
    <mergeCell ref="O7:R7"/>
    <mergeCell ref="G8:J8"/>
    <mergeCell ref="K8:N8"/>
    <mergeCell ref="O8:R8"/>
    <mergeCell ref="G9:J9"/>
    <mergeCell ref="K9:N9"/>
    <mergeCell ref="O9:R9"/>
    <mergeCell ref="S28:V28"/>
    <mergeCell ref="S29:V29"/>
    <mergeCell ref="S30:V30"/>
  </mergeCells>
  <conditionalFormatting sqref="O12:O15">
    <cfRule type="dataBar" priority="2">
      <dataBar showValue="1" minLength="10" maxLength="90">
        <cfvo type="num" val="0"/>
        <cfvo type="max" val="0"/>
        <color rgb="FFBBD4EE"/>
      </dataBar>
      <extLst>
        <ext xmlns:x14="http://schemas.microsoft.com/office/spreadsheetml/2009/9/main" uri="{B025F937-C7B1-47D3-B67F-A62EFF666E3E}">
          <x14:id>{41229F48-ADA1-47A3-AB98-7D43644BF380}</x14:id>
        </ext>
      </extLst>
    </cfRule>
  </conditionalFormatting>
  <conditionalFormatting sqref="K3:N5">
    <cfRule type="expression" priority="3" aboveAverage="0" equalAverage="0" bottom="0" percent="0" rank="0" text="" dxfId="7">
      <formula>AND(COUNT($O$12:$O$15)&gt;1,(SMALL($O$12:$O$15,2)-MIN($O$12:$O$15))/MIN($O$12:$O$15)&lt;0.05)</formula>
    </cfRule>
  </conditionalFormatting>
  <conditionalFormatting sqref="G12:R15">
    <cfRule type="expression" priority="4" aboveAverage="0" equalAverage="0" bottom="0" percent="0" rank="0" text="" dxfId="8">
      <formula>AND($G12&lt;&gt;"",COUNT($O$12:$O$15)&gt;0,$O12=MIN($O$12:$O$15))</formula>
    </cfRule>
  </conditionalFormatting>
  <conditionalFormatting sqref="G22:P25">
    <cfRule type="expression" priority="5" aboveAverage="0" equalAverage="0" bottom="0" percent="0" rank="0" text="" dxfId="8">
      <formula>AND($G22&lt;&gt;"",COUNT($L$22:$L$25)&gt;0,$L22=MIN($L$22:$L$25))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41229F48-ADA1-47A3-AB98-7D43644BF380}">
            <x14:dataBar minLength="10" maxLength="90" axisPosition="none" gradient="true">
              <x14:cfvo type="num">
                <xm:f>0</xm:f>
              </x14:cfvo>
              <x14:cfvo type="max"/>
              <x14:negativeFillColor rgb="FFBBD4EE"/>
              <x14:axisColor rgb="FF000000"/>
            </x14:dataBar>
          </x14:cfRule>
          <xm:sqref>O12:O15</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0" t="s">
        <v>780</v>
      </c>
    </row>
    <row r="3" customFormat="false" ht="15" hidden="false" customHeight="false" outlineLevel="0" collapsed="false">
      <c r="A3" s="129" t="s">
        <v>781</v>
      </c>
    </row>
    <row r="4" customFormat="false" ht="30" hidden="false" customHeight="true" outlineLevel="0" collapsed="false">
      <c r="A4" s="154" t="s">
        <v>782</v>
      </c>
      <c r="B4" s="154"/>
      <c r="C4" s="154"/>
      <c r="D4" s="154"/>
      <c r="E4" s="154"/>
      <c r="F4" s="154"/>
      <c r="G4" s="154"/>
    </row>
    <row r="6" customFormat="false" ht="15" hidden="false" customHeight="false" outlineLevel="0" collapsed="false">
      <c r="A6" s="144" t="s">
        <v>783</v>
      </c>
      <c r="B6" s="145"/>
      <c r="C6" s="145"/>
      <c r="D6" s="145"/>
      <c r="E6" s="145"/>
      <c r="F6" s="145"/>
      <c r="G6" s="145"/>
    </row>
    <row r="7" customFormat="false" ht="15" hidden="false" customHeight="false" outlineLevel="0" collapsed="false">
      <c r="A7" s="132" t="s">
        <v>30</v>
      </c>
      <c r="B7" s="132" t="s">
        <v>784</v>
      </c>
      <c r="C7" s="132" t="s">
        <v>20</v>
      </c>
      <c r="D7" s="132" t="s">
        <v>35</v>
      </c>
      <c r="E7" s="132"/>
      <c r="F7" s="132"/>
      <c r="G7" s="132" t="s">
        <v>785</v>
      </c>
    </row>
    <row r="8" customFormat="false" ht="22.35" hidden="false" customHeight="false" outlineLevel="0" collapsed="false">
      <c r="A8" s="160" t="s">
        <v>786</v>
      </c>
      <c r="B8" s="161" t="n">
        <v>78</v>
      </c>
      <c r="C8" s="160" t="s">
        <v>787</v>
      </c>
      <c r="D8" s="162" t="n">
        <v>2021</v>
      </c>
      <c r="E8" s="160"/>
      <c r="F8" s="160"/>
      <c r="G8" s="163" t="s">
        <v>788</v>
      </c>
    </row>
    <row r="9" customFormat="false" ht="22.35" hidden="false" customHeight="false" outlineLevel="0" collapsed="false">
      <c r="A9" s="160" t="s">
        <v>789</v>
      </c>
      <c r="B9" s="160" t="s">
        <v>790</v>
      </c>
      <c r="C9" s="160" t="s">
        <v>787</v>
      </c>
      <c r="D9" s="162" t="n">
        <v>2021</v>
      </c>
      <c r="E9" s="160"/>
      <c r="F9" s="160"/>
      <c r="G9" s="163" t="s">
        <v>788</v>
      </c>
    </row>
    <row r="10" customFormat="false" ht="22.35" hidden="false" customHeight="false" outlineLevel="0" collapsed="false">
      <c r="A10" s="160" t="s">
        <v>791</v>
      </c>
      <c r="B10" s="161" t="n">
        <v>69</v>
      </c>
      <c r="C10" s="160" t="s">
        <v>787</v>
      </c>
      <c r="D10" s="162" t="n">
        <v>2021</v>
      </c>
      <c r="E10" s="160"/>
      <c r="F10" s="160"/>
      <c r="G10" s="163" t="s">
        <v>792</v>
      </c>
    </row>
    <row r="11" customFormat="false" ht="23.85" hidden="false" customHeight="false" outlineLevel="0" collapsed="false">
      <c r="A11" s="160" t="s">
        <v>793</v>
      </c>
      <c r="B11" s="160" t="s">
        <v>794</v>
      </c>
      <c r="C11" s="160" t="s">
        <v>787</v>
      </c>
      <c r="D11" s="162" t="n">
        <v>2022</v>
      </c>
      <c r="E11" s="160"/>
      <c r="F11" s="160"/>
      <c r="G11" s="163" t="s">
        <v>795</v>
      </c>
    </row>
    <row r="12" customFormat="false" ht="22.35" hidden="false" customHeight="false" outlineLevel="0" collapsed="false">
      <c r="A12" s="160" t="s">
        <v>796</v>
      </c>
      <c r="B12" s="160" t="s">
        <v>797</v>
      </c>
      <c r="C12" s="160" t="s">
        <v>798</v>
      </c>
      <c r="D12" s="162" t="n">
        <v>2021</v>
      </c>
      <c r="E12" s="160"/>
      <c r="F12" s="160"/>
      <c r="G12" s="163" t="s">
        <v>799</v>
      </c>
    </row>
    <row r="13" customFormat="false" ht="23.85" hidden="false" customHeight="false" outlineLevel="0" collapsed="false">
      <c r="A13" s="160" t="s">
        <v>800</v>
      </c>
      <c r="B13" s="161" t="n">
        <v>70865874</v>
      </c>
      <c r="C13" s="160" t="s">
        <v>801</v>
      </c>
      <c r="D13" s="162" t="n">
        <v>2021</v>
      </c>
      <c r="E13" s="160"/>
      <c r="F13" s="160"/>
      <c r="G13" s="163" t="s">
        <v>802</v>
      </c>
    </row>
    <row r="14" customFormat="false" ht="23.85" hidden="false" customHeight="false" outlineLevel="0" collapsed="false">
      <c r="A14" s="160" t="s">
        <v>803</v>
      </c>
      <c r="B14" s="161" t="n">
        <v>173117648</v>
      </c>
      <c r="C14" s="160" t="s">
        <v>801</v>
      </c>
      <c r="D14" s="162" t="n">
        <v>2021</v>
      </c>
      <c r="E14" s="160"/>
      <c r="F14" s="160"/>
      <c r="G14" s="163" t="s">
        <v>802</v>
      </c>
    </row>
    <row r="15" customFormat="false" ht="23.85" hidden="false" customHeight="false" outlineLevel="0" collapsed="false">
      <c r="A15" s="160" t="s">
        <v>804</v>
      </c>
      <c r="B15" s="160" t="s">
        <v>805</v>
      </c>
      <c r="C15" s="160"/>
      <c r="D15" s="162" t="n">
        <v>2023</v>
      </c>
      <c r="E15" s="160"/>
      <c r="F15" s="160"/>
      <c r="G15" s="163" t="s">
        <v>806</v>
      </c>
    </row>
    <row r="16" customFormat="false" ht="23.85" hidden="false" customHeight="false" outlineLevel="0" collapsed="false">
      <c r="A16" s="160" t="s">
        <v>807</v>
      </c>
      <c r="B16" s="160" t="s">
        <v>808</v>
      </c>
      <c r="C16" s="160"/>
      <c r="D16" s="162" t="n">
        <v>2024</v>
      </c>
      <c r="E16" s="160"/>
      <c r="F16" s="160"/>
      <c r="G16" s="163" t="s">
        <v>809</v>
      </c>
    </row>
    <row r="17" customFormat="false" ht="22.35" hidden="false" customHeight="false" outlineLevel="0" collapsed="false">
      <c r="A17" s="160" t="s">
        <v>810</v>
      </c>
      <c r="B17" s="160" t="s">
        <v>811</v>
      </c>
      <c r="C17" s="160"/>
      <c r="D17" s="162" t="n">
        <v>2022</v>
      </c>
      <c r="E17" s="160"/>
      <c r="F17" s="160"/>
      <c r="G17" s="163" t="s">
        <v>812</v>
      </c>
    </row>
    <row r="18" customFormat="false" ht="23.85" hidden="false" customHeight="false" outlineLevel="0" collapsed="false">
      <c r="A18" s="160" t="s">
        <v>813</v>
      </c>
      <c r="B18" s="160" t="s">
        <v>814</v>
      </c>
      <c r="C18" s="160"/>
      <c r="D18" s="162" t="n">
        <v>2024</v>
      </c>
      <c r="E18" s="160"/>
      <c r="F18" s="160"/>
      <c r="G18" s="163" t="s">
        <v>815</v>
      </c>
    </row>
    <row r="19" customFormat="false" ht="25.5" hidden="false" customHeight="true" outlineLevel="0" collapsed="false">
      <c r="A19" s="154" t="s">
        <v>816</v>
      </c>
      <c r="B19" s="154"/>
      <c r="C19" s="154"/>
      <c r="D19" s="154"/>
      <c r="E19" s="154"/>
      <c r="F19" s="154"/>
      <c r="G19" s="154"/>
    </row>
    <row r="21" customFormat="false" ht="15" hidden="false" customHeight="false" outlineLevel="0" collapsed="false">
      <c r="A21" s="144" t="s">
        <v>817</v>
      </c>
      <c r="B21" s="145"/>
      <c r="C21" s="145"/>
      <c r="D21" s="145"/>
      <c r="E21" s="145"/>
      <c r="F21" s="145"/>
      <c r="G21" s="145"/>
    </row>
    <row r="22" customFormat="false" ht="15" hidden="false" customHeight="false" outlineLevel="0" collapsed="false">
      <c r="A22" s="132" t="s">
        <v>720</v>
      </c>
      <c r="B22" s="132" t="s">
        <v>71</v>
      </c>
      <c r="C22" s="132" t="s">
        <v>818</v>
      </c>
      <c r="D22" s="132" t="s">
        <v>819</v>
      </c>
      <c r="E22" s="132" t="s">
        <v>820</v>
      </c>
      <c r="F22" s="132" t="s">
        <v>821</v>
      </c>
      <c r="G22" s="132" t="s">
        <v>785</v>
      </c>
    </row>
    <row r="23" customFormat="false" ht="15" hidden="false" customHeight="false" outlineLevel="0" collapsed="false">
      <c r="A23" s="160" t="s">
        <v>822</v>
      </c>
      <c r="B23" s="160" t="s">
        <v>823</v>
      </c>
      <c r="C23" s="160" t="s">
        <v>824</v>
      </c>
      <c r="D23" s="161" t="n">
        <v>52811</v>
      </c>
      <c r="E23" s="160" t="s">
        <v>825</v>
      </c>
      <c r="F23" s="160" t="s">
        <v>826</v>
      </c>
      <c r="G23" s="163" t="s">
        <v>827</v>
      </c>
    </row>
    <row r="24" customFormat="false" ht="15" hidden="false" customHeight="false" outlineLevel="0" collapsed="false">
      <c r="A24" s="160" t="s">
        <v>828</v>
      </c>
      <c r="B24" s="160" t="s">
        <v>823</v>
      </c>
      <c r="C24" s="160" t="s">
        <v>829</v>
      </c>
      <c r="D24" s="161" t="n">
        <v>61144</v>
      </c>
      <c r="E24" s="160" t="s">
        <v>825</v>
      </c>
      <c r="F24" s="160"/>
      <c r="G24" s="163" t="s">
        <v>830</v>
      </c>
    </row>
    <row r="25" customFormat="false" ht="15" hidden="false" customHeight="false" outlineLevel="0" collapsed="false">
      <c r="A25" s="160" t="s">
        <v>831</v>
      </c>
      <c r="B25" s="160" t="s">
        <v>832</v>
      </c>
      <c r="C25" s="160" t="s">
        <v>833</v>
      </c>
      <c r="D25" s="161" t="n">
        <v>45883</v>
      </c>
      <c r="E25" s="160" t="s">
        <v>834</v>
      </c>
      <c r="F25" s="160" t="s">
        <v>835</v>
      </c>
      <c r="G25" s="163" t="s">
        <v>836</v>
      </c>
    </row>
    <row r="26" customFormat="false" ht="22.35" hidden="false" customHeight="false" outlineLevel="0" collapsed="false">
      <c r="A26" s="160" t="s">
        <v>837</v>
      </c>
      <c r="B26" s="160" t="s">
        <v>838</v>
      </c>
      <c r="C26" s="160" t="s">
        <v>839</v>
      </c>
      <c r="D26" s="161" t="n">
        <v>66656</v>
      </c>
      <c r="E26" s="160" t="s">
        <v>825</v>
      </c>
      <c r="F26" s="160" t="s">
        <v>840</v>
      </c>
      <c r="G26" s="163" t="s">
        <v>841</v>
      </c>
    </row>
    <row r="27" customFormat="false" ht="22.35" hidden="false" customHeight="false" outlineLevel="0" collapsed="false">
      <c r="A27" s="160" t="s">
        <v>842</v>
      </c>
      <c r="B27" s="160" t="s">
        <v>843</v>
      </c>
      <c r="C27" s="160" t="s">
        <v>844</v>
      </c>
      <c r="D27" s="161" t="n">
        <v>100083</v>
      </c>
      <c r="E27" s="160" t="s">
        <v>845</v>
      </c>
      <c r="F27" s="160" t="s">
        <v>846</v>
      </c>
      <c r="G27" s="163" t="s">
        <v>847</v>
      </c>
    </row>
    <row r="28" customFormat="false" ht="15" hidden="false" customHeight="false" outlineLevel="0" collapsed="false">
      <c r="A28" s="160" t="s">
        <v>848</v>
      </c>
      <c r="B28" s="160" t="s">
        <v>849</v>
      </c>
      <c r="C28" s="160" t="s">
        <v>850</v>
      </c>
      <c r="D28" s="161" t="n">
        <v>61622</v>
      </c>
      <c r="E28" s="160" t="s">
        <v>825</v>
      </c>
      <c r="F28" s="160" t="s">
        <v>851</v>
      </c>
      <c r="G28" s="163" t="s">
        <v>852</v>
      </c>
    </row>
    <row r="29" customFormat="false" ht="15" hidden="false" customHeight="false" outlineLevel="0" collapsed="false">
      <c r="A29" s="160" t="s">
        <v>848</v>
      </c>
      <c r="B29" s="160" t="s">
        <v>853</v>
      </c>
      <c r="C29" s="160" t="s">
        <v>854</v>
      </c>
      <c r="D29" s="161" t="n">
        <v>133967</v>
      </c>
      <c r="E29" s="160" t="s">
        <v>825</v>
      </c>
      <c r="F29" s="160" t="s">
        <v>855</v>
      </c>
      <c r="G29" s="163" t="s">
        <v>856</v>
      </c>
    </row>
    <row r="30" customFormat="false" ht="22.35" hidden="false" customHeight="false" outlineLevel="0" collapsed="false">
      <c r="A30" s="160" t="s">
        <v>857</v>
      </c>
      <c r="B30" s="160"/>
      <c r="C30" s="160" t="s">
        <v>858</v>
      </c>
      <c r="D30" s="160" t="s">
        <v>859</v>
      </c>
      <c r="E30" s="160"/>
      <c r="F30" s="160" t="s">
        <v>860</v>
      </c>
      <c r="G30" s="163" t="s">
        <v>792</v>
      </c>
    </row>
    <row r="31" customFormat="false" ht="46.25" hidden="false" customHeight="false" outlineLevel="0" collapsed="false">
      <c r="A31" s="160" t="s">
        <v>861</v>
      </c>
      <c r="B31" s="160"/>
      <c r="C31" s="160"/>
      <c r="D31" s="160"/>
      <c r="E31" s="160"/>
      <c r="F31" s="160" t="s">
        <v>862</v>
      </c>
      <c r="G31" s="160" t="s">
        <v>863</v>
      </c>
    </row>
    <row r="32" customFormat="false" ht="25.5" hidden="false" customHeight="true" outlineLevel="0" collapsed="false">
      <c r="A32" s="154" t="s">
        <v>864</v>
      </c>
      <c r="B32" s="154"/>
      <c r="C32" s="154"/>
      <c r="D32" s="154"/>
      <c r="E32" s="154"/>
      <c r="F32" s="154"/>
      <c r="G32" s="154"/>
    </row>
    <row r="34" customFormat="false" ht="15" hidden="false" customHeight="false" outlineLevel="0" collapsed="false">
      <c r="A34" s="144" t="s">
        <v>865</v>
      </c>
      <c r="B34" s="145"/>
      <c r="C34" s="145"/>
      <c r="D34" s="145"/>
      <c r="E34" s="145"/>
      <c r="F34" s="145"/>
      <c r="G34" s="145"/>
    </row>
    <row r="35" customFormat="false" ht="15" hidden="false" customHeight="false" outlineLevel="0" collapsed="false">
      <c r="A35" s="132" t="s">
        <v>866</v>
      </c>
      <c r="B35" s="132" t="s">
        <v>867</v>
      </c>
      <c r="C35" s="132" t="s">
        <v>20</v>
      </c>
      <c r="D35" s="132" t="s">
        <v>868</v>
      </c>
      <c r="E35" s="132" t="s">
        <v>35</v>
      </c>
      <c r="F35" s="132" t="s">
        <v>869</v>
      </c>
      <c r="G35" s="132" t="s">
        <v>785</v>
      </c>
    </row>
    <row r="36" customFormat="false" ht="23.85" hidden="false" customHeight="false" outlineLevel="0" collapsed="false">
      <c r="A36" s="160" t="s">
        <v>870</v>
      </c>
      <c r="B36" s="164" t="n">
        <f aca="false">IFERROR(VLOOKUP("Asphalt Surface Course",Pay_Items!$D:$F,3,0),"")</f>
        <v>130</v>
      </c>
      <c r="C36" s="160" t="s">
        <v>871</v>
      </c>
      <c r="D36" s="160" t="s">
        <v>872</v>
      </c>
      <c r="E36" s="161" t="n">
        <v>2025</v>
      </c>
      <c r="F36" s="160" t="s">
        <v>873</v>
      </c>
      <c r="G36" s="163" t="s">
        <v>874</v>
      </c>
    </row>
    <row r="37" customFormat="false" ht="23.85" hidden="false" customHeight="false" outlineLevel="0" collapsed="false">
      <c r="A37" s="160" t="s">
        <v>875</v>
      </c>
      <c r="B37" s="164" t="n">
        <f aca="false">IFERROR(VLOOKUP("Asphalt Base Course",Pay_Items!$D:$F,3,0),"")</f>
        <v>120</v>
      </c>
      <c r="C37" s="160" t="s">
        <v>871</v>
      </c>
      <c r="D37" s="160" t="s">
        <v>876</v>
      </c>
      <c r="E37" s="160"/>
      <c r="F37" s="160"/>
      <c r="G37" s="163" t="s">
        <v>877</v>
      </c>
    </row>
    <row r="38" customFormat="false" ht="23.85" hidden="false" customHeight="false" outlineLevel="0" collapsed="false">
      <c r="A38" s="160" t="s">
        <v>878</v>
      </c>
      <c r="B38" s="164" t="n">
        <f aca="false">IFERROR(VLOOKUP("Concrete Pavement, 9-inch",Pay_Items!$D:$F,3,0),"")</f>
        <v>85</v>
      </c>
      <c r="C38" s="160" t="s">
        <v>879</v>
      </c>
      <c r="D38" s="160" t="s">
        <v>880</v>
      </c>
      <c r="E38" s="161" t="n">
        <v>2023</v>
      </c>
      <c r="F38" s="160" t="s">
        <v>881</v>
      </c>
      <c r="G38" s="163" t="s">
        <v>882</v>
      </c>
    </row>
    <row r="39" customFormat="false" ht="23.85" hidden="false" customHeight="false" outlineLevel="0" collapsed="false">
      <c r="A39" s="160" t="s">
        <v>883</v>
      </c>
      <c r="B39" s="164" t="n">
        <f aca="false">IFERROR(VLOOKUP("Crushed Aggregate Base Course",Pay_Items!$D:$F,3,0),"")</f>
        <v>65</v>
      </c>
      <c r="C39" s="160" t="s">
        <v>884</v>
      </c>
      <c r="D39" s="160" t="s">
        <v>885</v>
      </c>
      <c r="E39" s="160"/>
      <c r="F39" s="160"/>
      <c r="G39" s="163" t="s">
        <v>877</v>
      </c>
    </row>
    <row r="40" customFormat="false" ht="23.85" hidden="false" customHeight="false" outlineLevel="0" collapsed="false">
      <c r="A40" s="160" t="s">
        <v>886</v>
      </c>
      <c r="B40" s="164" t="n">
        <f aca="false">IFERROR(VLOOKUP("Subbase Course",Pay_Items!$D:$F,3,0),"")</f>
        <v>55</v>
      </c>
      <c r="C40" s="160" t="s">
        <v>884</v>
      </c>
      <c r="D40" s="160" t="s">
        <v>885</v>
      </c>
      <c r="E40" s="160"/>
      <c r="F40" s="160"/>
      <c r="G40" s="163" t="s">
        <v>877</v>
      </c>
    </row>
    <row r="41" customFormat="false" ht="23.85" hidden="false" customHeight="false" outlineLevel="0" collapsed="false">
      <c r="A41" s="160" t="s">
        <v>887</v>
      </c>
      <c r="B41" s="164" t="n">
        <f aca="false">IFERROR(VLOOKUP("Cold Milling",Pay_Items!$D:$F,3,0),"")</f>
        <v>5</v>
      </c>
      <c r="C41" s="160" t="s">
        <v>879</v>
      </c>
      <c r="D41" s="160" t="s">
        <v>888</v>
      </c>
      <c r="E41" s="161" t="n">
        <v>2025</v>
      </c>
      <c r="F41" s="160"/>
      <c r="G41" s="163" t="s">
        <v>874</v>
      </c>
    </row>
    <row r="42" customFormat="false" ht="23.85" hidden="false" customHeight="false" outlineLevel="0" collapsed="false">
      <c r="A42" s="160" t="s">
        <v>889</v>
      </c>
      <c r="B42" s="164" t="n">
        <f aca="false">IFERROR(VLOOKUP("Emulsified Asphalt Surface Treatment",Pay_Items!$D:$F,3,0),"")</f>
        <v>4</v>
      </c>
      <c r="C42" s="160" t="s">
        <v>879</v>
      </c>
      <c r="D42" s="160" t="s">
        <v>890</v>
      </c>
      <c r="E42" s="161" t="n">
        <v>2022</v>
      </c>
      <c r="F42" s="160" t="s">
        <v>891</v>
      </c>
      <c r="G42" s="163" t="s">
        <v>809</v>
      </c>
    </row>
    <row r="43" customFormat="false" ht="15" hidden="false" customHeight="false" outlineLevel="0" collapsed="false">
      <c r="A43" s="160" t="s">
        <v>892</v>
      </c>
      <c r="B43" s="164" t="n">
        <f aca="false">IFERROR(VLOOKUP("Markings (prep, markings, reflective media)",Pay_Items!$D:$F,3,0),"")</f>
        <v>0.666666666666667</v>
      </c>
      <c r="C43" s="160" t="s">
        <v>893</v>
      </c>
      <c r="D43" s="160" t="s">
        <v>890</v>
      </c>
      <c r="E43" s="161" t="n">
        <v>2022</v>
      </c>
      <c r="F43" s="160"/>
      <c r="G43" s="163" t="s">
        <v>809</v>
      </c>
    </row>
    <row r="44" customFormat="false" ht="23.85" hidden="false" customHeight="false" outlineLevel="0" collapsed="false">
      <c r="A44" s="160" t="s">
        <v>894</v>
      </c>
      <c r="B44" s="160"/>
      <c r="C44" s="160" t="s">
        <v>879</v>
      </c>
      <c r="D44" s="160" t="s">
        <v>895</v>
      </c>
      <c r="E44" s="161" t="n">
        <v>2025</v>
      </c>
      <c r="F44" s="160" t="s">
        <v>896</v>
      </c>
      <c r="G44" s="163" t="s">
        <v>852</v>
      </c>
    </row>
    <row r="45" customFormat="false" ht="23.85" hidden="false" customHeight="false" outlineLevel="0" collapsed="false">
      <c r="A45" s="160" t="s">
        <v>897</v>
      </c>
      <c r="B45" s="161" t="n">
        <v>820000</v>
      </c>
      <c r="C45" s="160" t="s">
        <v>801</v>
      </c>
      <c r="D45" s="160"/>
      <c r="E45" s="161" t="n">
        <v>2023</v>
      </c>
      <c r="F45" s="160" t="s">
        <v>898</v>
      </c>
      <c r="G45" s="163" t="s">
        <v>899</v>
      </c>
    </row>
    <row r="46" customFormat="false" ht="25.5" hidden="false" customHeight="true" outlineLevel="0" collapsed="false">
      <c r="A46" s="154" t="s">
        <v>900</v>
      </c>
      <c r="B46" s="154"/>
      <c r="C46" s="154"/>
      <c r="D46" s="154"/>
      <c r="E46" s="154"/>
      <c r="F46" s="154"/>
      <c r="G46" s="154"/>
    </row>
    <row r="48" customFormat="false" ht="15" hidden="false" customHeight="false" outlineLevel="0" collapsed="false">
      <c r="A48" s="144" t="s">
        <v>901</v>
      </c>
      <c r="B48" s="145"/>
      <c r="C48" s="145"/>
      <c r="D48" s="145"/>
      <c r="E48" s="145"/>
      <c r="F48" s="145"/>
      <c r="G48" s="145"/>
    </row>
    <row r="49" customFormat="false" ht="35.05" hidden="false" customHeight="false" outlineLevel="0" collapsed="false">
      <c r="A49" s="132" t="s">
        <v>902</v>
      </c>
      <c r="B49" s="132" t="s">
        <v>903</v>
      </c>
      <c r="C49" s="132" t="s">
        <v>904</v>
      </c>
      <c r="D49" s="132" t="s">
        <v>905</v>
      </c>
      <c r="E49" s="132" t="s">
        <v>821</v>
      </c>
      <c r="F49" s="132"/>
      <c r="G49" s="132" t="s">
        <v>785</v>
      </c>
    </row>
    <row r="50" customFormat="false" ht="35.05" hidden="false" customHeight="false" outlineLevel="0" collapsed="false">
      <c r="A50" s="160" t="s">
        <v>906</v>
      </c>
      <c r="B50" s="160" t="s">
        <v>907</v>
      </c>
      <c r="C50" s="160" t="n">
        <f aca="false">ROUNDUP(66667/15000,0)</f>
        <v>5</v>
      </c>
      <c r="D50" s="160" t="s">
        <v>908</v>
      </c>
      <c r="E50" s="160" t="s">
        <v>909</v>
      </c>
      <c r="F50" s="160"/>
      <c r="G50" s="160" t="s">
        <v>910</v>
      </c>
    </row>
    <row r="51" customFormat="false" ht="23.85" hidden="false" customHeight="false" outlineLevel="0" collapsed="false">
      <c r="A51" s="160" t="s">
        <v>911</v>
      </c>
      <c r="B51" s="160" t="s">
        <v>912</v>
      </c>
      <c r="C51" s="160" t="n">
        <f aca="false">ROUNDUP(15000/20000,0)+ROUNDUP(15000/50000,0)</f>
        <v>2</v>
      </c>
      <c r="D51" s="160" t="s">
        <v>913</v>
      </c>
      <c r="E51" s="160"/>
      <c r="F51" s="160"/>
      <c r="G51" s="160" t="s">
        <v>914</v>
      </c>
    </row>
    <row r="52" customFormat="false" ht="35.05" hidden="false" customHeight="false" outlineLevel="0" collapsed="false">
      <c r="A52" s="160" t="s">
        <v>915</v>
      </c>
      <c r="B52" s="160" t="s">
        <v>916</v>
      </c>
      <c r="C52" s="160" t="n">
        <f aca="false">ROUNDUP(66667*0.0075/10000,0)</f>
        <v>1</v>
      </c>
      <c r="D52" s="160" t="s">
        <v>917</v>
      </c>
      <c r="E52" s="160"/>
      <c r="F52" s="160"/>
      <c r="G52" s="160" t="s">
        <v>914</v>
      </c>
    </row>
    <row r="53" customFormat="false" ht="35.05" hidden="false" customHeight="false" outlineLevel="0" collapsed="false">
      <c r="A53" s="160" t="s">
        <v>918</v>
      </c>
      <c r="B53" s="160" t="s">
        <v>919</v>
      </c>
      <c r="C53" s="160" t="n">
        <f aca="false">ROUNDUP(66667*0.0325/5000,0)</f>
        <v>1</v>
      </c>
      <c r="D53" s="160" t="s">
        <v>917</v>
      </c>
      <c r="E53" s="160"/>
      <c r="F53" s="160"/>
      <c r="G53" s="160" t="s">
        <v>914</v>
      </c>
    </row>
    <row r="54" customFormat="false" ht="23.85" hidden="false" customHeight="false" outlineLevel="0" collapsed="false">
      <c r="A54" s="160" t="s">
        <v>920</v>
      </c>
      <c r="B54" s="160" t="s">
        <v>921</v>
      </c>
      <c r="C54" s="160" t="n">
        <f aca="false">ROUNDUP(66667/3800,0)+ROUNDUP(15000/50000,0)</f>
        <v>19</v>
      </c>
      <c r="D54" s="160" t="s">
        <v>922</v>
      </c>
      <c r="E54" s="160" t="s">
        <v>923</v>
      </c>
      <c r="F54" s="160"/>
      <c r="G54" s="160" t="s">
        <v>914</v>
      </c>
    </row>
    <row r="55" customFormat="false" ht="23.85" hidden="false" customHeight="false" outlineLevel="0" collapsed="false">
      <c r="A55" s="160" t="s">
        <v>924</v>
      </c>
      <c r="B55" s="160" t="s">
        <v>925</v>
      </c>
      <c r="C55" s="160" t="n">
        <f aca="false">ROUNDUP(66667*550/(50*100/9)/10000,0)</f>
        <v>7</v>
      </c>
      <c r="D55" s="160" t="s">
        <v>926</v>
      </c>
      <c r="E55" s="160"/>
      <c r="F55" s="160"/>
      <c r="G55" s="160" t="s">
        <v>914</v>
      </c>
    </row>
    <row r="56" customFormat="false" ht="23.85" hidden="false" customHeight="false" outlineLevel="0" collapsed="false">
      <c r="A56" s="160" t="s">
        <v>927</v>
      </c>
      <c r="B56" s="160" t="s">
        <v>928</v>
      </c>
      <c r="C56" s="160" t="n">
        <f aca="false">ROUNDUP(66667*0.003/10000,0)+ROUNDUP(66667*0.0013/5000,0)+ROUNDUP(66667*0.0025/5000,0)</f>
        <v>3</v>
      </c>
      <c r="D56" s="160" t="s">
        <v>929</v>
      </c>
      <c r="E56" s="160"/>
      <c r="F56" s="160"/>
      <c r="G56" s="160" t="s">
        <v>914</v>
      </c>
    </row>
    <row r="57" customFormat="false" ht="23.85" hidden="false" customHeight="false" outlineLevel="0" collapsed="false">
      <c r="A57" s="160" t="s">
        <v>930</v>
      </c>
      <c r="B57" s="160" t="s">
        <v>931</v>
      </c>
      <c r="C57" s="160" t="n">
        <f aca="false">ROUNDUP(66667*0.02/1000,0)+7</f>
        <v>9</v>
      </c>
      <c r="D57" s="160" t="s">
        <v>932</v>
      </c>
      <c r="E57" s="160" t="s">
        <v>933</v>
      </c>
      <c r="F57" s="160"/>
      <c r="G57" s="160" t="s">
        <v>914</v>
      </c>
    </row>
    <row r="58" customFormat="false" ht="35.05" hidden="false" customHeight="false" outlineLevel="0" collapsed="false">
      <c r="A58" s="160" t="s">
        <v>934</v>
      </c>
      <c r="B58" s="160"/>
      <c r="C58" s="160" t="s">
        <v>935</v>
      </c>
      <c r="D58" s="160" t="s">
        <v>936</v>
      </c>
      <c r="E58" s="160" t="s">
        <v>937</v>
      </c>
      <c r="F58" s="160"/>
      <c r="G58" s="160" t="s">
        <v>914</v>
      </c>
    </row>
    <row r="59" customFormat="false" ht="25.5" hidden="false" customHeight="true" outlineLevel="0" collapsed="false">
      <c r="A59" s="154" t="s">
        <v>938</v>
      </c>
      <c r="B59" s="154"/>
      <c r="C59" s="154"/>
      <c r="D59" s="154"/>
      <c r="E59" s="154"/>
      <c r="F59" s="154"/>
      <c r="G59" s="154"/>
    </row>
    <row r="61" customFormat="false" ht="15" hidden="false" customHeight="false" outlineLevel="0" collapsed="false">
      <c r="A61" s="144" t="s">
        <v>939</v>
      </c>
      <c r="B61" s="145"/>
      <c r="C61" s="145"/>
      <c r="D61" s="145"/>
      <c r="E61" s="145"/>
      <c r="F61" s="145"/>
      <c r="G61" s="145"/>
    </row>
    <row r="62" customFormat="false" ht="15" hidden="false" customHeight="false" outlineLevel="0" collapsed="false">
      <c r="A62" s="132" t="s">
        <v>940</v>
      </c>
      <c r="B62" s="132" t="s">
        <v>784</v>
      </c>
      <c r="C62" s="132" t="s">
        <v>941</v>
      </c>
      <c r="D62" s="132" t="s">
        <v>35</v>
      </c>
      <c r="E62" s="132"/>
      <c r="F62" s="132" t="s">
        <v>869</v>
      </c>
      <c r="G62" s="132" t="s">
        <v>785</v>
      </c>
    </row>
    <row r="63" customFormat="false" ht="15" hidden="false" customHeight="false" outlineLevel="0" collapsed="false">
      <c r="A63" s="160" t="s">
        <v>942</v>
      </c>
      <c r="B63" s="164" t="n">
        <f aca="false">'General Information'!$D$34</f>
        <v>3</v>
      </c>
      <c r="C63" s="160" t="s">
        <v>943</v>
      </c>
      <c r="D63" s="160"/>
      <c r="E63" s="160"/>
      <c r="F63" s="160" t="s">
        <v>944</v>
      </c>
      <c r="G63" s="160" t="s">
        <v>914</v>
      </c>
    </row>
    <row r="64" customFormat="false" ht="15" hidden="false" customHeight="false" outlineLevel="0" collapsed="false">
      <c r="A64" s="160" t="s">
        <v>945</v>
      </c>
      <c r="B64" s="164" t="n">
        <f aca="false">'General Information'!$D$33</f>
        <v>30</v>
      </c>
      <c r="C64" s="160" t="s">
        <v>946</v>
      </c>
      <c r="D64" s="160"/>
      <c r="E64" s="160"/>
      <c r="F64" s="160" t="s">
        <v>947</v>
      </c>
      <c r="G64" s="160" t="s">
        <v>914</v>
      </c>
    </row>
    <row r="65" customFormat="false" ht="35.05" hidden="false" customHeight="false" outlineLevel="0" collapsed="false">
      <c r="A65" s="160" t="s">
        <v>948</v>
      </c>
      <c r="B65" s="160" t="s">
        <v>949</v>
      </c>
      <c r="C65" s="160" t="s">
        <v>943</v>
      </c>
      <c r="D65" s="162" t="n">
        <v>2022</v>
      </c>
      <c r="E65" s="160"/>
      <c r="F65" s="160" t="s">
        <v>950</v>
      </c>
      <c r="G65" s="163" t="s">
        <v>951</v>
      </c>
    </row>
    <row r="66" customFormat="false" ht="23.85" hidden="false" customHeight="false" outlineLevel="0" collapsed="false">
      <c r="A66" s="160" t="s">
        <v>952</v>
      </c>
      <c r="B66" s="161" t="n">
        <v>2</v>
      </c>
      <c r="C66" s="160" t="s">
        <v>943</v>
      </c>
      <c r="D66" s="162" t="n">
        <v>2026</v>
      </c>
      <c r="E66" s="160"/>
      <c r="F66" s="160" t="s">
        <v>953</v>
      </c>
      <c r="G66" s="163" t="s">
        <v>954</v>
      </c>
    </row>
    <row r="67" customFormat="false" ht="35.05" hidden="false" customHeight="false" outlineLevel="0" collapsed="false">
      <c r="A67" s="160" t="s">
        <v>955</v>
      </c>
      <c r="B67" s="160" t="s">
        <v>956</v>
      </c>
      <c r="C67" s="160"/>
      <c r="D67" s="162" t="n">
        <v>2014</v>
      </c>
      <c r="E67" s="160"/>
      <c r="F67" s="160" t="s">
        <v>957</v>
      </c>
      <c r="G67" s="163" t="s">
        <v>958</v>
      </c>
    </row>
    <row r="68" customFormat="false" ht="23.85" hidden="false" customHeight="false" outlineLevel="0" collapsed="false">
      <c r="A68" s="160" t="s">
        <v>959</v>
      </c>
      <c r="B68" s="160" t="s">
        <v>960</v>
      </c>
      <c r="C68" s="160"/>
      <c r="D68" s="162" t="n">
        <v>2009</v>
      </c>
      <c r="E68" s="160"/>
      <c r="F68" s="160" t="s">
        <v>961</v>
      </c>
      <c r="G68" s="163" t="s">
        <v>962</v>
      </c>
    </row>
    <row r="69" customFormat="false" ht="35.05" hidden="false" customHeight="false" outlineLevel="0" collapsed="false">
      <c r="A69" s="160" t="s">
        <v>963</v>
      </c>
      <c r="B69" s="160" t="s">
        <v>964</v>
      </c>
      <c r="C69" s="160"/>
      <c r="D69" s="162" t="n">
        <v>2011</v>
      </c>
      <c r="E69" s="160"/>
      <c r="F69" s="160" t="s">
        <v>965</v>
      </c>
      <c r="G69" s="163" t="s">
        <v>966</v>
      </c>
    </row>
    <row r="70" customFormat="false" ht="35.05" hidden="false" customHeight="false" outlineLevel="0" collapsed="false">
      <c r="A70" s="160" t="s">
        <v>967</v>
      </c>
      <c r="B70" s="160" t="s">
        <v>968</v>
      </c>
      <c r="C70" s="160"/>
      <c r="D70" s="162" t="n">
        <v>2013</v>
      </c>
      <c r="E70" s="160"/>
      <c r="F70" s="160" t="s">
        <v>969</v>
      </c>
      <c r="G70" s="163" t="s">
        <v>970</v>
      </c>
    </row>
    <row r="71" customFormat="false" ht="22.35" hidden="false" customHeight="false" outlineLevel="0" collapsed="false">
      <c r="A71" s="160" t="s">
        <v>971</v>
      </c>
      <c r="B71" s="161" t="n">
        <v>20</v>
      </c>
      <c r="C71" s="160" t="s">
        <v>946</v>
      </c>
      <c r="D71" s="162" t="n">
        <v>2021</v>
      </c>
      <c r="E71" s="160"/>
      <c r="F71" s="160" t="s">
        <v>972</v>
      </c>
      <c r="G71" s="163" t="s">
        <v>973</v>
      </c>
    </row>
    <row r="72" customFormat="false" ht="23.85" hidden="false" customHeight="false" outlineLevel="0" collapsed="false">
      <c r="A72" s="160" t="s">
        <v>974</v>
      </c>
      <c r="B72" s="164" t="n">
        <f aca="false">'Maintenance Policies'!$D$32</f>
        <v>0.125</v>
      </c>
      <c r="C72" s="160" t="s">
        <v>975</v>
      </c>
      <c r="D72" s="160"/>
      <c r="E72" s="160"/>
      <c r="F72" s="160" t="s">
        <v>976</v>
      </c>
      <c r="G72" s="160" t="s">
        <v>914</v>
      </c>
    </row>
    <row r="73" customFormat="false" ht="23.85" hidden="false" customHeight="false" outlineLevel="0" collapsed="false">
      <c r="A73" s="160" t="s">
        <v>977</v>
      </c>
      <c r="B73" s="164" t="n">
        <f aca="false">'Maintenance Policies'!$D$46</f>
        <v>0.25</v>
      </c>
      <c r="C73" s="160" t="s">
        <v>978</v>
      </c>
      <c r="D73" s="160"/>
      <c r="E73" s="160"/>
      <c r="F73" s="160" t="s">
        <v>979</v>
      </c>
      <c r="G73" s="160" t="s">
        <v>914</v>
      </c>
    </row>
    <row r="74" customFormat="false" ht="35.05" hidden="false" customHeight="false" outlineLevel="0" collapsed="false">
      <c r="A74" s="160" t="s">
        <v>980</v>
      </c>
      <c r="B74" s="160" t="s">
        <v>981</v>
      </c>
      <c r="C74" s="160"/>
      <c r="D74" s="162" t="n">
        <v>2011</v>
      </c>
      <c r="E74" s="160"/>
      <c r="F74" s="160" t="s">
        <v>982</v>
      </c>
      <c r="G74" s="163" t="s">
        <v>966</v>
      </c>
    </row>
    <row r="75" customFormat="false" ht="25.5" hidden="false" customHeight="true" outlineLevel="0" collapsed="false">
      <c r="A75" s="154" t="s">
        <v>983</v>
      </c>
      <c r="B75" s="154"/>
      <c r="C75" s="154"/>
      <c r="D75" s="154"/>
      <c r="E75" s="154"/>
      <c r="F75" s="154"/>
      <c r="G75" s="154"/>
    </row>
    <row r="77" customFormat="false" ht="15" hidden="false" customHeight="false" outlineLevel="0" collapsed="false">
      <c r="A77" s="144" t="s">
        <v>984</v>
      </c>
      <c r="B77" s="145"/>
      <c r="C77" s="145"/>
      <c r="D77" s="145"/>
      <c r="E77" s="145"/>
      <c r="F77" s="145"/>
      <c r="G77" s="145"/>
    </row>
    <row r="78" customFormat="false" ht="15" hidden="false" customHeight="false" outlineLevel="0" collapsed="false">
      <c r="A78" s="132" t="s">
        <v>30</v>
      </c>
      <c r="B78" s="132" t="s">
        <v>985</v>
      </c>
      <c r="C78" s="132" t="s">
        <v>986</v>
      </c>
      <c r="D78" s="132" t="s">
        <v>35</v>
      </c>
      <c r="E78" s="132"/>
      <c r="F78" s="132" t="s">
        <v>869</v>
      </c>
      <c r="G78" s="132" t="s">
        <v>785</v>
      </c>
    </row>
    <row r="79" customFormat="false" ht="46.25" hidden="false" customHeight="false" outlineLevel="0" collapsed="false">
      <c r="A79" s="160" t="s">
        <v>987</v>
      </c>
      <c r="B79" s="164" t="str">
        <f aca="false">"years "&amp;'Maintenance Policies'!$E$10&amp;", "&amp;'Maintenance Policies'!$E$12&amp;", "&amp;'Maintenance Policies'!$E$26</f>
        <v>years 4, 8, 24</v>
      </c>
      <c r="C79" s="160" t="s">
        <v>988</v>
      </c>
      <c r="D79" s="162" t="n">
        <v>2014</v>
      </c>
      <c r="E79" s="160"/>
      <c r="F79" s="160" t="s">
        <v>989</v>
      </c>
      <c r="G79" s="163" t="s">
        <v>990</v>
      </c>
    </row>
    <row r="80" customFormat="false" ht="23.85" hidden="false" customHeight="false" outlineLevel="0" collapsed="false">
      <c r="A80" s="160" t="s">
        <v>991</v>
      </c>
      <c r="B80" s="164" t="str">
        <f aca="false">"years "&amp;'Maintenance Policies'!$E$14&amp;", "&amp;'Maintenance Policies'!$E$18&amp;", "&amp;'Maintenance Policies'!$E$28</f>
        <v>years 12, 16, 28</v>
      </c>
      <c r="C80" s="160" t="s">
        <v>992</v>
      </c>
      <c r="D80" s="162" t="n">
        <v>2014</v>
      </c>
      <c r="E80" s="160"/>
      <c r="F80" s="160"/>
      <c r="G80" s="163" t="s">
        <v>993</v>
      </c>
    </row>
    <row r="81" customFormat="false" ht="35.05" hidden="false" customHeight="false" outlineLevel="0" collapsed="false">
      <c r="A81" s="160" t="s">
        <v>672</v>
      </c>
      <c r="B81" s="164" t="str">
        <f aca="false">"year "&amp;'Maintenance Policies'!$E$22</f>
        <v>year 20</v>
      </c>
      <c r="C81" s="160" t="s">
        <v>994</v>
      </c>
      <c r="D81" s="162" t="n">
        <v>2014</v>
      </c>
      <c r="E81" s="160"/>
      <c r="F81" s="160" t="s">
        <v>995</v>
      </c>
      <c r="G81" s="163" t="s">
        <v>996</v>
      </c>
    </row>
    <row r="82" customFormat="false" ht="35.05" hidden="false" customHeight="false" outlineLevel="0" collapsed="false">
      <c r="A82" s="160" t="s">
        <v>997</v>
      </c>
      <c r="B82" s="164" t="str">
        <f aca="false">"year "&amp;'Maintenance Policies'!$E$37</f>
        <v>year 19</v>
      </c>
      <c r="C82" s="160" t="s">
        <v>998</v>
      </c>
      <c r="D82" s="160"/>
      <c r="E82" s="160"/>
      <c r="F82" s="160" t="s">
        <v>999</v>
      </c>
      <c r="G82" s="163" t="s">
        <v>1000</v>
      </c>
    </row>
    <row r="83" customFormat="false" ht="23.85" hidden="false" customHeight="false" outlineLevel="0" collapsed="false">
      <c r="A83" s="160" t="s">
        <v>1001</v>
      </c>
      <c r="B83" s="164" t="str">
        <f aca="false">"year "&amp;'Maintenance Policies'!$E$41</f>
        <v>year 27</v>
      </c>
      <c r="C83" s="160" t="s">
        <v>1002</v>
      </c>
      <c r="D83" s="162" t="n">
        <v>2014</v>
      </c>
      <c r="E83" s="160"/>
      <c r="F83" s="160"/>
      <c r="G83" s="163" t="s">
        <v>996</v>
      </c>
    </row>
    <row r="84" customFormat="false" ht="35.05" hidden="false" customHeight="false" outlineLevel="0" collapsed="false">
      <c r="A84" s="160" t="s">
        <v>1003</v>
      </c>
      <c r="B84" s="160" t="s">
        <v>1004</v>
      </c>
      <c r="C84" s="160" t="s">
        <v>1005</v>
      </c>
      <c r="D84" s="162" t="n">
        <v>2024</v>
      </c>
      <c r="E84" s="160"/>
      <c r="F84" s="160"/>
      <c r="G84" s="163" t="s">
        <v>1006</v>
      </c>
    </row>
    <row r="85" customFormat="false" ht="35.05" hidden="false" customHeight="false" outlineLevel="0" collapsed="false">
      <c r="A85" s="160" t="s">
        <v>1007</v>
      </c>
      <c r="B85" s="160"/>
      <c r="C85" s="160" t="s">
        <v>1008</v>
      </c>
      <c r="D85" s="162" t="n">
        <v>2016</v>
      </c>
      <c r="E85" s="160"/>
      <c r="F85" s="160" t="s">
        <v>1009</v>
      </c>
      <c r="G85" s="163" t="s">
        <v>1010</v>
      </c>
    </row>
    <row r="86" customFormat="false" ht="35.05" hidden="false" customHeight="false" outlineLevel="0" collapsed="false">
      <c r="A86" s="160" t="s">
        <v>1011</v>
      </c>
      <c r="B86" s="160"/>
      <c r="C86" s="160" t="s">
        <v>1012</v>
      </c>
      <c r="D86" s="162" t="n">
        <v>2021</v>
      </c>
      <c r="E86" s="160"/>
      <c r="F86" s="160" t="s">
        <v>1013</v>
      </c>
      <c r="G86" s="163" t="s">
        <v>973</v>
      </c>
    </row>
    <row r="87" customFormat="false" ht="25.5" hidden="false" customHeight="true" outlineLevel="0" collapsed="false">
      <c r="A87" s="154" t="s">
        <v>1014</v>
      </c>
      <c r="B87" s="154"/>
      <c r="C87" s="154"/>
      <c r="D87" s="154"/>
      <c r="E87" s="154"/>
      <c r="F87" s="154"/>
      <c r="G87" s="154"/>
    </row>
    <row r="89" customFormat="false" ht="15" hidden="false" customHeight="false" outlineLevel="0" collapsed="false">
      <c r="A89" s="144" t="s">
        <v>1015</v>
      </c>
      <c r="B89" s="145"/>
      <c r="C89" s="145"/>
      <c r="D89" s="145"/>
      <c r="E89" s="145"/>
      <c r="F89" s="145"/>
      <c r="G89" s="145"/>
    </row>
    <row r="90" customFormat="false" ht="23.85" hidden="false" customHeight="false" outlineLevel="0" collapsed="false">
      <c r="A90" s="132" t="s">
        <v>1016</v>
      </c>
      <c r="B90" s="132" t="s">
        <v>1017</v>
      </c>
      <c r="C90" s="132" t="s">
        <v>1018</v>
      </c>
      <c r="D90" s="132" t="s">
        <v>1019</v>
      </c>
      <c r="E90" s="132" t="s">
        <v>1020</v>
      </c>
      <c r="F90" s="132"/>
      <c r="G90" s="132" t="s">
        <v>785</v>
      </c>
    </row>
    <row r="91" customFormat="false" ht="15" hidden="false" customHeight="false" outlineLevel="0" collapsed="false">
      <c r="A91" s="160" t="str">
        <f aca="false">IF(RevenueData!A2="","",RevenueData!A2)</f>
        <v>MKL</v>
      </c>
      <c r="B91" s="164" t="n">
        <f aca="false">IF(A91="","",SUMIF(RevenueData!$A:$A,A91,RevenueData!$B:$B)+SUMIF(RevenueData!$A:$A,A91,RevenueData!$C:$C)+SUMIF(RevenueData!$A:$A,A91,RevenueData!$D:$D)+SUMIF(RevenueData!$A:$A,A91,RevenueData!$E:$E)+SUMIF(RevenueData!$A:$A,A91,RevenueData!$F:$F)+SUMIF(RevenueData!$A:$A,A91,RevenueData!$G:$G)+SUMIF(RevenueData!$A:$A,A91,RevenueData!$H:$H))</f>
        <v>8505.94</v>
      </c>
      <c r="C91" s="160" t="n">
        <f aca="false">IF(A91="","",B91*7)</f>
        <v>59541.58</v>
      </c>
      <c r="D91" s="160" t="n">
        <f aca="false">IF(A91="","",B91*19)</f>
        <v>161612.86</v>
      </c>
      <c r="E91" s="160" t="str">
        <f aca="false">IF(A91="","",TRIM(IF(ISNUMBER(RevenueData!B2),"","100LL ")&amp;IF(ISNUMBER(RevenueData!C2),"","Jet-A ")&amp;IF(ISNUMBER(RevenueData!G2),"","tenant ")&amp;IF(ISNUMBER(RevenueData!H2),"","other")))</f>
        <v>other</v>
      </c>
      <c r="F91" s="160"/>
      <c r="G91" s="160" t="s">
        <v>1021</v>
      </c>
    </row>
    <row r="92" customFormat="false" ht="15" hidden="false" customHeight="false" outlineLevel="0" collapsed="false">
      <c r="A92" s="160" t="str">
        <f aca="false">IF(RevenueData!A3="","",RevenueData!A3)</f>
        <v>SRB</v>
      </c>
      <c r="B92" s="164" t="n">
        <f aca="false">IF(A92="","",SUMIF(RevenueData!$A:$A,A92,RevenueData!$B:$B)+SUMIF(RevenueData!$A:$A,A92,RevenueData!$C:$C)+SUMIF(RevenueData!$A:$A,A92,RevenueData!$D:$D)+SUMIF(RevenueData!$A:$A,A92,RevenueData!$E:$E)+SUMIF(RevenueData!$A:$A,A92,RevenueData!$F:$F)+SUMIF(RevenueData!$A:$A,A92,RevenueData!$G:$G)+SUMIF(RevenueData!$A:$A,A92,RevenueData!$H:$H))</f>
        <v>4344.12</v>
      </c>
      <c r="C92" s="160" t="n">
        <f aca="false">IF(A92="","",B92*7)</f>
        <v>30408.84</v>
      </c>
      <c r="D92" s="160" t="n">
        <f aca="false">IF(A92="","",B92*19)</f>
        <v>82538.28</v>
      </c>
      <c r="E92" s="160" t="str">
        <f aca="false">IF(A92="","",TRIM(IF(ISNUMBER(RevenueData!B3),"","100LL ")&amp;IF(ISNUMBER(RevenueData!C3),"","Jet-A ")&amp;IF(ISNUMBER(RevenueData!G3),"","tenant ")&amp;IF(ISNUMBER(RevenueData!H3),"","other")))</f>
        <v>other</v>
      </c>
      <c r="F92" s="160"/>
      <c r="G92" s="160" t="s">
        <v>1021</v>
      </c>
    </row>
    <row r="93" customFormat="false" ht="15" hidden="false" customHeight="false" outlineLevel="0" collapsed="false">
      <c r="A93" s="160" t="str">
        <f aca="false">IF(RevenueData!A4="","",RevenueData!A4)</f>
        <v>MBT</v>
      </c>
      <c r="B93" s="164" t="n">
        <f aca="false">IF(A93="","",SUMIF(RevenueData!$A:$A,A93,RevenueData!$B:$B)+SUMIF(RevenueData!$A:$A,A93,RevenueData!$C:$C)+SUMIF(RevenueData!$A:$A,A93,RevenueData!$D:$D)+SUMIF(RevenueData!$A:$A,A93,RevenueData!$E:$E)+SUMIF(RevenueData!$A:$A,A93,RevenueData!$F:$F)+SUMIF(RevenueData!$A:$A,A93,RevenueData!$G:$G)+SUMIF(RevenueData!$A:$A,A93,RevenueData!$H:$H))</f>
        <v>8841.38</v>
      </c>
      <c r="C93" s="160" t="n">
        <f aca="false">IF(A93="","",B93*7)</f>
        <v>61889.66</v>
      </c>
      <c r="D93" s="160" t="n">
        <f aca="false">IF(A93="","",B93*19)</f>
        <v>167986.22</v>
      </c>
      <c r="E93" s="160" t="str">
        <f aca="false">IF(A93="","",TRIM(IF(ISNUMBER(RevenueData!B4),"","100LL ")&amp;IF(ISNUMBER(RevenueData!C4),"","Jet-A ")&amp;IF(ISNUMBER(RevenueData!G4),"","tenant ")&amp;IF(ISNUMBER(RevenueData!H4),"","other")))</f>
        <v>other</v>
      </c>
      <c r="F93" s="160"/>
      <c r="G93" s="160" t="s">
        <v>1021</v>
      </c>
    </row>
    <row r="94" customFormat="false" ht="15" hidden="false" customHeight="false" outlineLevel="0" collapsed="false">
      <c r="A94" s="160" t="str">
        <f aca="false">IF(RevenueData!A5="","",RevenueData!A5)</f>
        <v>NQA</v>
      </c>
      <c r="B94" s="164" t="n">
        <f aca="false">IF(A94="","",SUMIF(RevenueData!$A:$A,A94,RevenueData!$B:$B)+SUMIF(RevenueData!$A:$A,A94,RevenueData!$C:$C)+SUMIF(RevenueData!$A:$A,A94,RevenueData!$D:$D)+SUMIF(RevenueData!$A:$A,A94,RevenueData!$E:$E)+SUMIF(RevenueData!$A:$A,A94,RevenueData!$F:$F)+SUMIF(RevenueData!$A:$A,A94,RevenueData!$G:$G)+SUMIF(RevenueData!$A:$A,A94,RevenueData!$H:$H))</f>
        <v>6291</v>
      </c>
      <c r="C94" s="160" t="n">
        <f aca="false">IF(A94="","",B94*7)</f>
        <v>44037</v>
      </c>
      <c r="D94" s="160" t="n">
        <f aca="false">IF(A94="","",B94*19)</f>
        <v>119529</v>
      </c>
      <c r="E94" s="160" t="str">
        <f aca="false">IF(A94="","",TRIM(IF(ISNUMBER(RevenueData!B5),"","100LL ")&amp;IF(ISNUMBER(RevenueData!C5),"","Jet-A ")&amp;IF(ISNUMBER(RevenueData!G5),"","tenant ")&amp;IF(ISNUMBER(RevenueData!H5),"","other")))</f>
        <v/>
      </c>
      <c r="F94" s="160"/>
      <c r="G94" s="160" t="s">
        <v>1021</v>
      </c>
    </row>
    <row r="95" customFormat="false" ht="15" hidden="false" customHeight="false" outlineLevel="0" collapsed="false">
      <c r="A95" s="160" t="str">
        <f aca="false">IF(RevenueData!A6="","",RevenueData!A6)</f>
        <v>DKX</v>
      </c>
      <c r="B95" s="164" t="n">
        <f aca="false">IF(A95="","",SUMIF(RevenueData!$A:$A,A95,RevenueData!$B:$B)+SUMIF(RevenueData!$A:$A,A95,RevenueData!$C:$C)+SUMIF(RevenueData!$A:$A,A95,RevenueData!$D:$D)+SUMIF(RevenueData!$A:$A,A95,RevenueData!$E:$E)+SUMIF(RevenueData!$A:$A,A95,RevenueData!$F:$F)+SUMIF(RevenueData!$A:$A,A95,RevenueData!$G:$G)+SUMIF(RevenueData!$A:$A,A95,RevenueData!$H:$H))</f>
        <v>6703</v>
      </c>
      <c r="C95" s="160" t="n">
        <f aca="false">IF(A95="","",B95*7)</f>
        <v>46921</v>
      </c>
      <c r="D95" s="160" t="n">
        <f aca="false">IF(A95="","",B95*19)</f>
        <v>127357</v>
      </c>
      <c r="E95" s="160" t="str">
        <f aca="false">IF(A95="","",TRIM(IF(ISNUMBER(RevenueData!B6),"","100LL ")&amp;IF(ISNUMBER(RevenueData!C6),"","Jet-A ")&amp;IF(ISNUMBER(RevenueData!G6),"","tenant ")&amp;IF(ISNUMBER(RevenueData!H6),"","other")))</f>
        <v/>
      </c>
      <c r="F95" s="160"/>
      <c r="G95" s="160" t="s">
        <v>1021</v>
      </c>
    </row>
    <row r="96" customFormat="false" ht="15" hidden="false" customHeight="false" outlineLevel="0" collapsed="false">
      <c r="A96" s="160" t="str">
        <f aca="false">IF(RevenueData!A7="","",RevenueData!A7)</f>
        <v>SYI</v>
      </c>
      <c r="B96" s="164"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60" t="n">
        <f aca="false">IF(A96="","",B96*7)</f>
        <v>215716.48</v>
      </c>
      <c r="D96" s="160" t="n">
        <f aca="false">IF(A96="","",B96*19)</f>
        <v>585516.16</v>
      </c>
      <c r="E96" s="160" t="str">
        <f aca="false">IF(A96="","",TRIM(IF(ISNUMBER(RevenueData!B7),"","100LL ")&amp;IF(ISNUMBER(RevenueData!C7),"","Jet-A ")&amp;IF(ISNUMBER(RevenueData!G7),"","tenant ")&amp;IF(ISNUMBER(RevenueData!H7),"","other")))</f>
        <v/>
      </c>
      <c r="F96" s="160"/>
      <c r="G96" s="160" t="s">
        <v>1021</v>
      </c>
    </row>
    <row r="97" customFormat="false" ht="15" hidden="false" customHeight="false" outlineLevel="0" collapsed="false">
      <c r="A97" s="160" t="str">
        <f aca="false">IF(RevenueData!A8="","",RevenueData!A8)</f>
        <v>GCY</v>
      </c>
      <c r="B97" s="164" t="n">
        <f aca="false">IF(A97="","",SUMIF(RevenueData!$A:$A,A97,RevenueData!$B:$B)+SUMIF(RevenueData!$A:$A,A97,RevenueData!$C:$C)+SUMIF(RevenueData!$A:$A,A97,RevenueData!$D:$D)+SUMIF(RevenueData!$A:$A,A97,RevenueData!$E:$E)+SUMIF(RevenueData!$A:$A,A97,RevenueData!$F:$F)+SUMIF(RevenueData!$A:$A,A97,RevenueData!$G:$G)+SUMIF(RevenueData!$A:$A,A97,RevenueData!$H:$H))</f>
        <v>1800</v>
      </c>
      <c r="C97" s="160" t="n">
        <f aca="false">IF(A97="","",B97*7)</f>
        <v>12600</v>
      </c>
      <c r="D97" s="160" t="n">
        <f aca="false">IF(A97="","",B97*19)</f>
        <v>34200</v>
      </c>
      <c r="E97" s="160" t="str">
        <f aca="false">IF(A97="","",TRIM(IF(ISNUMBER(RevenueData!B8),"","100LL ")&amp;IF(ISNUMBER(RevenueData!C8),"","Jet-A ")&amp;IF(ISNUMBER(RevenueData!G8),"","tenant ")&amp;IF(ISNUMBER(RevenueData!H8),"","other")))</f>
        <v>tenant</v>
      </c>
      <c r="F97" s="160"/>
      <c r="G97" s="160" t="s">
        <v>1021</v>
      </c>
    </row>
    <row r="98" customFormat="false" ht="15" hidden="false" customHeight="false" outlineLevel="0" collapsed="false">
      <c r="A98" s="160" t="str">
        <f aca="false">IF(RevenueData!A9="","",RevenueData!A9)</f>
        <v>THA</v>
      </c>
      <c r="B98" s="164" t="n">
        <f aca="false">IF(A98="","",SUMIF(RevenueData!$A:$A,A98,RevenueData!$B:$B)+SUMIF(RevenueData!$A:$A,A98,RevenueData!$C:$C)+SUMIF(RevenueData!$A:$A,A98,RevenueData!$D:$D)+SUMIF(RevenueData!$A:$A,A98,RevenueData!$E:$E)+SUMIF(RevenueData!$A:$A,A98,RevenueData!$F:$F)+SUMIF(RevenueData!$A:$A,A98,RevenueData!$G:$G)+SUMIF(RevenueData!$A:$A,A98,RevenueData!$H:$H))</f>
        <v>939.26</v>
      </c>
      <c r="C98" s="160" t="n">
        <f aca="false">IF(A98="","",B98*7)</f>
        <v>6574.82</v>
      </c>
      <c r="D98" s="160" t="n">
        <f aca="false">IF(A98="","",B98*19)</f>
        <v>17845.94</v>
      </c>
      <c r="E98" s="160" t="str">
        <f aca="false">IF(A98="","",TRIM(IF(ISNUMBER(RevenueData!B9),"","100LL ")&amp;IF(ISNUMBER(RevenueData!C9),"","Jet-A ")&amp;IF(ISNUMBER(RevenueData!G9),"","tenant ")&amp;IF(ISNUMBER(RevenueData!H9),"","other")))</f>
        <v>tenant</v>
      </c>
      <c r="F98" s="160"/>
      <c r="G98" s="160" t="s">
        <v>1021</v>
      </c>
    </row>
    <row r="99" customFormat="false" ht="15" hidden="false" customHeight="false" outlineLevel="0" collapsed="false">
      <c r="A99" s="160" t="str">
        <f aca="false">IF(RevenueData!A10="","",RevenueData!A10)</f>
        <v>GKT</v>
      </c>
      <c r="B99" s="164" t="n">
        <f aca="false">IF(A99="","",SUMIF(RevenueData!$A:$A,A99,RevenueData!$B:$B)+SUMIF(RevenueData!$A:$A,A99,RevenueData!$C:$C)+SUMIF(RevenueData!$A:$A,A99,RevenueData!$D:$D)+SUMIF(RevenueData!$A:$A,A99,RevenueData!$E:$E)+SUMIF(RevenueData!$A:$A,A99,RevenueData!$F:$F)+SUMIF(RevenueData!$A:$A,A99,RevenueData!$G:$G)+SUMIF(RevenueData!$A:$A,A99,RevenueData!$H:$H))</f>
        <v>5441.17</v>
      </c>
      <c r="C99" s="160" t="n">
        <f aca="false">IF(A99="","",B99*7)</f>
        <v>38088.19</v>
      </c>
      <c r="D99" s="160" t="n">
        <f aca="false">IF(A99="","",B99*19)</f>
        <v>103382.23</v>
      </c>
      <c r="E99" s="160" t="str">
        <f aca="false">IF(A99="","",TRIM(IF(ISNUMBER(RevenueData!B10),"","100LL ")&amp;IF(ISNUMBER(RevenueData!C10),"","Jet-A ")&amp;IF(ISNUMBER(RevenueData!G10),"","tenant ")&amp;IF(ISNUMBER(RevenueData!H10),"","other")))</f>
        <v>tenant other</v>
      </c>
      <c r="F99" s="160"/>
      <c r="G99" s="160" t="s">
        <v>1021</v>
      </c>
    </row>
    <row r="100" customFormat="false" ht="15" hidden="false" customHeight="false" outlineLevel="0" collapsed="false">
      <c r="A100" s="160" t="str">
        <f aca="false">IF(RevenueData!A11="","",RevenueData!A11)</f>
        <v>JWN</v>
      </c>
      <c r="B100" s="164"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60" t="n">
        <f aca="false">IF(A100="","",B100*7)</f>
        <v>624680</v>
      </c>
      <c r="D100" s="160" t="n">
        <f aca="false">IF(A100="","",B100*19)</f>
        <v>1695560</v>
      </c>
      <c r="E100" s="160" t="str">
        <f aca="false">IF(A100="","",TRIM(IF(ISNUMBER(RevenueData!B11),"","100LL ")&amp;IF(ISNUMBER(RevenueData!C11),"","Jet-A ")&amp;IF(ISNUMBER(RevenueData!G11),"","tenant ")&amp;IF(ISNUMBER(RevenueData!H11),"","other")))</f>
        <v>tenant</v>
      </c>
      <c r="F100" s="160"/>
      <c r="G100" s="160" t="s">
        <v>1021</v>
      </c>
    </row>
    <row r="101" customFormat="false" ht="15" hidden="false" customHeight="false" outlineLevel="0" collapsed="false">
      <c r="A101" s="160" t="str">
        <f aca="false">IF(RevenueData!A12="","",RevenueData!A12)</f>
        <v>MOR</v>
      </c>
      <c r="B101" s="164"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60" t="n">
        <f aca="false">IF(A101="","",B101*7)</f>
        <v>61609.8</v>
      </c>
      <c r="D101" s="160" t="n">
        <f aca="false">IF(A101="","",B101*19)</f>
        <v>167226.6</v>
      </c>
      <c r="E101" s="160" t="str">
        <f aca="false">IF(A101="","",TRIM(IF(ISNUMBER(RevenueData!B12),"","100LL ")&amp;IF(ISNUMBER(RevenueData!C12),"","Jet-A ")&amp;IF(ISNUMBER(RevenueData!G12),"","tenant ")&amp;IF(ISNUMBER(RevenueData!H12),"","other")))</f>
        <v>tenant other</v>
      </c>
      <c r="F101" s="160"/>
      <c r="G101" s="160" t="s">
        <v>1021</v>
      </c>
    </row>
    <row r="102" customFormat="false" ht="15" hidden="false" customHeight="false" outlineLevel="0" collapsed="false">
      <c r="A102" s="160" t="str">
        <f aca="false">IF(RevenueData!A13="","",RevenueData!A13)</f>
        <v>MQY</v>
      </c>
      <c r="B102" s="164"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60" t="n">
        <f aca="false">IF(A102="","",B102*7)</f>
        <v>61889.66</v>
      </c>
      <c r="D102" s="160" t="n">
        <f aca="false">IF(A102="","",B102*19)</f>
        <v>167986.22</v>
      </c>
      <c r="E102" s="160" t="str">
        <f aca="false">IF(A102="","",TRIM(IF(ISNUMBER(RevenueData!B13),"","100LL ")&amp;IF(ISNUMBER(RevenueData!C13),"","Jet-A ")&amp;IF(ISNUMBER(RevenueData!G13),"","tenant ")&amp;IF(ISNUMBER(RevenueData!H13),"","other")))</f>
        <v>other</v>
      </c>
      <c r="F102" s="160"/>
      <c r="G102" s="160" t="s">
        <v>1021</v>
      </c>
    </row>
    <row r="103" customFormat="false" ht="15" hidden="false" customHeight="false" outlineLevel="0" collapsed="false">
      <c r="A103" s="160" t="str">
        <f aca="false">IF(RevenueData!A14="","",RevenueData!A14)</f>
        <v>RZR</v>
      </c>
      <c r="B103" s="164"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60" t="n">
        <f aca="false">IF(A103="","",B103*7)</f>
        <v>28700</v>
      </c>
      <c r="D103" s="160" t="n">
        <f aca="false">IF(A103="","",B103*19)</f>
        <v>77900</v>
      </c>
      <c r="E103" s="160" t="str">
        <f aca="false">IF(A103="","",TRIM(IF(ISNUMBER(RevenueData!B14),"","100LL ")&amp;IF(ISNUMBER(RevenueData!C14),"","Jet-A ")&amp;IF(ISNUMBER(RevenueData!G14),"","tenant ")&amp;IF(ISNUMBER(RevenueData!H14),"","other")))</f>
        <v/>
      </c>
      <c r="F103" s="160"/>
      <c r="G103" s="160" t="s">
        <v>1021</v>
      </c>
    </row>
    <row r="104" customFormat="false" ht="15" hidden="false" customHeight="false" outlineLevel="0" collapsed="false">
      <c r="A104" s="160" t="str">
        <f aca="false">IF(RevenueData!A15="","",RevenueData!A15)</f>
        <v>XNX</v>
      </c>
      <c r="B104" s="164"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60" t="n">
        <f aca="false">IF(A104="","",B104*7)</f>
        <v>573.79</v>
      </c>
      <c r="D104" s="160" t="n">
        <f aca="false">IF(A104="","",B104*19)</f>
        <v>1557.43</v>
      </c>
      <c r="E104" s="160" t="str">
        <f aca="false">IF(A104="","",TRIM(IF(ISNUMBER(RevenueData!B15),"","100LL ")&amp;IF(ISNUMBER(RevenueData!C15),"","Jet-A ")&amp;IF(ISNUMBER(RevenueData!G15),"","tenant ")&amp;IF(ISNUMBER(RevenueData!H15),"","other")))</f>
        <v>tenant other</v>
      </c>
      <c r="F104" s="160"/>
      <c r="G104" s="160" t="s">
        <v>1021</v>
      </c>
    </row>
    <row r="105" customFormat="false" ht="15" hidden="false" customHeight="false" outlineLevel="0" collapsed="false">
      <c r="A105" s="160" t="str">
        <f aca="false">IF(RevenueData!A16="","",RevenueData!A16)</f>
        <v>M91</v>
      </c>
      <c r="B105" s="164"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60" t="n">
        <f aca="false">IF(A105="","",B105*7)</f>
        <v>14406</v>
      </c>
      <c r="D105" s="160" t="n">
        <f aca="false">IF(A105="","",B105*19)</f>
        <v>39102</v>
      </c>
      <c r="E105" s="160" t="str">
        <f aca="false">IF(A105="","",TRIM(IF(ISNUMBER(RevenueData!B16),"","100LL ")&amp;IF(ISNUMBER(RevenueData!C16),"","Jet-A ")&amp;IF(ISNUMBER(RevenueData!G16),"","tenant ")&amp;IF(ISNUMBER(RevenueData!H16),"","other")))</f>
        <v/>
      </c>
      <c r="F105" s="160"/>
      <c r="G105" s="160" t="s">
        <v>1021</v>
      </c>
    </row>
    <row r="106" customFormat="false" ht="15" hidden="false" customHeight="false" outlineLevel="0" collapsed="false">
      <c r="A106" s="160" t="str">
        <f aca="false">IF(RevenueData!A17="","",RevenueData!A17)</f>
        <v>CKV</v>
      </c>
      <c r="B106" s="164"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60" t="n">
        <f aca="false">IF(A106="","",B106*7)</f>
        <v>22675.73</v>
      </c>
      <c r="D106" s="160" t="n">
        <f aca="false">IF(A106="","",B106*19)</f>
        <v>61548.41</v>
      </c>
      <c r="E106" s="160" t="str">
        <f aca="false">IF(A106="","",TRIM(IF(ISNUMBER(RevenueData!B17),"","100LL ")&amp;IF(ISNUMBER(RevenueData!C17),"","Jet-A ")&amp;IF(ISNUMBER(RevenueData!G17),"","tenant ")&amp;IF(ISNUMBER(RevenueData!H17),"","other")))</f>
        <v>tenant other</v>
      </c>
      <c r="F106" s="160"/>
      <c r="G106" s="160" t="s">
        <v>1021</v>
      </c>
    </row>
    <row r="107" customFormat="false" ht="15" hidden="false" customHeight="false" outlineLevel="0" collapsed="false">
      <c r="A107" s="160" t="str">
        <f aca="false">IF(RevenueData!A18="","",RevenueData!A18)</f>
        <v>M54</v>
      </c>
      <c r="B107" s="164"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60" t="n">
        <f aca="false">IF(A107="","",B107*7)</f>
        <v>7194.67</v>
      </c>
      <c r="D107" s="160" t="n">
        <f aca="false">IF(A107="","",B107*19)</f>
        <v>19528.39</v>
      </c>
      <c r="E107" s="160" t="str">
        <f aca="false">IF(A107="","",TRIM(IF(ISNUMBER(RevenueData!B18),"","100LL ")&amp;IF(ISNUMBER(RevenueData!C18),"","Jet-A ")&amp;IF(ISNUMBER(RevenueData!G18),"","tenant ")&amp;IF(ISNUMBER(RevenueData!H18),"","other")))</f>
        <v>100LL Jet-A</v>
      </c>
      <c r="F107" s="160"/>
      <c r="G107" s="160" t="s">
        <v>1021</v>
      </c>
    </row>
    <row r="108" customFormat="false" ht="25.5" hidden="false" customHeight="true" outlineLevel="0" collapsed="false">
      <c r="A108" s="154" t="s">
        <v>1022</v>
      </c>
      <c r="B108" s="154"/>
      <c r="C108" s="154"/>
      <c r="D108" s="154"/>
      <c r="E108" s="154"/>
      <c r="F108" s="154"/>
      <c r="G108" s="154"/>
    </row>
    <row r="110" customFormat="false" ht="15" hidden="false" customHeight="false" outlineLevel="0" collapsed="false">
      <c r="A110" s="144" t="s">
        <v>1023</v>
      </c>
      <c r="B110" s="145"/>
      <c r="C110" s="145"/>
      <c r="D110" s="145"/>
      <c r="E110" s="145"/>
      <c r="F110" s="145"/>
      <c r="G110" s="145"/>
    </row>
    <row r="111" customFormat="false" ht="15" hidden="false" customHeight="false" outlineLevel="0" collapsed="false">
      <c r="A111" s="132" t="s">
        <v>30</v>
      </c>
      <c r="B111" s="132" t="s">
        <v>784</v>
      </c>
      <c r="C111" s="132"/>
      <c r="D111" s="132"/>
      <c r="E111" s="132"/>
      <c r="F111" s="132"/>
      <c r="G111" s="132" t="s">
        <v>785</v>
      </c>
    </row>
    <row r="112" customFormat="false" ht="15" hidden="false" customHeight="false" outlineLevel="0" collapsed="false">
      <c r="A112" s="160" t="s">
        <v>1024</v>
      </c>
      <c r="B112" s="164" t="n">
        <f aca="false">COUNTA('General Information'!$L$10:$L$88)</f>
        <v>79</v>
      </c>
      <c r="C112" s="160"/>
      <c r="D112" s="160"/>
      <c r="E112" s="160"/>
      <c r="F112" s="160"/>
      <c r="G112" s="160" t="s">
        <v>1025</v>
      </c>
    </row>
    <row r="113" customFormat="false" ht="15" hidden="false" customHeight="false" outlineLevel="0" collapsed="false">
      <c r="A113" s="160" t="s">
        <v>1026</v>
      </c>
      <c r="B113" s="164" t="n">
        <f aca="false">COUNTA(RevenueData!$A$2:$A$60)</f>
        <v>17</v>
      </c>
      <c r="C113" s="160"/>
      <c r="D113" s="160"/>
      <c r="E113" s="160"/>
      <c r="F113" s="160"/>
      <c r="G113" s="160" t="s">
        <v>1027</v>
      </c>
    </row>
    <row r="114" customFormat="false" ht="15" hidden="false" customHeight="false" outlineLevel="0" collapsed="false">
      <c r="A114" s="160" t="s">
        <v>1028</v>
      </c>
      <c r="B114" s="164" t="str">
        <f aca="false">COUNTIF('General Information'!$P$10:$P$88,"Middle")&amp;" / "&amp;COUNTIF('General Information'!$P$10:$P$88,"West")&amp;" / "&amp;COUNTIF('General Information'!$P$10:$P$88,"East")</f>
        <v>33 / 21 / 25</v>
      </c>
      <c r="C114" s="160"/>
      <c r="D114" s="160"/>
      <c r="E114" s="160"/>
      <c r="F114" s="160"/>
      <c r="G114" s="160" t="s">
        <v>1025</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0" t="s">
        <v>780</v>
      </c>
    </row>
    <row r="3" customFormat="false" ht="15" hidden="false" customHeight="false" outlineLevel="0" collapsed="false">
      <c r="A3" s="129" t="s">
        <v>1029</v>
      </c>
    </row>
    <row r="4" customFormat="false" ht="42" hidden="false" customHeight="true" outlineLevel="0" collapsed="false">
      <c r="A4" s="154" t="s">
        <v>1030</v>
      </c>
      <c r="B4" s="154"/>
      <c r="C4" s="154"/>
      <c r="D4" s="154"/>
      <c r="E4" s="154"/>
    </row>
    <row r="6" customFormat="false" ht="15" hidden="false" customHeight="false" outlineLevel="0" collapsed="false">
      <c r="A6" s="144" t="s">
        <v>1031</v>
      </c>
      <c r="B6" s="145"/>
      <c r="C6" s="145"/>
      <c r="D6" s="145"/>
      <c r="E6" s="145"/>
    </row>
    <row r="7" customFormat="false" ht="15" hidden="false" customHeight="false" outlineLevel="0" collapsed="false">
      <c r="A7" s="132" t="s">
        <v>1032</v>
      </c>
      <c r="B7" s="132" t="s">
        <v>1033</v>
      </c>
      <c r="C7" s="132" t="s">
        <v>1034</v>
      </c>
      <c r="D7" s="132" t="s">
        <v>1035</v>
      </c>
      <c r="E7" s="132" t="s">
        <v>1036</v>
      </c>
    </row>
    <row r="8" customFormat="false" ht="35.05" hidden="false" customHeight="false" outlineLevel="0" collapsed="false">
      <c r="A8" s="160" t="s">
        <v>1037</v>
      </c>
      <c r="B8" s="160" t="s">
        <v>1038</v>
      </c>
      <c r="C8" s="165" t="s">
        <v>1039</v>
      </c>
      <c r="D8" s="160" t="s">
        <v>1040</v>
      </c>
      <c r="E8" s="160" t="s">
        <v>1041</v>
      </c>
    </row>
    <row r="9" customFormat="false" ht="23.85" hidden="false" customHeight="false" outlineLevel="0" collapsed="false">
      <c r="A9" s="160" t="s">
        <v>1042</v>
      </c>
      <c r="B9" s="160" t="s">
        <v>1043</v>
      </c>
      <c r="C9" s="165" t="s">
        <v>1044</v>
      </c>
      <c r="D9" s="160" t="s">
        <v>1045</v>
      </c>
      <c r="E9" s="160" t="s">
        <v>1046</v>
      </c>
    </row>
    <row r="10" customFormat="false" ht="23.85" hidden="false" customHeight="false" outlineLevel="0" collapsed="false">
      <c r="A10" s="160" t="s">
        <v>1047</v>
      </c>
      <c r="B10" s="160" t="s">
        <v>1048</v>
      </c>
      <c r="C10" s="165"/>
      <c r="D10" s="160" t="s">
        <v>1049</v>
      </c>
      <c r="E10" s="160" t="s">
        <v>1046</v>
      </c>
    </row>
    <row r="11" customFormat="false" ht="25.5" hidden="false" customHeight="true" outlineLevel="0" collapsed="false">
      <c r="A11" s="154" t="s">
        <v>1050</v>
      </c>
      <c r="B11" s="154"/>
      <c r="C11" s="154"/>
      <c r="D11" s="154"/>
      <c r="E11" s="154"/>
    </row>
    <row r="13" customFormat="false" ht="15" hidden="false" customHeight="false" outlineLevel="0" collapsed="false">
      <c r="A13" s="144" t="s">
        <v>1051</v>
      </c>
      <c r="B13" s="145"/>
      <c r="C13" s="145"/>
      <c r="D13" s="145"/>
      <c r="E13" s="145"/>
    </row>
    <row r="14" customFormat="false" ht="15" hidden="false" customHeight="false" outlineLevel="0" collapsed="false">
      <c r="A14" s="132" t="s">
        <v>1032</v>
      </c>
      <c r="B14" s="132" t="s">
        <v>1033</v>
      </c>
      <c r="C14" s="132" t="s">
        <v>1034</v>
      </c>
      <c r="D14" s="132" t="s">
        <v>1035</v>
      </c>
      <c r="E14" s="132" t="s">
        <v>1036</v>
      </c>
    </row>
    <row r="15" customFormat="false" ht="23.85" hidden="false" customHeight="false" outlineLevel="0" collapsed="false">
      <c r="A15" s="160" t="s">
        <v>1052</v>
      </c>
      <c r="B15" s="160" t="s">
        <v>1053</v>
      </c>
      <c r="C15" s="165" t="s">
        <v>1054</v>
      </c>
      <c r="D15" s="160" t="s">
        <v>1055</v>
      </c>
      <c r="E15" s="160" t="s">
        <v>1056</v>
      </c>
    </row>
    <row r="16" customFormat="false" ht="35.05" hidden="false" customHeight="false" outlineLevel="0" collapsed="false">
      <c r="A16" s="160" t="s">
        <v>1057</v>
      </c>
      <c r="B16" s="160" t="s">
        <v>1058</v>
      </c>
      <c r="C16" s="165" t="s">
        <v>1059</v>
      </c>
      <c r="D16" s="160" t="s">
        <v>1060</v>
      </c>
      <c r="E16" s="160" t="s">
        <v>1061</v>
      </c>
    </row>
    <row r="17" customFormat="false" ht="15" hidden="false" customHeight="false" outlineLevel="0" collapsed="false">
      <c r="A17" s="160" t="s">
        <v>1062</v>
      </c>
      <c r="B17" s="160" t="s">
        <v>1063</v>
      </c>
      <c r="C17" s="165" t="s">
        <v>1064</v>
      </c>
      <c r="D17" s="160" t="s">
        <v>1065</v>
      </c>
      <c r="E17" s="160" t="s">
        <v>1066</v>
      </c>
    </row>
    <row r="18" customFormat="false" ht="15" hidden="false" customHeight="false" outlineLevel="0" collapsed="false">
      <c r="A18" s="160" t="s">
        <v>25</v>
      </c>
      <c r="B18" s="160" t="s">
        <v>1067</v>
      </c>
      <c r="C18" s="165" t="s">
        <v>1068</v>
      </c>
      <c r="D18" s="160" t="s">
        <v>1069</v>
      </c>
      <c r="E18" s="160" t="s">
        <v>1070</v>
      </c>
    </row>
    <row r="19" customFormat="false" ht="23.85" hidden="false" customHeight="false" outlineLevel="0" collapsed="false">
      <c r="A19" s="160" t="s">
        <v>26</v>
      </c>
      <c r="B19" s="160" t="s">
        <v>1071</v>
      </c>
      <c r="C19" s="165" t="s">
        <v>1072</v>
      </c>
      <c r="D19" s="160" t="s">
        <v>1073</v>
      </c>
      <c r="E19" s="160" t="s">
        <v>1074</v>
      </c>
    </row>
    <row r="20" customFormat="false" ht="23.85" hidden="false" customHeight="false" outlineLevel="0" collapsed="false">
      <c r="A20" s="160" t="s">
        <v>1075</v>
      </c>
      <c r="B20" s="160" t="s">
        <v>1076</v>
      </c>
      <c r="C20" s="165" t="s">
        <v>1077</v>
      </c>
      <c r="D20" s="160" t="s">
        <v>1078</v>
      </c>
      <c r="E20" s="160" t="s">
        <v>1056</v>
      </c>
    </row>
    <row r="22" customFormat="false" ht="15" hidden="false" customHeight="false" outlineLevel="0" collapsed="false">
      <c r="A22" s="144" t="s">
        <v>1079</v>
      </c>
      <c r="B22" s="145"/>
      <c r="C22" s="145"/>
      <c r="D22" s="145"/>
      <c r="E22" s="145"/>
    </row>
    <row r="23" customFormat="false" ht="15" hidden="false" customHeight="false" outlineLevel="0" collapsed="false">
      <c r="A23" s="132" t="s">
        <v>1032</v>
      </c>
      <c r="B23" s="132" t="s">
        <v>1033</v>
      </c>
      <c r="C23" s="132" t="s">
        <v>1034</v>
      </c>
      <c r="D23" s="132" t="s">
        <v>1035</v>
      </c>
      <c r="E23" s="132" t="s">
        <v>1036</v>
      </c>
    </row>
    <row r="24" customFormat="false" ht="35.05" hidden="false" customHeight="false" outlineLevel="0" collapsed="false">
      <c r="A24" s="160" t="s">
        <v>1080</v>
      </c>
      <c r="B24" s="160" t="s">
        <v>1081</v>
      </c>
      <c r="C24" s="165" t="s">
        <v>1082</v>
      </c>
      <c r="D24" s="160" t="s">
        <v>1083</v>
      </c>
      <c r="E24" s="160" t="s">
        <v>1084</v>
      </c>
    </row>
    <row r="25" customFormat="false" ht="23.85" hidden="false" customHeight="false" outlineLevel="0" collapsed="false">
      <c r="A25" s="160" t="s">
        <v>1085</v>
      </c>
      <c r="B25" s="160" t="s">
        <v>1086</v>
      </c>
      <c r="C25" s="165"/>
      <c r="D25" s="160" t="s">
        <v>1087</v>
      </c>
      <c r="E25" s="160" t="s">
        <v>1056</v>
      </c>
    </row>
    <row r="26" customFormat="false" ht="35.05" hidden="false" customHeight="false" outlineLevel="0" collapsed="false">
      <c r="A26" s="160" t="s">
        <v>1088</v>
      </c>
      <c r="B26" s="160" t="s">
        <v>1089</v>
      </c>
      <c r="C26" s="165" t="s">
        <v>1090</v>
      </c>
      <c r="D26" s="160" t="s">
        <v>1091</v>
      </c>
      <c r="E26" s="160" t="s">
        <v>1092</v>
      </c>
    </row>
    <row r="27" customFormat="false" ht="25.5" hidden="false" customHeight="true" outlineLevel="0" collapsed="false">
      <c r="A27" s="154" t="s">
        <v>1093</v>
      </c>
      <c r="B27" s="154"/>
      <c r="C27" s="154"/>
      <c r="D27" s="154"/>
      <c r="E27" s="154"/>
    </row>
    <row r="29" customFormat="false" ht="15" hidden="false" customHeight="false" outlineLevel="0" collapsed="false">
      <c r="A29" s="144" t="s">
        <v>1094</v>
      </c>
      <c r="B29" s="145"/>
      <c r="C29" s="145"/>
      <c r="D29" s="145"/>
      <c r="E29" s="145"/>
    </row>
    <row r="30" customFormat="false" ht="15" hidden="false" customHeight="false" outlineLevel="0" collapsed="false">
      <c r="A30" s="132" t="s">
        <v>1032</v>
      </c>
      <c r="B30" s="132" t="s">
        <v>1033</v>
      </c>
      <c r="C30" s="132" t="s">
        <v>1034</v>
      </c>
      <c r="D30" s="132" t="s">
        <v>1035</v>
      </c>
      <c r="E30" s="132" t="s">
        <v>1036</v>
      </c>
    </row>
    <row r="31" customFormat="false" ht="23.85" hidden="false" customHeight="false" outlineLevel="0" collapsed="false">
      <c r="A31" s="160" t="s">
        <v>1095</v>
      </c>
      <c r="B31" s="160" t="s">
        <v>1096</v>
      </c>
      <c r="C31" s="165" t="s">
        <v>1097</v>
      </c>
      <c r="D31" s="160" t="s">
        <v>1098</v>
      </c>
      <c r="E31" s="160" t="s">
        <v>1099</v>
      </c>
    </row>
    <row r="32" customFormat="false" ht="23.85" hidden="false" customHeight="false" outlineLevel="0" collapsed="false">
      <c r="A32" s="160" t="s">
        <v>1100</v>
      </c>
      <c r="B32" s="160" t="s">
        <v>1101</v>
      </c>
      <c r="C32" s="165" t="s">
        <v>1102</v>
      </c>
      <c r="D32" s="160" t="s">
        <v>1103</v>
      </c>
      <c r="E32" s="160" t="s">
        <v>1104</v>
      </c>
    </row>
    <row r="33" customFormat="false" ht="23.85" hidden="false" customHeight="false" outlineLevel="0" collapsed="false">
      <c r="A33" s="160" t="s">
        <v>1105</v>
      </c>
      <c r="B33" s="160" t="s">
        <v>1106</v>
      </c>
      <c r="C33" s="165" t="s">
        <v>1107</v>
      </c>
      <c r="D33" s="160" t="s">
        <v>1108</v>
      </c>
      <c r="E33" s="160" t="s">
        <v>1109</v>
      </c>
    </row>
    <row r="34" customFormat="false" ht="23.85" hidden="false" customHeight="false" outlineLevel="0" collapsed="false">
      <c r="A34" s="160" t="s">
        <v>1110</v>
      </c>
      <c r="B34" s="160" t="s">
        <v>1111</v>
      </c>
      <c r="C34" s="165" t="s">
        <v>1112</v>
      </c>
      <c r="D34" s="160" t="s">
        <v>1113</v>
      </c>
      <c r="E34" s="160" t="s">
        <v>1114</v>
      </c>
    </row>
    <row r="35" customFormat="false" ht="23.85" hidden="false" customHeight="false" outlineLevel="0" collapsed="false">
      <c r="A35" s="160" t="s">
        <v>1115</v>
      </c>
      <c r="B35" s="160" t="s">
        <v>1116</v>
      </c>
      <c r="C35" s="165" t="s">
        <v>1117</v>
      </c>
      <c r="D35" s="160" t="s">
        <v>1118</v>
      </c>
      <c r="E35" s="160" t="s">
        <v>1119</v>
      </c>
    </row>
    <row r="36" customFormat="false" ht="23.85" hidden="false" customHeight="false" outlineLevel="0" collapsed="false">
      <c r="A36" s="160" t="s">
        <v>1120</v>
      </c>
      <c r="B36" s="160" t="s">
        <v>1121</v>
      </c>
      <c r="C36" s="165" t="s">
        <v>1122</v>
      </c>
      <c r="D36" s="160" t="s">
        <v>1123</v>
      </c>
      <c r="E36" s="160" t="s">
        <v>1124</v>
      </c>
    </row>
    <row r="37" customFormat="false" ht="23.85" hidden="false" customHeight="false" outlineLevel="0" collapsed="false">
      <c r="A37" s="160" t="s">
        <v>1125</v>
      </c>
      <c r="B37" s="160" t="s">
        <v>1126</v>
      </c>
      <c r="C37" s="165" t="s">
        <v>1127</v>
      </c>
      <c r="D37" s="160" t="s">
        <v>1128</v>
      </c>
      <c r="E37" s="160" t="s">
        <v>1129</v>
      </c>
    </row>
    <row r="38" customFormat="false" ht="25.5" hidden="false" customHeight="true" outlineLevel="0" collapsed="false">
      <c r="A38" s="154" t="s">
        <v>1130</v>
      </c>
      <c r="B38" s="154"/>
      <c r="C38" s="154"/>
      <c r="D38" s="154"/>
      <c r="E38" s="154"/>
    </row>
    <row r="40" customFormat="false" ht="15" hidden="false" customHeight="false" outlineLevel="0" collapsed="false">
      <c r="A40" s="144" t="s">
        <v>1131</v>
      </c>
      <c r="B40" s="145"/>
      <c r="C40" s="145"/>
      <c r="D40" s="145"/>
      <c r="E40" s="145"/>
    </row>
    <row r="41" customFormat="false" ht="15" hidden="false" customHeight="false" outlineLevel="0" collapsed="false">
      <c r="A41" s="132" t="s">
        <v>1032</v>
      </c>
      <c r="B41" s="132" t="s">
        <v>1033</v>
      </c>
      <c r="C41" s="132" t="s">
        <v>1034</v>
      </c>
      <c r="D41" s="132" t="s">
        <v>1035</v>
      </c>
      <c r="E41" s="132" t="s">
        <v>1036</v>
      </c>
    </row>
    <row r="42" customFormat="false" ht="23.85" hidden="false" customHeight="false" outlineLevel="0" collapsed="false">
      <c r="A42" s="160" t="s">
        <v>1132</v>
      </c>
      <c r="B42" s="160" t="s">
        <v>1133</v>
      </c>
      <c r="C42" s="165" t="s">
        <v>1134</v>
      </c>
      <c r="D42" s="160" t="s">
        <v>1135</v>
      </c>
      <c r="E42" s="160" t="s">
        <v>1136</v>
      </c>
    </row>
    <row r="43" customFormat="false" ht="23.85" hidden="false" customHeight="false" outlineLevel="0" collapsed="false">
      <c r="A43" s="160" t="s">
        <v>1137</v>
      </c>
      <c r="B43" s="160" t="s">
        <v>1138</v>
      </c>
      <c r="C43" s="165" t="s">
        <v>1139</v>
      </c>
      <c r="D43" s="160" t="s">
        <v>1140</v>
      </c>
      <c r="E43" s="160" t="s">
        <v>1141</v>
      </c>
    </row>
    <row r="44" customFormat="false" ht="15" hidden="false" customHeight="false" outlineLevel="0" collapsed="false">
      <c r="A44" s="160" t="s">
        <v>1142</v>
      </c>
      <c r="B44" s="160" t="s">
        <v>1143</v>
      </c>
      <c r="C44" s="165" t="s">
        <v>1144</v>
      </c>
      <c r="D44" s="160" t="s">
        <v>1145</v>
      </c>
      <c r="E44" s="160" t="s">
        <v>1141</v>
      </c>
    </row>
    <row r="45" customFormat="false" ht="23.85" hidden="false" customHeight="false" outlineLevel="0" collapsed="false">
      <c r="A45" s="160" t="s">
        <v>1146</v>
      </c>
      <c r="B45" s="160" t="s">
        <v>1147</v>
      </c>
      <c r="C45" s="165" t="s">
        <v>1148</v>
      </c>
      <c r="D45" s="160" t="s">
        <v>1149</v>
      </c>
      <c r="E45" s="160" t="s">
        <v>1141</v>
      </c>
    </row>
    <row r="46" customFormat="false" ht="23.85" hidden="false" customHeight="false" outlineLevel="0" collapsed="false">
      <c r="A46" s="160" t="s">
        <v>1150</v>
      </c>
      <c r="B46" s="160" t="s">
        <v>1151</v>
      </c>
      <c r="C46" s="165"/>
      <c r="D46" s="160" t="s">
        <v>1152</v>
      </c>
      <c r="E46" s="160" t="s">
        <v>1056</v>
      </c>
    </row>
    <row r="47" customFormat="false" ht="25.5" hidden="false" customHeight="true" outlineLevel="0" collapsed="false">
      <c r="A47" s="154" t="s">
        <v>1153</v>
      </c>
      <c r="B47" s="154"/>
      <c r="C47" s="154"/>
      <c r="D47" s="154"/>
      <c r="E47" s="154"/>
    </row>
    <row r="49" customFormat="false" ht="15" hidden="false" customHeight="false" outlineLevel="0" collapsed="false">
      <c r="A49" s="144" t="s">
        <v>1154</v>
      </c>
      <c r="B49" s="145"/>
      <c r="C49" s="145"/>
      <c r="D49" s="145"/>
      <c r="E49" s="145"/>
    </row>
    <row r="50" customFormat="false" ht="15" hidden="false" customHeight="false" outlineLevel="0" collapsed="false">
      <c r="A50" s="132" t="s">
        <v>1032</v>
      </c>
      <c r="B50" s="132" t="s">
        <v>1033</v>
      </c>
      <c r="C50" s="132" t="s">
        <v>1034</v>
      </c>
      <c r="D50" s="132" t="s">
        <v>1035</v>
      </c>
      <c r="E50" s="132" t="s">
        <v>1036</v>
      </c>
    </row>
    <row r="51" customFormat="false" ht="23.85" hidden="false" customHeight="false" outlineLevel="0" collapsed="false">
      <c r="A51" s="160" t="s">
        <v>1155</v>
      </c>
      <c r="B51" s="160" t="s">
        <v>1156</v>
      </c>
      <c r="C51" s="165"/>
      <c r="D51" s="160" t="s">
        <v>1157</v>
      </c>
      <c r="E51" s="160" t="s">
        <v>1156</v>
      </c>
    </row>
    <row r="52" customFormat="false" ht="23.85" hidden="false" customHeight="false" outlineLevel="0" collapsed="false">
      <c r="A52" s="160" t="s">
        <v>1158</v>
      </c>
      <c r="B52" s="160" t="s">
        <v>1159</v>
      </c>
      <c r="C52" s="165" t="s">
        <v>1160</v>
      </c>
      <c r="D52" s="160" t="s">
        <v>1161</v>
      </c>
      <c r="E52" s="160" t="s">
        <v>1162</v>
      </c>
    </row>
    <row r="53" customFormat="false" ht="23.85" hidden="false" customHeight="false" outlineLevel="0" collapsed="false">
      <c r="A53" s="160" t="s">
        <v>1163</v>
      </c>
      <c r="B53" s="160" t="s">
        <v>1164</v>
      </c>
      <c r="C53" s="165" t="s">
        <v>1165</v>
      </c>
      <c r="D53" s="160" t="s">
        <v>1166</v>
      </c>
      <c r="E53" s="160" t="s">
        <v>1167</v>
      </c>
    </row>
    <row r="54" customFormat="false" ht="23.85" hidden="false" customHeight="false" outlineLevel="0" collapsed="false">
      <c r="A54" s="160" t="s">
        <v>1168</v>
      </c>
      <c r="B54" s="160" t="s">
        <v>1169</v>
      </c>
      <c r="C54" s="165" t="s">
        <v>1170</v>
      </c>
      <c r="D54" s="160" t="s">
        <v>1171</v>
      </c>
      <c r="E54" s="160" t="s">
        <v>1056</v>
      </c>
    </row>
    <row r="55" customFormat="false" ht="25.5" hidden="false" customHeight="true" outlineLevel="0" collapsed="false">
      <c r="A55" s="154" t="s">
        <v>1172</v>
      </c>
      <c r="B55" s="154"/>
      <c r="C55" s="154"/>
      <c r="D55" s="154"/>
      <c r="E55" s="154"/>
    </row>
    <row r="57" customFormat="false" ht="15" hidden="false" customHeight="false" outlineLevel="0" collapsed="false">
      <c r="A57" s="144" t="s">
        <v>1173</v>
      </c>
      <c r="B57" s="145"/>
      <c r="C57" s="145"/>
      <c r="D57" s="145"/>
      <c r="E57" s="145"/>
    </row>
    <row r="58" customFormat="false" ht="15" hidden="false" customHeight="false" outlineLevel="0" collapsed="false">
      <c r="A58" s="132" t="s">
        <v>1032</v>
      </c>
      <c r="B58" s="132" t="s">
        <v>1033</v>
      </c>
      <c r="C58" s="132" t="s">
        <v>1034</v>
      </c>
      <c r="D58" s="132" t="s">
        <v>1035</v>
      </c>
      <c r="E58" s="132" t="s">
        <v>1036</v>
      </c>
    </row>
    <row r="59" customFormat="false" ht="23.85" hidden="false" customHeight="false" outlineLevel="0" collapsed="false">
      <c r="A59" s="160" t="s">
        <v>575</v>
      </c>
      <c r="B59" s="160" t="s">
        <v>1174</v>
      </c>
      <c r="C59" s="165" t="s">
        <v>1175</v>
      </c>
      <c r="D59" s="160" t="s">
        <v>1176</v>
      </c>
      <c r="E59" s="160" t="s">
        <v>1177</v>
      </c>
    </row>
    <row r="60" customFormat="false" ht="23.85" hidden="false" customHeight="false" outlineLevel="0" collapsed="false">
      <c r="A60" s="160" t="s">
        <v>7</v>
      </c>
      <c r="B60" s="160" t="s">
        <v>1178</v>
      </c>
      <c r="C60" s="165" t="s">
        <v>1179</v>
      </c>
      <c r="D60" s="160" t="s">
        <v>1180</v>
      </c>
      <c r="E60" s="160" t="s">
        <v>1181</v>
      </c>
    </row>
    <row r="61" customFormat="false" ht="15" hidden="false" customHeight="false" outlineLevel="0" collapsed="false">
      <c r="A61" s="160" t="s">
        <v>1182</v>
      </c>
      <c r="B61" s="160" t="s">
        <v>1183</v>
      </c>
      <c r="C61" s="165" t="s">
        <v>1184</v>
      </c>
      <c r="D61" s="160" t="s">
        <v>1185</v>
      </c>
      <c r="E61" s="160" t="s">
        <v>1186</v>
      </c>
    </row>
    <row r="62" customFormat="false" ht="25.5" hidden="false" customHeight="true" outlineLevel="0" collapsed="false">
      <c r="A62" s="154" t="s">
        <v>1187</v>
      </c>
      <c r="B62" s="154"/>
      <c r="C62" s="154"/>
      <c r="D62" s="154"/>
      <c r="E62" s="154"/>
    </row>
    <row r="64" customFormat="false" ht="15" hidden="false" customHeight="false" outlineLevel="0" collapsed="false">
      <c r="A64" s="144" t="s">
        <v>1188</v>
      </c>
      <c r="B64" s="145"/>
      <c r="C64" s="145"/>
      <c r="D64" s="145"/>
      <c r="E64" s="145"/>
    </row>
    <row r="65" customFormat="false" ht="15" hidden="false" customHeight="false" outlineLevel="0" collapsed="false">
      <c r="A65" s="132" t="s">
        <v>1032</v>
      </c>
      <c r="B65" s="132" t="s">
        <v>1033</v>
      </c>
      <c r="C65" s="132" t="s">
        <v>1034</v>
      </c>
      <c r="D65" s="132" t="s">
        <v>1035</v>
      </c>
      <c r="E65" s="132" t="s">
        <v>1036</v>
      </c>
    </row>
    <row r="66" customFormat="false" ht="23.85" hidden="false" customHeight="false" outlineLevel="0" collapsed="false">
      <c r="A66" s="160" t="s">
        <v>1189</v>
      </c>
      <c r="B66" s="160" t="s">
        <v>1089</v>
      </c>
      <c r="C66" s="165" t="s">
        <v>1190</v>
      </c>
      <c r="D66" s="160" t="s">
        <v>1191</v>
      </c>
      <c r="E66" s="160" t="s">
        <v>1192</v>
      </c>
    </row>
    <row r="67" customFormat="false" ht="35.05" hidden="false" customHeight="false" outlineLevel="0" collapsed="false">
      <c r="A67" s="160" t="s">
        <v>1193</v>
      </c>
      <c r="B67" s="160" t="s">
        <v>1194</v>
      </c>
      <c r="C67" s="165"/>
      <c r="D67" s="160" t="s">
        <v>1195</v>
      </c>
      <c r="E67" s="160" t="s">
        <v>1196</v>
      </c>
    </row>
    <row r="68" customFormat="false" ht="23.85" hidden="false" customHeight="false" outlineLevel="0" collapsed="false">
      <c r="A68" s="160" t="s">
        <v>1197</v>
      </c>
      <c r="B68" s="160" t="s">
        <v>1186</v>
      </c>
      <c r="C68" s="165"/>
      <c r="D68" s="160" t="s">
        <v>1198</v>
      </c>
      <c r="E68" s="160" t="s">
        <v>1199</v>
      </c>
    </row>
    <row r="69" customFormat="false" ht="15" hidden="false" customHeight="false" outlineLevel="0" collapsed="false">
      <c r="A69" s="160" t="s">
        <v>709</v>
      </c>
      <c r="B69" s="160" t="s">
        <v>1038</v>
      </c>
      <c r="C69" s="165" t="s">
        <v>1039</v>
      </c>
      <c r="D69" s="160" t="s">
        <v>1200</v>
      </c>
      <c r="E69" s="160" t="s">
        <v>1056</v>
      </c>
    </row>
    <row r="71" customFormat="false" ht="15" hidden="false" customHeight="false" outlineLevel="0" collapsed="false">
      <c r="A71" s="144" t="s">
        <v>1201</v>
      </c>
      <c r="B71" s="145"/>
      <c r="C71" s="145"/>
      <c r="D71" s="145"/>
      <c r="E71" s="145"/>
    </row>
    <row r="72" customFormat="false" ht="15" hidden="false" customHeight="false" outlineLevel="0" collapsed="false">
      <c r="A72" s="132" t="s">
        <v>1032</v>
      </c>
      <c r="B72" s="132" t="s">
        <v>1033</v>
      </c>
      <c r="C72" s="132" t="s">
        <v>1034</v>
      </c>
      <c r="D72" s="132" t="s">
        <v>1035</v>
      </c>
      <c r="E72" s="132" t="s">
        <v>1036</v>
      </c>
    </row>
    <row r="73" customFormat="false" ht="35.05" hidden="false" customHeight="false" outlineLevel="0" collapsed="false">
      <c r="A73" s="160" t="s">
        <v>1202</v>
      </c>
      <c r="B73" s="160" t="s">
        <v>1203</v>
      </c>
      <c r="C73" s="165" t="s">
        <v>1204</v>
      </c>
      <c r="D73" s="160" t="s">
        <v>1205</v>
      </c>
      <c r="E73" s="160" t="s">
        <v>1046</v>
      </c>
    </row>
    <row r="74" customFormat="false" ht="35.05" hidden="false" customHeight="false" outlineLevel="0" collapsed="false">
      <c r="A74" s="160" t="s">
        <v>1206</v>
      </c>
      <c r="B74" s="160" t="s">
        <v>1207</v>
      </c>
      <c r="C74" s="165" t="s">
        <v>1208</v>
      </c>
      <c r="D74" s="160" t="s">
        <v>1209</v>
      </c>
      <c r="E74" s="160" t="s">
        <v>1210</v>
      </c>
    </row>
    <row r="75" customFormat="false" ht="23.85" hidden="false" customHeight="false" outlineLevel="0" collapsed="false">
      <c r="A75" s="160" t="s">
        <v>1211</v>
      </c>
      <c r="B75" s="160" t="s">
        <v>1212</v>
      </c>
      <c r="C75" s="165"/>
      <c r="D75" s="160" t="s">
        <v>1213</v>
      </c>
      <c r="E75" s="160" t="s">
        <v>1046</v>
      </c>
    </row>
    <row r="76" customFormat="false" ht="32.8" hidden="false" customHeight="false" outlineLevel="0" collapsed="false">
      <c r="A76" s="160" t="s">
        <v>1214</v>
      </c>
      <c r="B76" s="160" t="s">
        <v>1215</v>
      </c>
      <c r="C76" s="165" t="s">
        <v>1216</v>
      </c>
      <c r="D76" s="160" t="s">
        <v>1217</v>
      </c>
      <c r="E76" s="160" t="s">
        <v>1218</v>
      </c>
    </row>
    <row r="77" customFormat="false" ht="15" hidden="false" customHeight="false" outlineLevel="0" collapsed="false">
      <c r="A77" s="160" t="s">
        <v>1219</v>
      </c>
      <c r="B77" s="160" t="s">
        <v>1220</v>
      </c>
      <c r="C77" s="165" t="s">
        <v>1221</v>
      </c>
      <c r="D77" s="160" t="s">
        <v>1222</v>
      </c>
      <c r="E77" s="160" t="s">
        <v>1046</v>
      </c>
    </row>
    <row r="78" customFormat="false" ht="23.85" hidden="false" customHeight="false" outlineLevel="0" collapsed="false">
      <c r="A78" s="160" t="s">
        <v>1223</v>
      </c>
      <c r="B78" s="160" t="s">
        <v>1224</v>
      </c>
      <c r="C78" s="165" t="s">
        <v>1225</v>
      </c>
      <c r="D78" s="160" t="s">
        <v>1226</v>
      </c>
      <c r="E78" s="160" t="s">
        <v>1046</v>
      </c>
    </row>
    <row r="79" customFormat="false" ht="35.05" hidden="false" customHeight="false" outlineLevel="0" collapsed="false">
      <c r="A79" s="160" t="s">
        <v>1227</v>
      </c>
      <c r="B79" s="160" t="s">
        <v>1228</v>
      </c>
      <c r="C79" s="165" t="s">
        <v>1229</v>
      </c>
      <c r="D79" s="160" t="s">
        <v>1230</v>
      </c>
      <c r="E79" s="160" t="s">
        <v>1046</v>
      </c>
    </row>
    <row r="81" customFormat="false" ht="15" hidden="false" customHeight="false" outlineLevel="0" collapsed="false">
      <c r="A81" s="144" t="s">
        <v>1231</v>
      </c>
      <c r="B81" s="145"/>
      <c r="C81" s="145"/>
      <c r="D81" s="145"/>
      <c r="E81" s="145"/>
    </row>
    <row r="82" customFormat="false" ht="15" hidden="false" customHeight="false" outlineLevel="0" collapsed="false">
      <c r="A82" s="132" t="s">
        <v>1032</v>
      </c>
      <c r="B82" s="132" t="s">
        <v>1033</v>
      </c>
      <c r="C82" s="132" t="s">
        <v>1034</v>
      </c>
      <c r="D82" s="132" t="s">
        <v>1035</v>
      </c>
      <c r="E82" s="132" t="s">
        <v>1036</v>
      </c>
    </row>
    <row r="83" customFormat="false" ht="15" hidden="false" customHeight="false" outlineLevel="0" collapsed="false">
      <c r="A83" s="160" t="s">
        <v>1232</v>
      </c>
      <c r="B83" s="160" t="s">
        <v>1186</v>
      </c>
      <c r="C83" s="166" t="n">
        <f aca="false">'General Information'!$D$33</f>
        <v>30</v>
      </c>
      <c r="D83" s="160" t="s">
        <v>1233</v>
      </c>
      <c r="E83" s="160"/>
    </row>
    <row r="84" customFormat="false" ht="15" hidden="false" customHeight="false" outlineLevel="0" collapsed="false">
      <c r="A84" s="160" t="s">
        <v>1234</v>
      </c>
      <c r="B84" s="160" t="s">
        <v>1194</v>
      </c>
      <c r="C84" s="167" t="n">
        <f aca="false">'General Information'!$D$34</f>
        <v>3</v>
      </c>
      <c r="D84" s="160" t="s">
        <v>1235</v>
      </c>
      <c r="E84" s="160"/>
    </row>
    <row r="85" customFormat="false" ht="15" hidden="false" customHeight="false" outlineLevel="0" collapsed="false">
      <c r="A85" s="160" t="s">
        <v>1236</v>
      </c>
      <c r="B85" s="160" t="s">
        <v>1237</v>
      </c>
      <c r="C85" s="168" t="n">
        <f aca="false">IF('General Information'!$D$34=0,0,('General Information'!$D$34/100)*(1+'General Information'!$D$34/100)^'General Information'!$D$33/((1+'General Information'!$D$34/100)^'General Information'!$D$33-1))</f>
        <v>0.0510192593202526</v>
      </c>
      <c r="D85" s="160" t="s">
        <v>1238</v>
      </c>
      <c r="E85" s="160"/>
    </row>
    <row r="86" customFormat="false" ht="15" hidden="false" customHeight="false" outlineLevel="0" collapsed="false">
      <c r="A86" s="160" t="s">
        <v>1239</v>
      </c>
      <c r="B86" s="160" t="s">
        <v>1237</v>
      </c>
      <c r="C86" s="168" t="n">
        <f aca="false">1/(1+'General Information'!$D$34/100)^20</f>
        <v>0.553675754186335</v>
      </c>
      <c r="D86" s="160" t="s">
        <v>1240</v>
      </c>
      <c r="E86" s="160"/>
    </row>
    <row r="87" customFormat="false" ht="15" hidden="false" customHeight="false" outlineLevel="0" collapsed="false">
      <c r="A87" s="160" t="s">
        <v>1241</v>
      </c>
      <c r="B87" s="160" t="s">
        <v>1156</v>
      </c>
      <c r="C87" s="165" t="str">
        <f aca="false">'General Information'!$D$38</f>
        <v>Yes</v>
      </c>
      <c r="D87" s="160" t="s">
        <v>1242</v>
      </c>
      <c r="E87" s="160"/>
    </row>
    <row r="88" customFormat="false" ht="15" hidden="false" customHeight="false" outlineLevel="0" collapsed="false">
      <c r="A88" s="160" t="s">
        <v>1243</v>
      </c>
      <c r="B88" s="160" t="s">
        <v>1244</v>
      </c>
      <c r="C88" s="166" t="n">
        <f aca="false">COUNTA(Database!$A$4:$A$7)</f>
        <v>4</v>
      </c>
      <c r="D88" s="160" t="s">
        <v>1245</v>
      </c>
      <c r="E88" s="160"/>
    </row>
    <row r="89" customFormat="false" ht="25.5" hidden="false" customHeight="true" outlineLevel="0" collapsed="false">
      <c r="A89" s="154" t="s">
        <v>1246</v>
      </c>
      <c r="B89" s="154"/>
      <c r="C89" s="154"/>
      <c r="D89" s="154"/>
      <c r="E89" s="154"/>
    </row>
    <row r="91" customFormat="false" ht="15" hidden="false" customHeight="false" outlineLevel="0" collapsed="false">
      <c r="A91" s="144" t="s">
        <v>1247</v>
      </c>
      <c r="B91" s="145"/>
      <c r="C91" s="145"/>
      <c r="D91" s="145"/>
      <c r="E91" s="145"/>
    </row>
    <row r="92" customFormat="false" ht="15" hidden="false" customHeight="false" outlineLevel="0" collapsed="false">
      <c r="A92" s="132" t="s">
        <v>1032</v>
      </c>
      <c r="B92" s="132" t="s">
        <v>1033</v>
      </c>
      <c r="C92" s="132" t="s">
        <v>1034</v>
      </c>
      <c r="D92" s="132" t="s">
        <v>1035</v>
      </c>
      <c r="E92" s="132" t="s">
        <v>1036</v>
      </c>
    </row>
    <row r="93" customFormat="false" ht="35.05" hidden="false" customHeight="false" outlineLevel="0" collapsed="false">
      <c r="A93" s="169" t="s">
        <v>1248</v>
      </c>
      <c r="B93" s="160" t="s">
        <v>1071</v>
      </c>
      <c r="C93" s="165"/>
      <c r="D93" s="160" t="s">
        <v>1249</v>
      </c>
      <c r="E93" s="160" t="s">
        <v>1250</v>
      </c>
    </row>
    <row r="94" customFormat="false" ht="46.25" hidden="false" customHeight="false" outlineLevel="0" collapsed="false">
      <c r="A94" s="169" t="s">
        <v>1251</v>
      </c>
      <c r="B94" s="160" t="s">
        <v>1252</v>
      </c>
      <c r="C94" s="165"/>
      <c r="D94" s="160" t="s">
        <v>1253</v>
      </c>
      <c r="E94" s="160" t="s">
        <v>1254</v>
      </c>
    </row>
    <row r="95" customFormat="false" ht="23.85" hidden="false" customHeight="false" outlineLevel="0" collapsed="false">
      <c r="A95" s="169" t="s">
        <v>1255</v>
      </c>
      <c r="B95" s="160" t="s">
        <v>1256</v>
      </c>
      <c r="C95" s="165"/>
      <c r="D95" s="160" t="s">
        <v>1257</v>
      </c>
      <c r="E95" s="160" t="s">
        <v>1258</v>
      </c>
    </row>
    <row r="96" customFormat="false" ht="35.05" hidden="false" customHeight="false" outlineLevel="0" collapsed="false">
      <c r="A96" s="169" t="s">
        <v>1259</v>
      </c>
      <c r="B96" s="160" t="s">
        <v>1260</v>
      </c>
      <c r="C96" s="165"/>
      <c r="D96" s="160" t="s">
        <v>1261</v>
      </c>
      <c r="E96" s="160" t="s">
        <v>1262</v>
      </c>
    </row>
    <row r="97" customFormat="false" ht="23.85" hidden="false" customHeight="false" outlineLevel="0" collapsed="false">
      <c r="A97" s="169" t="s">
        <v>1263</v>
      </c>
      <c r="B97" s="160" t="s">
        <v>1151</v>
      </c>
      <c r="C97" s="165"/>
      <c r="D97" s="160" t="s">
        <v>1264</v>
      </c>
      <c r="E97" s="160" t="s">
        <v>1141</v>
      </c>
    </row>
    <row r="98" customFormat="false" ht="23.85" hidden="false" customHeight="false" outlineLevel="0" collapsed="false">
      <c r="A98" s="169" t="s">
        <v>1265</v>
      </c>
      <c r="B98" s="160" t="s">
        <v>1266</v>
      </c>
      <c r="C98" s="165"/>
      <c r="D98" s="160" t="s">
        <v>1267</v>
      </c>
      <c r="E98" s="160" t="s">
        <v>1046</v>
      </c>
    </row>
    <row r="99" customFormat="false" ht="46.25" hidden="false" customHeight="false" outlineLevel="0" collapsed="false">
      <c r="A99" s="169" t="s">
        <v>1268</v>
      </c>
      <c r="B99" s="160" t="s">
        <v>1269</v>
      </c>
      <c r="C99" s="165"/>
      <c r="D99" s="160" t="s">
        <v>1270</v>
      </c>
      <c r="E99" s="160" t="s">
        <v>1262</v>
      </c>
    </row>
    <row r="100" customFormat="false" ht="23.85" hidden="false" customHeight="false" outlineLevel="0" collapsed="false">
      <c r="A100" s="169" t="s">
        <v>1271</v>
      </c>
      <c r="B100" s="160" t="s">
        <v>1272</v>
      </c>
      <c r="C100" s="165"/>
      <c r="D100" s="160" t="s">
        <v>1273</v>
      </c>
      <c r="E100" s="160" t="s">
        <v>1274</v>
      </c>
    </row>
    <row r="101" customFormat="false" ht="23.85" hidden="false" customHeight="false" outlineLevel="0" collapsed="false">
      <c r="A101" s="169" t="s">
        <v>1275</v>
      </c>
      <c r="B101" s="160" t="s">
        <v>1276</v>
      </c>
      <c r="C101" s="165"/>
      <c r="D101" s="160" t="s">
        <v>1277</v>
      </c>
      <c r="E101" s="160" t="s">
        <v>1278</v>
      </c>
    </row>
  </sheetData>
  <mergeCells count="8">
    <mergeCell ref="A4:E4"/>
    <mergeCell ref="A11:E11"/>
    <mergeCell ref="A27:E27"/>
    <mergeCell ref="A38:E38"/>
    <mergeCell ref="A47:E47"/>
    <mergeCell ref="A55:E55"/>
    <mergeCell ref="A62:E62"/>
    <mergeCell ref="A89:E89"/>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632</v>
      </c>
      <c r="I1" s="0" t="s">
        <v>1</v>
      </c>
    </row>
    <row r="2" customFormat="false" ht="15" hidden="false" customHeight="false" outlineLevel="0" collapsed="false">
      <c r="A2" s="7" t="s">
        <v>2</v>
      </c>
      <c r="E2" s="8" t="s">
        <v>633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595</v>
      </c>
      <c r="Z2" s="10" t="s">
        <v>596</v>
      </c>
      <c r="AH2" s="7" t="s">
        <v>601</v>
      </c>
      <c r="AP2" s="10" t="s">
        <v>5</v>
      </c>
      <c r="AX2" s="7" t="s">
        <v>607</v>
      </c>
      <c r="BF2" s="10" t="s">
        <v>608</v>
      </c>
    </row>
    <row r="3" customFormat="false" ht="15" hidden="false" customHeight="false" outlineLevel="0" collapsed="false">
      <c r="E3" s="11"/>
      <c r="F3" s="12"/>
    </row>
    <row r="4" customFormat="false" ht="15" hidden="false" customHeight="false" outlineLevel="0" collapsed="false">
      <c r="A4" s="0" t="s">
        <v>6</v>
      </c>
      <c r="C4" s="13" t="s">
        <v>575</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634</v>
      </c>
      <c r="F5" s="14" t="n">
        <f aca="false">ROUNDUP((C5/15000),0)+ROUNDUP((C8/20000),0)+ROUNDUP((C8/50000),0)</f>
        <v>10</v>
      </c>
    </row>
    <row r="6" customFormat="false" ht="15" hidden="false" customHeight="false" outlineLevel="0" collapsed="false">
      <c r="A6" s="0" t="s">
        <v>12</v>
      </c>
      <c r="C6" s="0" t="n">
        <f aca="false">'General Information'!D25</f>
        <v>2027</v>
      </c>
      <c r="E6" s="11" t="s">
        <v>635</v>
      </c>
      <c r="F6" s="14" t="n">
        <f aca="false">ROUNDUP((C5/15000),0)+ROUNDUP((C8/20000),0)+ROUNDUP((C8/50000),0)+ROUNDUP((C5*'Maintenance Policies'!D15/10000),0)+ROUNDUP((C5*'Maintenance Policies'!D14/5000),0)</f>
        <v>12</v>
      </c>
      <c r="AP6" s="1" t="s">
        <v>636</v>
      </c>
      <c r="AQ6" s="1" t="n">
        <v>2</v>
      </c>
      <c r="AR6" s="1" t="s">
        <v>637</v>
      </c>
    </row>
    <row r="7" customFormat="false" ht="15" hidden="false" customHeight="false" outlineLevel="0" collapsed="false">
      <c r="A7" s="0" t="s">
        <v>638</v>
      </c>
      <c r="C7" s="107" t="s">
        <v>535</v>
      </c>
      <c r="D7" s="0" t="s">
        <v>639</v>
      </c>
      <c r="E7" s="11" t="s">
        <v>640</v>
      </c>
      <c r="F7" s="14" t="n">
        <f aca="false">ROUNDUP((C5/15000),0)+ROUNDUP((C8/20000),0)+ROUNDUP((C8/50000),0)+ROUNDUP((C5*'Maintenance Policies'!D18/10000),0)+ROUNDUP((C5*'Maintenance Policies'!D19/5000),0)</f>
        <v>12</v>
      </c>
      <c r="AP7" s="1" t="s">
        <v>641</v>
      </c>
      <c r="AQ7" s="1" t="n">
        <v>120</v>
      </c>
      <c r="AR7" s="1" t="s">
        <v>642</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643</v>
      </c>
      <c r="F9" s="14" t="n">
        <f aca="false">ROUNDUP((C5/15000),0)+ROUNDUP((C8/20000),0)+ROUNDUP((C8/50000),0)</f>
        <v>10</v>
      </c>
      <c r="AP9" s="1" t="s">
        <v>644</v>
      </c>
      <c r="AQ9" s="1" t="n">
        <v>0.1</v>
      </c>
      <c r="AR9" s="1" t="s">
        <v>645</v>
      </c>
    </row>
    <row r="10" customFormat="false" ht="15" hidden="false" customHeight="false" outlineLevel="0" collapsed="false">
      <c r="D10" s="18"/>
      <c r="E10" s="15" t="s">
        <v>646</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P-152-4.1</v>
      </c>
      <c r="C13" s="20" t="s">
        <v>460</v>
      </c>
      <c r="D13" s="21" t="str">
        <f aca="false">IF(C13="","N/A",VLOOKUP(C13,CHOOSE({1,2},Table2[Pay Item Description],Table2[Units]),2,0))</f>
        <v>C.Y.</v>
      </c>
      <c r="E13" s="108" t="n">
        <v>74136</v>
      </c>
      <c r="F13" s="23" t="n">
        <f aca="false">IF(C13="","N/A",VLOOKUP(C13,CHOOSE({1,2},Table2[Pay Item Description],Table2[Unit Cost]),2,0))</f>
        <v>12</v>
      </c>
      <c r="G13" s="24" t="n">
        <f aca="false">IF(B13&lt;&gt;0,F13*E13,0)</f>
        <v>889632</v>
      </c>
      <c r="J13" s="1" t="n">
        <v>1</v>
      </c>
      <c r="K13" s="109" t="str">
        <f aca="false">IF(L13="",0,VLOOKUP(L13,CHOOSE({1,2},Table2[Pay Item Description],Table2[Pay Item No.]),2,0))</f>
        <v>P-608-8.1</v>
      </c>
      <c r="L13" s="1" t="str">
        <f aca="false">C7</f>
        <v>Emulsified Asphalt Surface Treatment</v>
      </c>
      <c r="M13" s="110" t="str">
        <f aca="false">VLOOKUP(L13,CHOOSE({1,2},Table2[Pay Item Description],Table2[Units]),2,0)</f>
        <v>S.Y.</v>
      </c>
      <c r="N13" s="111" t="n">
        <f aca="false">'Maintenance Policies'!D10*$C$5</f>
        <v>100083</v>
      </c>
      <c r="O13" s="112"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3" t="n">
        <f aca="false">'Maintenance Policies'!D12*$C$5</f>
        <v>100083</v>
      </c>
      <c r="W13" s="114"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5" t="str">
        <f aca="false">IF(AB13="","N/A",VLOOKUP(AB13,CHOOSE({1,2},Table2[Pay Item Description],Table2[Units]),2,0))</f>
        <v>S.F.</v>
      </c>
      <c r="AD13" s="111" t="n">
        <f aca="false">'Maintenance Policies'!D14*($C$5*9)</f>
        <v>6755.6025</v>
      </c>
      <c r="AE13" s="116"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7" t="str">
        <f aca="false">IF(AJ13="","N/A",VLOOKUP(AJ13,CHOOSE({1,2},Table2[Pay Item Description],Table2[Units]),2,0))</f>
        <v>S.F.</v>
      </c>
      <c r="AL13" s="113" t="n">
        <f aca="false">'Maintenance Policies'!D18*($C$5*9)</f>
        <v>9007.47</v>
      </c>
      <c r="AM13" s="118"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5" t="str">
        <f aca="false">IF(AR13="","N/A",VLOOKUP(AR13,CHOOSE({1,2},Table2[Pay Item Description],Table2[Units]),2,0))</f>
        <v>S.Y.</v>
      </c>
      <c r="AT13" s="111" t="n">
        <f aca="false">'Maintenance Policies'!D22*$C$5</f>
        <v>100083</v>
      </c>
      <c r="AU13" s="116"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3" t="n">
        <f aca="false">'Maintenance Policies'!D26*$C$5</f>
        <v>100083</v>
      </c>
      <c r="BC13" s="114"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5" t="str">
        <f aca="false">IF(BH13="","N/A",VLOOKUP(BH13,CHOOSE({1,2},Table2[Pay Item Description],Table2[Units]),2,0))</f>
        <v>S.F.</v>
      </c>
      <c r="BJ13" s="111" t="n">
        <f aca="false">'Maintenance Policies'!D28*($C$5*9)</f>
        <v>11259.3375</v>
      </c>
      <c r="BK13" s="116" t="n">
        <f aca="false">IF(BH13="","N/A",VLOOKUP(BH13,CHOOSE({1,2},Table2[Pay Item Description],Table2[Unit Cost]),2,0))</f>
        <v>8.5</v>
      </c>
      <c r="BL13" s="27" t="n">
        <f aca="false">BK13*BJ13</f>
        <v>95704.36875</v>
      </c>
    </row>
    <row r="14" customFormat="false" ht="19.5" hidden="false" customHeight="true" outlineLevel="0" collapsed="false">
      <c r="A14" s="0" t="n">
        <v>2</v>
      </c>
      <c r="B14" s="19" t="str">
        <f aca="false">IF(C14="",0,VLOOKUP(C14,CHOOSE({1,2},Table2[Pay Item Description],Table2[Pay Item No.]),2,0))</f>
        <v>P-154-5.1</v>
      </c>
      <c r="C14" s="20" t="s">
        <v>465</v>
      </c>
      <c r="D14" s="21" t="str">
        <f aca="false">IF(C14="","N/A",VLOOKUP(C14,CHOOSE({1,2},Table2[Pay Item Description],Table2[Units]),2,0))</f>
        <v>C.Y.</v>
      </c>
      <c r="E14" s="108" t="n">
        <v>22241</v>
      </c>
      <c r="F14" s="23" t="n">
        <f aca="false">IF(C14="","N/A",VLOOKUP(C14,CHOOSE({1,2},Table2[Pay Item Description],Table2[Unit Cost]),2,0))</f>
        <v>55</v>
      </c>
      <c r="G14" s="24" t="n">
        <f aca="false">IF(B14&lt;&gt;0,F14*E14,0)</f>
        <v>1223255</v>
      </c>
      <c r="J14" s="1" t="n">
        <v>2</v>
      </c>
      <c r="K14" s="1" t="str">
        <f aca="false">IF(L14="",0,VLOOKUP(L14,CHOOSE({1,2},Table2[Pay Item Description],Table2[Pay Item No.]),2,0))</f>
        <v>P-101-5.3</v>
      </c>
      <c r="L14" s="1" t="str">
        <f aca="false">Pay_Items!D10</f>
        <v>Markings Removal</v>
      </c>
      <c r="M14" s="115" t="str">
        <f aca="false">IF(L14="","N/A",VLOOKUP(L14,CHOOSE({1,2},Table2[Pay Item Description],Table2[Units]),2,0))</f>
        <v>S.F.</v>
      </c>
      <c r="N14" s="111" t="n">
        <f aca="false">'Maintenance Policies'!D10*$C$8</f>
        <v>25000</v>
      </c>
      <c r="O14" s="116"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7" t="str">
        <f aca="false">IF(T14="","N/A",VLOOKUP(T14,CHOOSE({1,2},Table2[Pay Item Description],Table2[Units]),2,0))</f>
        <v>S.F.</v>
      </c>
      <c r="V14" s="113" t="n">
        <f aca="false">'Maintenance Policies'!D12*$C$8</f>
        <v>25000</v>
      </c>
      <c r="W14" s="118"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5" t="str">
        <f aca="false">IF(AB14="","N/A",VLOOKUP(AB14,CHOOSE({1,2},Table2[Pay Item Description],Table2[Units]),2,0))</f>
        <v>L.F.</v>
      </c>
      <c r="AD14" s="111" t="n">
        <f aca="false">'Maintenance Policies'!D15*($C$5*9)</f>
        <v>29274.2775</v>
      </c>
      <c r="AE14" s="116"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7" t="str">
        <f aca="false">IF(AJ14="","N/A",VLOOKUP(AJ14,CHOOSE({1,2},Table2[Pay Item Description],Table2[Units]),2,0))</f>
        <v>L.F.</v>
      </c>
      <c r="AL14" s="113" t="n">
        <f aca="false">'Maintenance Policies'!D19*($C$5*9)</f>
        <v>31526.145</v>
      </c>
      <c r="AM14" s="118"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5" t="str">
        <f aca="false">IF(AR14="","N/A",VLOOKUP(AR14,CHOOSE({1,2},Table2[Pay Item Description],Table2[Units]),2,0))</f>
        <v>GAL</v>
      </c>
      <c r="AT14" s="111" t="n">
        <f aca="false">'Maintenance Policies'!D22*$C$5*AQ9</f>
        <v>10008.3</v>
      </c>
      <c r="AU14" s="116"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7" t="str">
        <f aca="false">IF(AZ14="","N/A",VLOOKUP(AZ14,CHOOSE({1,2},Table2[Pay Item Description],Table2[Units]),2,0))</f>
        <v>S.F.</v>
      </c>
      <c r="BB14" s="113" t="n">
        <f aca="false">'Maintenance Policies'!D26*$C$8</f>
        <v>25000</v>
      </c>
      <c r="BC14" s="118"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5" t="str">
        <f aca="false">IF(BH14="","N/A",VLOOKUP(BH14,CHOOSE({1,2},Table2[Pay Item Description],Table2[Units]),2,0))</f>
        <v>L.F.</v>
      </c>
      <c r="BJ14" s="111" t="n">
        <f aca="false">'Maintenance Policies'!D29*($C$5*9)</f>
        <v>36029.88</v>
      </c>
      <c r="BK14" s="116" t="n">
        <f aca="false">IF(BH14="","N/A",VLOOKUP(BH14,CHOOSE({1,2},Table2[Pay Item Description],Table2[Unit Cost]),2,0))</f>
        <v>4</v>
      </c>
      <c r="BL14" s="27" t="n">
        <f aca="false">BK14*BJ14</f>
        <v>144119.52</v>
      </c>
    </row>
    <row r="15" customFormat="false" ht="19.5" hidden="false" customHeight="true" outlineLevel="0" collapsed="false">
      <c r="A15" s="0" t="n">
        <v>3</v>
      </c>
      <c r="B15" s="19" t="str">
        <f aca="false">IF(C15="",0,VLOOKUP(C15,CHOOSE({1,2},Table2[Pay Item Description],Table2[Pay Item No.]),2,0))</f>
        <v>P-209-5.1</v>
      </c>
      <c r="C15" s="20" t="s">
        <v>487</v>
      </c>
      <c r="D15" s="21" t="str">
        <f aca="false">IF(C15="","N/A",VLOOKUP(C15,CHOOSE({1,2},Table2[Pay Item Description],Table2[Units]),2,0))</f>
        <v>C.Y.</v>
      </c>
      <c r="E15" s="108" t="n">
        <v>22241</v>
      </c>
      <c r="F15" s="23" t="n">
        <f aca="false">IF(C15="","N/A",VLOOKUP(C15,CHOOSE({1,2},Table2[Pay Item Description],Table2[Unit Cost]),2,0))</f>
        <v>65</v>
      </c>
      <c r="G15" s="24" t="n">
        <f aca="false">IF(B15&lt;&gt;0,F15*E15,0)</f>
        <v>1445665</v>
      </c>
      <c r="J15" s="1" t="n">
        <v>3</v>
      </c>
      <c r="K15" s="1" t="str">
        <f aca="false">IF(L15="",0,VLOOKUP(L15,CHOOSE({1,2},Table2[Pay Item Description],Table2[Pay Item No.]),2,0))</f>
        <v>P-620-5.1a</v>
      </c>
      <c r="L15" s="1" t="str">
        <f aca="false">Pay_Items!D56</f>
        <v>Markings (prep, markings, reflective media)</v>
      </c>
      <c r="M15" s="115" t="str">
        <f aca="false">IF(L15="","N/A",VLOOKUP(L15,CHOOSE({1,2},Table2[Pay Item Description],Table2[Units]),2,0))</f>
        <v>S.F.</v>
      </c>
      <c r="N15" s="111" t="n">
        <f aca="false">'Maintenance Policies'!D11*$C$8</f>
        <v>25000</v>
      </c>
      <c r="O15" s="116"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7" t="str">
        <f aca="false">Pay_Items!E56</f>
        <v>S.F.</v>
      </c>
      <c r="V15" s="113" t="n">
        <f aca="false">'Maintenance Policies'!D13*$C$8</f>
        <v>25000</v>
      </c>
      <c r="W15" s="118" t="n">
        <f aca="false">IF(T15="","N/A",VLOOKUP(T15,CHOOSE({1,2},Table2[Pay Item Description],Table2[Unit Cost]),2,0))</f>
        <v>0.666666666666667</v>
      </c>
      <c r="X15" s="30" t="n">
        <f aca="false">W15*V15</f>
        <v>16666.6666666667</v>
      </c>
      <c r="Z15" s="1" t="n">
        <v>3</v>
      </c>
      <c r="AA15" s="109" t="str">
        <f aca="false">IF(AB15="",0,VLOOKUP(AB15,CHOOSE({1,2},Table2[Pay Item Description],Table2[Pay Item No.]),2,0))</f>
        <v>P-608-8.1</v>
      </c>
      <c r="AB15" s="1" t="str">
        <f aca="false">C7</f>
        <v>Emulsified Asphalt Surface Treatment</v>
      </c>
      <c r="AC15" s="110" t="str">
        <f aca="false">IF(AB15="","N/A",VLOOKUP(AB15,CHOOSE({1,2},Table2[Pay Item Description],Table2[Units]),2,0))</f>
        <v>S.Y.</v>
      </c>
      <c r="AD15" s="111" t="n">
        <f aca="false">'Maintenance Policies'!D16*$C$5</f>
        <v>100083</v>
      </c>
      <c r="AE15" s="112"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3" t="n">
        <f aca="false">'Maintenance Policies'!D20*$C$5</f>
        <v>100083</v>
      </c>
      <c r="AM15" s="114"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5" t="str">
        <f aca="false">IF(AR15="","N/A",VLOOKUP(AR15,CHOOSE({1,2},Table2[Pay Item Description],Table2[Units]),2,0))</f>
        <v>TON</v>
      </c>
      <c r="AT15" s="111" t="n">
        <f aca="false">'Maintenance Policies'!D22*$C$5*AQ6*AQ7/2000</f>
        <v>12009.96</v>
      </c>
      <c r="AU15" s="116"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7" t="str">
        <f aca="false">IF(AZ15="","N/A",VLOOKUP(AZ15,CHOOSE({1,2},Table2[Pay Item Description],Table2[Units]),2,0))</f>
        <v>S.F.</v>
      </c>
      <c r="BB15" s="113" t="n">
        <f aca="false">'Maintenance Policies'!D27*$C$8</f>
        <v>25000</v>
      </c>
      <c r="BC15" s="118" t="n">
        <f aca="false">IF(AZ15="","N/A",VLOOKUP(AZ15,CHOOSE({1,2},Table2[Pay Item Description],Table2[Unit Cost]),2,0))</f>
        <v>0.666666666666667</v>
      </c>
      <c r="BD15" s="30" t="n">
        <f aca="false">BC15*BB15</f>
        <v>16666.6666666667</v>
      </c>
      <c r="BF15" s="1" t="n">
        <v>3</v>
      </c>
      <c r="BG15" s="109" t="str">
        <f aca="false">IF(BH15="",0,VLOOKUP(BH15,CHOOSE({1,2},Table2[Pay Item Description],Table2[Pay Item No.]),2,0))</f>
        <v>P-608-8.1</v>
      </c>
      <c r="BH15" s="1" t="str">
        <f aca="false">C7</f>
        <v>Emulsified Asphalt Surface Treatment</v>
      </c>
      <c r="BI15" s="110" t="str">
        <f aca="false">IF(BH15="","N/A",VLOOKUP(BH15,CHOOSE({1,2},Table2[Pay Item Description],Table2[Units]),2,0))</f>
        <v>S.Y.</v>
      </c>
      <c r="BJ15" s="111" t="n">
        <f aca="false">'Maintenance Policies'!D30*$C$5</f>
        <v>100083</v>
      </c>
      <c r="BK15" s="112" t="n">
        <f aca="false">IF(BH15="","N/A",VLOOKUP(BH15,CHOOSE({1,2},Table2[Pay Item Description],Table2[Unit Cost]),2,0))</f>
        <v>4</v>
      </c>
      <c r="BL15" s="27" t="n">
        <f aca="false">BK15*BJ15</f>
        <v>400332</v>
      </c>
    </row>
    <row r="16" customFormat="false" ht="19.5" hidden="false" customHeight="true" outlineLevel="0" collapsed="false">
      <c r="A16" s="0" t="n">
        <v>4</v>
      </c>
      <c r="B16" s="19" t="str">
        <f aca="false">IF(C16="",0,VLOOKUP(C16,CHOOSE({1,2},Table2[Pay Item Description],Table2[Pay Item No.]),2,0))</f>
        <v>P-401-8.1b</v>
      </c>
      <c r="C16" s="20" t="s">
        <v>511</v>
      </c>
      <c r="D16" s="21" t="str">
        <f aca="false">IF(C16="","N/A",VLOOKUP(C16,CHOOSE({1,2},Table2[Pay Item Description],Table2[Units]),2,0))</f>
        <v>TON</v>
      </c>
      <c r="E16" s="108" t="n">
        <v>36280</v>
      </c>
      <c r="F16" s="23" t="n">
        <f aca="false">IF(C16="","N/A",VLOOKUP(C16,CHOOSE({1,2},Table2[Pay Item Description],Table2[Unit Cost]),2,0))</f>
        <v>120</v>
      </c>
      <c r="G16" s="24" t="n">
        <f aca="false">IF(B16&lt;&gt;0,F16*E16,0)</f>
        <v>4353600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5" t="str">
        <f aca="false">IF(AB16="","N/A",VLOOKUP(AB16,CHOOSE({1,2},Table2[Pay Item Description],Table2[Units]),2,0))</f>
        <v>S.F.</v>
      </c>
      <c r="AD16" s="111" t="n">
        <f aca="false">'Maintenance Policies'!D16*$C$8</f>
        <v>25000</v>
      </c>
      <c r="AE16" s="116"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7" t="str">
        <f aca="false">IF(AJ16="","N/A",VLOOKUP(AJ16,CHOOSE({1,2},Table2[Pay Item Description],Table2[Units]),2,0))</f>
        <v>S.F.</v>
      </c>
      <c r="AL16" s="113" t="n">
        <f aca="false">'Maintenance Policies'!D20*$C$8</f>
        <v>25000</v>
      </c>
      <c r="AM16" s="118"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5" t="str">
        <f aca="false">IF(AR16="","N/A",VLOOKUP(AR16,CHOOSE({1,2},Table2[Pay Item Description],Table2[Units]),2,0))</f>
        <v>L.F.</v>
      </c>
      <c r="AT16" s="111" t="n">
        <f aca="false">'Maintenance Policies'!D23*($C$5*9)</f>
        <v>13511.205</v>
      </c>
      <c r="AU16" s="116"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5" t="str">
        <f aca="false">IF(BH16="","N/A",VLOOKUP(BH16,CHOOSE({1,2},Table2[Pay Item Description],Table2[Units]),2,0))</f>
        <v>S.F.</v>
      </c>
      <c r="BJ16" s="111" t="n">
        <f aca="false">C8</f>
        <v>25000</v>
      </c>
      <c r="BK16" s="116"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str">
        <f aca="false">IF(C17="",0,VLOOKUP(C17,CHOOSE({1,2},Table2[Pay Item Description],Table2[Pay Item No.]),2,0))</f>
        <v>P-401-8.1a</v>
      </c>
      <c r="C17" s="20" t="s">
        <v>508</v>
      </c>
      <c r="D17" s="21" t="str">
        <f aca="false">IF(C17="","N/A",VLOOKUP(C17,CHOOSE({1,2},Table2[Pay Item Description],Table2[Units]),2,0))</f>
        <v>TON</v>
      </c>
      <c r="E17" s="108" t="n">
        <v>21768</v>
      </c>
      <c r="F17" s="23" t="n">
        <f aca="false">IF(C17="","N/A",VLOOKUP(C17,CHOOSE({1,2},Table2[Pay Item Description],Table2[Unit Cost]),2,0))</f>
        <v>130</v>
      </c>
      <c r="G17" s="24" t="n">
        <f aca="false">IF(B17&lt;&gt;0,F17*E17,0)</f>
        <v>2829840</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5" t="str">
        <f aca="false">IF(AB17="","N/A",VLOOKUP(AB17,CHOOSE({1,2},Table2[Pay Item Description],Table2[Units]),2,0))</f>
        <v>S.F.</v>
      </c>
      <c r="AD17" s="111" t="n">
        <f aca="false">'Maintenance Policies'!D17*$C$8</f>
        <v>25000</v>
      </c>
      <c r="AE17" s="116"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7" t="str">
        <f aca="false">IF(AJ17="","N/A",VLOOKUP(AJ17,CHOOSE({1,2},Table2[Pay Item Description],Table2[Units]),2,0))</f>
        <v>S.F.</v>
      </c>
      <c r="AL17" s="113" t="n">
        <f aca="false">'Maintenance Policies'!D21*$C$8</f>
        <v>25000</v>
      </c>
      <c r="AM17" s="118"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5" t="str">
        <f aca="false">IF(AR17="","N/A",VLOOKUP(AR17,CHOOSE({1,2},Table2[Pay Item Description],Table2[Units]),2,0))</f>
        <v>S.F.</v>
      </c>
      <c r="AT17" s="111" t="n">
        <f aca="false">'Maintenance Policies'!D24*($C$5*9)</f>
        <v>4503.735</v>
      </c>
      <c r="AU17" s="116"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5" t="str">
        <f aca="false">IF(BH17="","N/A",VLOOKUP(BH17,CHOOSE({1,2},Table2[Pay Item Description],Table2[Units]),2,0))</f>
        <v>S.F.</v>
      </c>
      <c r="BJ17" s="111" t="n">
        <f aca="false">'Maintenance Policies'!D31*$C$8</f>
        <v>25000</v>
      </c>
      <c r="BK17" s="116"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str">
        <f aca="false">IF(C18="",0,VLOOKUP(C18,CHOOSE({1,2},Table2[Pay Item Description],Table2[Pay Item No.]),2,0))</f>
        <v>P-620-5.1a</v>
      </c>
      <c r="C18" s="20" t="s">
        <v>558</v>
      </c>
      <c r="D18" s="21" t="str">
        <f aca="false">IF(C18="","N/A",VLOOKUP(C18,CHOOSE({1,2},Table2[Pay Item Description],Table2[Units]),2,0))</f>
        <v>S.F.</v>
      </c>
      <c r="E18" s="108" t="n">
        <v>25000</v>
      </c>
      <c r="F18" s="23" t="n">
        <f aca="false">IF(C18="","N/A",VLOOKUP(C18,CHOOSE({1,2},Table2[Pay Item Description],Table2[Unit Cost]),2,0))</f>
        <v>0.666666666666667</v>
      </c>
      <c r="G18" s="24" t="n">
        <f aca="false">IF(B18&lt;&gt;0,F18*E18,0)</f>
        <v>16666.6666666667</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5" t="str">
        <f aca="false">IF(AR18="","N/A",VLOOKUP(AR18,CHOOSE({1,2},Table2[Pay Item Description],Table2[Units]),2,0))</f>
        <v>S.F.</v>
      </c>
      <c r="AT18" s="111" t="n">
        <f aca="false">'Maintenance Policies'!D25*$C$8</f>
        <v>25000</v>
      </c>
      <c r="AU18" s="116"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8"/>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8"/>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8"/>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8"/>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10758658.6666667</v>
      </c>
    </row>
    <row r="25" customFormat="false" ht="15" hidden="false" customHeight="false" outlineLevel="0" collapsed="false">
      <c r="B25" s="0" t="s">
        <v>25</v>
      </c>
      <c r="G25" s="30" t="n">
        <f aca="false">('General Information'!$D$36/100)*G24</f>
        <v>1075865.86666667</v>
      </c>
    </row>
    <row r="26" customFormat="false" ht="15" hidden="false" customHeight="false" outlineLevel="0" collapsed="false">
      <c r="B26" s="0" t="s">
        <v>26</v>
      </c>
      <c r="G26" s="30" t="n">
        <f aca="false">('General Information'!$D$37/100)*G24</f>
        <v>537932.933333333</v>
      </c>
    </row>
    <row r="27" customFormat="false" ht="15" hidden="false" customHeight="false" outlineLevel="0" collapsed="false">
      <c r="A27" s="7" t="s">
        <v>27</v>
      </c>
      <c r="G27" s="119" t="n">
        <f aca="false">SUM(G24:G26)</f>
        <v>12372457.4666667</v>
      </c>
    </row>
    <row r="32" customFormat="false" ht="15" hidden="false" customHeight="false" outlineLevel="0" collapsed="false">
      <c r="A32" s="7" t="s">
        <v>28</v>
      </c>
    </row>
    <row r="33" customFormat="false" ht="15" hidden="false" customHeight="false" outlineLevel="0" collapsed="false">
      <c r="A33" s="7" t="s">
        <v>647</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12372457.4666667</v>
      </c>
      <c r="E36" s="39" t="n">
        <f aca="false">D36</f>
        <v>12372457.4666667</v>
      </c>
      <c r="K36" s="1" t="s">
        <v>35</v>
      </c>
      <c r="L36" s="120" t="s">
        <v>36</v>
      </c>
      <c r="M36" s="120" t="s">
        <v>37</v>
      </c>
      <c r="N36" s="120"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21" t="n">
        <f aca="false">IF(K37-$C$6&gt;'General Information'!$D$33,0,IF(K37=$C$6,$D$36,0)+SUMIFS($D$37:$D$51,$C$37:$C$51,K37-$C$6,$B$37:$B$51,"&lt;&gt;*Indirect*"))</f>
        <v>12372457.4666667</v>
      </c>
      <c r="M37" s="121" t="n">
        <f aca="false">IF(K37-$C$6&gt;'General Information'!$D$33,0,SUMIFS($D$37:$D$51,$C$37:$C$51,K37-$C$6,$B$37:$B$51,"*Indirect*"))</f>
        <v>0</v>
      </c>
      <c r="N37" s="121" t="n">
        <f aca="false">IF(K37-$C$6&gt;'General Information'!$D$33,0,IF(K37=$C$6,$E$36,0)+SUMIF($C$37:$C$51,K37-$C$6,$E$37:$E$51))</f>
        <v>12372457.4666667</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21" t="n">
        <f aca="false">IF(K38-$C$6&gt;'General Information'!$D$33,0,IF(K38=$C$6,$D$36,0)+SUMIFS($D$37:$D$51,$C$37:$C$51,K38-$C$6,$B$37:$B$51,"&lt;&gt;*Indirect*"))</f>
        <v>0</v>
      </c>
      <c r="M38" s="121" t="n">
        <f aca="false">IF(K38-$C$6&gt;'General Information'!$D$33,0,SUMIFS($D$37:$D$51,$C$37:$C$51,K38-$C$6,$B$37:$B$51,"*Indirect*"))</f>
        <v>0</v>
      </c>
      <c r="N38" s="121" t="n">
        <f aca="false">IF(K38-$C$6&gt;'General Information'!$D$33,0,IF(K38=$C$6,$E$36,0)+SUMIF($C$37:$C$51,K38-$C$6,$E$37:$E$51))</f>
        <v>0</v>
      </c>
    </row>
    <row r="39" customFormat="false" ht="15" hidden="false" customHeight="false" outlineLevel="0" collapsed="false">
      <c r="B39" s="40" t="s">
        <v>595</v>
      </c>
      <c r="C39" s="41" t="n">
        <f aca="false">'Maintenance Policies'!E12</f>
        <v>8</v>
      </c>
      <c r="D39" s="42" t="n">
        <f aca="false">X19</f>
        <v>501909.577777778</v>
      </c>
      <c r="E39" s="43" t="n">
        <f aca="false">IF(C39&gt;'General Information'!$D$33,0,D39/(1+('General Information'!$D$34/100))^C39)</f>
        <v>396212.055488386</v>
      </c>
      <c r="K39" s="1" t="n">
        <f aca="false">K38+1</f>
        <v>2029</v>
      </c>
      <c r="L39" s="121" t="n">
        <f aca="false">IF(K39-$C$6&gt;'General Information'!$D$33,0,IF(K39=$C$6,$D$36,0)+SUMIFS($D$37:$D$51,$C$37:$C$51,K39-$C$6,$B$37:$B$51,"&lt;&gt;*Indirect*"))</f>
        <v>0</v>
      </c>
      <c r="M39" s="121" t="n">
        <f aca="false">IF(K39-$C$6&gt;'General Information'!$D$33,0,SUMIFS($D$37:$D$51,$C$37:$C$51,K39-$C$6,$B$37:$B$51,"*Indirect*"))</f>
        <v>0</v>
      </c>
      <c r="N39" s="121" t="n">
        <f aca="false">IF(K39-$C$6&gt;'General Information'!$D$33,0,IF(K39=$C$6,$E$36,0)+SUMIF($C$37:$C$51,K39-$C$6,$E$37:$E$51))</f>
        <v>0</v>
      </c>
    </row>
    <row r="40" customFormat="false" ht="15" hidden="false" customHeight="false" outlineLevel="0" collapsed="false">
      <c r="B40" s="40" t="s">
        <v>648</v>
      </c>
      <c r="C40" s="41" t="n">
        <f aca="false">'Maintenance Policies'!E12</f>
        <v>8</v>
      </c>
      <c r="D40" s="42" t="n">
        <f aca="false">F2*F5</f>
        <v>85059.4</v>
      </c>
      <c r="E40" s="43" t="n">
        <f aca="false">IF(C40&gt;'General Information'!$D$33,0,D40/(1+('General Information'!$D$34/100))^C40)</f>
        <v>67146.6758252028</v>
      </c>
      <c r="K40" s="1" t="n">
        <f aca="false">K39+1</f>
        <v>2030</v>
      </c>
      <c r="L40" s="121" t="n">
        <f aca="false">IF(K40-$C$6&gt;'General Information'!$D$33,0,IF(K40=$C$6,$D$36,0)+SUMIFS($D$37:$D$51,$C$37:$C$51,K40-$C$6,$B$37:$B$51,"&lt;&gt;*Indirect*"))</f>
        <v>0</v>
      </c>
      <c r="M40" s="121" t="n">
        <f aca="false">IF(K40-$C$6&gt;'General Information'!$D$33,0,SUMIFS($D$37:$D$51,$C$37:$C$51,K40-$C$6,$B$37:$B$51,"*Indirect*"))</f>
        <v>0</v>
      </c>
      <c r="N40" s="121" t="n">
        <f aca="false">IF(K40-$C$6&gt;'General Information'!$D$33,0,IF(K40=$C$6,$E$36,0)+SUMIF($C$37:$C$51,K40-$C$6,$E$37:$E$51))</f>
        <v>0</v>
      </c>
    </row>
    <row r="41" customFormat="false" ht="15" hidden="false" customHeight="false" outlineLevel="0" collapsed="false">
      <c r="B41" s="40" t="s">
        <v>596</v>
      </c>
      <c r="C41" s="41" t="n">
        <f aca="false">'Maintenance Policies'!E14</f>
        <v>12</v>
      </c>
      <c r="D41" s="42" t="n">
        <f aca="false">AF21</f>
        <v>702607.268715278</v>
      </c>
      <c r="E41" s="43" t="n">
        <f aca="false">IF(C41&gt;'General Information'!$D$33,0,D41/(1+('General Information'!$D$34/100))^C41)</f>
        <v>492794.601954233</v>
      </c>
      <c r="K41" s="1" t="n">
        <f aca="false">K40+1</f>
        <v>2031</v>
      </c>
      <c r="L41" s="121" t="n">
        <f aca="false">IF(K41-$C$6&gt;'General Information'!$D$33,0,IF(K41=$C$6,$D$36,0)+SUMIFS($D$37:$D$51,$C$37:$C$51,K41-$C$6,$B$37:$B$51,"&lt;&gt;*Indirect*"))</f>
        <v>501909.577777778</v>
      </c>
      <c r="M41" s="121" t="n">
        <f aca="false">IF(K41-$C$6&gt;'General Information'!$D$33,0,SUMIFS($D$37:$D$51,$C$37:$C$51,K41-$C$6,$B$37:$B$51,"*Indirect*"))</f>
        <v>85059.4</v>
      </c>
      <c r="N41" s="121" t="n">
        <f aca="false">IF(K41-$C$6&gt;'General Information'!$D$33,0,IF(K41=$C$6,$E$36,0)+SUMIF($C$37:$C$51,K41-$C$6,$E$37:$E$51))</f>
        <v>521514.334283867</v>
      </c>
    </row>
    <row r="42" customFormat="false" ht="15" hidden="false" customHeight="false" outlineLevel="0" collapsed="false">
      <c r="B42" s="40" t="s">
        <v>649</v>
      </c>
      <c r="C42" s="41" t="n">
        <f aca="false">'Maintenance Policies'!E14</f>
        <v>12</v>
      </c>
      <c r="D42" s="42" t="n">
        <f aca="false">F2*F6</f>
        <v>102071.28</v>
      </c>
      <c r="E42" s="43" t="n">
        <f aca="false">IF(C42&gt;'General Information'!$D$33,0,D42/(1+('General Information'!$D$34/100))^C42)</f>
        <v>71590.7421375434</v>
      </c>
      <c r="K42" s="1" t="n">
        <f aca="false">K41+1</f>
        <v>2032</v>
      </c>
      <c r="L42" s="121" t="n">
        <f aca="false">IF(K42-$C$6&gt;'General Information'!$D$33,0,IF(K42=$C$6,$D$36,0)+SUMIFS($D$37:$D$51,$C$37:$C$51,K42-$C$6,$B$37:$B$51,"&lt;&gt;*Indirect*"))</f>
        <v>0</v>
      </c>
      <c r="M42" s="121" t="n">
        <f aca="false">IF(K42-$C$6&gt;'General Information'!$D$33,0,SUMIFS($D$37:$D$51,$C$37:$C$51,K42-$C$6,$B$37:$B$51,"*Indirect*"))</f>
        <v>0</v>
      </c>
      <c r="N42" s="121" t="n">
        <f aca="false">IF(K42-$C$6&gt;'General Information'!$D$33,0,IF(K42=$C$6,$E$36,0)+SUMIF($C$37:$C$51,K42-$C$6,$E$37:$E$51))</f>
        <v>0</v>
      </c>
    </row>
    <row r="43" customFormat="false" ht="15" hidden="false" customHeight="false" outlineLevel="0" collapsed="false">
      <c r="B43" s="40" t="s">
        <v>601</v>
      </c>
      <c r="C43" s="41" t="n">
        <f aca="false">'Maintenance Policies'!E18</f>
        <v>16</v>
      </c>
      <c r="D43" s="42" t="n">
        <f aca="false">AN21</f>
        <v>734977.864027778</v>
      </c>
      <c r="E43" s="43" t="n">
        <f aca="false">IF(C43&gt;'General Information'!$D$33,0,D43/(1+('General Information'!$D$34/100))^C43)</f>
        <v>458013.905920727</v>
      </c>
      <c r="K43" s="1" t="n">
        <f aca="false">K42+1</f>
        <v>2033</v>
      </c>
      <c r="L43" s="121" t="n">
        <f aca="false">IF(K43-$C$6&gt;'General Information'!$D$33,0,IF(K43=$C$6,$D$36,0)+SUMIFS($D$37:$D$51,$C$37:$C$51,K43-$C$6,$B$37:$B$51,"&lt;&gt;*Indirect*"))</f>
        <v>0</v>
      </c>
      <c r="M43" s="121" t="n">
        <f aca="false">IF(K43-$C$6&gt;'General Information'!$D$33,0,SUMIFS($D$37:$D$51,$C$37:$C$51,K43-$C$6,$B$37:$B$51,"*Indirect*"))</f>
        <v>0</v>
      </c>
      <c r="N43" s="121" t="n">
        <f aca="false">IF(K43-$C$6&gt;'General Information'!$D$33,0,IF(K43=$C$6,$E$36,0)+SUMIF($C$37:$C$51,K43-$C$6,$E$37:$E$51))</f>
        <v>0</v>
      </c>
    </row>
    <row r="44" customFormat="false" ht="15" hidden="false" customHeight="false" outlineLevel="0" collapsed="false">
      <c r="B44" s="40" t="s">
        <v>650</v>
      </c>
      <c r="C44" s="41" t="n">
        <f aca="false">'Maintenance Policies'!E18</f>
        <v>16</v>
      </c>
      <c r="D44" s="42" t="n">
        <f aca="false">F2*F7</f>
        <v>102071.28</v>
      </c>
      <c r="E44" s="43" t="n">
        <f aca="false">IF(C44&gt;'General Information'!$D$33,0,D44/(1+('General Information'!$D$34/100))^C44)</f>
        <v>63607.4471398792</v>
      </c>
      <c r="K44" s="1" t="n">
        <f aca="false">K43+1</f>
        <v>2034</v>
      </c>
      <c r="L44" s="121" t="n">
        <f aca="false">IF(K44-$C$6&gt;'General Information'!$D$33,0,IF(K44=$C$6,$D$36,0)+SUMIFS($D$37:$D$51,$C$37:$C$51,K44-$C$6,$B$37:$B$51,"&lt;&gt;*Indirect*"))</f>
        <v>0</v>
      </c>
      <c r="M44" s="121" t="n">
        <f aca="false">IF(K44-$C$6&gt;'General Information'!$D$33,0,SUMIFS($D$37:$D$51,$C$37:$C$51,K44-$C$6,$B$37:$B$51,"*Indirect*"))</f>
        <v>0</v>
      </c>
      <c r="N44" s="121"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21" t="n">
        <f aca="false">IF(K45-$C$6&gt;'General Information'!$D$33,0,IF(K45=$C$6,$D$36,0)+SUMIFS($D$37:$D$51,$C$37:$C$51,K45-$C$6,$B$37:$B$51,"&lt;&gt;*Indirect*"))</f>
        <v>501909.577777778</v>
      </c>
      <c r="M45" s="121" t="n">
        <f aca="false">IF(K45-$C$6&gt;'General Information'!$D$33,0,SUMIFS($D$37:$D$51,$C$37:$C$51,K45-$C$6,$B$37:$B$51,"*Indirect*"))</f>
        <v>85059.4</v>
      </c>
      <c r="N45" s="121"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21" t="n">
        <f aca="false">IF(K46-$C$6&gt;'General Information'!$D$33,0,IF(K46=$C$6,$D$36,0)+SUMIFS($D$37:$D$51,$C$37:$C$51,K46-$C$6,$B$37:$B$51,"&lt;&gt;*Indirect*"))</f>
        <v>0</v>
      </c>
      <c r="M46" s="121" t="n">
        <f aca="false">IF(K46-$C$6&gt;'General Information'!$D$33,0,SUMIFS($D$37:$D$51,$C$37:$C$51,K46-$C$6,$B$37:$B$51,"*Indirect*"))</f>
        <v>0</v>
      </c>
      <c r="N46" s="121" t="n">
        <f aca="false">IF(K46-$C$6&gt;'General Information'!$D$33,0,IF(K46=$C$6,$E$36,0)+SUMIF($C$37:$C$51,K46-$C$6,$E$37:$E$51))</f>
        <v>0</v>
      </c>
    </row>
    <row r="47" customFormat="false" ht="15" hidden="false" customHeight="false" outlineLevel="0" collapsed="false">
      <c r="B47" s="40" t="s">
        <v>607</v>
      </c>
      <c r="C47" s="41" t="n">
        <f aca="false">'Maintenance Policies'!E26</f>
        <v>24</v>
      </c>
      <c r="D47" s="42" t="n">
        <f aca="false">BD19</f>
        <v>501909.577777778</v>
      </c>
      <c r="E47" s="43" t="n">
        <f aca="false">IF(C47&gt;'General Information'!$D$33,0,D47/(1+('General Information'!$D$34/100))^C47)</f>
        <v>246906.253900808</v>
      </c>
      <c r="K47" s="1" t="n">
        <f aca="false">K46+1</f>
        <v>2037</v>
      </c>
      <c r="L47" s="121" t="n">
        <f aca="false">IF(K47-$C$6&gt;'General Information'!$D$33,0,IF(K47=$C$6,$D$36,0)+SUMIFS($D$37:$D$51,$C$37:$C$51,K47-$C$6,$B$37:$B$51,"&lt;&gt;*Indirect*"))</f>
        <v>0</v>
      </c>
      <c r="M47" s="121" t="n">
        <f aca="false">IF(K47-$C$6&gt;'General Information'!$D$33,0,SUMIFS($D$37:$D$51,$C$37:$C$51,K47-$C$6,$B$37:$B$51,"*Indirect*"))</f>
        <v>0</v>
      </c>
      <c r="N47" s="121" t="n">
        <f aca="false">IF(K47-$C$6&gt;'General Information'!$D$33,0,IF(K47=$C$6,$E$36,0)+SUMIF($C$37:$C$51,K47-$C$6,$E$37:$E$51))</f>
        <v>0</v>
      </c>
    </row>
    <row r="48" customFormat="false" ht="15" hidden="false" customHeight="false" outlineLevel="0" collapsed="false">
      <c r="B48" s="40" t="s">
        <v>651</v>
      </c>
      <c r="C48" s="41" t="n">
        <f aca="false">'Maintenance Policies'!E26</f>
        <v>24</v>
      </c>
      <c r="D48" s="42" t="n">
        <f aca="false">F2*F9</f>
        <v>85059.4</v>
      </c>
      <c r="E48" s="43" t="n">
        <f aca="false">IF(C48&gt;'General Information'!$D$33,0,D48/(1+('General Information'!$D$34/100))^C48)</f>
        <v>41843.5884527968</v>
      </c>
      <c r="K48" s="1" t="n">
        <f aca="false">K47+1</f>
        <v>2038</v>
      </c>
      <c r="L48" s="121" t="n">
        <f aca="false">IF(K48-$C$6&gt;'General Information'!$D$33,0,IF(K48=$C$6,$D$36,0)+SUMIFS($D$37:$D$51,$C$37:$C$51,K48-$C$6,$B$37:$B$51,"&lt;&gt;*Indirect*"))</f>
        <v>0</v>
      </c>
      <c r="M48" s="121" t="n">
        <f aca="false">IF(K48-$C$6&gt;'General Information'!$D$33,0,SUMIFS($D$37:$D$51,$C$37:$C$51,K48-$C$6,$B$37:$B$51,"*Indirect*"))</f>
        <v>0</v>
      </c>
      <c r="N48" s="121" t="n">
        <f aca="false">IF(K48-$C$6&gt;'General Information'!$D$33,0,IF(K48=$C$6,$E$36,0)+SUMIF($C$37:$C$51,K48-$C$6,$E$37:$E$51))</f>
        <v>0</v>
      </c>
    </row>
    <row r="49" customFormat="false" ht="15" hidden="false" customHeight="false" outlineLevel="0" collapsed="false">
      <c r="B49" s="40" t="s">
        <v>608</v>
      </c>
      <c r="C49" s="41" t="n">
        <f aca="false">'Maintenance Policies'!E28</f>
        <v>28</v>
      </c>
      <c r="D49" s="42" t="n">
        <f aca="false">BL21</f>
        <v>777707.049840278</v>
      </c>
      <c r="E49" s="43" t="n">
        <f aca="false">IF(C49&gt;'General Information'!$D$33,0,D49/(1+('General Information'!$D$34/100))^C49)</f>
        <v>339917.672261939</v>
      </c>
      <c r="K49" s="1" t="n">
        <f aca="false">K48+1</f>
        <v>2039</v>
      </c>
      <c r="L49" s="121" t="n">
        <f aca="false">IF(K49-$C$6&gt;'General Information'!$D$33,0,IF(K49=$C$6,$D$36,0)+SUMIFS($D$37:$D$51,$C$37:$C$51,K49-$C$6,$B$37:$B$51,"&lt;&gt;*Indirect*"))</f>
        <v>702607.268715278</v>
      </c>
      <c r="M49" s="121" t="n">
        <f aca="false">IF(K49-$C$6&gt;'General Information'!$D$33,0,SUMIFS($D$37:$D$51,$C$37:$C$51,K49-$C$6,$B$37:$B$51,"*Indirect*"))</f>
        <v>102071.28</v>
      </c>
      <c r="N49" s="121" t="n">
        <f aca="false">IF(K49-$C$6&gt;'General Information'!$D$33,0,IF(K49=$C$6,$E$36,0)+SUMIF($C$37:$C$51,K49-$C$6,$E$37:$E$51))</f>
        <v>564385.344091777</v>
      </c>
    </row>
    <row r="50" customFormat="false" ht="15" hidden="false" customHeight="false" outlineLevel="0" collapsed="false">
      <c r="B50" s="40" t="s">
        <v>652</v>
      </c>
      <c r="C50" s="41" t="n">
        <f aca="false">'Maintenance Policies'!E28</f>
        <v>28</v>
      </c>
      <c r="D50" s="42" t="n">
        <f aca="false">F2*F10</f>
        <v>102071.28</v>
      </c>
      <c r="E50" s="43" t="n">
        <f aca="false">IF(C50&gt;'General Information'!$D$33,0,D50/(1+('General Information'!$D$34/100))^C50)</f>
        <v>44612.9836543493</v>
      </c>
      <c r="K50" s="1" t="n">
        <f aca="false">K49+1</f>
        <v>2040</v>
      </c>
      <c r="L50" s="121" t="n">
        <f aca="false">IF(K50-$C$6&gt;'General Information'!$D$33,0,IF(K50=$C$6,$D$36,0)+SUMIFS($D$37:$D$51,$C$37:$C$51,K50-$C$6,$B$37:$B$51,"&lt;&gt;*Indirect*"))</f>
        <v>0</v>
      </c>
      <c r="M50" s="121" t="n">
        <f aca="false">IF(K50-$C$6&gt;'General Information'!$D$33,0,SUMIFS($D$37:$D$51,$C$37:$C$51,K50-$C$6,$B$37:$B$51,"*Indirect*"))</f>
        <v>0</v>
      </c>
      <c r="N50" s="121"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21" t="n">
        <f aca="false">IF(K51-$C$6&gt;'General Information'!$D$33,0,IF(K51=$C$6,$D$36,0)+SUMIFS($D$37:$D$51,$C$37:$C$51,K51-$C$6,$B$37:$B$51,"&lt;&gt;*Indirect*"))</f>
        <v>0</v>
      </c>
      <c r="M51" s="121" t="n">
        <f aca="false">IF(K51-$C$6&gt;'General Information'!$D$33,0,SUMIFS($D$37:$D$51,$C$37:$C$51,K51-$C$6,$B$37:$B$51,"*Indirect*"))</f>
        <v>0</v>
      </c>
      <c r="N51" s="121" t="n">
        <f aca="false">IF(K51-$C$6&gt;'General Information'!$D$33,0,IF(K51=$C$6,$E$36,0)+SUMIF($C$37:$C$51,K51-$C$6,$E$37:$E$51))</f>
        <v>0</v>
      </c>
    </row>
    <row r="52" customFormat="false" ht="15" hidden="false" customHeight="false" outlineLevel="0" collapsed="false">
      <c r="B52" s="44" t="s">
        <v>28</v>
      </c>
      <c r="C52" s="45"/>
      <c r="D52" s="45"/>
      <c r="E52" s="46" t="n">
        <f aca="false">SUM(E36:E51)</f>
        <v>16528083.6250713</v>
      </c>
      <c r="K52" s="1" t="n">
        <f aca="false">K51+1</f>
        <v>2042</v>
      </c>
      <c r="L52" s="121" t="n">
        <f aca="false">IF(K52-$C$6&gt;'General Information'!$D$33,0,IF(K52=$C$6,$D$36,0)+SUMIFS($D$37:$D$51,$C$37:$C$51,K52-$C$6,$B$37:$B$51,"&lt;&gt;*Indirect*"))</f>
        <v>0</v>
      </c>
      <c r="M52" s="121" t="n">
        <f aca="false">IF(K52-$C$6&gt;'General Information'!$D$33,0,SUMIFS($D$37:$D$51,$C$37:$C$51,K52-$C$6,$B$37:$B$51,"*Indirect*"))</f>
        <v>0</v>
      </c>
      <c r="N52" s="121" t="n">
        <f aca="false">IF(K52-$C$6&gt;'General Information'!$D$33,0,IF(K52=$C$6,$E$36,0)+SUMIF($C$37:$C$51,K52-$C$6,$E$37:$E$51))</f>
        <v>0</v>
      </c>
    </row>
    <row r="53" customFormat="false" ht="15" hidden="false" customHeight="false" outlineLevel="0" collapsed="false">
      <c r="K53" s="1" t="n">
        <f aca="false">K52+1</f>
        <v>2043</v>
      </c>
      <c r="L53" s="121" t="n">
        <f aca="false">IF(K53-$C$6&gt;'General Information'!$D$33,0,IF(K53=$C$6,$D$36,0)+SUMIFS($D$37:$D$51,$C$37:$C$51,K53-$C$6,$B$37:$B$51,"&lt;&gt;*Indirect*"))</f>
        <v>734977.864027778</v>
      </c>
      <c r="M53" s="121" t="n">
        <f aca="false">IF(K53-$C$6&gt;'General Information'!$D$33,0,SUMIFS($D$37:$D$51,$C$37:$C$51,K53-$C$6,$B$37:$B$51,"*Indirect*"))</f>
        <v>102071.28</v>
      </c>
      <c r="N53" s="121" t="n">
        <f aca="false">IF(K53-$C$6&gt;'General Information'!$D$33,0,IF(K53=$C$6,$E$36,0)+SUMIF($C$37:$C$51,K53-$C$6,$E$37:$E$51))</f>
        <v>521621.353060607</v>
      </c>
    </row>
    <row r="54" customFormat="false" ht="15" hidden="false" customHeight="false" outlineLevel="0" collapsed="false">
      <c r="K54" s="1" t="n">
        <f aca="false">K53+1</f>
        <v>2044</v>
      </c>
      <c r="L54" s="121" t="n">
        <f aca="false">IF(K54-$C$6&gt;'General Information'!$D$33,0,IF(K54=$C$6,$D$36,0)+SUMIFS($D$37:$D$51,$C$37:$C$51,K54-$C$6,$B$37:$B$51,"&lt;&gt;*Indirect*"))</f>
        <v>0</v>
      </c>
      <c r="M54" s="121" t="n">
        <f aca="false">IF(K54-$C$6&gt;'General Information'!$D$33,0,SUMIFS($D$37:$D$51,$C$37:$C$51,K54-$C$6,$B$37:$B$51,"*Indirect*"))</f>
        <v>0</v>
      </c>
      <c r="N54" s="121" t="n">
        <f aca="false">IF(K54-$C$6&gt;'General Information'!$D$33,0,IF(K54=$C$6,$E$36,0)+SUMIF($C$37:$C$51,K54-$C$6,$E$37:$E$51))</f>
        <v>0</v>
      </c>
    </row>
    <row r="55" customFormat="false" ht="15" hidden="false" customHeight="false" outlineLevel="0" collapsed="false">
      <c r="K55" s="1" t="n">
        <f aca="false">K54+1</f>
        <v>2045</v>
      </c>
      <c r="L55" s="121" t="n">
        <f aca="false">IF(K55-$C$6&gt;'General Information'!$D$33,0,IF(K55=$C$6,$D$36,0)+SUMIFS($D$37:$D$51,$C$37:$C$51,K55-$C$6,$B$37:$B$51,"&lt;&gt;*Indirect*"))</f>
        <v>0</v>
      </c>
      <c r="M55" s="121" t="n">
        <f aca="false">IF(K55-$C$6&gt;'General Information'!$D$33,0,SUMIFS($D$37:$D$51,$C$37:$C$51,K55-$C$6,$B$37:$B$51,"*Indirect*"))</f>
        <v>0</v>
      </c>
      <c r="N55" s="121" t="n">
        <f aca="false">IF(K55-$C$6&gt;'General Information'!$D$33,0,IF(K55=$C$6,$E$36,0)+SUMIF($C$37:$C$51,K55-$C$6,$E$37:$E$51))</f>
        <v>0</v>
      </c>
    </row>
    <row r="56" customFormat="false" ht="15" hidden="false" customHeight="false" outlineLevel="0" collapsed="false">
      <c r="K56" s="1" t="n">
        <f aca="false">K55+1</f>
        <v>2046</v>
      </c>
      <c r="L56" s="121" t="n">
        <f aca="false">IF(K56-$C$6&gt;'General Information'!$D$33,0,IF(K56=$C$6,$D$36,0)+SUMIFS($D$37:$D$51,$C$37:$C$51,K56-$C$6,$B$37:$B$51,"&lt;&gt;*Indirect*"))</f>
        <v>0</v>
      </c>
      <c r="M56" s="121" t="n">
        <f aca="false">IF(K56-$C$6&gt;'General Information'!$D$33,0,SUMIFS($D$37:$D$51,$C$37:$C$51,K56-$C$6,$B$37:$B$51,"*Indirect*"))</f>
        <v>0</v>
      </c>
      <c r="N56" s="121" t="n">
        <f aca="false">IF(K56-$C$6&gt;'General Information'!$D$33,0,IF(K56=$C$6,$E$36,0)+SUMIF($C$37:$C$51,K56-$C$6,$E$37:$E$51))</f>
        <v>0</v>
      </c>
    </row>
    <row r="57" customFormat="false" ht="15" hidden="false" customHeight="false" outlineLevel="0" collapsed="false">
      <c r="K57" s="1" t="n">
        <f aca="false">K56+1</f>
        <v>2047</v>
      </c>
      <c r="L57" s="121" t="n">
        <f aca="false">IF(K57-$C$6&gt;'General Information'!$D$33,0,IF(K57=$C$6,$D$36,0)+SUMIFS($D$37:$D$51,$C$37:$C$51,K57-$C$6,$B$37:$B$51,"&lt;&gt;*Indirect*"))</f>
        <v>2548101.44179167</v>
      </c>
      <c r="M57" s="121" t="n">
        <f aca="false">IF(K57-$C$6&gt;'General Information'!$D$33,0,SUMIFS($D$37:$D$51,$C$37:$C$51,K57-$C$6,$B$37:$B$51,"*Indirect*"))</f>
        <v>238166.32</v>
      </c>
      <c r="N57" s="121" t="n">
        <f aca="false">IF(K57-$C$6&gt;'General Information'!$D$33,0,IF(K57=$C$6,$E$36,0)+SUMIF($C$37:$C$51,K57-$C$6,$E$37:$E$51))</f>
        <v>1542688.90437507</v>
      </c>
    </row>
    <row r="58" customFormat="false" ht="15" hidden="false" customHeight="false" outlineLevel="0" collapsed="false">
      <c r="K58" s="1" t="n">
        <f aca="false">K57+1</f>
        <v>2048</v>
      </c>
      <c r="L58" s="121" t="n">
        <f aca="false">IF(K58-$C$6&gt;'General Information'!$D$33,0,IF(K58=$C$6,$D$36,0)+SUMIFS($D$37:$D$51,$C$37:$C$51,K58-$C$6,$B$37:$B$51,"&lt;&gt;*Indirect*"))</f>
        <v>0</v>
      </c>
      <c r="M58" s="121" t="n">
        <f aca="false">IF(K58-$C$6&gt;'General Information'!$D$33,0,SUMIFS($D$37:$D$51,$C$37:$C$51,K58-$C$6,$B$37:$B$51,"*Indirect*"))</f>
        <v>0</v>
      </c>
      <c r="N58" s="121" t="n">
        <f aca="false">IF(K58-$C$6&gt;'General Information'!$D$33,0,IF(K58=$C$6,$E$36,0)+SUMIF($C$37:$C$51,K58-$C$6,$E$37:$E$51))</f>
        <v>0</v>
      </c>
    </row>
    <row r="59" customFormat="false" ht="15" hidden="false" customHeight="false" outlineLevel="0" collapsed="false">
      <c r="K59" s="1" t="n">
        <f aca="false">K58+1</f>
        <v>2049</v>
      </c>
      <c r="L59" s="121" t="n">
        <f aca="false">IF(K59-$C$6&gt;'General Information'!$D$33,0,IF(K59=$C$6,$D$36,0)+SUMIFS($D$37:$D$51,$C$37:$C$51,K59-$C$6,$B$37:$B$51,"&lt;&gt;*Indirect*"))</f>
        <v>0</v>
      </c>
      <c r="M59" s="121" t="n">
        <f aca="false">IF(K59-$C$6&gt;'General Information'!$D$33,0,SUMIFS($D$37:$D$51,$C$37:$C$51,K59-$C$6,$B$37:$B$51,"*Indirect*"))</f>
        <v>0</v>
      </c>
      <c r="N59" s="121" t="n">
        <f aca="false">IF(K59-$C$6&gt;'General Information'!$D$33,0,IF(K59=$C$6,$E$36,0)+SUMIF($C$37:$C$51,K59-$C$6,$E$37:$E$51))</f>
        <v>0</v>
      </c>
    </row>
    <row r="60" customFormat="false" ht="15" hidden="false" customHeight="false" outlineLevel="0" collapsed="false">
      <c r="K60" s="1" t="n">
        <f aca="false">K59+1</f>
        <v>2050</v>
      </c>
      <c r="L60" s="121" t="n">
        <f aca="false">IF(K60-$C$6&gt;'General Information'!$D$33,0,IF(K60=$C$6,$D$36,0)+SUMIFS($D$37:$D$51,$C$37:$C$51,K60-$C$6,$B$37:$B$51,"&lt;&gt;*Indirect*"))</f>
        <v>0</v>
      </c>
      <c r="M60" s="121" t="n">
        <f aca="false">IF(K60-$C$6&gt;'General Information'!$D$33,0,SUMIFS($D$37:$D$51,$C$37:$C$51,K60-$C$6,$B$37:$B$51,"*Indirect*"))</f>
        <v>0</v>
      </c>
      <c r="N60" s="121" t="n">
        <f aca="false">IF(K60-$C$6&gt;'General Information'!$D$33,0,IF(K60=$C$6,$E$36,0)+SUMIF($C$37:$C$51,K60-$C$6,$E$37:$E$51))</f>
        <v>0</v>
      </c>
    </row>
    <row r="61" customFormat="false" ht="15" hidden="false" customHeight="false" outlineLevel="0" collapsed="false">
      <c r="K61" s="1" t="n">
        <f aca="false">K60+1</f>
        <v>2051</v>
      </c>
      <c r="L61" s="121" t="n">
        <f aca="false">IF(K61-$C$6&gt;'General Information'!$D$33,0,IF(K61=$C$6,$D$36,0)+SUMIFS($D$37:$D$51,$C$37:$C$51,K61-$C$6,$B$37:$B$51,"&lt;&gt;*Indirect*"))</f>
        <v>501909.577777778</v>
      </c>
      <c r="M61" s="121" t="n">
        <f aca="false">IF(K61-$C$6&gt;'General Information'!$D$33,0,SUMIFS($D$37:$D$51,$C$37:$C$51,K61-$C$6,$B$37:$B$51,"*Indirect*"))</f>
        <v>85059.4</v>
      </c>
      <c r="N61" s="121" t="n">
        <f aca="false">IF(K61-$C$6&gt;'General Information'!$D$33,0,IF(K61=$C$6,$E$36,0)+SUMIF($C$37:$C$51,K61-$C$6,$E$37:$E$51))</f>
        <v>288749.842353604</v>
      </c>
    </row>
    <row r="62" customFormat="false" ht="15" hidden="false" customHeight="false" outlineLevel="0" collapsed="false">
      <c r="K62" s="1" t="n">
        <f aca="false">K61+1</f>
        <v>2052</v>
      </c>
      <c r="L62" s="121" t="n">
        <f aca="false">IF(K62-$C$6&gt;'General Information'!$D$33,0,IF(K62=$C$6,$D$36,0)+SUMIFS($D$37:$D$51,$C$37:$C$51,K62-$C$6,$B$37:$B$51,"&lt;&gt;*Indirect*"))</f>
        <v>0</v>
      </c>
      <c r="M62" s="121" t="n">
        <f aca="false">IF(K62-$C$6&gt;'General Information'!$D$33,0,SUMIFS($D$37:$D$51,$C$37:$C$51,K62-$C$6,$B$37:$B$51,"*Indirect*"))</f>
        <v>0</v>
      </c>
      <c r="N62" s="121" t="n">
        <f aca="false">IF(K62-$C$6&gt;'General Information'!$D$33,0,IF(K62=$C$6,$E$36,0)+SUMIF($C$37:$C$51,K62-$C$6,$E$37:$E$51))</f>
        <v>0</v>
      </c>
    </row>
    <row r="63" customFormat="false" ht="15" hidden="false" customHeight="false" outlineLevel="0" collapsed="false">
      <c r="K63" s="1" t="n">
        <f aca="false">K62+1</f>
        <v>2053</v>
      </c>
      <c r="L63" s="121" t="n">
        <f aca="false">IF(K63-$C$6&gt;'General Information'!$D$33,0,IF(K63=$C$6,$D$36,0)+SUMIFS($D$37:$D$51,$C$37:$C$51,K63-$C$6,$B$37:$B$51,"&lt;&gt;*Indirect*"))</f>
        <v>0</v>
      </c>
      <c r="M63" s="121" t="n">
        <f aca="false">IF(K63-$C$6&gt;'General Information'!$D$33,0,SUMIFS($D$37:$D$51,$C$37:$C$51,K63-$C$6,$B$37:$B$51,"*Indirect*"))</f>
        <v>0</v>
      </c>
      <c r="N63" s="121" t="n">
        <f aca="false">IF(K63-$C$6&gt;'General Information'!$D$33,0,IF(K63=$C$6,$E$36,0)+SUMIF($C$37:$C$51,K63-$C$6,$E$37:$E$51))</f>
        <v>0</v>
      </c>
    </row>
    <row r="64" customFormat="false" ht="15" hidden="false" customHeight="false" outlineLevel="0" collapsed="false">
      <c r="K64" s="1" t="n">
        <f aca="false">K63+1</f>
        <v>2054</v>
      </c>
      <c r="L64" s="121" t="n">
        <f aca="false">IF(K64-$C$6&gt;'General Information'!$D$33,0,IF(K64=$C$6,$D$36,0)+SUMIFS($D$37:$D$51,$C$37:$C$51,K64-$C$6,$B$37:$B$51,"&lt;&gt;*Indirect*"))</f>
        <v>0</v>
      </c>
      <c r="M64" s="121" t="n">
        <f aca="false">IF(K64-$C$6&gt;'General Information'!$D$33,0,SUMIFS($D$37:$D$51,$C$37:$C$51,K64-$C$6,$B$37:$B$51,"*Indirect*"))</f>
        <v>0</v>
      </c>
      <c r="N64" s="121" t="n">
        <f aca="false">IF(K64-$C$6&gt;'General Information'!$D$33,0,IF(K64=$C$6,$E$36,0)+SUMIF($C$37:$C$51,K64-$C$6,$E$37:$E$51))</f>
        <v>0</v>
      </c>
    </row>
    <row r="65" customFormat="false" ht="15" hidden="false" customHeight="false" outlineLevel="0" collapsed="false">
      <c r="K65" s="1" t="n">
        <f aca="false">K64+1</f>
        <v>2055</v>
      </c>
      <c r="L65" s="121" t="n">
        <f aca="false">IF(K65-$C$6&gt;'General Information'!$D$33,0,IF(K65=$C$6,$D$36,0)+SUMIFS($D$37:$D$51,$C$37:$C$51,K65-$C$6,$B$37:$B$51,"&lt;&gt;*Indirect*"))</f>
        <v>777707.049840278</v>
      </c>
      <c r="M65" s="121" t="n">
        <f aca="false">IF(K65-$C$6&gt;'General Information'!$D$33,0,SUMIFS($D$37:$D$51,$C$37:$C$51,K65-$C$6,$B$37:$B$51,"*Indirect*"))</f>
        <v>102071.28</v>
      </c>
      <c r="N65" s="121" t="n">
        <f aca="false">IF(K65-$C$6&gt;'General Information'!$D$33,0,IF(K65=$C$6,$E$36,0)+SUMIF($C$37:$C$51,K65-$C$6,$E$37:$E$51))</f>
        <v>384530.655916288</v>
      </c>
    </row>
    <row r="66" customFormat="false" ht="15" hidden="false" customHeight="false" outlineLevel="0" collapsed="false">
      <c r="K66" s="1" t="n">
        <f aca="false">K65+1</f>
        <v>2056</v>
      </c>
      <c r="L66" s="121" t="n">
        <f aca="false">IF(K66-$C$6&gt;'General Information'!$D$33,0,IF(K66=$C$6,$D$36,0)+SUMIFS($D$37:$D$51,$C$37:$C$51,K66-$C$6,$B$37:$B$51,"&lt;&gt;*Indirect*"))</f>
        <v>0</v>
      </c>
      <c r="M66" s="121" t="n">
        <f aca="false">IF(K66-$C$6&gt;'General Information'!$D$33,0,SUMIFS($D$37:$D$51,$C$37:$C$51,K66-$C$6,$B$37:$B$51,"*Indirect*"))</f>
        <v>0</v>
      </c>
      <c r="N66" s="121" t="n">
        <f aca="false">IF(K66-$C$6&gt;'General Information'!$D$33,0,IF(K66=$C$6,$E$36,0)+SUMIF($C$37:$C$51,K66-$C$6,$E$37:$E$51))</f>
        <v>0</v>
      </c>
    </row>
    <row r="67" customFormat="false" ht="15" hidden="false" customHeight="false" outlineLevel="0" collapsed="false">
      <c r="K67" s="1" t="n">
        <f aca="false">K66+1</f>
        <v>2057</v>
      </c>
      <c r="L67" s="121" t="n">
        <f aca="false">IF(K67-$C$6&gt;'General Information'!$D$33,0,IF(K67=$C$6,$D$36,0)+SUMIFS($D$37:$D$51,$C$37:$C$51,K67-$C$6,$B$37:$B$51,"&lt;&gt;*Indirect*"))</f>
        <v>-318512.680223958</v>
      </c>
      <c r="M67" s="121" t="n">
        <f aca="false">IF(K67-$C$6&gt;'General Information'!$D$33,0,SUMIFS($D$37:$D$51,$C$37:$C$51,K67-$C$6,$B$37:$B$51,"*Indirect*"))</f>
        <v>0</v>
      </c>
      <c r="N67" s="121"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460</v>
      </c>
      <c r="D13" s="21" t="str">
        <f aca="false">IF(C13="","N/A",VLOOKUP(C13,CHOOSE({1,2},Table2[Pay Item Description],Table2[Units]),2,0))</f>
        <v>C.Y.</v>
      </c>
      <c r="E13" s="22" t="n">
        <v>69502</v>
      </c>
      <c r="F13" s="23" t="n">
        <f aca="false">IF(C13="","N/A",VLOOKUP(C13,CHOOSE({1,2},Table2[Pay Item Description],Table2[Unit Cost]),2,0))</f>
        <v>12</v>
      </c>
      <c r="G13" s="24" t="n">
        <f aca="false">IF(B13&lt;&gt;0,F13*E13,0)</f>
        <v>834024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str">
        <f aca="false">IF(C14="",0,VLOOKUP(C14,CHOOSE({1,2},Table2[Pay Item Description],Table2[Pay Item No.]),2,0))</f>
        <v>P-154-5.1</v>
      </c>
      <c r="C14" s="20" t="s">
        <v>465</v>
      </c>
      <c r="D14" s="21" t="str">
        <f aca="false">IF(C14="","N/A",VLOOKUP(C14,CHOOSE({1,2},Table2[Pay Item Description],Table2[Units]),2,0))</f>
        <v>C.Y.</v>
      </c>
      <c r="E14" s="22" t="n">
        <v>22241</v>
      </c>
      <c r="F14" s="23" t="n">
        <f aca="false">IF(C14="","N/A",VLOOKUP(C14,CHOOSE({1,2},Table2[Pay Item Description],Table2[Unit Cost]),2,0))</f>
        <v>55</v>
      </c>
      <c r="G14" s="24" t="n">
        <f aca="false">IF(B14&lt;&gt;0,F14*E14,0)</f>
        <v>1223255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str">
        <f aca="false">IF(C15="",0,VLOOKUP(C15,CHOOSE({1,2},Table2[Pay Item Description],Table2[Pay Item No.]),2,0))</f>
        <v>P-209-5.1</v>
      </c>
      <c r="C15" s="20" t="s">
        <v>487</v>
      </c>
      <c r="D15" s="21" t="str">
        <f aca="false">IF(C15="","N/A",VLOOKUP(C15,CHOOSE({1,2},Table2[Pay Item Description],Table2[Units]),2,0))</f>
        <v>C.Y.</v>
      </c>
      <c r="E15" s="22" t="n">
        <v>22241</v>
      </c>
      <c r="F15" s="23" t="n">
        <f aca="false">IF(C15="","N/A",VLOOKUP(C15,CHOOSE({1,2},Table2[Pay Item Description],Table2[Unit Cost]),2,0))</f>
        <v>65</v>
      </c>
      <c r="G15" s="24" t="n">
        <f aca="false">IF(B15&lt;&gt;0,F15*E15,0)</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str">
        <f aca="false">IF(C16="",0,VLOOKUP(C16,CHOOSE({1,2},Table2[Pay Item Description],Table2[Pay Item No.]),2,0))</f>
        <v>P-501-8.1c</v>
      </c>
      <c r="C16" s="20" t="s">
        <v>529</v>
      </c>
      <c r="D16" s="21" t="str">
        <f aca="false">IF(C16="","N/A",VLOOKUP(C16,CHOOSE({1,2},Table2[Pay Item Description],Table2[Units]),2,0))</f>
        <v>S.Y.</v>
      </c>
      <c r="E16" s="22" t="n">
        <v>100083</v>
      </c>
      <c r="F16" s="23" t="n">
        <f aca="false">IF(C16="","N/A",VLOOKUP(C16,CHOOSE({1,2},Table2[Pay Item Description],Table2[Unit Cost]),2,0))</f>
        <v>85</v>
      </c>
      <c r="G16" s="24" t="n">
        <f aca="false">IF(B16&lt;&gt;0,F16*E16,0)</f>
        <v>8507055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str">
        <f aca="false">IF(C17="",0,VLOOKUP(C17,CHOOSE({1,2},Table2[Pay Item Description],Table2[Pay Item No.]),2,0))</f>
        <v>P-620-5.1a</v>
      </c>
      <c r="C17" s="20" t="s">
        <v>558</v>
      </c>
      <c r="D17" s="21" t="str">
        <f aca="false">IF(C17="","N/A",VLOOKUP(C17,CHOOSE({1,2},Table2[Pay Item Description],Table2[Units]),2,0))</f>
        <v>S.F.</v>
      </c>
      <c r="E17" s="22" t="n">
        <v>25000</v>
      </c>
      <c r="F17" s="23" t="n">
        <f aca="false">IF(C17="","N/A",VLOOKUP(C17,CHOOSE({1,2},Table2[Pay Item Description],Table2[Unit Cost]),2,0))</f>
        <v>0.666666666666667</v>
      </c>
      <c r="G17" s="24" t="n">
        <f aca="false">IF(B17&lt;&gt;0,F17*E17,0)</f>
        <v>16666.6666666667</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0"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0"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0"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12026665.6666667</v>
      </c>
    </row>
    <row r="25" customFormat="false" ht="15" hidden="false" customHeight="false" outlineLevel="0" collapsed="false">
      <c r="B25" s="0" t="s">
        <v>25</v>
      </c>
      <c r="G25" s="24" t="n">
        <f aca="false">('General Information'!$D$36/100)*G24</f>
        <v>1202666.56666667</v>
      </c>
    </row>
    <row r="26" customFormat="false" ht="15" hidden="false" customHeight="false" outlineLevel="0" collapsed="false">
      <c r="B26" s="0" t="s">
        <v>26</v>
      </c>
      <c r="G26" s="24" t="n">
        <f aca="false">('General Information'!$D$37/100)*G24</f>
        <v>601333.283333333</v>
      </c>
    </row>
    <row r="27" customFormat="false" ht="15" hidden="false" customHeight="false" outlineLevel="0" collapsed="false">
      <c r="A27" s="7" t="s">
        <v>27</v>
      </c>
      <c r="B27" s="7"/>
      <c r="C27" s="7"/>
      <c r="D27" s="7"/>
      <c r="E27" s="7"/>
      <c r="F27" s="7"/>
      <c r="G27" s="31" t="n">
        <f aca="false">SUM(G24:G26)</f>
        <v>13830665.5166667</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13830665.5166667</v>
      </c>
      <c r="E37" s="39" t="n">
        <f aca="false">D37</f>
        <v>13830665.5166667</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13830665.5166667</v>
      </c>
      <c r="M38" s="2" t="n">
        <f aca="false">IF(K38-$C$6&gt;'General Information'!$D$33,0,SUMIFS($D$38:$D$42,$C$38:$C$42,K38-$C$6,$B$38:$B$42,"*Indirect*"))</f>
        <v>0</v>
      </c>
      <c r="N38" s="2" t="n">
        <f aca="false">IF(K38-$C$6&gt;'General Information'!$D$33,0,IF(K38=$C$6,$E$37,0)+SUMIF($C$38:$C$42,K38-$C$6,$E$38:$E$42))</f>
        <v>13830665.5166667</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-3457666.37916667</v>
      </c>
      <c r="E42" s="43" t="n">
        <f aca="false">IF(C42&gt;'General Information'!$D$33,0,D42/(1+('General Information'!$D$34/100))^C42)</f>
        <v>-1424512.76703997</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14066568.3801067</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-3457666.37916667</v>
      </c>
      <c r="M68" s="2" t="n">
        <f aca="false">IF(K68-$C$6&gt;'General Information'!$D$33,0,SUMIFS($D$38:$D$42,$C$38:$C$42,K68-$C$6,$B$38:$B$42,"*Indirect*"))</f>
        <v>0</v>
      </c>
      <c r="N68" s="2" t="n">
        <f aca="false">IF(K68-$C$6&gt;'General Information'!$D$33,0,IF(K68=$C$6,$E$37,0)+SUMIF($C$38:$C$42,K68-$C$6,$E$38:$E$42))</f>
        <v>-1424512.76703997</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632</v>
      </c>
      <c r="I1" s="0" t="s">
        <v>1</v>
      </c>
    </row>
    <row r="2" customFormat="false" ht="15" hidden="false" customHeight="false" outlineLevel="0" collapsed="false">
      <c r="A2" s="7" t="s">
        <v>2</v>
      </c>
      <c r="E2" s="8" t="s">
        <v>633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595</v>
      </c>
      <c r="Z2" s="10" t="s">
        <v>596</v>
      </c>
      <c r="AH2" s="7" t="s">
        <v>601</v>
      </c>
      <c r="AP2" s="10" t="s">
        <v>5</v>
      </c>
      <c r="AX2" s="7" t="s">
        <v>607</v>
      </c>
      <c r="BF2" s="10" t="s">
        <v>608</v>
      </c>
    </row>
    <row r="3" customFormat="false" ht="15" hidden="false" customHeight="false" outlineLevel="0" collapsed="false">
      <c r="E3" s="11"/>
      <c r="F3" s="12"/>
    </row>
    <row r="4" customFormat="false" ht="15" hidden="false" customHeight="false" outlineLevel="0" collapsed="false">
      <c r="A4" s="0" t="s">
        <v>6</v>
      </c>
      <c r="C4" s="13" t="s">
        <v>575</v>
      </c>
      <c r="E4" s="11" t="s">
        <v>8</v>
      </c>
      <c r="F4" s="14" t="n">
        <f aca="false">ROUNDUP((C5/15000),0)+ROUNDUP((C8/20000),0)+ROUNDUP((C8/50000),0)</f>
        <v>10</v>
      </c>
    </row>
    <row r="5" customFormat="false" ht="15" hidden="false" customHeight="false" outlineLevel="0" collapsed="false">
      <c r="A5" s="0" t="s">
        <v>9</v>
      </c>
      <c r="C5" s="0" t="n">
        <f aca="false">'General Information'!D26</f>
        <v>100083</v>
      </c>
      <c r="D5" s="0" t="s">
        <v>10</v>
      </c>
      <c r="E5" s="11" t="s">
        <v>634</v>
      </c>
      <c r="F5" s="14" t="n">
        <f aca="false">ROUNDUP((C5/15000),0)+ROUNDUP((C8/20000),0)+ROUNDUP((C8/50000),0)</f>
        <v>10</v>
      </c>
    </row>
    <row r="6" customFormat="false" ht="15" hidden="false" customHeight="false" outlineLevel="0" collapsed="false">
      <c r="A6" s="0" t="s">
        <v>12</v>
      </c>
      <c r="C6" s="0" t="n">
        <f aca="false">'General Information'!D25</f>
        <v>2027</v>
      </c>
      <c r="E6" s="11" t="s">
        <v>635</v>
      </c>
      <c r="F6" s="14" t="n">
        <f aca="false">ROUNDUP((C5/15000),0)+ROUNDUP((C8/20000),0)+ROUNDUP((C8/50000),0)+ROUNDUP((C5*'Maintenance Policies'!D15/10000),0)+ROUNDUP((C5*'Maintenance Policies'!D14/5000),0)</f>
        <v>12</v>
      </c>
      <c r="AP6" s="1" t="s">
        <v>636</v>
      </c>
      <c r="AQ6" s="1" t="n">
        <v>2</v>
      </c>
      <c r="AR6" s="1" t="s">
        <v>637</v>
      </c>
    </row>
    <row r="7" customFormat="false" ht="15" hidden="false" customHeight="false" outlineLevel="0" collapsed="false">
      <c r="A7" s="0" t="s">
        <v>638</v>
      </c>
      <c r="C7" s="107" t="s">
        <v>535</v>
      </c>
      <c r="D7" s="0" t="s">
        <v>639</v>
      </c>
      <c r="E7" s="11" t="s">
        <v>640</v>
      </c>
      <c r="F7" s="14" t="n">
        <f aca="false">ROUNDUP((C5/15000),0)+ROUNDUP((C8/20000),0)+ROUNDUP((C8/50000),0)+ROUNDUP((C5*'Maintenance Policies'!D18/10000),0)+ROUNDUP((C5*'Maintenance Policies'!D19/5000),0)</f>
        <v>12</v>
      </c>
      <c r="AP7" s="1" t="s">
        <v>641</v>
      </c>
      <c r="AQ7" s="1" t="n">
        <v>120</v>
      </c>
      <c r="AR7" s="1" t="s">
        <v>642</v>
      </c>
    </row>
    <row r="8" customFormat="false" ht="15" hidden="false" customHeight="false" outlineLevel="0" collapsed="false">
      <c r="A8" s="0" t="s">
        <v>13</v>
      </c>
      <c r="C8" s="0" t="n">
        <f aca="false">'General Information'!D28</f>
        <v>25000</v>
      </c>
      <c r="D8" s="0" t="s">
        <v>14</v>
      </c>
      <c r="E8" s="11" t="s">
        <v>11</v>
      </c>
      <c r="F8" s="14" t="n">
        <f aca="false">ROUNDUP((C5/3800),0)+ROUNDUP((C8/50000),0)</f>
        <v>28</v>
      </c>
    </row>
    <row r="9" customFormat="false" ht="15" hidden="false" customHeight="false" outlineLevel="0" collapsed="false">
      <c r="C9" s="13"/>
      <c r="E9" s="11" t="s">
        <v>643</v>
      </c>
      <c r="F9" s="14" t="n">
        <f aca="false">ROUNDUP((C5/15000),0)+ROUNDUP((C8/20000),0)+ROUNDUP((C8/50000),0)</f>
        <v>10</v>
      </c>
      <c r="AP9" s="1" t="s">
        <v>644</v>
      </c>
      <c r="AQ9" s="1" t="n">
        <v>0.1</v>
      </c>
      <c r="AR9" s="1" t="s">
        <v>645</v>
      </c>
    </row>
    <row r="10" customFormat="false" ht="15" hidden="false" customHeight="false" outlineLevel="0" collapsed="false">
      <c r="D10" s="18"/>
      <c r="E10" s="15" t="s">
        <v>646</v>
      </c>
      <c r="F10" s="16" t="n">
        <f aca="false">ROUNDUP((C5/15000),0)+ROUNDUP((C8/20000),0)+ROUNDUP((C8/50000),0)+ROUNDUP((C5*'Maintenance Policies'!D28/10000),0)+ROUNDUP((C5*'Maintenance Policies'!D29/5000),0)</f>
        <v>12</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P-155-8.1</v>
      </c>
      <c r="C13" s="20" t="s">
        <v>469</v>
      </c>
      <c r="D13" s="21" t="str">
        <f aca="false">IF(C13="","N/A",VLOOKUP(C13,CHOOSE({1,2},Table2[Pay Item Description],Table2[Units]),2,0))</f>
        <v>S.Y.</v>
      </c>
      <c r="E13" s="108" t="n">
        <v>133444</v>
      </c>
      <c r="F13" s="23" t="n">
        <f aca="false">IF(C13="","N/A",VLOOKUP(C13,CHOOSE({1,2},Table2[Pay Item Description],Table2[Unit Cost]),2,0))</f>
        <v>10</v>
      </c>
      <c r="G13" s="24" t="n">
        <f aca="false">IF(B13&lt;&gt;0,F13*E13,0)</f>
        <v>1334440</v>
      </c>
      <c r="J13" s="1" t="n">
        <v>1</v>
      </c>
      <c r="K13" s="109" t="str">
        <f aca="false">IF(L13="",0,VLOOKUP(L13,CHOOSE({1,2},Table2[Pay Item Description],Table2[Pay Item No.]),2,0))</f>
        <v>P-608-8.1</v>
      </c>
      <c r="L13" s="1" t="str">
        <f aca="false">C7</f>
        <v>Emulsified Asphalt Surface Treatment</v>
      </c>
      <c r="M13" s="110" t="str">
        <f aca="false">VLOOKUP(L13,CHOOSE({1,2},Table2[Pay Item Description],Table2[Units]),2,0)</f>
        <v>S.Y.</v>
      </c>
      <c r="N13" s="111" t="n">
        <f aca="false">'Maintenance Policies'!D10*$C$5</f>
        <v>100083</v>
      </c>
      <c r="O13" s="112" t="n">
        <f aca="false">IF(L13="","N/A",VLOOKUP(L13,CHOOSE({1,2},Table2[Pay Item Description],Table2[Unit Cost]),2,0))</f>
        <v>4</v>
      </c>
      <c r="P13" s="27" t="n">
        <f aca="false">O13*N13</f>
        <v>400332</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3" t="n">
        <f aca="false">'Maintenance Policies'!D12*$C$5</f>
        <v>100083</v>
      </c>
      <c r="W13" s="114" t="n">
        <f aca="false">IF(T13="","N/A",VLOOKUP(T13,CHOOSE({1,2},Table2[Pay Item Description],Table2[Unit Cost]),2,0))</f>
        <v>4</v>
      </c>
      <c r="X13" s="30" t="n">
        <f aca="false">W13*V13</f>
        <v>400332</v>
      </c>
      <c r="Z13" s="1" t="n">
        <v>1</v>
      </c>
      <c r="AA13" s="1" t="str">
        <f aca="false">IF(AB13="",0,VLOOKUP(AB13,CHOOSE({1,2},Table2[Pay Item Description],Table2[Pay Item No.]),2,0))</f>
        <v>P-101-5.4a</v>
      </c>
      <c r="AB13" s="1" t="str">
        <f aca="false">Pay_Items!D11</f>
        <v>Spall Repair, Asphalt</v>
      </c>
      <c r="AC13" s="115" t="str">
        <f aca="false">IF(AB13="","N/A",VLOOKUP(AB13,CHOOSE({1,2},Table2[Pay Item Description],Table2[Units]),2,0))</f>
        <v>S.F.</v>
      </c>
      <c r="AD13" s="111" t="n">
        <f aca="false">'Maintenance Policies'!D14*($C$5*9)</f>
        <v>6755.6025</v>
      </c>
      <c r="AE13" s="116" t="n">
        <f aca="false">IF(AB13="","N/A",VLOOKUP(AB13,CHOOSE({1,2},Table2[Pay Item Description],Table2[Unit Cost]),2,0))</f>
        <v>8.5</v>
      </c>
      <c r="AF13" s="27" t="n">
        <f aca="false">AE13*AD13</f>
        <v>57422.62125</v>
      </c>
      <c r="AH13" s="0" t="n">
        <v>1</v>
      </c>
      <c r="AI13" s="0" t="str">
        <f aca="false">IF(AJ13="",0,VLOOKUP(AJ13,CHOOSE({1,2},Table2[Pay Item Description],Table2[Pay Item No.]),2,0))</f>
        <v>P-101-5.4a</v>
      </c>
      <c r="AJ13" s="0" t="str">
        <f aca="false">Pay_Items!D11</f>
        <v>Spall Repair, Asphalt</v>
      </c>
      <c r="AK13" s="117" t="str">
        <f aca="false">IF(AJ13="","N/A",VLOOKUP(AJ13,CHOOSE({1,2},Table2[Pay Item Description],Table2[Units]),2,0))</f>
        <v>S.F.</v>
      </c>
      <c r="AL13" s="113" t="n">
        <f aca="false">'Maintenance Policies'!D18*($C$5*9)</f>
        <v>9007.47</v>
      </c>
      <c r="AM13" s="118" t="n">
        <f aca="false">IF(AJ13="","N/A",VLOOKUP(AJ13,CHOOSE({1,2},Table2[Pay Item Description],Table2[Unit Cost]),2,0))</f>
        <v>8.5</v>
      </c>
      <c r="AN13" s="30" t="n">
        <f aca="false">AM13*AL13</f>
        <v>76563.495</v>
      </c>
      <c r="AP13" s="1" t="n">
        <v>1</v>
      </c>
      <c r="AQ13" s="1" t="str">
        <f aca="false">IF(AR13="",0,VLOOKUP(AR13,CHOOSE({1,2},Table2[Pay Item Description],Table2[Pay Item No.]),2,0))</f>
        <v>P-101-5.6</v>
      </c>
      <c r="AR13" s="1" t="str">
        <f aca="false">Pay_Items!D16</f>
        <v>Cold Milling</v>
      </c>
      <c r="AS13" s="115" t="str">
        <f aca="false">IF(AR13="","N/A",VLOOKUP(AR13,CHOOSE({1,2},Table2[Pay Item Description],Table2[Units]),2,0))</f>
        <v>S.Y.</v>
      </c>
      <c r="AT13" s="111" t="n">
        <f aca="false">'Maintenance Policies'!D22*$C$5</f>
        <v>100083</v>
      </c>
      <c r="AU13" s="116" t="n">
        <f aca="false">IF(AR13="","N/A",VLOOKUP(AR13,CHOOSE({1,2},Table2[Pay Item Description],Table2[Unit Cost]),2,0))</f>
        <v>5</v>
      </c>
      <c r="AV13" s="27" t="n">
        <f aca="false">AU13*AT13</f>
        <v>500415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3" t="n">
        <f aca="false">'Maintenance Policies'!D26*$C$5</f>
        <v>100083</v>
      </c>
      <c r="BC13" s="114" t="n">
        <f aca="false">IF(AZ13="","N/A",VLOOKUP(AZ13,CHOOSE({1,2},Table2[Pay Item Description],Table2[Unit Cost]),2,0))</f>
        <v>4</v>
      </c>
      <c r="BD13" s="30" t="n">
        <f aca="false">BC13*BB13</f>
        <v>400332</v>
      </c>
      <c r="BF13" s="1" t="n">
        <v>1</v>
      </c>
      <c r="BG13" s="1" t="str">
        <f aca="false">IF(BH13="",0,VLOOKUP(BH13,CHOOSE({1,2},Table2[Pay Item Description],Table2[Pay Item No.]),2,0))</f>
        <v>P-101-5.4a</v>
      </c>
      <c r="BH13" s="1" t="str">
        <f aca="false">Pay_Items!D11</f>
        <v>Spall Repair, Asphalt</v>
      </c>
      <c r="BI13" s="115" t="str">
        <f aca="false">IF(BH13="","N/A",VLOOKUP(BH13,CHOOSE({1,2},Table2[Pay Item Description],Table2[Units]),2,0))</f>
        <v>S.F.</v>
      </c>
      <c r="BJ13" s="111" t="n">
        <f aca="false">'Maintenance Policies'!D28*($C$5*9)</f>
        <v>11259.3375</v>
      </c>
      <c r="BK13" s="116" t="n">
        <f aca="false">IF(BH13="","N/A",VLOOKUP(BH13,CHOOSE({1,2},Table2[Pay Item Description],Table2[Unit Cost]),2,0))</f>
        <v>8.5</v>
      </c>
      <c r="BL13" s="27" t="n">
        <f aca="false">BK13*BJ13</f>
        <v>95704.36875</v>
      </c>
    </row>
    <row r="14" customFormat="false" ht="19.5" hidden="false" customHeight="true" outlineLevel="0" collapsed="false">
      <c r="A14" s="0" t="n">
        <v>2</v>
      </c>
      <c r="B14" s="19" t="str">
        <f aca="false">IF(C14="",0,VLOOKUP(C14,CHOOSE({1,2},Table2[Pay Item Description],Table2[Pay Item No.]),2,0))</f>
        <v>P-209-5.1</v>
      </c>
      <c r="C14" s="20" t="s">
        <v>487</v>
      </c>
      <c r="D14" s="21" t="str">
        <f aca="false">IF(C14="","N/A",VLOOKUP(C14,CHOOSE({1,2},Table2[Pay Item Description],Table2[Units]),2,0))</f>
        <v>C.Y.</v>
      </c>
      <c r="E14" s="108" t="n">
        <v>37068</v>
      </c>
      <c r="F14" s="23" t="n">
        <f aca="false">IF(C14="","N/A",VLOOKUP(C14,CHOOSE({1,2},Table2[Pay Item Description],Table2[Unit Cost]),2,0))</f>
        <v>65</v>
      </c>
      <c r="G14" s="24" t="n">
        <f aca="false">IF(B14&lt;&gt;0,F14*E14,0)</f>
        <v>2409420</v>
      </c>
      <c r="J14" s="1" t="n">
        <v>2</v>
      </c>
      <c r="K14" s="1" t="str">
        <f aca="false">IF(L14="",0,VLOOKUP(L14,CHOOSE({1,2},Table2[Pay Item Description],Table2[Pay Item No.]),2,0))</f>
        <v>P-101-5.3</v>
      </c>
      <c r="L14" s="1" t="str">
        <f aca="false">Pay_Items!D10</f>
        <v>Markings Removal</v>
      </c>
      <c r="M14" s="115" t="str">
        <f aca="false">IF(L14="","N/A",VLOOKUP(L14,CHOOSE({1,2},Table2[Pay Item Description],Table2[Units]),2,0))</f>
        <v>S.F.</v>
      </c>
      <c r="N14" s="111" t="n">
        <f aca="false">'Maintenance Policies'!D10*$C$8</f>
        <v>25000</v>
      </c>
      <c r="O14" s="116" t="n">
        <f aca="false">IF(L14="","N/A",VLOOKUP(L14,CHOOSE({1,2},Table2[Pay Item Description],Table2[Unit Cost]),2,0))</f>
        <v>0.777777777777778</v>
      </c>
      <c r="P14" s="27" t="n">
        <f aca="false">O14*N14</f>
        <v>19444.4444444444</v>
      </c>
      <c r="R14" s="0" t="n">
        <v>2</v>
      </c>
      <c r="S14" s="0" t="str">
        <f aca="false">IF(T14="",0,VLOOKUP(T14,CHOOSE({1,2},Table2[Pay Item Description],Table2[Pay Item No.]),2,0))</f>
        <v>P-101-5.3</v>
      </c>
      <c r="T14" s="0" t="str">
        <f aca="false">Pay_Items!D10</f>
        <v>Markings Removal</v>
      </c>
      <c r="U14" s="117" t="str">
        <f aca="false">IF(T14="","N/A",VLOOKUP(T14,CHOOSE({1,2},Table2[Pay Item Description],Table2[Units]),2,0))</f>
        <v>S.F.</v>
      </c>
      <c r="V14" s="113" t="n">
        <f aca="false">'Maintenance Policies'!D12*$C$8</f>
        <v>25000</v>
      </c>
      <c r="W14" s="118" t="n">
        <f aca="false">IF(T14="","N/A",VLOOKUP(T14,CHOOSE({1,2},Table2[Pay Item Description],Table2[Unit Cost]),2,0))</f>
        <v>0.777777777777778</v>
      </c>
      <c r="X14" s="30" t="n">
        <f aca="false">W14*V14</f>
        <v>19444.4444444444</v>
      </c>
      <c r="Z14" s="1" t="n">
        <v>2</v>
      </c>
      <c r="AA14" s="1" t="str">
        <f aca="false">IF(AB14="",0,VLOOKUP(AB14,CHOOSE({1,2},Table2[Pay Item Description],Table2[Pay Item No.]),2,0))</f>
        <v>P-101-5.2a</v>
      </c>
      <c r="AB14" s="1" t="str">
        <f aca="false">Pay_Items!D6</f>
        <v>Crack Repair (Type I), Asphalt</v>
      </c>
      <c r="AC14" s="115" t="str">
        <f aca="false">IF(AB14="","N/A",VLOOKUP(AB14,CHOOSE({1,2},Table2[Pay Item Description],Table2[Units]),2,0))</f>
        <v>L.F.</v>
      </c>
      <c r="AD14" s="111" t="n">
        <f aca="false">'Maintenance Policies'!D15*($C$5*9)</f>
        <v>29274.2775</v>
      </c>
      <c r="AE14" s="116" t="n">
        <f aca="false">IF(AB14="","N/A",VLOOKUP(AB14,CHOOSE({1,2},Table2[Pay Item Description],Table2[Unit Cost]),2,0))</f>
        <v>4</v>
      </c>
      <c r="AF14" s="27" t="n">
        <f aca="false">AE14*AD14</f>
        <v>117097.11</v>
      </c>
      <c r="AH14" s="0" t="n">
        <v>2</v>
      </c>
      <c r="AI14" s="0" t="str">
        <f aca="false">IF(AJ14="",0,VLOOKUP(AJ14,CHOOSE({1,2},Table2[Pay Item Description],Table2[Pay Item No.]),2,0))</f>
        <v>P-101-5.2a</v>
      </c>
      <c r="AJ14" s="0" t="str">
        <f aca="false">Pay_Items!D6</f>
        <v>Crack Repair (Type I), Asphalt</v>
      </c>
      <c r="AK14" s="117" t="str">
        <f aca="false">IF(AJ14="","N/A",VLOOKUP(AJ14,CHOOSE({1,2},Table2[Pay Item Description],Table2[Units]),2,0))</f>
        <v>L.F.</v>
      </c>
      <c r="AL14" s="113" t="n">
        <f aca="false">'Maintenance Policies'!D19*($C$5*9)</f>
        <v>31526.145</v>
      </c>
      <c r="AM14" s="118" t="n">
        <f aca="false">IF(AJ14="","N/A",VLOOKUP(AJ14,CHOOSE({1,2},Table2[Pay Item Description],Table2[Unit Cost]),2,0))</f>
        <v>4</v>
      </c>
      <c r="AN14" s="30" t="n">
        <f aca="false">AM14*AL14</f>
        <v>126104.58</v>
      </c>
      <c r="AP14" s="1" t="n">
        <v>2</v>
      </c>
      <c r="AQ14" s="1" t="str">
        <f aca="false">IF(AR14="",0,VLOOKUP(AR14,CHOOSE({1,2},Table2[Pay Item Description],Table2[Pay Item No.]),2,0))</f>
        <v>P-603-5.1</v>
      </c>
      <c r="AR14" s="1" t="str">
        <f aca="false">Pay_Items!D54</f>
        <v>Emulsified Asphalt Tack Coat</v>
      </c>
      <c r="AS14" s="115" t="str">
        <f aca="false">IF(AR14="","N/A",VLOOKUP(AR14,CHOOSE({1,2},Table2[Pay Item Description],Table2[Units]),2,0))</f>
        <v>GAL</v>
      </c>
      <c r="AT14" s="111" t="n">
        <f aca="false">'Maintenance Policies'!D22*$C$5*AQ9</f>
        <v>10008.3</v>
      </c>
      <c r="AU14" s="116" t="n">
        <f aca="false">IF(AR14="","N/A",VLOOKUP(AR14,CHOOSE({1,2},Table2[Pay Item Description],Table2[Unit Cost]),2,0))</f>
        <v>4.5</v>
      </c>
      <c r="AV14" s="27" t="n">
        <f aca="false">AU14*AT14</f>
        <v>45037.35</v>
      </c>
      <c r="AX14" s="0" t="n">
        <v>2</v>
      </c>
      <c r="AY14" s="0" t="str">
        <f aca="false">IF(AZ14="",0,VLOOKUP(AZ14,CHOOSE({1,2},Table2[Pay Item Description],Table2[Pay Item No.]),2,0))</f>
        <v>P-101-5.3</v>
      </c>
      <c r="AZ14" s="0" t="str">
        <f aca="false">Pay_Items!D10</f>
        <v>Markings Removal</v>
      </c>
      <c r="BA14" s="117" t="str">
        <f aca="false">IF(AZ14="","N/A",VLOOKUP(AZ14,CHOOSE({1,2},Table2[Pay Item Description],Table2[Units]),2,0))</f>
        <v>S.F.</v>
      </c>
      <c r="BB14" s="113" t="n">
        <f aca="false">'Maintenance Policies'!D26*$C$8</f>
        <v>25000</v>
      </c>
      <c r="BC14" s="118" t="n">
        <f aca="false">IF(AZ14="","N/A",VLOOKUP(AZ14,CHOOSE({1,2},Table2[Pay Item Description],Table2[Unit Cost]),2,0))</f>
        <v>0.777777777777778</v>
      </c>
      <c r="BD14" s="30" t="n">
        <f aca="false">BC14*BB14</f>
        <v>19444.4444444444</v>
      </c>
      <c r="BF14" s="1" t="n">
        <v>2</v>
      </c>
      <c r="BG14" s="1" t="str">
        <f aca="false">IF(BH14="",0,VLOOKUP(BH14,CHOOSE({1,2},Table2[Pay Item Description],Table2[Pay Item No.]),2,0))</f>
        <v>P-101-5.2a</v>
      </c>
      <c r="BH14" s="1" t="str">
        <f aca="false">Pay_Items!D6</f>
        <v>Crack Repair (Type I), Asphalt</v>
      </c>
      <c r="BI14" s="115" t="str">
        <f aca="false">IF(BH14="","N/A",VLOOKUP(BH14,CHOOSE({1,2},Table2[Pay Item Description],Table2[Units]),2,0))</f>
        <v>L.F.</v>
      </c>
      <c r="BJ14" s="111" t="n">
        <f aca="false">'Maintenance Policies'!D29*($C$5*9)</f>
        <v>36029.88</v>
      </c>
      <c r="BK14" s="116" t="n">
        <f aca="false">IF(BH14="","N/A",VLOOKUP(BH14,CHOOSE({1,2},Table2[Pay Item Description],Table2[Unit Cost]),2,0))</f>
        <v>4</v>
      </c>
      <c r="BL14" s="27" t="n">
        <f aca="false">BK14*BJ14</f>
        <v>144119.52</v>
      </c>
    </row>
    <row r="15" customFormat="false" ht="19.5" hidden="false" customHeight="true" outlineLevel="0" collapsed="false">
      <c r="A15" s="0" t="n">
        <v>3</v>
      </c>
      <c r="B15" s="19" t="str">
        <f aca="false">IF(C15="",0,VLOOKUP(C15,CHOOSE({1,2},Table2[Pay Item Description],Table2[Pay Item No.]),2,0))</f>
        <v>P-401-8.1b</v>
      </c>
      <c r="C15" s="20" t="s">
        <v>511</v>
      </c>
      <c r="D15" s="21" t="str">
        <f aca="false">IF(C15="","N/A",VLOOKUP(C15,CHOOSE({1,2},Table2[Pay Item Description],Table2[Units]),2,0))</f>
        <v>TON</v>
      </c>
      <c r="E15" s="108" t="n">
        <v>43536</v>
      </c>
      <c r="F15" s="23" t="n">
        <f aca="false">IF(C15="","N/A",VLOOKUP(C15,CHOOSE({1,2},Table2[Pay Item Description],Table2[Unit Cost]),2,0))</f>
        <v>120</v>
      </c>
      <c r="G15" s="24" t="n">
        <f aca="false">IF(B15&lt;&gt;0,F15*E15,0)</f>
        <v>5224320</v>
      </c>
      <c r="J15" s="1" t="n">
        <v>3</v>
      </c>
      <c r="K15" s="1" t="str">
        <f aca="false">IF(L15="",0,VLOOKUP(L15,CHOOSE({1,2},Table2[Pay Item Description],Table2[Pay Item No.]),2,0))</f>
        <v>P-620-5.1a</v>
      </c>
      <c r="L15" s="1" t="str">
        <f aca="false">Pay_Items!D56</f>
        <v>Markings (prep, markings, reflective media)</v>
      </c>
      <c r="M15" s="115" t="str">
        <f aca="false">IF(L15="","N/A",VLOOKUP(L15,CHOOSE({1,2},Table2[Pay Item Description],Table2[Units]),2,0))</f>
        <v>S.F.</v>
      </c>
      <c r="N15" s="111" t="n">
        <f aca="false">'Maintenance Policies'!D11*$C$8</f>
        <v>25000</v>
      </c>
      <c r="O15" s="116" t="n">
        <f aca="false">IF(L15="","N/A",VLOOKUP(L15,CHOOSE({1,2},Table2[Pay Item Description],Table2[Unit Cost]),2,0))</f>
        <v>0.666666666666667</v>
      </c>
      <c r="P15" s="27" t="n">
        <f aca="false">O15*N15</f>
        <v>16666.6666666667</v>
      </c>
      <c r="R15" s="0" t="n">
        <v>3</v>
      </c>
      <c r="S15" s="0" t="str">
        <f aca="false">IF(T15="",0,VLOOKUP(T15,CHOOSE({1,2},Table2[Pay Item Description],Table2[Pay Item No.]),2,0))</f>
        <v>P-620-5.1a</v>
      </c>
      <c r="T15" s="0" t="str">
        <f aca="false">Pay_Items!D56</f>
        <v>Markings (prep, markings, reflective media)</v>
      </c>
      <c r="U15" s="117" t="str">
        <f aca="false">Pay_Items!E56</f>
        <v>S.F.</v>
      </c>
      <c r="V15" s="113" t="n">
        <f aca="false">'Maintenance Policies'!D13*$C$8</f>
        <v>25000</v>
      </c>
      <c r="W15" s="118" t="n">
        <f aca="false">IF(T15="","N/A",VLOOKUP(T15,CHOOSE({1,2},Table2[Pay Item Description],Table2[Unit Cost]),2,0))</f>
        <v>0.666666666666667</v>
      </c>
      <c r="X15" s="30" t="n">
        <f aca="false">W15*V15</f>
        <v>16666.6666666667</v>
      </c>
      <c r="Z15" s="1" t="n">
        <v>3</v>
      </c>
      <c r="AA15" s="109" t="str">
        <f aca="false">IF(AB15="",0,VLOOKUP(AB15,CHOOSE({1,2},Table2[Pay Item Description],Table2[Pay Item No.]),2,0))</f>
        <v>P-608-8.1</v>
      </c>
      <c r="AB15" s="1" t="str">
        <f aca="false">C7</f>
        <v>Emulsified Asphalt Surface Treatment</v>
      </c>
      <c r="AC15" s="110" t="str">
        <f aca="false">IF(AB15="","N/A",VLOOKUP(AB15,CHOOSE({1,2},Table2[Pay Item Description],Table2[Units]),2,0))</f>
        <v>S.Y.</v>
      </c>
      <c r="AD15" s="111" t="n">
        <f aca="false">'Maintenance Policies'!D16*$C$5</f>
        <v>100083</v>
      </c>
      <c r="AE15" s="112" t="n">
        <f aca="false">IF(AB15="","N/A",VLOOKUP(AB15,CHOOSE({1,2},Table2[Pay Item Description],Table2[Unit Cost]),2,0))</f>
        <v>4</v>
      </c>
      <c r="AF15" s="27" t="n">
        <f aca="false">AE15*AD15</f>
        <v>400332</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3" t="n">
        <f aca="false">'Maintenance Policies'!D20*$C$5</f>
        <v>100083</v>
      </c>
      <c r="AM15" s="114" t="n">
        <f aca="false">IF(AJ15="","N/A",VLOOKUP(AJ15,CHOOSE({1,2},Table2[Pay Item Description],Table2[Unit Cost]),2,0))</f>
        <v>4</v>
      </c>
      <c r="AN15" s="30" t="n">
        <f aca="false">AM15*AL15</f>
        <v>400332</v>
      </c>
      <c r="AP15" s="1" t="n">
        <v>3</v>
      </c>
      <c r="AQ15" s="1" t="str">
        <f aca="false">IF(AR15="",0,VLOOKUP(AR15,CHOOSE({1,2},Table2[Pay Item Description],Table2[Pay Item No.]),2,0))</f>
        <v>P-401-8.1a</v>
      </c>
      <c r="AR15" s="1" t="str">
        <f aca="false">Pay_Items!D37</f>
        <v>Asphalt Surface Course</v>
      </c>
      <c r="AS15" s="115" t="str">
        <f aca="false">IF(AR15="","N/A",VLOOKUP(AR15,CHOOSE({1,2},Table2[Pay Item Description],Table2[Units]),2,0))</f>
        <v>TON</v>
      </c>
      <c r="AT15" s="111" t="n">
        <f aca="false">'Maintenance Policies'!D22*$C$5*AQ6*AQ7/2000</f>
        <v>12009.96</v>
      </c>
      <c r="AU15" s="116" t="n">
        <f aca="false">IF(AR15="","N/A",VLOOKUP(AR15,CHOOSE({1,2},Table2[Pay Item Description],Table2[Unit Cost]),2,0))</f>
        <v>130</v>
      </c>
      <c r="AV15" s="27" t="n">
        <f aca="false">AU15*AT15</f>
        <v>1561294.8</v>
      </c>
      <c r="AX15" s="0" t="n">
        <v>3</v>
      </c>
      <c r="AY15" s="0" t="str">
        <f aca="false">IF(AZ15="",0,VLOOKUP(AZ15,CHOOSE({1,2},Table2[Pay Item Description],Table2[Pay Item No.]),2,0))</f>
        <v>P-620-5.1a</v>
      </c>
      <c r="AZ15" s="0" t="str">
        <f aca="false">Pay_Items!D56</f>
        <v>Markings (prep, markings, reflective media)</v>
      </c>
      <c r="BA15" s="117" t="str">
        <f aca="false">IF(AZ15="","N/A",VLOOKUP(AZ15,CHOOSE({1,2},Table2[Pay Item Description],Table2[Units]),2,0))</f>
        <v>S.F.</v>
      </c>
      <c r="BB15" s="113" t="n">
        <f aca="false">'Maintenance Policies'!D27*$C$8</f>
        <v>25000</v>
      </c>
      <c r="BC15" s="118" t="n">
        <f aca="false">IF(AZ15="","N/A",VLOOKUP(AZ15,CHOOSE({1,2},Table2[Pay Item Description],Table2[Unit Cost]),2,0))</f>
        <v>0.666666666666667</v>
      </c>
      <c r="BD15" s="30" t="n">
        <f aca="false">BC15*BB15</f>
        <v>16666.6666666667</v>
      </c>
      <c r="BF15" s="1" t="n">
        <v>3</v>
      </c>
      <c r="BG15" s="109" t="str">
        <f aca="false">IF(BH15="",0,VLOOKUP(BH15,CHOOSE({1,2},Table2[Pay Item Description],Table2[Pay Item No.]),2,0))</f>
        <v>P-608-8.1</v>
      </c>
      <c r="BH15" s="1" t="str">
        <f aca="false">C7</f>
        <v>Emulsified Asphalt Surface Treatment</v>
      </c>
      <c r="BI15" s="110" t="str">
        <f aca="false">IF(BH15="","N/A",VLOOKUP(BH15,CHOOSE({1,2},Table2[Pay Item Description],Table2[Units]),2,0))</f>
        <v>S.Y.</v>
      </c>
      <c r="BJ15" s="111" t="n">
        <f aca="false">'Maintenance Policies'!D30*$C$5</f>
        <v>100083</v>
      </c>
      <c r="BK15" s="112" t="n">
        <f aca="false">IF(BH15="","N/A",VLOOKUP(BH15,CHOOSE({1,2},Table2[Pay Item Description],Table2[Unit Cost]),2,0))</f>
        <v>4</v>
      </c>
      <c r="BL15" s="27" t="n">
        <f aca="false">BK15*BJ15</f>
        <v>400332</v>
      </c>
    </row>
    <row r="16" customFormat="false" ht="19.5" hidden="false" customHeight="true" outlineLevel="0" collapsed="false">
      <c r="A16" s="0" t="n">
        <v>4</v>
      </c>
      <c r="B16" s="19" t="str">
        <f aca="false">IF(C16="",0,VLOOKUP(C16,CHOOSE({1,2},Table2[Pay Item Description],Table2[Pay Item No.]),2,0))</f>
        <v>P-401-8.1a</v>
      </c>
      <c r="C16" s="20" t="s">
        <v>508</v>
      </c>
      <c r="D16" s="21" t="str">
        <f aca="false">IF(C16="","N/A",VLOOKUP(C16,CHOOSE({1,2},Table2[Pay Item Description],Table2[Units]),2,0))</f>
        <v>TON</v>
      </c>
      <c r="E16" s="108" t="n">
        <v>29024</v>
      </c>
      <c r="F16" s="23" t="n">
        <f aca="false">IF(C16="","N/A",VLOOKUP(C16,CHOOSE({1,2},Table2[Pay Item Description],Table2[Unit Cost]),2,0))</f>
        <v>130</v>
      </c>
      <c r="G16" s="24" t="n">
        <f aca="false">IF(B16&lt;&gt;0,F16*E16,0)</f>
        <v>3773120</v>
      </c>
      <c r="O16" s="1" t="s">
        <v>24</v>
      </c>
      <c r="P16" s="27" t="n">
        <f aca="false">SUM(P13:P15)</f>
        <v>436443.111111111</v>
      </c>
      <c r="W16" s="6" t="s">
        <v>24</v>
      </c>
      <c r="X16" s="30" t="n">
        <f aca="false">SUM(X13:X15)</f>
        <v>436443.111111111</v>
      </c>
      <c r="Z16" s="1" t="n">
        <v>4</v>
      </c>
      <c r="AA16" s="1" t="str">
        <f aca="false">IF(AB16="",0,VLOOKUP(AB16,CHOOSE({1,2},Table2[Pay Item Description],Table2[Pay Item No.]),2,0))</f>
        <v>P-101-5.3</v>
      </c>
      <c r="AB16" s="1" t="str">
        <f aca="false">Pay_Items!D10</f>
        <v>Markings Removal</v>
      </c>
      <c r="AC16" s="115" t="str">
        <f aca="false">IF(AB16="","N/A",VLOOKUP(AB16,CHOOSE({1,2},Table2[Pay Item Description],Table2[Units]),2,0))</f>
        <v>S.F.</v>
      </c>
      <c r="AD16" s="111" t="n">
        <f aca="false">'Maintenance Policies'!D16*$C$8</f>
        <v>25000</v>
      </c>
      <c r="AE16" s="116" t="n">
        <f aca="false">IF(AB16="","N/A",VLOOKUP(AB16,CHOOSE({1,2},Table2[Pay Item Description],Table2[Unit Cost]),2,0))</f>
        <v>0.777777777777778</v>
      </c>
      <c r="AF16" s="27" t="n">
        <f aca="false">AE16*AD16</f>
        <v>19444.4444444444</v>
      </c>
      <c r="AH16" s="0" t="n">
        <v>4</v>
      </c>
      <c r="AI16" s="0" t="str">
        <f aca="false">IF(AJ16="",0,VLOOKUP(AJ16,CHOOSE({1,2},Table2[Pay Item Description],Table2[Pay Item No.]),2,0))</f>
        <v>P-101-5.3</v>
      </c>
      <c r="AJ16" s="0" t="str">
        <f aca="false">Pay_Items!D10</f>
        <v>Markings Removal</v>
      </c>
      <c r="AK16" s="117" t="str">
        <f aca="false">IF(AJ16="","N/A",VLOOKUP(AJ16,CHOOSE({1,2},Table2[Pay Item Description],Table2[Units]),2,0))</f>
        <v>S.F.</v>
      </c>
      <c r="AL16" s="113" t="n">
        <f aca="false">'Maintenance Policies'!D20*$C$8</f>
        <v>25000</v>
      </c>
      <c r="AM16" s="118" t="n">
        <f aca="false">IF(AJ16="","N/A",VLOOKUP(AJ16,CHOOSE({1,2},Table2[Pay Item Description],Table2[Unit Cost]),2,0))</f>
        <v>0.777777777777778</v>
      </c>
      <c r="AN16" s="30" t="n">
        <f aca="false">AM16*AL16</f>
        <v>19444.4444444444</v>
      </c>
      <c r="AP16" s="1" t="n">
        <v>4</v>
      </c>
      <c r="AQ16" s="1" t="str">
        <f aca="false">IF(AR16="",0,VLOOKUP(AR16,CHOOSE({1,2},Table2[Pay Item Description],Table2[Pay Item No.]),2,0))</f>
        <v>P-101-5.2a</v>
      </c>
      <c r="AR16" s="1" t="str">
        <f aca="false">Pay_Items!D6</f>
        <v>Crack Repair (Type I), Asphalt</v>
      </c>
      <c r="AS16" s="115" t="str">
        <f aca="false">IF(AR16="","N/A",VLOOKUP(AR16,CHOOSE({1,2},Table2[Pay Item Description],Table2[Units]),2,0))</f>
        <v>L.F.</v>
      </c>
      <c r="AT16" s="111" t="n">
        <f aca="false">'Maintenance Policies'!D23*($C$5*9)</f>
        <v>13511.205</v>
      </c>
      <c r="AU16" s="116" t="n">
        <f aca="false">IF(AR16="","N/A",VLOOKUP(AR16,CHOOSE({1,2},Table2[Pay Item Description],Table2[Unit Cost]),2,0))</f>
        <v>4</v>
      </c>
      <c r="AV16" s="27" t="n">
        <f aca="false">AU16*AT16</f>
        <v>54044.82</v>
      </c>
      <c r="BC16" s="6" t="s">
        <v>24</v>
      </c>
      <c r="BD16" s="30" t="n">
        <f aca="false">SUM(BD13:BD15)</f>
        <v>436443.111111111</v>
      </c>
      <c r="BF16" s="1" t="n">
        <v>4</v>
      </c>
      <c r="BG16" s="1" t="str">
        <f aca="false">IF(BH16="",0,VLOOKUP(BH16,CHOOSE({1,2},Table2[Pay Item Description],Table2[Pay Item No.]),2,0))</f>
        <v>P-101-5.3</v>
      </c>
      <c r="BH16" s="1" t="str">
        <f aca="false">Pay_Items!D10</f>
        <v>Markings Removal</v>
      </c>
      <c r="BI16" s="115" t="str">
        <f aca="false">IF(BH16="","N/A",VLOOKUP(BH16,CHOOSE({1,2},Table2[Pay Item Description],Table2[Units]),2,0))</f>
        <v>S.F.</v>
      </c>
      <c r="BJ16" s="111" t="n">
        <f aca="false">C8</f>
        <v>25000</v>
      </c>
      <c r="BK16" s="116" t="n">
        <f aca="false">IF(BH16="","N/A",VLOOKUP(BH16,CHOOSE({1,2},Table2[Pay Item Description],Table2[Unit Cost]),2,0))</f>
        <v>0.777777777777778</v>
      </c>
      <c r="BL16" s="27" t="n">
        <f aca="false">BK16*BJ16</f>
        <v>19444.4444444444</v>
      </c>
    </row>
    <row r="17" customFormat="false" ht="19.5" hidden="false" customHeight="true" outlineLevel="0" collapsed="false">
      <c r="A17" s="0" t="n">
        <v>5</v>
      </c>
      <c r="B17" s="19" t="str">
        <f aca="false">IF(C17="",0,VLOOKUP(C17,CHOOSE({1,2},Table2[Pay Item Description],Table2[Pay Item No.]),2,0))</f>
        <v>P-620-5.1a</v>
      </c>
      <c r="C17" s="20" t="s">
        <v>558</v>
      </c>
      <c r="D17" s="21" t="str">
        <f aca="false">IF(C17="","N/A",VLOOKUP(C17,CHOOSE({1,2},Table2[Pay Item Description],Table2[Units]),2,0))</f>
        <v>S.F.</v>
      </c>
      <c r="E17" s="108" t="n">
        <v>25000</v>
      </c>
      <c r="F17" s="23" t="n">
        <f aca="false">IF(C17="","N/A",VLOOKUP(C17,CHOOSE({1,2},Table2[Pay Item Description],Table2[Unit Cost]),2,0))</f>
        <v>0.666666666666667</v>
      </c>
      <c r="G17" s="24" t="n">
        <f aca="false">IF(B17&lt;&gt;0,F17*E17,0)</f>
        <v>16666.6666666667</v>
      </c>
      <c r="L17" s="1" t="s">
        <v>25</v>
      </c>
      <c r="P17" s="27" t="n">
        <f aca="false">('General Information'!$D$36/100)*P16</f>
        <v>43644.3111111111</v>
      </c>
      <c r="T17" s="6" t="s">
        <v>25</v>
      </c>
      <c r="X17" s="30" t="n">
        <f aca="false">('General Information'!$D$36/100)*X16</f>
        <v>43644.3111111111</v>
      </c>
      <c r="Z17" s="1" t="n">
        <v>5</v>
      </c>
      <c r="AA17" s="1" t="str">
        <f aca="false">IF(AB17="",0,VLOOKUP(AB17,CHOOSE({1,2},Table2[Pay Item Description],Table2[Pay Item No.]),2,0))</f>
        <v>P-620-5.1a</v>
      </c>
      <c r="AB17" s="1" t="str">
        <f aca="false">Pay_Items!D56</f>
        <v>Markings (prep, markings, reflective media)</v>
      </c>
      <c r="AC17" s="115" t="str">
        <f aca="false">IF(AB17="","N/A",VLOOKUP(AB17,CHOOSE({1,2},Table2[Pay Item Description],Table2[Units]),2,0))</f>
        <v>S.F.</v>
      </c>
      <c r="AD17" s="111" t="n">
        <f aca="false">'Maintenance Policies'!D17*$C$8</f>
        <v>25000</v>
      </c>
      <c r="AE17" s="116" t="n">
        <f aca="false">IF(AB17="","N/A",VLOOKUP(AB17,CHOOSE({1,2},Table2[Pay Item Description],Table2[Unit Cost]),2,0))</f>
        <v>0.666666666666667</v>
      </c>
      <c r="AF17" s="27" t="n">
        <f aca="false">AE17*AD17</f>
        <v>16666.6666666667</v>
      </c>
      <c r="AH17" s="0" t="n">
        <v>5</v>
      </c>
      <c r="AI17" s="0" t="str">
        <f aca="false">IF(AJ17="",0,VLOOKUP(AJ17,CHOOSE({1,2},Table2[Pay Item Description],Table2[Pay Item No.]),2,0))</f>
        <v>P-620-5.1a</v>
      </c>
      <c r="AJ17" s="0" t="str">
        <f aca="false">Pay_Items!D56</f>
        <v>Markings (prep, markings, reflective media)</v>
      </c>
      <c r="AK17" s="117" t="str">
        <f aca="false">IF(AJ17="","N/A",VLOOKUP(AJ17,CHOOSE({1,2},Table2[Pay Item Description],Table2[Units]),2,0))</f>
        <v>S.F.</v>
      </c>
      <c r="AL17" s="113" t="n">
        <f aca="false">'Maintenance Policies'!D21*$C$8</f>
        <v>25000</v>
      </c>
      <c r="AM17" s="118" t="n">
        <f aca="false">IF(AJ17="","N/A",VLOOKUP(AJ17,CHOOSE({1,2},Table2[Pay Item Description],Table2[Unit Cost]),2,0))</f>
        <v>0.666666666666667</v>
      </c>
      <c r="AN17" s="30" t="n">
        <f aca="false">AM17*AL17</f>
        <v>16666.6666666667</v>
      </c>
      <c r="AP17" s="1" t="n">
        <v>5</v>
      </c>
      <c r="AQ17" s="1" t="str">
        <f aca="false">IF(AR17="",0,VLOOKUP(AR17,CHOOSE({1,2},Table2[Pay Item Description],Table2[Pay Item No.]),2,0))</f>
        <v>P-101-5.4a</v>
      </c>
      <c r="AR17" s="1" t="str">
        <f aca="false">Pay_Items!D11</f>
        <v>Spall Repair, Asphalt</v>
      </c>
      <c r="AS17" s="115" t="str">
        <f aca="false">IF(AR17="","N/A",VLOOKUP(AR17,CHOOSE({1,2},Table2[Pay Item Description],Table2[Units]),2,0))</f>
        <v>S.F.</v>
      </c>
      <c r="AT17" s="111" t="n">
        <f aca="false">'Maintenance Policies'!D24*($C$5*9)</f>
        <v>4503.735</v>
      </c>
      <c r="AU17" s="116" t="n">
        <f aca="false">IF(AR17="","N/A",VLOOKUP(AR17,CHOOSE({1,2},Table2[Pay Item Description],Table2[Unit Cost]),2,0))</f>
        <v>8.5</v>
      </c>
      <c r="AV17" s="27" t="n">
        <f aca="false">AU17*AT17</f>
        <v>38281.7475</v>
      </c>
      <c r="AZ17" s="6" t="s">
        <v>25</v>
      </c>
      <c r="BD17" s="30" t="n">
        <f aca="false">('General Information'!$D$36/100)*BD16</f>
        <v>43644.3111111111</v>
      </c>
      <c r="BF17" s="1" t="n">
        <v>5</v>
      </c>
      <c r="BG17" s="1" t="str">
        <f aca="false">IF(BH17="",0,VLOOKUP(BH17,CHOOSE({1,2},Table2[Pay Item Description],Table2[Pay Item No.]),2,0))</f>
        <v>P-620-5.1a</v>
      </c>
      <c r="BH17" s="1" t="str">
        <f aca="false">Pay_Items!D56</f>
        <v>Markings (prep, markings, reflective media)</v>
      </c>
      <c r="BI17" s="115" t="str">
        <f aca="false">IF(BH17="","N/A",VLOOKUP(BH17,CHOOSE({1,2},Table2[Pay Item Description],Table2[Units]),2,0))</f>
        <v>S.F.</v>
      </c>
      <c r="BJ17" s="111" t="n">
        <f aca="false">'Maintenance Policies'!D31*$C$8</f>
        <v>25000</v>
      </c>
      <c r="BK17" s="116" t="n">
        <f aca="false">IF(BH17="","N/A",VLOOKUP(BH17,CHOOSE({1,2},Table2[Pay Item Description],Table2[Unit Cost]),2,0))</f>
        <v>0.666666666666667</v>
      </c>
      <c r="BL17" s="27" t="n">
        <f aca="false">BK17*BJ17</f>
        <v>16666.6666666667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8"/>
      <c r="F18" s="23" t="str">
        <f aca="false">IF(C18="","N/A",VLOOKUP(C18,CHOOSE({1,2},Table2[Pay Item Description],Table2[Unit Cost]),2,0))</f>
        <v>N/A</v>
      </c>
      <c r="G18" s="24" t="n">
        <f aca="false">IF(B18&lt;&gt;0,F18*E18,0)</f>
        <v>0</v>
      </c>
      <c r="L18" s="1" t="s">
        <v>26</v>
      </c>
      <c r="P18" s="27" t="n">
        <f aca="false">('General Information'!$D$37/100)*P16</f>
        <v>21822.1555555556</v>
      </c>
      <c r="T18" s="6" t="s">
        <v>26</v>
      </c>
      <c r="X18" s="30" t="n">
        <f aca="false">('General Information'!$D$37/100)*X16</f>
        <v>21822.1555555556</v>
      </c>
      <c r="AE18" s="1" t="s">
        <v>24</v>
      </c>
      <c r="AF18" s="27" t="n">
        <f aca="false">SUM(AF13:AF17)</f>
        <v>610962.842361111</v>
      </c>
      <c r="AM18" s="6" t="s">
        <v>24</v>
      </c>
      <c r="AN18" s="30" t="n">
        <f aca="false">SUM(AN13:AN17)</f>
        <v>639111.186111111</v>
      </c>
      <c r="AP18" s="1" t="n">
        <v>6</v>
      </c>
      <c r="AQ18" s="1" t="str">
        <f aca="false">IF(AR18="",0,VLOOKUP(AR18,CHOOSE({1,2},Table2[Pay Item Description],Table2[Pay Item No.]),2,0))</f>
        <v>P-620-5.1a</v>
      </c>
      <c r="AR18" s="1" t="str">
        <f aca="false">Pay_Items!D56</f>
        <v>Markings (prep, markings, reflective media)</v>
      </c>
      <c r="AS18" s="115" t="str">
        <f aca="false">IF(AR18="","N/A",VLOOKUP(AR18,CHOOSE({1,2},Table2[Pay Item Description],Table2[Units]),2,0))</f>
        <v>S.F.</v>
      </c>
      <c r="AT18" s="111" t="n">
        <f aca="false">'Maintenance Policies'!D25*$C$8</f>
        <v>25000</v>
      </c>
      <c r="AU18" s="116" t="n">
        <f aca="false">IF(AR18="","N/A",VLOOKUP(AR18,CHOOSE({1,2},Table2[Pay Item Description],Table2[Unit Cost]),2,0))</f>
        <v>0.666666666666667</v>
      </c>
      <c r="AV18" s="27" t="n">
        <f aca="false">AU18*AT18</f>
        <v>16666.6666666667</v>
      </c>
      <c r="AZ18" s="6" t="s">
        <v>26</v>
      </c>
      <c r="BD18" s="30" t="n">
        <f aca="false">('General Information'!$D$37/100)*BD16</f>
        <v>21822.1555555556</v>
      </c>
      <c r="BK18" s="1" t="s">
        <v>24</v>
      </c>
      <c r="BL18" s="27" t="n">
        <f aca="false">SUM(BL13:BL17)</f>
        <v>676266.999861111</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8"/>
      <c r="F19" s="23" t="str">
        <f aca="false">IF(C19="","N/A",VLOOKUP(C19,CHOOSE({1,2},Table2[Pay Item Description],Table2[Unit Cost]),2,0))</f>
        <v>N/A</v>
      </c>
      <c r="G19" s="24" t="n">
        <f aca="false">IF(B19&lt;&gt;0,F19*E19,0)</f>
        <v>0</v>
      </c>
      <c r="O19" s="1" t="s">
        <v>27</v>
      </c>
      <c r="P19" s="27" t="n">
        <f aca="false">SUM(P16:P18)</f>
        <v>501909.577777778</v>
      </c>
      <c r="W19" s="6" t="s">
        <v>27</v>
      </c>
      <c r="X19" s="30" t="n">
        <f aca="false">SUM(X16:X18)</f>
        <v>501909.577777778</v>
      </c>
      <c r="AB19" s="1" t="s">
        <v>25</v>
      </c>
      <c r="AF19" s="27" t="n">
        <f aca="false">('General Information'!$D$36/100)*AF18</f>
        <v>61096.2842361111</v>
      </c>
      <c r="AJ19" s="6" t="s">
        <v>25</v>
      </c>
      <c r="AN19" s="30" t="n">
        <f aca="false">('General Information'!$D$36/100)*AN18</f>
        <v>63911.1186111111</v>
      </c>
      <c r="AU19" s="1" t="s">
        <v>24</v>
      </c>
      <c r="AV19" s="27" t="n">
        <f aca="false">SUM(AV13:AV18)</f>
        <v>2215740.38416667</v>
      </c>
      <c r="BC19" s="6" t="s">
        <v>27</v>
      </c>
      <c r="BD19" s="30" t="n">
        <f aca="false">SUM(BD16:BD18)</f>
        <v>501909.577777778</v>
      </c>
      <c r="BH19" s="1" t="s">
        <v>25</v>
      </c>
      <c r="BL19" s="27" t="n">
        <f aca="false">('General Information'!$D$36/100)*BL18</f>
        <v>67626.6999861111</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8"/>
      <c r="F20" s="23" t="str">
        <f aca="false">IF(C20="","N/A",VLOOKUP(C20,CHOOSE({1,2},Table2[Pay Item Description],Table2[Unit Cost]),2,0))</f>
        <v>N/A</v>
      </c>
      <c r="G20" s="24" t="n">
        <f aca="false">IF(B20&lt;&gt;0,F20*E20,0)</f>
        <v>0</v>
      </c>
      <c r="P20" s="27"/>
      <c r="X20" s="30"/>
      <c r="AB20" s="1" t="s">
        <v>26</v>
      </c>
      <c r="AF20" s="27" t="n">
        <f aca="false">('General Information'!$D$37/100)*AF18</f>
        <v>30548.1421180556</v>
      </c>
      <c r="AJ20" s="6" t="s">
        <v>26</v>
      </c>
      <c r="AN20" s="30" t="n">
        <f aca="false">('General Information'!$D$37/100)*AN18</f>
        <v>31955.5593055556</v>
      </c>
      <c r="AR20" s="1" t="s">
        <v>25</v>
      </c>
      <c r="AV20" s="27" t="n">
        <f aca="false">('General Information'!$D$36/100)*AV19</f>
        <v>221574.038416667</v>
      </c>
      <c r="BH20" s="1" t="s">
        <v>26</v>
      </c>
      <c r="BL20" s="27" t="n">
        <f aca="false">('General Information'!$D$37/100)*BL18</f>
        <v>33813.3499930556</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8"/>
      <c r="F21" s="23" t="str">
        <f aca="false">IF(C21="","N/A",VLOOKUP(C21,CHOOSE({1,2},Table2[Pay Item Description],Table2[Unit Cost]),2,0))</f>
        <v>N/A</v>
      </c>
      <c r="G21" s="24" t="n">
        <f aca="false">IF(B21&lt;&gt;0,F21*E21,0)</f>
        <v>0</v>
      </c>
      <c r="P21" s="27"/>
      <c r="X21" s="30"/>
      <c r="AE21" s="1" t="s">
        <v>27</v>
      </c>
      <c r="AF21" s="27" t="n">
        <f aca="false">SUM(AF18:AF20)</f>
        <v>702607.268715278</v>
      </c>
      <c r="AM21" s="6" t="s">
        <v>27</v>
      </c>
      <c r="AN21" s="30" t="n">
        <f aca="false">SUM(AN18:AN20)</f>
        <v>734977.864027778</v>
      </c>
      <c r="AR21" s="1" t="s">
        <v>26</v>
      </c>
      <c r="AV21" s="27" t="n">
        <f aca="false">('General Information'!$D$37/100)*AV19</f>
        <v>110787.019208333</v>
      </c>
      <c r="BK21" s="1" t="s">
        <v>27</v>
      </c>
      <c r="BL21" s="27" t="n">
        <f aca="false">SUM(BL18:BL20)</f>
        <v>777707.049840278</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8"/>
      <c r="F22" s="23" t="str">
        <f aca="false">IF(C22="","N/A",VLOOKUP(C22,CHOOSE({1,2},Table2[Pay Item Description],Table2[Unit Cost]),2,0))</f>
        <v>N/A</v>
      </c>
      <c r="G22" s="24" t="n">
        <f aca="false">IF(B22&lt;&gt;0,F22*E22,0)</f>
        <v>0</v>
      </c>
      <c r="AU22" s="1" t="s">
        <v>27</v>
      </c>
      <c r="AV22" s="27" t="n">
        <f aca="false">SUM(AV19:AV21)</f>
        <v>2548101.44179167</v>
      </c>
    </row>
    <row r="23" customFormat="false" ht="15" hidden="false" customHeight="false" outlineLevel="0" collapsed="false">
      <c r="G23" s="30"/>
    </row>
    <row r="24" customFormat="false" ht="15" hidden="false" customHeight="false" outlineLevel="0" collapsed="false">
      <c r="A24" s="0" t="s">
        <v>24</v>
      </c>
      <c r="G24" s="30" t="n">
        <f aca="false">SUM(G13:G22)</f>
        <v>12757966.6666667</v>
      </c>
    </row>
    <row r="25" customFormat="false" ht="15" hidden="false" customHeight="false" outlineLevel="0" collapsed="false">
      <c r="B25" s="0" t="s">
        <v>25</v>
      </c>
      <c r="G25" s="30" t="n">
        <f aca="false">('General Information'!$D$36/100)*G24</f>
        <v>1275796.66666667</v>
      </c>
    </row>
    <row r="26" customFormat="false" ht="15" hidden="false" customHeight="false" outlineLevel="0" collapsed="false">
      <c r="B26" s="0" t="s">
        <v>26</v>
      </c>
      <c r="G26" s="30" t="n">
        <f aca="false">('General Information'!$D$37/100)*G24</f>
        <v>637898.333333333</v>
      </c>
    </row>
    <row r="27" customFormat="false" ht="15" hidden="false" customHeight="false" outlineLevel="0" collapsed="false">
      <c r="A27" s="7" t="s">
        <v>27</v>
      </c>
      <c r="G27" s="119" t="n">
        <f aca="false">SUM(G24:G26)</f>
        <v>14671661.6666667</v>
      </c>
    </row>
    <row r="32" customFormat="false" ht="15" hidden="false" customHeight="false" outlineLevel="0" collapsed="false">
      <c r="A32" s="7" t="s">
        <v>28</v>
      </c>
    </row>
    <row r="33" customFormat="false" ht="15" hidden="false" customHeight="false" outlineLevel="0" collapsed="false">
      <c r="A33" s="7" t="s">
        <v>647</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2027</v>
      </c>
      <c r="D36" s="38" t="n">
        <f aca="false">G27</f>
        <v>14671661.6666667</v>
      </c>
      <c r="E36" s="39" t="n">
        <f aca="false">D36</f>
        <v>14671661.6666667</v>
      </c>
      <c r="K36" s="1" t="s">
        <v>35</v>
      </c>
      <c r="L36" s="120" t="s">
        <v>36</v>
      </c>
      <c r="M36" s="120" t="s">
        <v>37</v>
      </c>
      <c r="N36" s="120" t="s">
        <v>38</v>
      </c>
    </row>
    <row r="37" customFormat="false" ht="15" hidden="false" customHeight="false" outlineLevel="0" collapsed="false">
      <c r="B37" s="40" t="s">
        <v>4</v>
      </c>
      <c r="C37" s="41" t="n">
        <f aca="false">'Maintenance Policies'!E10</f>
        <v>4</v>
      </c>
      <c r="D37" s="42" t="n">
        <f aca="false">P19</f>
        <v>501909.577777778</v>
      </c>
      <c r="E37" s="43" t="n">
        <f aca="false">IF(C37&gt;'General Information'!$D$33,0,D37/(1+('General Information'!$D$34/100))^C37)</f>
        <v>445940.159080388</v>
      </c>
      <c r="K37" s="1" t="n">
        <f aca="false">C6</f>
        <v>2027</v>
      </c>
      <c r="L37" s="121" t="n">
        <f aca="false">IF(K37-$C$6&gt;'General Information'!$D$33,0,IF(K37=$C$6,$D$36,0)+SUMIFS($D$37:$D$51,$C$37:$C$51,K37-$C$6,$B$37:$B$51,"&lt;&gt;*Indirect*"))</f>
        <v>14671661.6666667</v>
      </c>
      <c r="M37" s="121" t="n">
        <f aca="false">IF(K37-$C$6&gt;'General Information'!$D$33,0,SUMIFS($D$37:$D$51,$C$37:$C$51,K37-$C$6,$B$37:$B$51,"*Indirect*"))</f>
        <v>0</v>
      </c>
      <c r="N37" s="121" t="n">
        <f aca="false">IF(K37-$C$6&gt;'General Information'!$D$33,0,IF(K37=$C$6,$E$36,0)+SUMIF($C$37:$C$51,K37-$C$6,$E$37:$E$51))</f>
        <v>14671661.6666667</v>
      </c>
    </row>
    <row r="38" customFormat="false" ht="18.75" hidden="false" customHeight="true" outlineLevel="0" collapsed="false">
      <c r="B38" s="40" t="s">
        <v>39</v>
      </c>
      <c r="C38" s="41" t="n">
        <f aca="false">'Maintenance Policies'!E10</f>
        <v>4</v>
      </c>
      <c r="D38" s="42" t="n">
        <f aca="false">F2*F4</f>
        <v>85059.4</v>
      </c>
      <c r="E38" s="43" t="n">
        <f aca="false">IF(C38&gt;'General Information'!$D$33,0,D38/(1+('General Information'!$D$34/100))^C38)</f>
        <v>75574.1752034798</v>
      </c>
      <c r="K38" s="1" t="n">
        <f aca="false">K37+1</f>
        <v>2028</v>
      </c>
      <c r="L38" s="121" t="n">
        <f aca="false">IF(K38-$C$6&gt;'General Information'!$D$33,0,IF(K38=$C$6,$D$36,0)+SUMIFS($D$37:$D$51,$C$37:$C$51,K38-$C$6,$B$37:$B$51,"&lt;&gt;*Indirect*"))</f>
        <v>0</v>
      </c>
      <c r="M38" s="121" t="n">
        <f aca="false">IF(K38-$C$6&gt;'General Information'!$D$33,0,SUMIFS($D$37:$D$51,$C$37:$C$51,K38-$C$6,$B$37:$B$51,"*Indirect*"))</f>
        <v>0</v>
      </c>
      <c r="N38" s="121" t="n">
        <f aca="false">IF(K38-$C$6&gt;'General Information'!$D$33,0,IF(K38=$C$6,$E$36,0)+SUMIF($C$37:$C$51,K38-$C$6,$E$37:$E$51))</f>
        <v>0</v>
      </c>
    </row>
    <row r="39" customFormat="false" ht="15" hidden="false" customHeight="false" outlineLevel="0" collapsed="false">
      <c r="B39" s="40" t="s">
        <v>595</v>
      </c>
      <c r="C39" s="41" t="n">
        <f aca="false">'Maintenance Policies'!E12</f>
        <v>8</v>
      </c>
      <c r="D39" s="42" t="n">
        <f aca="false">X19</f>
        <v>501909.577777778</v>
      </c>
      <c r="E39" s="43" t="n">
        <f aca="false">IF(C39&gt;'General Information'!$D$33,0,D39/(1+('General Information'!$D$34/100))^C39)</f>
        <v>396212.055488386</v>
      </c>
      <c r="K39" s="1" t="n">
        <f aca="false">K38+1</f>
        <v>2029</v>
      </c>
      <c r="L39" s="121" t="n">
        <f aca="false">IF(K39-$C$6&gt;'General Information'!$D$33,0,IF(K39=$C$6,$D$36,0)+SUMIFS($D$37:$D$51,$C$37:$C$51,K39-$C$6,$B$37:$B$51,"&lt;&gt;*Indirect*"))</f>
        <v>0</v>
      </c>
      <c r="M39" s="121" t="n">
        <f aca="false">IF(K39-$C$6&gt;'General Information'!$D$33,0,SUMIFS($D$37:$D$51,$C$37:$C$51,K39-$C$6,$B$37:$B$51,"*Indirect*"))</f>
        <v>0</v>
      </c>
      <c r="N39" s="121" t="n">
        <f aca="false">IF(K39-$C$6&gt;'General Information'!$D$33,0,IF(K39=$C$6,$E$36,0)+SUMIF($C$37:$C$51,K39-$C$6,$E$37:$E$51))</f>
        <v>0</v>
      </c>
    </row>
    <row r="40" customFormat="false" ht="15" hidden="false" customHeight="false" outlineLevel="0" collapsed="false">
      <c r="B40" s="40" t="s">
        <v>648</v>
      </c>
      <c r="C40" s="41" t="n">
        <f aca="false">'Maintenance Policies'!E12</f>
        <v>8</v>
      </c>
      <c r="D40" s="42" t="n">
        <f aca="false">F2*F5</f>
        <v>85059.4</v>
      </c>
      <c r="E40" s="43" t="n">
        <f aca="false">IF(C40&gt;'General Information'!$D$33,0,D40/(1+('General Information'!$D$34/100))^C40)</f>
        <v>67146.6758252028</v>
      </c>
      <c r="K40" s="1" t="n">
        <f aca="false">K39+1</f>
        <v>2030</v>
      </c>
      <c r="L40" s="121" t="n">
        <f aca="false">IF(K40-$C$6&gt;'General Information'!$D$33,0,IF(K40=$C$6,$D$36,0)+SUMIFS($D$37:$D$51,$C$37:$C$51,K40-$C$6,$B$37:$B$51,"&lt;&gt;*Indirect*"))</f>
        <v>0</v>
      </c>
      <c r="M40" s="121" t="n">
        <f aca="false">IF(K40-$C$6&gt;'General Information'!$D$33,0,SUMIFS($D$37:$D$51,$C$37:$C$51,K40-$C$6,$B$37:$B$51,"*Indirect*"))</f>
        <v>0</v>
      </c>
      <c r="N40" s="121" t="n">
        <f aca="false">IF(K40-$C$6&gt;'General Information'!$D$33,0,IF(K40=$C$6,$E$36,0)+SUMIF($C$37:$C$51,K40-$C$6,$E$37:$E$51))</f>
        <v>0</v>
      </c>
    </row>
    <row r="41" customFormat="false" ht="15" hidden="false" customHeight="false" outlineLevel="0" collapsed="false">
      <c r="B41" s="40" t="s">
        <v>596</v>
      </c>
      <c r="C41" s="41" t="n">
        <f aca="false">'Maintenance Policies'!E14</f>
        <v>12</v>
      </c>
      <c r="D41" s="42" t="n">
        <f aca="false">AF21</f>
        <v>702607.268715278</v>
      </c>
      <c r="E41" s="43" t="n">
        <f aca="false">IF(C41&gt;'General Information'!$D$33,0,D41/(1+('General Information'!$D$34/100))^C41)</f>
        <v>492794.601954233</v>
      </c>
      <c r="K41" s="1" t="n">
        <f aca="false">K40+1</f>
        <v>2031</v>
      </c>
      <c r="L41" s="121" t="n">
        <f aca="false">IF(K41-$C$6&gt;'General Information'!$D$33,0,IF(K41=$C$6,$D$36,0)+SUMIFS($D$37:$D$51,$C$37:$C$51,K41-$C$6,$B$37:$B$51,"&lt;&gt;*Indirect*"))</f>
        <v>501909.577777778</v>
      </c>
      <c r="M41" s="121" t="n">
        <f aca="false">IF(K41-$C$6&gt;'General Information'!$D$33,0,SUMIFS($D$37:$D$51,$C$37:$C$51,K41-$C$6,$B$37:$B$51,"*Indirect*"))</f>
        <v>85059.4</v>
      </c>
      <c r="N41" s="121" t="n">
        <f aca="false">IF(K41-$C$6&gt;'General Information'!$D$33,0,IF(K41=$C$6,$E$36,0)+SUMIF($C$37:$C$51,K41-$C$6,$E$37:$E$51))</f>
        <v>521514.334283867</v>
      </c>
    </row>
    <row r="42" customFormat="false" ht="15" hidden="false" customHeight="false" outlineLevel="0" collapsed="false">
      <c r="B42" s="40" t="s">
        <v>649</v>
      </c>
      <c r="C42" s="41" t="n">
        <f aca="false">'Maintenance Policies'!E14</f>
        <v>12</v>
      </c>
      <c r="D42" s="42" t="n">
        <f aca="false">F2*F6</f>
        <v>102071.28</v>
      </c>
      <c r="E42" s="43" t="n">
        <f aca="false">IF(C42&gt;'General Information'!$D$33,0,D42/(1+('General Information'!$D$34/100))^C42)</f>
        <v>71590.7421375434</v>
      </c>
      <c r="K42" s="1" t="n">
        <f aca="false">K41+1</f>
        <v>2032</v>
      </c>
      <c r="L42" s="121" t="n">
        <f aca="false">IF(K42-$C$6&gt;'General Information'!$D$33,0,IF(K42=$C$6,$D$36,0)+SUMIFS($D$37:$D$51,$C$37:$C$51,K42-$C$6,$B$37:$B$51,"&lt;&gt;*Indirect*"))</f>
        <v>0</v>
      </c>
      <c r="M42" s="121" t="n">
        <f aca="false">IF(K42-$C$6&gt;'General Information'!$D$33,0,SUMIFS($D$37:$D$51,$C$37:$C$51,K42-$C$6,$B$37:$B$51,"*Indirect*"))</f>
        <v>0</v>
      </c>
      <c r="N42" s="121" t="n">
        <f aca="false">IF(K42-$C$6&gt;'General Information'!$D$33,0,IF(K42=$C$6,$E$36,0)+SUMIF($C$37:$C$51,K42-$C$6,$E$37:$E$51))</f>
        <v>0</v>
      </c>
    </row>
    <row r="43" customFormat="false" ht="15" hidden="false" customHeight="false" outlineLevel="0" collapsed="false">
      <c r="B43" s="40" t="s">
        <v>601</v>
      </c>
      <c r="C43" s="41" t="n">
        <f aca="false">'Maintenance Policies'!E18</f>
        <v>16</v>
      </c>
      <c r="D43" s="42" t="n">
        <f aca="false">AN21</f>
        <v>734977.864027778</v>
      </c>
      <c r="E43" s="43" t="n">
        <f aca="false">IF(C43&gt;'General Information'!$D$33,0,D43/(1+('General Information'!$D$34/100))^C43)</f>
        <v>458013.905920727</v>
      </c>
      <c r="K43" s="1" t="n">
        <f aca="false">K42+1</f>
        <v>2033</v>
      </c>
      <c r="L43" s="121" t="n">
        <f aca="false">IF(K43-$C$6&gt;'General Information'!$D$33,0,IF(K43=$C$6,$D$36,0)+SUMIFS($D$37:$D$51,$C$37:$C$51,K43-$C$6,$B$37:$B$51,"&lt;&gt;*Indirect*"))</f>
        <v>0</v>
      </c>
      <c r="M43" s="121" t="n">
        <f aca="false">IF(K43-$C$6&gt;'General Information'!$D$33,0,SUMIFS($D$37:$D$51,$C$37:$C$51,K43-$C$6,$B$37:$B$51,"*Indirect*"))</f>
        <v>0</v>
      </c>
      <c r="N43" s="121" t="n">
        <f aca="false">IF(K43-$C$6&gt;'General Information'!$D$33,0,IF(K43=$C$6,$E$36,0)+SUMIF($C$37:$C$51,K43-$C$6,$E$37:$E$51))</f>
        <v>0</v>
      </c>
    </row>
    <row r="44" customFormat="false" ht="15" hidden="false" customHeight="false" outlineLevel="0" collapsed="false">
      <c r="B44" s="40" t="s">
        <v>650</v>
      </c>
      <c r="C44" s="41" t="n">
        <f aca="false">'Maintenance Policies'!E18</f>
        <v>16</v>
      </c>
      <c r="D44" s="42" t="n">
        <f aca="false">F2*F7</f>
        <v>102071.28</v>
      </c>
      <c r="E44" s="43" t="n">
        <f aca="false">IF(C44&gt;'General Information'!$D$33,0,D44/(1+('General Information'!$D$34/100))^C44)</f>
        <v>63607.4471398792</v>
      </c>
      <c r="K44" s="1" t="n">
        <f aca="false">K43+1</f>
        <v>2034</v>
      </c>
      <c r="L44" s="121" t="n">
        <f aca="false">IF(K44-$C$6&gt;'General Information'!$D$33,0,IF(K44=$C$6,$D$36,0)+SUMIFS($D$37:$D$51,$C$37:$C$51,K44-$C$6,$B$37:$B$51,"&lt;&gt;*Indirect*"))</f>
        <v>0</v>
      </c>
      <c r="M44" s="121" t="n">
        <f aca="false">IF(K44-$C$6&gt;'General Information'!$D$33,0,SUMIFS($D$37:$D$51,$C$37:$C$51,K44-$C$6,$B$37:$B$51,"*Indirect*"))</f>
        <v>0</v>
      </c>
      <c r="N44" s="121"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2548101.44179167</v>
      </c>
      <c r="E45" s="43" t="n">
        <f aca="false">IF(C45&gt;'General Information'!$D$33,0,D45/(1+('General Information'!$D$34/100))^C45)</f>
        <v>1410821.98752729</v>
      </c>
      <c r="K45" s="1" t="n">
        <f aca="false">K44+1</f>
        <v>2035</v>
      </c>
      <c r="L45" s="121" t="n">
        <f aca="false">IF(K45-$C$6&gt;'General Information'!$D$33,0,IF(K45=$C$6,$D$36,0)+SUMIFS($D$37:$D$51,$C$37:$C$51,K45-$C$6,$B$37:$B$51,"&lt;&gt;*Indirect*"))</f>
        <v>501909.577777778</v>
      </c>
      <c r="M45" s="121" t="n">
        <f aca="false">IF(K45-$C$6&gt;'General Information'!$D$33,0,SUMIFS($D$37:$D$51,$C$37:$C$51,K45-$C$6,$B$37:$B$51,"*Indirect*"))</f>
        <v>85059.4</v>
      </c>
      <c r="N45" s="121" t="n">
        <f aca="false">IF(K45-$C$6&gt;'General Information'!$D$33,0,IF(K45=$C$6,$E$36,0)+SUMIF($C$37:$C$51,K45-$C$6,$E$37:$E$51))</f>
        <v>463358.731313589</v>
      </c>
    </row>
    <row r="46" customFormat="false" ht="15" hidden="false" customHeight="false" outlineLevel="0" collapsed="false">
      <c r="B46" s="40" t="s">
        <v>40</v>
      </c>
      <c r="C46" s="41" t="n">
        <f aca="false">'Maintenance Policies'!E22</f>
        <v>20</v>
      </c>
      <c r="D46" s="42" t="n">
        <f aca="false">F2*F8</f>
        <v>238166.32</v>
      </c>
      <c r="E46" s="43" t="n">
        <f aca="false">IF(C46&gt;'General Information'!$D$33,0,D46/(1+('General Information'!$D$34/100))^C46)</f>
        <v>131866.916847784</v>
      </c>
      <c r="K46" s="1" t="n">
        <f aca="false">K45+1</f>
        <v>2036</v>
      </c>
      <c r="L46" s="121" t="n">
        <f aca="false">IF(K46-$C$6&gt;'General Information'!$D$33,0,IF(K46=$C$6,$D$36,0)+SUMIFS($D$37:$D$51,$C$37:$C$51,K46-$C$6,$B$37:$B$51,"&lt;&gt;*Indirect*"))</f>
        <v>0</v>
      </c>
      <c r="M46" s="121" t="n">
        <f aca="false">IF(K46-$C$6&gt;'General Information'!$D$33,0,SUMIFS($D$37:$D$51,$C$37:$C$51,K46-$C$6,$B$37:$B$51,"*Indirect*"))</f>
        <v>0</v>
      </c>
      <c r="N46" s="121" t="n">
        <f aca="false">IF(K46-$C$6&gt;'General Information'!$D$33,0,IF(K46=$C$6,$E$36,0)+SUMIF($C$37:$C$51,K46-$C$6,$E$37:$E$51))</f>
        <v>0</v>
      </c>
    </row>
    <row r="47" customFormat="false" ht="15" hidden="false" customHeight="false" outlineLevel="0" collapsed="false">
      <c r="B47" s="40" t="s">
        <v>607</v>
      </c>
      <c r="C47" s="41" t="n">
        <f aca="false">'Maintenance Policies'!E26</f>
        <v>24</v>
      </c>
      <c r="D47" s="42" t="n">
        <f aca="false">BD19</f>
        <v>501909.577777778</v>
      </c>
      <c r="E47" s="43" t="n">
        <f aca="false">IF(C47&gt;'General Information'!$D$33,0,D47/(1+('General Information'!$D$34/100))^C47)</f>
        <v>246906.253900808</v>
      </c>
      <c r="K47" s="1" t="n">
        <f aca="false">K46+1</f>
        <v>2037</v>
      </c>
      <c r="L47" s="121" t="n">
        <f aca="false">IF(K47-$C$6&gt;'General Information'!$D$33,0,IF(K47=$C$6,$D$36,0)+SUMIFS($D$37:$D$51,$C$37:$C$51,K47-$C$6,$B$37:$B$51,"&lt;&gt;*Indirect*"))</f>
        <v>0</v>
      </c>
      <c r="M47" s="121" t="n">
        <f aca="false">IF(K47-$C$6&gt;'General Information'!$D$33,0,SUMIFS($D$37:$D$51,$C$37:$C$51,K47-$C$6,$B$37:$B$51,"*Indirect*"))</f>
        <v>0</v>
      </c>
      <c r="N47" s="121" t="n">
        <f aca="false">IF(K47-$C$6&gt;'General Information'!$D$33,0,IF(K47=$C$6,$E$36,0)+SUMIF($C$37:$C$51,K47-$C$6,$E$37:$E$51))</f>
        <v>0</v>
      </c>
    </row>
    <row r="48" customFormat="false" ht="15" hidden="false" customHeight="false" outlineLevel="0" collapsed="false">
      <c r="B48" s="40" t="s">
        <v>651</v>
      </c>
      <c r="C48" s="41" t="n">
        <f aca="false">'Maintenance Policies'!E26</f>
        <v>24</v>
      </c>
      <c r="D48" s="42" t="n">
        <f aca="false">F2*F9</f>
        <v>85059.4</v>
      </c>
      <c r="E48" s="43" t="n">
        <f aca="false">IF(C48&gt;'General Information'!$D$33,0,D48/(1+('General Information'!$D$34/100))^C48)</f>
        <v>41843.5884527968</v>
      </c>
      <c r="K48" s="1" t="n">
        <f aca="false">K47+1</f>
        <v>2038</v>
      </c>
      <c r="L48" s="121" t="n">
        <f aca="false">IF(K48-$C$6&gt;'General Information'!$D$33,0,IF(K48=$C$6,$D$36,0)+SUMIFS($D$37:$D$51,$C$37:$C$51,K48-$C$6,$B$37:$B$51,"&lt;&gt;*Indirect*"))</f>
        <v>0</v>
      </c>
      <c r="M48" s="121" t="n">
        <f aca="false">IF(K48-$C$6&gt;'General Information'!$D$33,0,SUMIFS($D$37:$D$51,$C$37:$C$51,K48-$C$6,$B$37:$B$51,"*Indirect*"))</f>
        <v>0</v>
      </c>
      <c r="N48" s="121" t="n">
        <f aca="false">IF(K48-$C$6&gt;'General Information'!$D$33,0,IF(K48=$C$6,$E$36,0)+SUMIF($C$37:$C$51,K48-$C$6,$E$37:$E$51))</f>
        <v>0</v>
      </c>
    </row>
    <row r="49" customFormat="false" ht="15" hidden="false" customHeight="false" outlineLevel="0" collapsed="false">
      <c r="B49" s="40" t="s">
        <v>608</v>
      </c>
      <c r="C49" s="41" t="n">
        <f aca="false">'Maintenance Policies'!E28</f>
        <v>28</v>
      </c>
      <c r="D49" s="42" t="n">
        <f aca="false">BL21</f>
        <v>777707.049840278</v>
      </c>
      <c r="E49" s="43" t="n">
        <f aca="false">IF(C49&gt;'General Information'!$D$33,0,D49/(1+('General Information'!$D$34/100))^C49)</f>
        <v>339917.672261939</v>
      </c>
      <c r="K49" s="1" t="n">
        <f aca="false">K48+1</f>
        <v>2039</v>
      </c>
      <c r="L49" s="121" t="n">
        <f aca="false">IF(K49-$C$6&gt;'General Information'!$D$33,0,IF(K49=$C$6,$D$36,0)+SUMIFS($D$37:$D$51,$C$37:$C$51,K49-$C$6,$B$37:$B$51,"&lt;&gt;*Indirect*"))</f>
        <v>702607.268715278</v>
      </c>
      <c r="M49" s="121" t="n">
        <f aca="false">IF(K49-$C$6&gt;'General Information'!$D$33,0,SUMIFS($D$37:$D$51,$C$37:$C$51,K49-$C$6,$B$37:$B$51,"*Indirect*"))</f>
        <v>102071.28</v>
      </c>
      <c r="N49" s="121" t="n">
        <f aca="false">IF(K49-$C$6&gt;'General Information'!$D$33,0,IF(K49=$C$6,$E$36,0)+SUMIF($C$37:$C$51,K49-$C$6,$E$37:$E$51))</f>
        <v>564385.344091777</v>
      </c>
    </row>
    <row r="50" customFormat="false" ht="15" hidden="false" customHeight="false" outlineLevel="0" collapsed="false">
      <c r="B50" s="40" t="s">
        <v>652</v>
      </c>
      <c r="C50" s="41" t="n">
        <f aca="false">'Maintenance Policies'!E28</f>
        <v>28</v>
      </c>
      <c r="D50" s="42" t="n">
        <f aca="false">F2*F10</f>
        <v>102071.28</v>
      </c>
      <c r="E50" s="43" t="n">
        <f aca="false">IF(C50&gt;'General Information'!$D$33,0,D50/(1+('General Information'!$D$34/100))^C50)</f>
        <v>44612.9836543493</v>
      </c>
      <c r="K50" s="1" t="n">
        <f aca="false">K49+1</f>
        <v>2040</v>
      </c>
      <c r="L50" s="121" t="n">
        <f aca="false">IF(K50-$C$6&gt;'General Information'!$D$33,0,IF(K50=$C$6,$D$36,0)+SUMIFS($D$37:$D$51,$C$37:$C$51,K50-$C$6,$B$37:$B$51,"&lt;&gt;*Indirect*"))</f>
        <v>0</v>
      </c>
      <c r="M50" s="121" t="n">
        <f aca="false">IF(K50-$C$6&gt;'General Information'!$D$33,0,SUMIFS($D$37:$D$51,$C$37:$C$51,K50-$C$6,$B$37:$B$51,"*Indirect*"))</f>
        <v>0</v>
      </c>
      <c r="N50" s="121"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-318512.680223958</v>
      </c>
      <c r="E51" s="43" t="n">
        <f aca="false">IF(C51&gt;'General Information'!$D$33,0,D51/(1+('General Information'!$D$34/100))^C51)</f>
        <v>-131223.006990195</v>
      </c>
      <c r="K51" s="1" t="n">
        <f aca="false">K50+1</f>
        <v>2041</v>
      </c>
      <c r="L51" s="121" t="n">
        <f aca="false">IF(K51-$C$6&gt;'General Information'!$D$33,0,IF(K51=$C$6,$D$36,0)+SUMIFS($D$37:$D$51,$C$37:$C$51,K51-$C$6,$B$37:$B$51,"&lt;&gt;*Indirect*"))</f>
        <v>0</v>
      </c>
      <c r="M51" s="121" t="n">
        <f aca="false">IF(K51-$C$6&gt;'General Information'!$D$33,0,SUMIFS($D$37:$D$51,$C$37:$C$51,K51-$C$6,$B$37:$B$51,"*Indirect*"))</f>
        <v>0</v>
      </c>
      <c r="N51" s="121" t="n">
        <f aca="false">IF(K51-$C$6&gt;'General Information'!$D$33,0,IF(K51=$C$6,$E$36,0)+SUMIF($C$37:$C$51,K51-$C$6,$E$37:$E$51))</f>
        <v>0</v>
      </c>
    </row>
    <row r="52" customFormat="false" ht="15" hidden="false" customHeight="false" outlineLevel="0" collapsed="false">
      <c r="B52" s="44" t="s">
        <v>28</v>
      </c>
      <c r="C52" s="45"/>
      <c r="D52" s="45"/>
      <c r="E52" s="46" t="n">
        <f aca="false">SUM(E36:E51)</f>
        <v>18827287.8250713</v>
      </c>
      <c r="K52" s="1" t="n">
        <f aca="false">K51+1</f>
        <v>2042</v>
      </c>
      <c r="L52" s="121" t="n">
        <f aca="false">IF(K52-$C$6&gt;'General Information'!$D$33,0,IF(K52=$C$6,$D$36,0)+SUMIFS($D$37:$D$51,$C$37:$C$51,K52-$C$6,$B$37:$B$51,"&lt;&gt;*Indirect*"))</f>
        <v>0</v>
      </c>
      <c r="M52" s="121" t="n">
        <f aca="false">IF(K52-$C$6&gt;'General Information'!$D$33,0,SUMIFS($D$37:$D$51,$C$37:$C$51,K52-$C$6,$B$37:$B$51,"*Indirect*"))</f>
        <v>0</v>
      </c>
      <c r="N52" s="121" t="n">
        <f aca="false">IF(K52-$C$6&gt;'General Information'!$D$33,0,IF(K52=$C$6,$E$36,0)+SUMIF($C$37:$C$51,K52-$C$6,$E$37:$E$51))</f>
        <v>0</v>
      </c>
    </row>
    <row r="53" customFormat="false" ht="15" hidden="false" customHeight="false" outlineLevel="0" collapsed="false">
      <c r="K53" s="1" t="n">
        <f aca="false">K52+1</f>
        <v>2043</v>
      </c>
      <c r="L53" s="121" t="n">
        <f aca="false">IF(K53-$C$6&gt;'General Information'!$D$33,0,IF(K53=$C$6,$D$36,0)+SUMIFS($D$37:$D$51,$C$37:$C$51,K53-$C$6,$B$37:$B$51,"&lt;&gt;*Indirect*"))</f>
        <v>734977.864027778</v>
      </c>
      <c r="M53" s="121" t="n">
        <f aca="false">IF(K53-$C$6&gt;'General Information'!$D$33,0,SUMIFS($D$37:$D$51,$C$37:$C$51,K53-$C$6,$B$37:$B$51,"*Indirect*"))</f>
        <v>102071.28</v>
      </c>
      <c r="N53" s="121" t="n">
        <f aca="false">IF(K53-$C$6&gt;'General Information'!$D$33,0,IF(K53=$C$6,$E$36,0)+SUMIF($C$37:$C$51,K53-$C$6,$E$37:$E$51))</f>
        <v>521621.353060607</v>
      </c>
    </row>
    <row r="54" customFormat="false" ht="15" hidden="false" customHeight="false" outlineLevel="0" collapsed="false">
      <c r="K54" s="1" t="n">
        <f aca="false">K53+1</f>
        <v>2044</v>
      </c>
      <c r="L54" s="121" t="n">
        <f aca="false">IF(K54-$C$6&gt;'General Information'!$D$33,0,IF(K54=$C$6,$D$36,0)+SUMIFS($D$37:$D$51,$C$37:$C$51,K54-$C$6,$B$37:$B$51,"&lt;&gt;*Indirect*"))</f>
        <v>0</v>
      </c>
      <c r="M54" s="121" t="n">
        <f aca="false">IF(K54-$C$6&gt;'General Information'!$D$33,0,SUMIFS($D$37:$D$51,$C$37:$C$51,K54-$C$6,$B$37:$B$51,"*Indirect*"))</f>
        <v>0</v>
      </c>
      <c r="N54" s="121" t="n">
        <f aca="false">IF(K54-$C$6&gt;'General Information'!$D$33,0,IF(K54=$C$6,$E$36,0)+SUMIF($C$37:$C$51,K54-$C$6,$E$37:$E$51))</f>
        <v>0</v>
      </c>
    </row>
    <row r="55" customFormat="false" ht="15" hidden="false" customHeight="false" outlineLevel="0" collapsed="false">
      <c r="K55" s="1" t="n">
        <f aca="false">K54+1</f>
        <v>2045</v>
      </c>
      <c r="L55" s="121" t="n">
        <f aca="false">IF(K55-$C$6&gt;'General Information'!$D$33,0,IF(K55=$C$6,$D$36,0)+SUMIFS($D$37:$D$51,$C$37:$C$51,K55-$C$6,$B$37:$B$51,"&lt;&gt;*Indirect*"))</f>
        <v>0</v>
      </c>
      <c r="M55" s="121" t="n">
        <f aca="false">IF(K55-$C$6&gt;'General Information'!$D$33,0,SUMIFS($D$37:$D$51,$C$37:$C$51,K55-$C$6,$B$37:$B$51,"*Indirect*"))</f>
        <v>0</v>
      </c>
      <c r="N55" s="121" t="n">
        <f aca="false">IF(K55-$C$6&gt;'General Information'!$D$33,0,IF(K55=$C$6,$E$36,0)+SUMIF($C$37:$C$51,K55-$C$6,$E$37:$E$51))</f>
        <v>0</v>
      </c>
    </row>
    <row r="56" customFormat="false" ht="15" hidden="false" customHeight="false" outlineLevel="0" collapsed="false">
      <c r="K56" s="1" t="n">
        <f aca="false">K55+1</f>
        <v>2046</v>
      </c>
      <c r="L56" s="121" t="n">
        <f aca="false">IF(K56-$C$6&gt;'General Information'!$D$33,0,IF(K56=$C$6,$D$36,0)+SUMIFS($D$37:$D$51,$C$37:$C$51,K56-$C$6,$B$37:$B$51,"&lt;&gt;*Indirect*"))</f>
        <v>0</v>
      </c>
      <c r="M56" s="121" t="n">
        <f aca="false">IF(K56-$C$6&gt;'General Information'!$D$33,0,SUMIFS($D$37:$D$51,$C$37:$C$51,K56-$C$6,$B$37:$B$51,"*Indirect*"))</f>
        <v>0</v>
      </c>
      <c r="N56" s="121" t="n">
        <f aca="false">IF(K56-$C$6&gt;'General Information'!$D$33,0,IF(K56=$C$6,$E$36,0)+SUMIF($C$37:$C$51,K56-$C$6,$E$37:$E$51))</f>
        <v>0</v>
      </c>
    </row>
    <row r="57" customFormat="false" ht="15" hidden="false" customHeight="false" outlineLevel="0" collapsed="false">
      <c r="K57" s="1" t="n">
        <f aca="false">K56+1</f>
        <v>2047</v>
      </c>
      <c r="L57" s="121" t="n">
        <f aca="false">IF(K57-$C$6&gt;'General Information'!$D$33,0,IF(K57=$C$6,$D$36,0)+SUMIFS($D$37:$D$51,$C$37:$C$51,K57-$C$6,$B$37:$B$51,"&lt;&gt;*Indirect*"))</f>
        <v>2548101.44179167</v>
      </c>
      <c r="M57" s="121" t="n">
        <f aca="false">IF(K57-$C$6&gt;'General Information'!$D$33,0,SUMIFS($D$37:$D$51,$C$37:$C$51,K57-$C$6,$B$37:$B$51,"*Indirect*"))</f>
        <v>238166.32</v>
      </c>
      <c r="N57" s="121" t="n">
        <f aca="false">IF(K57-$C$6&gt;'General Information'!$D$33,0,IF(K57=$C$6,$E$36,0)+SUMIF($C$37:$C$51,K57-$C$6,$E$37:$E$51))</f>
        <v>1542688.90437507</v>
      </c>
    </row>
    <row r="58" customFormat="false" ht="15" hidden="false" customHeight="false" outlineLevel="0" collapsed="false">
      <c r="K58" s="1" t="n">
        <f aca="false">K57+1</f>
        <v>2048</v>
      </c>
      <c r="L58" s="121" t="n">
        <f aca="false">IF(K58-$C$6&gt;'General Information'!$D$33,0,IF(K58=$C$6,$D$36,0)+SUMIFS($D$37:$D$51,$C$37:$C$51,K58-$C$6,$B$37:$B$51,"&lt;&gt;*Indirect*"))</f>
        <v>0</v>
      </c>
      <c r="M58" s="121" t="n">
        <f aca="false">IF(K58-$C$6&gt;'General Information'!$D$33,0,SUMIFS($D$37:$D$51,$C$37:$C$51,K58-$C$6,$B$37:$B$51,"*Indirect*"))</f>
        <v>0</v>
      </c>
      <c r="N58" s="121" t="n">
        <f aca="false">IF(K58-$C$6&gt;'General Information'!$D$33,0,IF(K58=$C$6,$E$36,0)+SUMIF($C$37:$C$51,K58-$C$6,$E$37:$E$51))</f>
        <v>0</v>
      </c>
    </row>
    <row r="59" customFormat="false" ht="15" hidden="false" customHeight="false" outlineLevel="0" collapsed="false">
      <c r="K59" s="1" t="n">
        <f aca="false">K58+1</f>
        <v>2049</v>
      </c>
      <c r="L59" s="121" t="n">
        <f aca="false">IF(K59-$C$6&gt;'General Information'!$D$33,0,IF(K59=$C$6,$D$36,0)+SUMIFS($D$37:$D$51,$C$37:$C$51,K59-$C$6,$B$37:$B$51,"&lt;&gt;*Indirect*"))</f>
        <v>0</v>
      </c>
      <c r="M59" s="121" t="n">
        <f aca="false">IF(K59-$C$6&gt;'General Information'!$D$33,0,SUMIFS($D$37:$D$51,$C$37:$C$51,K59-$C$6,$B$37:$B$51,"*Indirect*"))</f>
        <v>0</v>
      </c>
      <c r="N59" s="121" t="n">
        <f aca="false">IF(K59-$C$6&gt;'General Information'!$D$33,0,IF(K59=$C$6,$E$36,0)+SUMIF($C$37:$C$51,K59-$C$6,$E$37:$E$51))</f>
        <v>0</v>
      </c>
    </row>
    <row r="60" customFormat="false" ht="15" hidden="false" customHeight="false" outlineLevel="0" collapsed="false">
      <c r="K60" s="1" t="n">
        <f aca="false">K59+1</f>
        <v>2050</v>
      </c>
      <c r="L60" s="121" t="n">
        <f aca="false">IF(K60-$C$6&gt;'General Information'!$D$33,0,IF(K60=$C$6,$D$36,0)+SUMIFS($D$37:$D$51,$C$37:$C$51,K60-$C$6,$B$37:$B$51,"&lt;&gt;*Indirect*"))</f>
        <v>0</v>
      </c>
      <c r="M60" s="121" t="n">
        <f aca="false">IF(K60-$C$6&gt;'General Information'!$D$33,0,SUMIFS($D$37:$D$51,$C$37:$C$51,K60-$C$6,$B$37:$B$51,"*Indirect*"))</f>
        <v>0</v>
      </c>
      <c r="N60" s="121" t="n">
        <f aca="false">IF(K60-$C$6&gt;'General Information'!$D$33,0,IF(K60=$C$6,$E$36,0)+SUMIF($C$37:$C$51,K60-$C$6,$E$37:$E$51))</f>
        <v>0</v>
      </c>
    </row>
    <row r="61" customFormat="false" ht="15" hidden="false" customHeight="false" outlineLevel="0" collapsed="false">
      <c r="K61" s="1" t="n">
        <f aca="false">K60+1</f>
        <v>2051</v>
      </c>
      <c r="L61" s="121" t="n">
        <f aca="false">IF(K61-$C$6&gt;'General Information'!$D$33,0,IF(K61=$C$6,$D$36,0)+SUMIFS($D$37:$D$51,$C$37:$C$51,K61-$C$6,$B$37:$B$51,"&lt;&gt;*Indirect*"))</f>
        <v>501909.577777778</v>
      </c>
      <c r="M61" s="121" t="n">
        <f aca="false">IF(K61-$C$6&gt;'General Information'!$D$33,0,SUMIFS($D$37:$D$51,$C$37:$C$51,K61-$C$6,$B$37:$B$51,"*Indirect*"))</f>
        <v>85059.4</v>
      </c>
      <c r="N61" s="121" t="n">
        <f aca="false">IF(K61-$C$6&gt;'General Information'!$D$33,0,IF(K61=$C$6,$E$36,0)+SUMIF($C$37:$C$51,K61-$C$6,$E$37:$E$51))</f>
        <v>288749.842353604</v>
      </c>
    </row>
    <row r="62" customFormat="false" ht="15" hidden="false" customHeight="false" outlineLevel="0" collapsed="false">
      <c r="K62" s="1" t="n">
        <f aca="false">K61+1</f>
        <v>2052</v>
      </c>
      <c r="L62" s="121" t="n">
        <f aca="false">IF(K62-$C$6&gt;'General Information'!$D$33,0,IF(K62=$C$6,$D$36,0)+SUMIFS($D$37:$D$51,$C$37:$C$51,K62-$C$6,$B$37:$B$51,"&lt;&gt;*Indirect*"))</f>
        <v>0</v>
      </c>
      <c r="M62" s="121" t="n">
        <f aca="false">IF(K62-$C$6&gt;'General Information'!$D$33,0,SUMIFS($D$37:$D$51,$C$37:$C$51,K62-$C$6,$B$37:$B$51,"*Indirect*"))</f>
        <v>0</v>
      </c>
      <c r="N62" s="121" t="n">
        <f aca="false">IF(K62-$C$6&gt;'General Information'!$D$33,0,IF(K62=$C$6,$E$36,0)+SUMIF($C$37:$C$51,K62-$C$6,$E$37:$E$51))</f>
        <v>0</v>
      </c>
    </row>
    <row r="63" customFormat="false" ht="15" hidden="false" customHeight="false" outlineLevel="0" collapsed="false">
      <c r="K63" s="1" t="n">
        <f aca="false">K62+1</f>
        <v>2053</v>
      </c>
      <c r="L63" s="121" t="n">
        <f aca="false">IF(K63-$C$6&gt;'General Information'!$D$33,0,IF(K63=$C$6,$D$36,0)+SUMIFS($D$37:$D$51,$C$37:$C$51,K63-$C$6,$B$37:$B$51,"&lt;&gt;*Indirect*"))</f>
        <v>0</v>
      </c>
      <c r="M63" s="121" t="n">
        <f aca="false">IF(K63-$C$6&gt;'General Information'!$D$33,0,SUMIFS($D$37:$D$51,$C$37:$C$51,K63-$C$6,$B$37:$B$51,"*Indirect*"))</f>
        <v>0</v>
      </c>
      <c r="N63" s="121" t="n">
        <f aca="false">IF(K63-$C$6&gt;'General Information'!$D$33,0,IF(K63=$C$6,$E$36,0)+SUMIF($C$37:$C$51,K63-$C$6,$E$37:$E$51))</f>
        <v>0</v>
      </c>
    </row>
    <row r="64" customFormat="false" ht="15" hidden="false" customHeight="false" outlineLevel="0" collapsed="false">
      <c r="K64" s="1" t="n">
        <f aca="false">K63+1</f>
        <v>2054</v>
      </c>
      <c r="L64" s="121" t="n">
        <f aca="false">IF(K64-$C$6&gt;'General Information'!$D$33,0,IF(K64=$C$6,$D$36,0)+SUMIFS($D$37:$D$51,$C$37:$C$51,K64-$C$6,$B$37:$B$51,"&lt;&gt;*Indirect*"))</f>
        <v>0</v>
      </c>
      <c r="M64" s="121" t="n">
        <f aca="false">IF(K64-$C$6&gt;'General Information'!$D$33,0,SUMIFS($D$37:$D$51,$C$37:$C$51,K64-$C$6,$B$37:$B$51,"*Indirect*"))</f>
        <v>0</v>
      </c>
      <c r="N64" s="121" t="n">
        <f aca="false">IF(K64-$C$6&gt;'General Information'!$D$33,0,IF(K64=$C$6,$E$36,0)+SUMIF($C$37:$C$51,K64-$C$6,$E$37:$E$51))</f>
        <v>0</v>
      </c>
    </row>
    <row r="65" customFormat="false" ht="15" hidden="false" customHeight="false" outlineLevel="0" collapsed="false">
      <c r="K65" s="1" t="n">
        <f aca="false">K64+1</f>
        <v>2055</v>
      </c>
      <c r="L65" s="121" t="n">
        <f aca="false">IF(K65-$C$6&gt;'General Information'!$D$33,0,IF(K65=$C$6,$D$36,0)+SUMIFS($D$37:$D$51,$C$37:$C$51,K65-$C$6,$B$37:$B$51,"&lt;&gt;*Indirect*"))</f>
        <v>777707.049840278</v>
      </c>
      <c r="M65" s="121" t="n">
        <f aca="false">IF(K65-$C$6&gt;'General Information'!$D$33,0,SUMIFS($D$37:$D$51,$C$37:$C$51,K65-$C$6,$B$37:$B$51,"*Indirect*"))</f>
        <v>102071.28</v>
      </c>
      <c r="N65" s="121" t="n">
        <f aca="false">IF(K65-$C$6&gt;'General Information'!$D$33,0,IF(K65=$C$6,$E$36,0)+SUMIF($C$37:$C$51,K65-$C$6,$E$37:$E$51))</f>
        <v>384530.655916288</v>
      </c>
    </row>
    <row r="66" customFormat="false" ht="15" hidden="false" customHeight="false" outlineLevel="0" collapsed="false">
      <c r="K66" s="1" t="n">
        <f aca="false">K65+1</f>
        <v>2056</v>
      </c>
      <c r="L66" s="121" t="n">
        <f aca="false">IF(K66-$C$6&gt;'General Information'!$D$33,0,IF(K66=$C$6,$D$36,0)+SUMIFS($D$37:$D$51,$C$37:$C$51,K66-$C$6,$B$37:$B$51,"&lt;&gt;*Indirect*"))</f>
        <v>0</v>
      </c>
      <c r="M66" s="121" t="n">
        <f aca="false">IF(K66-$C$6&gt;'General Information'!$D$33,0,SUMIFS($D$37:$D$51,$C$37:$C$51,K66-$C$6,$B$37:$B$51,"*Indirect*"))</f>
        <v>0</v>
      </c>
      <c r="N66" s="121" t="n">
        <f aca="false">IF(K66-$C$6&gt;'General Information'!$D$33,0,IF(K66=$C$6,$E$36,0)+SUMIF($C$37:$C$51,K66-$C$6,$E$37:$E$51))</f>
        <v>0</v>
      </c>
    </row>
    <row r="67" customFormat="false" ht="15" hidden="false" customHeight="false" outlineLevel="0" collapsed="false">
      <c r="K67" s="1" t="n">
        <f aca="false">K66+1</f>
        <v>2057</v>
      </c>
      <c r="L67" s="121" t="n">
        <f aca="false">IF(K67-$C$6&gt;'General Information'!$D$33,0,IF(K67=$C$6,$D$36,0)+SUMIFS($D$37:$D$51,$C$37:$C$51,K67-$C$6,$B$37:$B$51,"&lt;&gt;*Indirect*"))</f>
        <v>-318512.680223958</v>
      </c>
      <c r="M67" s="121" t="n">
        <f aca="false">IF(K67-$C$6&gt;'General Information'!$D$33,0,SUMIFS($D$37:$D$51,$C$37:$C$51,K67-$C$6,$B$37:$B$51,"*Indirect*"))</f>
        <v>0</v>
      </c>
      <c r="N67" s="121" t="n">
        <f aca="false">IF(K67-$C$6&gt;'General Information'!$D$33,0,IF(K67=$C$6,$E$36,0)+SUMIF($C$37:$C$51,K67-$C$6,$E$37:$E$51))</f>
        <v>-131223.006990195</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8505.94</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13</v>
      </c>
    </row>
    <row r="5" customFormat="false" ht="15" hidden="false" customHeight="false" outlineLevel="0" collapsed="false">
      <c r="A5" s="0" t="s">
        <v>9</v>
      </c>
      <c r="C5" s="0" t="n">
        <f aca="false">'General Information'!D26</f>
        <v>100083</v>
      </c>
      <c r="D5" s="0" t="s">
        <v>10</v>
      </c>
      <c r="E5" s="15" t="s">
        <v>11</v>
      </c>
      <c r="F5" s="16" t="n">
        <f aca="false">ROUNDUP(C5*550/(50*100/9)/10000,0)+ROUNDUP(C5*'Maintenance Policies'!D44/10000,0)+ROUNDUP(C5*'Maintenance Policies'!D43/5000,0)+ROUNDUP(C5*'Maintenance Policies'!D42/5000,0)+ROUNDUP(C5*'Maintenance Policies'!D41/1000,0)+7</f>
        <v>23</v>
      </c>
    </row>
    <row r="6" customFormat="false" ht="15" hidden="false" customHeight="false" outlineLevel="0" collapsed="false">
      <c r="A6" s="0" t="s">
        <v>12</v>
      </c>
      <c r="C6" s="0" t="n">
        <f aca="false">'General Information'!D25</f>
        <v>2027</v>
      </c>
    </row>
    <row r="7" customFormat="false" ht="15" hidden="false" customHeight="false" outlineLevel="0" collapsed="false">
      <c r="A7" s="0" t="s">
        <v>13</v>
      </c>
      <c r="C7" s="0" t="n">
        <f aca="false">'General Information'!D28</f>
        <v>25000</v>
      </c>
      <c r="D7" s="0" t="s">
        <v>14</v>
      </c>
      <c r="J7" s="1" t="s">
        <v>15</v>
      </c>
      <c r="K7" s="17" t="n">
        <f aca="false">C5/((12.5*12.5)/9)</f>
        <v>5764.7808</v>
      </c>
    </row>
    <row r="8" customFormat="false" ht="15" hidden="false" customHeight="false" outlineLevel="0" collapsed="false">
      <c r="C8" s="18"/>
      <c r="J8" s="1" t="s">
        <v>16</v>
      </c>
      <c r="K8" s="1" t="n">
        <f aca="false">K7*25+((K7/8)*12.5)</f>
        <v>153126.99</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P-152-4.1</v>
      </c>
      <c r="C13" s="20" t="s">
        <v>460</v>
      </c>
      <c r="D13" s="21" t="str">
        <f aca="false">IF(C13="","N/A",VLOOKUP(C13,CHOOSE({1,2},Table2[Pay Item Description],Table2[Units]),2,0))</f>
        <v>C.Y.</v>
      </c>
      <c r="E13" s="22" t="n">
        <v>52821</v>
      </c>
      <c r="F13" s="23" t="n">
        <f aca="false">IF(C13="","N/A",VLOOKUP(C13,CHOOSE({1,2},Table2[Pay Item Description],Table2[Unit Cost]),2,0))</f>
        <v>12</v>
      </c>
      <c r="G13" s="24" t="n">
        <f aca="false">IF(B13&lt;&gt;0,F13*E13,0)</f>
        <v>633852</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153126.99</v>
      </c>
      <c r="O13" s="26" t="n">
        <f aca="false">IF(L13="","N/A",VLOOKUP(L13,CHOOSE({1,2},Table2[Pay Item Description],Table2[Unit Cost]),2,0))</f>
        <v>7</v>
      </c>
      <c r="P13" s="27" t="n">
        <f aca="false">O13*N13</f>
        <v>1071888.93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2001.66</v>
      </c>
      <c r="W13" s="29" t="n">
        <f aca="false">IF(T13="","N/A",VLOOKUP(T13,CHOOSE({1,2},Table2[Pay Item Description],Table2[Unit Cost]),2,0))</f>
        <v>100</v>
      </c>
      <c r="X13" s="30" t="n">
        <f aca="false">W13*V13</f>
        <v>200166</v>
      </c>
    </row>
    <row r="14" customFormat="false" ht="19.5" hidden="false" customHeight="true" outlineLevel="0" collapsed="false">
      <c r="A14" s="0" t="n">
        <v>2</v>
      </c>
      <c r="B14" s="19" t="str">
        <f aca="false">IF(C14="",0,VLOOKUP(C14,CHOOSE({1,2},Table2[Pay Item Description],Table2[Pay Item No.]),2,0))</f>
        <v>P-155-8.1</v>
      </c>
      <c r="C14" s="20" t="s">
        <v>469</v>
      </c>
      <c r="D14" s="21" t="str">
        <f aca="false">IF(C14="","N/A",VLOOKUP(C14,CHOOSE({1,2},Table2[Pay Item Description],Table2[Units]),2,0))</f>
        <v>S.Y.</v>
      </c>
      <c r="E14" s="22" t="n">
        <v>133444</v>
      </c>
      <c r="F14" s="23" t="n">
        <f aca="false">IF(C14="","N/A",VLOOKUP(C14,CHOOSE({1,2},Table2[Pay Item Description],Table2[Unit Cost]),2,0))</f>
        <v>10</v>
      </c>
      <c r="G14" s="24" t="n">
        <f aca="false">IF(B14&lt;&gt;0,F14*E14,0)</f>
        <v>1334440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2251.8675</v>
      </c>
      <c r="O14" s="26" t="n">
        <f aca="false">IF(L14="","N/A",VLOOKUP(L14,CHOOSE({1,2},Table2[Pay Item Description],Table2[Unit Cost]),2,0))</f>
        <v>8</v>
      </c>
      <c r="P14" s="27" t="n">
        <f aca="false">O14*N14</f>
        <v>18014.94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300.249</v>
      </c>
      <c r="W14" s="29" t="n">
        <f aca="false">IF(T14="","N/A",VLOOKUP(T14,CHOOSE({1,2},Table2[Pay Item Description],Table2[Unit Cost]),2,0))</f>
        <v>120</v>
      </c>
      <c r="X14" s="30" t="n">
        <f aca="false">W14*V14</f>
        <v>36029.88</v>
      </c>
    </row>
    <row r="15" customFormat="false" ht="19.5" hidden="false" customHeight="true" outlineLevel="0" collapsed="false">
      <c r="A15" s="0" t="n">
        <v>3</v>
      </c>
      <c r="B15" s="19" t="str">
        <f aca="false">IF(C15="",0,VLOOKUP(C15,CHOOSE({1,2},Table2[Pay Item Description],Table2[Pay Item No.]),2,0))</f>
        <v>P-209-5.1</v>
      </c>
      <c r="C15" s="20" t="s">
        <v>487</v>
      </c>
      <c r="D15" s="21" t="str">
        <f aca="false">IF(C15="","N/A",VLOOKUP(C15,CHOOSE({1,2},Table2[Pay Item Description],Table2[Units]),2,0))</f>
        <v>C.Y.</v>
      </c>
      <c r="E15" s="22" t="n">
        <v>22241</v>
      </c>
      <c r="F15" s="23" t="n">
        <f aca="false">IF(C15="","N/A",VLOOKUP(C15,CHOOSE({1,2},Table2[Pay Item Description],Table2[Unit Cost]),2,0))</f>
        <v>65</v>
      </c>
      <c r="G15" s="24" t="n">
        <f aca="false">IF(B15&lt;&gt;0,F15*E15,0)</f>
        <v>1445665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1170.9711</v>
      </c>
      <c r="O15" s="26" t="n">
        <f aca="false">IF(L15="","N/A",VLOOKUP(L15,CHOOSE({1,2},Table2[Pay Item Description],Table2[Unit Cost]),2,0))</f>
        <v>60</v>
      </c>
      <c r="P15" s="27" t="n">
        <f aca="false">O15*N15</f>
        <v>70258.266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1170.9711</v>
      </c>
      <c r="W15" s="29" t="n">
        <f aca="false">IF(T15="","N/A",VLOOKUP(T15,CHOOSE({1,2},Table2[Pay Item Description],Table2[Unit Cost]),2,0))</f>
        <v>60</v>
      </c>
      <c r="X15" s="30" t="n">
        <f aca="false">W15*V15</f>
        <v>70258.266</v>
      </c>
    </row>
    <row r="16" customFormat="false" ht="19.5" hidden="false" customHeight="true" outlineLevel="0" collapsed="false">
      <c r="A16" s="0" t="n">
        <v>4</v>
      </c>
      <c r="B16" s="19" t="str">
        <f aca="false">IF(C16="",0,VLOOKUP(C16,CHOOSE({1,2},Table2[Pay Item Description],Table2[Pay Item No.]),2,0))</f>
        <v>P-501-8.1d</v>
      </c>
      <c r="C16" s="20" t="s">
        <v>531</v>
      </c>
      <c r="D16" s="21" t="str">
        <f aca="false">IF(C16="","N/A",VLOOKUP(C16,CHOOSE({1,2},Table2[Pay Item Description],Table2[Units]),2,0))</f>
        <v>S.Y.</v>
      </c>
      <c r="E16" s="22" t="n">
        <v>100083</v>
      </c>
      <c r="F16" s="23" t="n">
        <f aca="false">IF(C16="","N/A",VLOOKUP(C16,CHOOSE({1,2},Table2[Pay Item Description],Table2[Unit Cost]),2,0))</f>
        <v>91</v>
      </c>
      <c r="G16" s="24" t="n">
        <f aca="false">IF(B16&lt;&gt;0,F16*E16,0)</f>
        <v>9107553</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300.249</v>
      </c>
      <c r="O16" s="26" t="n">
        <f aca="false">IF(L16="","N/A",VLOOKUP(L16,CHOOSE({1,2},Table2[Pay Item Description],Table2[Unit Cost]),2,0))</f>
        <v>120</v>
      </c>
      <c r="P16" s="27" t="n">
        <f aca="false">O16*N16</f>
        <v>36029.88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2702.241</v>
      </c>
      <c r="W16" s="29" t="n">
        <f aca="false">IF(T16="","N/A",VLOOKUP(T16,CHOOSE({1,2},Table2[Pay Item Description],Table2[Unit Cost]),2,0))</f>
        <v>8</v>
      </c>
      <c r="X16" s="30" t="n">
        <f aca="false">W16*V16</f>
        <v>21617.928</v>
      </c>
    </row>
    <row r="17" customFormat="false" ht="19.5" hidden="false" customHeight="true" outlineLevel="0" collapsed="false">
      <c r="A17" s="0" t="n">
        <v>5</v>
      </c>
      <c r="B17" s="19" t="str">
        <f aca="false">IF(C17="",0,VLOOKUP(C17,CHOOSE({1,2},Table2[Pay Item Description],Table2[Pay Item No.]),2,0))</f>
        <v>P-620-5.1a</v>
      </c>
      <c r="C17" s="20" t="s">
        <v>558</v>
      </c>
      <c r="D17" s="21" t="str">
        <f aca="false">IF(C17="","N/A",VLOOKUP(C17,CHOOSE({1,2},Table2[Pay Item Description],Table2[Units]),2,0))</f>
        <v>S.F.</v>
      </c>
      <c r="E17" s="22" t="n">
        <v>25000</v>
      </c>
      <c r="F17" s="23" t="n">
        <f aca="false">IF(C17="","N/A",VLOOKUP(C17,CHOOSE({1,2},Table2[Pay Item Description],Table2[Unit Cost]),2,0))</f>
        <v>0.666666666666667</v>
      </c>
      <c r="G17" s="24" t="n">
        <f aca="false">IF(B17&lt;&gt;0,F17*E17,0)</f>
        <v>16666.6666666667</v>
      </c>
      <c r="O17" s="1" t="s">
        <v>24</v>
      </c>
      <c r="P17" s="27" t="n">
        <f aca="false">SUM(P13:P16)</f>
        <v>1196192.016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153126.99</v>
      </c>
      <c r="W17" s="29" t="n">
        <f aca="false">IF(T17="","N/A",VLOOKUP(T17,CHOOSE({1,2},Table2[Pay Item Description],Table2[Unit Cost]),2,0))</f>
        <v>7</v>
      </c>
      <c r="X17" s="30" t="n">
        <f aca="false">W17*V17</f>
        <v>1071888.93</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119619.2016</v>
      </c>
      <c r="W18" s="0" t="s">
        <v>24</v>
      </c>
      <c r="X18" s="30" t="n">
        <f aca="false">SUM(X13:X17)</f>
        <v>1399961.004</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59809.6008</v>
      </c>
      <c r="T19" s="0" t="s">
        <v>25</v>
      </c>
      <c r="X19" s="30" t="n">
        <f aca="false">('General Information'!$D$36/100)*X18</f>
        <v>139996.1004</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1375620.8184</v>
      </c>
      <c r="T20" s="0" t="s">
        <v>26</v>
      </c>
      <c r="X20" s="30" t="n">
        <f aca="false">('General Information'!$D$37/100)*X18</f>
        <v>69998.0502</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1609955.1546</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12538176.6666667</v>
      </c>
    </row>
    <row r="25" customFormat="false" ht="15" hidden="false" customHeight="false" outlineLevel="0" collapsed="false">
      <c r="B25" s="0" t="s">
        <v>25</v>
      </c>
      <c r="G25" s="24" t="n">
        <f aca="false">('General Information'!$D$36/100)*G24</f>
        <v>1253817.66666667</v>
      </c>
    </row>
    <row r="26" customFormat="false" ht="15" hidden="false" customHeight="false" outlineLevel="0" collapsed="false">
      <c r="B26" s="0" t="s">
        <v>26</v>
      </c>
      <c r="G26" s="24" t="n">
        <f aca="false">('General Information'!$D$37/100)*G24</f>
        <v>626908.833333333</v>
      </c>
    </row>
    <row r="27" customFormat="false" ht="15" hidden="false" customHeight="false" outlineLevel="0" collapsed="false">
      <c r="A27" s="7" t="s">
        <v>27</v>
      </c>
      <c r="B27" s="7"/>
      <c r="C27" s="7"/>
      <c r="D27" s="7"/>
      <c r="E27" s="7"/>
      <c r="F27" s="7"/>
      <c r="G27" s="31" t="n">
        <f aca="false">SUM(G24:G26)</f>
        <v>14418903.1666667</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2027</v>
      </c>
      <c r="D37" s="38" t="n">
        <f aca="false">G27</f>
        <v>14418903.1666667</v>
      </c>
      <c r="E37" s="39" t="n">
        <f aca="false">D37</f>
        <v>14418903.1666667</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1375620.8184</v>
      </c>
      <c r="E38" s="43" t="n">
        <f aca="false">IF(C38&gt;'General Information'!$D$33,0,D38/(1+('General Information'!$D$34/100))^C38)</f>
        <v>784497.330925104</v>
      </c>
      <c r="K38" s="1" t="n">
        <f aca="false">C6</f>
        <v>2027</v>
      </c>
      <c r="L38" s="2" t="n">
        <f aca="false">IF(K38-$C$6&gt;'General Information'!$D$33,0,IF(K38=$C$6,$D$37,0)+SUMIFS($D$38:$D$42,$C$38:$C$42,K38-$C$6,$B$38:$B$42,"&lt;&gt;*Indirect*"))</f>
        <v>14418903.1666667</v>
      </c>
      <c r="M38" s="2" t="n">
        <f aca="false">IF(K38-$C$6&gt;'General Information'!$D$33,0,SUMIFS($D$38:$D$42,$C$38:$C$42,K38-$C$6,$B$38:$B$42,"*Indirect*"))</f>
        <v>0</v>
      </c>
      <c r="N38" s="2" t="n">
        <f aca="false">IF(K38-$C$6&gt;'General Information'!$D$33,0,IF(K38=$C$6,$E$37,0)+SUMIF($C$38:$C$42,K38-$C$6,$E$38:$E$42))</f>
        <v>14418903.1666667</v>
      </c>
    </row>
    <row r="39" customFormat="false" ht="15" hidden="false" customHeight="false" outlineLevel="0" collapsed="false">
      <c r="B39" s="40" t="s">
        <v>39</v>
      </c>
      <c r="C39" s="41" t="n">
        <f aca="false">'Maintenance Policies'!E37</f>
        <v>19</v>
      </c>
      <c r="D39" s="42" t="n">
        <f aca="false">F2*F4</f>
        <v>110577.22</v>
      </c>
      <c r="E39" s="43" t="n">
        <f aca="false">IF(C39&gt;'General Information'!$D$33,0,D39/(1+('General Information'!$D$34/100))^C39)</f>
        <v>63060.6434497081</v>
      </c>
      <c r="K39" s="1" t="n">
        <f aca="false">K38+1</f>
        <v>2028</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1609955.1546</v>
      </c>
      <c r="E40" s="43" t="n">
        <f aca="false">IF(C40&gt;'General Information'!$D$33,0,D40/(1+('General Information'!$D$34/100))^C40)</f>
        <v>724784.190874235</v>
      </c>
      <c r="K40" s="1" t="n">
        <f aca="false">K39+1</f>
        <v>2029</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195636.62</v>
      </c>
      <c r="E41" s="43" t="n">
        <f aca="false">IF(C41&gt;'General Information'!$D$33,0,D41/(1+('General Information'!$D$34/100))^C41)</f>
        <v>88073.4652309613</v>
      </c>
      <c r="K41" s="1" t="n">
        <f aca="false">K40+1</f>
        <v>2030</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-3604725.79166667</v>
      </c>
      <c r="E42" s="43" t="n">
        <f aca="false">IF(C42&gt;'General Information'!$D$33,0,D42/(1+('General Information'!$D$34/100))^C42)</f>
        <v>-1485099.29785216</v>
      </c>
      <c r="K42" s="1" t="n">
        <f aca="false">K41+1</f>
        <v>2031</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14594219.4992945</v>
      </c>
      <c r="K43" s="1" t="n">
        <f aca="false">K42+1</f>
        <v>2032</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2033</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2034</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2035</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2036</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2037</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2038</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2039</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2040</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2041</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2042</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2043</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2044</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2045</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2046</v>
      </c>
      <c r="L57" s="2" t="n">
        <f aca="false">IF(K57-$C$6&gt;'General Information'!$D$33,0,IF(K57=$C$6,$D$37,0)+SUMIFS($D$38:$D$42,$C$38:$C$42,K57-$C$6,$B$38:$B$42,"&lt;&gt;*Indirect*"))</f>
        <v>1375620.8184</v>
      </c>
      <c r="M57" s="2" t="n">
        <f aca="false">IF(K57-$C$6&gt;'General Information'!$D$33,0,SUMIFS($D$38:$D$42,$C$38:$C$42,K57-$C$6,$B$38:$B$42,"*Indirect*"))</f>
        <v>110577.22</v>
      </c>
      <c r="N57" s="2" t="n">
        <f aca="false">IF(K57-$C$6&gt;'General Information'!$D$33,0,IF(K57=$C$6,$E$37,0)+SUMIF($C$38:$C$42,K57-$C$6,$E$38:$E$42))</f>
        <v>847557.974374812</v>
      </c>
    </row>
    <row r="58" customFormat="false" ht="15" hidden="false" customHeight="false" outlineLevel="0" collapsed="false">
      <c r="K58" s="1" t="n">
        <f aca="false">K57+1</f>
        <v>2047</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2048</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2049</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2050</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2051</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2052</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2053</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2054</v>
      </c>
      <c r="L65" s="2" t="n">
        <f aca="false">IF(K65-$C$6&gt;'General Information'!$D$33,0,IF(K65=$C$6,$D$37,0)+SUMIFS($D$38:$D$42,$C$38:$C$42,K65-$C$6,$B$38:$B$42,"&lt;&gt;*Indirect*"))</f>
        <v>1609955.1546</v>
      </c>
      <c r="M65" s="2" t="n">
        <f aca="false">IF(K65-$C$6&gt;'General Information'!$D$33,0,SUMIFS($D$38:$D$42,$C$38:$C$42,K65-$C$6,$B$38:$B$42,"*Indirect*"))</f>
        <v>195636.62</v>
      </c>
      <c r="N65" s="2" t="n">
        <f aca="false">IF(K65-$C$6&gt;'General Information'!$D$33,0,IF(K65=$C$6,$E$37,0)+SUMIF($C$38:$C$42,K65-$C$6,$E$38:$E$42))</f>
        <v>812857.656105196</v>
      </c>
    </row>
    <row r="66" customFormat="false" ht="15" hidden="false" customHeight="false" outlineLevel="0" collapsed="false">
      <c r="K66" s="1" t="n">
        <f aca="false">K65+1</f>
        <v>2055</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2056</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2057</v>
      </c>
      <c r="L68" s="2" t="n">
        <f aca="false">IF(K68-$C$6&gt;'General Information'!$D$33,0,IF(K68=$C$6,$D$37,0)+SUMIFS($D$38:$D$42,$C$38:$C$42,K68-$C$6,$B$38:$B$42,"&lt;&gt;*Indirect*"))</f>
        <v>-3604725.79166667</v>
      </c>
      <c r="M68" s="2" t="n">
        <f aca="false">IF(K68-$C$6&gt;'General Information'!$D$33,0,SUMIFS($D$38:$D$42,$C$38:$C$42,K68-$C$6,$B$38:$B$42,"*Indirect*"))</f>
        <v>0</v>
      </c>
      <c r="N68" s="2" t="n">
        <f aca="false">IF(K68-$C$6&gt;'General Information'!$D$33,0,IF(K68=$C$6,$E$37,0)+SUMIF($C$38:$C$42,K68-$C$6,$E$38:$E$42))</f>
        <v>-1485099.29785216</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2026-09-13T07:13:35Z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
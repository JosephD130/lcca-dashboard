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3" name="_xlnm.Print_Area" vbProcedure="false">'General Information'!$A$1:$J$48</definedName>
    <definedName function="false" hidden="false" localSheetId="13" name="_xlnm.Print_Area" vbProcedure="false">Summary!$A$1:$V$112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<sst xmlns="http://schemas.openxmlformats.org/spreadsheetml/2006/main" count="2983" uniqueCount="1252">
  <si>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</si>
  <si>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</si>
  <si>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</si>
  <si>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</si>
  <si>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</si>
  <si>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</si>
  <si>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</si>
  <si>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</si>
  <si>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</si>
  <si>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</si>
  <si>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</si>
  <si>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</si>
  <si>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</si>
  <si>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</si>
  <si>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</si>
  <si>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</si>
  <si>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</si>
  <si>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</si>
  <si>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</si>
  <si>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</si>
  <si>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</si>
  <si>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</si>
  <si>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</si>
  <si>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</si>
  <si>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</si>
  <si>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</si>
  <si>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</si>
  <si>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</si>
  <si>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</si>
  <si>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</si>
  <si>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</si>
  <si>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</si>
  <si>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</si>
  <si>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</si>
  <si>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</si>
  <si>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</si>
  <si>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</si>
  <si>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</si>
  <si>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</si>
  <si>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</si>
  <si>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</si>
  <si>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</si>
  <si>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</si>
  <si>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</si>
  <si>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</si>
  <si>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</si>
  <si>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</si>
  <si>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</si>
  <si>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</si>
  <si>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</si>
  <si>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</si>
  <si>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</si>
  <si>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</si>
  <si>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</si>
  <si>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</si>
  <si>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</si>
  <si>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</si>
  <si>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</si>
  <si>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</si>
  <si>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</si>
  <si>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</si>
  <si>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</si>
  <si>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</si>
  <si>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</si>
  <si>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</si>
  <si>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</si>
  <si>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</si>
  <si>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</si>
  <si>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</si>
  <si>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</si>
  <si>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</si>
  <si>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</si>
  <si>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</si>
  <si>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</si>
  <si>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</si>
  <si>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</si>
  <si>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</si>
  <si>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</si>
  <si>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</si>
  <si>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</si>
  <si>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</si>
  <si>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</si>
  <si>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</si>
  <si>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</si>
  <si>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</si>
  <si>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</si>
  <si>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</si>
  <si>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</si>
  <si>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</si>
  <si>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</si>
  <si>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</si>
  <si>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</si>
  <si>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</si>
  <si>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</si>
  <si>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</si>
  <si>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</si>
  <si>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</si>
  <si>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</si>
  <si>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</si>
  <si>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</si>
  <si>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</si>
  <si>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</si>
  <si>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</si>
  <si>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</si>
  <si>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</si>
  <si>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</si>
  <si>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</si>
  <si>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</si>
  <si>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</si>
  <si>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</si>
  <si>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</si>
  <si>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</si>
  <si>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</si>
  <si>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</si>
  <si>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</si>
  <si>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</si>
  <si>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</si>
  <si>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</si>
  <si>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</si>
  <si>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</si>
  <si>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</si>
  <si>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</si>
  <si>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</si>
  <si>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</si>
  <si>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</si>
  <si>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</si>
  <si>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</si>
  <si>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</si>
  <si>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</si>
  <si>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</si>
  <si>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</si>
  <si>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</si>
  <si>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</si>
  <si>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</si>
  <si>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</si>
  <si>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</si>
  <si>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</si>
  <si>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</si>
  <si>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</si>
  <si>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</si>
  <si>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</si>
  <si>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</si>
  <si>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</si>
  <si>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</si>
  <si>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</si>
  <si>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</si>
  <si>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</si>
  <si>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</si>
  <si>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</si>
  <si>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</si>
  <si>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</si>
  <si>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</si>
  <si>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</si>
  <si>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</si>
  <si>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</si>
  <si>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</si>
  <si>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</si>
  <si>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</si>
  <si>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</si>
  <si>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</si>
  <si>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</si>
  <si>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</si>
  <si>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</si>
  <si>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</si>
  <si>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</si>
  <si>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</si>
  <si>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</si>
  <si>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</si>
  <si>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</si>
  <si>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</si>
  <si>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</si>
  <si>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</si>
  <si>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</si>
  <si>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</si>
  <si>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</si>
  <si>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</si>
  <si>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</si>
  <si>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</si>
  <si>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</si>
  <si>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</si>
  <si>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</si>
  <si>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</si>
  <si>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</si>
  <si>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</si>
  <si>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</si>
  <si>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</si>
  <si>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</si>
  <si>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</si>
  <si>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</si>
  <si>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</si>
  <si>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</si>
  <si>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</si>
  <si>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</si>
  <si>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</si>
  <si>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</si>
  <si>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</si>
  <si>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</si>
  <si>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</si>
  <si>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</si>
  <si>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</si>
  <si>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</si>
  <si>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</si>
  <si>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</si>
  <si>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</si>
  <si>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</si>
  <si>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</si>
  <si>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</si>
  <si>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</si>
  <si>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</si>
  <si>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</si>
  <si>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</si>
  <si>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</si>
  <si>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</si>
  <si>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</si>
  <si>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</si>
  <si>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</si>
  <si>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</si>
  <si>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</si>
  <si>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</si>
  <si>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</si>
  <si>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</si>
  <si>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</si>
  <si>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</si>
  <si>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</si>
  <si>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</si>
  <si>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</si>
  <si>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</si>
  <si>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</si>
  <si>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</si>
  <si>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</si>
  <si>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</si>
  <si>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</si>
  <si>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</si>
  <si>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</si>
  <si>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</si>
  <si>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</si>
  <si>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</si>
  <si>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</si>
  <si>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</si>
  <si>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</si>
  <si>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</si>
  <si>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</si>
  <si>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</si>
  <si>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</si>
  <si>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</si>
  <si>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</si>
  <si>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</si>
  <si>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</si>
  <si>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</si>
  <si>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</si>
  <si>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</si>
  <si>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</si>
  <si>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</si>
  <si>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</si>
  <si>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</si>
  <si>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</si>
  <si>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</si>
  <si>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</si>
  <si>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</si>
  <si>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</si>
  <si>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</si>
  <si>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</si>
  <si>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</si>
  <si>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</si>
  <si>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</si>
  <si>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</si>
  <si>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</si>
  <si>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</si>
  <si>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</si>
  <si>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</si>
  <si>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</si>
  <si>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</si>
  <si>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</si>
  <si>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</si>
  <si>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</si>
  <si>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</si>
  <si>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</si>
  <si>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</si>
  <si>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</si>
  <si>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</si>
  <si>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</si>
  <si>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</si>
  <si>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</si>
  <si>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</si>
  <si>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</si>
  <si>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</si>
  <si>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</si>
  <si>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</si>
  <si>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</si>
  <si>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</si>
  <si>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</si>
  <si>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</si>
  <si>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</si>
  <si>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</si>
  <si>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</si>
  <si>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</si>
  <si>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</si>
  <si>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</si>
  <si>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</si>
  <si>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</si>
  <si>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</si>
  <si>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</si>
  <si>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</si>
  <si>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</si>
  <si>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</si>
  <si>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</si>
  <si>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</si>
  <si>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</si>
  <si>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</si>
  <si>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</si>
  <si>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</si>
  <si>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</si>
  <si>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</si>
  <si>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</si>
  <si>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</si>
  <si>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</si>
  <si>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</si>
  <si>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</si>
  <si>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</si>
  <si>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</si>
  <si>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</si>
  <si>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</si>
  <si>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</si>
  <si>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</si>
  <si>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</si>
  <si>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</si>
  <si>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</si>
  <si>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</si>
  <si>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</si>
  <si>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</si>
  <si>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</si>
  <si>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</si>
  <si>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</si>
  <si>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</si>
  <si>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</si>
  <si>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</si>
  <si>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</si>
  <si>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</si>
  <si>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</si>
  <si>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</si>
  <si>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</si>
  <si>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</si>
  <si>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</si>
  <si>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</si>
  <si>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</si>
  <si>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</si>
  <si>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</si>
  <si>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</si>
  <si>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</si>
  <si>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</si>
  <si>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</si>
  <si>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</si>
  <si>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</si>
  <si>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</si>
  <si>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</si>
  <si>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</si>
  <si>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</si>
  <si>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</si>
  <si>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</si>
  <si>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</si>
  <si>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</si>
  <si>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</si>
  <si>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</si>
  <si>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</si>
  <si>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</si>
  <si>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</si>
  <si>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</si>
  <si>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</si>
  <si>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</si>
  <si>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</si>
  <si>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</si>
  <si>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</si>
  <si>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</si>
  <si>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</si>
  <si>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</si>
  <si>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</si>
  <si>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</si>
  <si>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</si>
  <si>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</si>
  <si>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</si>
  <si>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</si>
  <si>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</si>
  <si>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</si>
  <si>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</si>
  <si>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</si>
  <si>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</si>
  <si>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</si>
  <si>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</si>
  <si>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</si>
  <si>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</si>
  <si>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</si>
  <si>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</si>
  <si>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</si>
  <si>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</si>
  <si>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</si>
  <si>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</si>
  <si>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</si>
  <si>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</si>
  <si>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</si>
  <si>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</si>
  <si>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</si>
  <si>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</si>
  <si>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</si>
  <si>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</si>
  <si>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</si>
  <si>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</si>
  <si>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</si>
  <si>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</si>
  <si>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</si>
  <si>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</si>
  <si>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</si>
  <si>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</si>
  <si>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</si>
  <si>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</si>
  <si>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</si>
  <si>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</si>
  <si>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</si>
  <si>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</si>
  <si>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</si>
  <si>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</si>
  <si>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</si>
  <si>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</si>
  <si>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</si>
  <si>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</si>
  <si>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</si>
  <si>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</si>
  <si>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</si>
  <si>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</si>
  <si>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</si>
  <si>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</si>
  <si>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</si>
  <si>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</si>
  <si>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</si>
  <si>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</si>
  <si>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</si>
  <si>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</si>
  <si>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</si>
  <si>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</si>
  <si>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</si>
  <si>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</si>
  <si>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</si>
  <si>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</si>
  <si>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</si>
  <si>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</si>
  <si>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</si>
  <si>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</si>
  <si>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</si>
  <si>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</si>
  <si>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</si>
  <si>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</si>
  <si>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</si>
  <si>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</si>
  <si>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</si>
  <si>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</si>
  <si>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</si>
  <si>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</si>
  <si>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</si>
  <si>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</si>
  <si>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</si>
  <si>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</si>
  <si>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</si>
  <si>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</si>
  <si>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</si>
  <si>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</si>
  <si>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</si>
  <si>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</si>
  <si>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</si>
  <si>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</si>
  <si>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</si>
  <si>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</si>
  <si>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</si>
  <si>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</si>
  <si>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</si>
  <si>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</si>
  <si>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</si>
  <si>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</si>
  <si>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</si>
  <si>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</si>
  <si>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</si>
  <si>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</si>
  <si>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</si>
  <si>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</si>
  <si>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</si>
  <si>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</si>
  <si>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</si>
  <si>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</si>
  <si>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</si>
  <si>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</si>
  <si>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</si>
  <si>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</si>
  <si>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</si>
  <si>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</si>
  <si>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</si>
  <si>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</si>
  <si>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</si>
  <si>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</si>
  <si>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</si>
  <si>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</si>
  <si>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</si>
  <si>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</si>
  <si>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</si>
  <si>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</si>
  <si>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</si>
  <si>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</si>
  <si>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</si>
  <si>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</si>
  <si>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</si>
  <si>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</si>
  <si>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</si>
  <si>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</si>
  <si>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</si>
  <si>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</si>
  <si>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</si>
  <si>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</si>
  <si>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</si>
  <si>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</si>
  <si>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</si>
  <si>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</si>
  <si>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</si>
  <si>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</si>
  <si>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</si>
  <si>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</si>
  <si>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</si>
  <si>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</si>
  <si>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</si>
  <si>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</si>
  <si>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</si>
  <si>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</si>
  <si>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</si>
  <si>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</si>
  <si>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</si>
  <si>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</si>
  <si>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</si>
  <si>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</si>
  <si>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</si>
  <si>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</si>
  <si>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</si>
  <si>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</si>
  <si>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</si>
  <si>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</si>
  <si>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</si>
  <si>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</si>
  <si>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</si>
  <si>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</si>
  <si>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</si>
  <si>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</si>
  <si>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</si>
  <si>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</si>
  <si>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</si>
  <si>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</si>
  <si>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</si>
  <si>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</si>
  <si>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</si>
  <si>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</si>
  <si>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</si>
  <si>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</si>
  <si>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</si>
  <si>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</si>
  <si>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</si>
  <si>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</si>
  <si>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</si>
  <si>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</si>
  <si>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</si>
  <si>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</si>
  <si>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</si>
  <si>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</si>
  <si>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</si>
  <si>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</si>
  <si>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</si>
  <si>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</si>
  <si>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</si>
  <si>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</si>
  <si>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</si>
  <si>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</si>
  <si>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</si>
  <si>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</si>
  <si>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</si>
  <si>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</si>
  <si>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</si>
  <si>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</si>
  <si>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</si>
  <si>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</si>
  <si>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</si>
  <si>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</si>
  <si>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</si>
  <si>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</si>
  <si>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</si>
  <si>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</si>
  <si>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</si>
  <si>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</si>
  <si>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</si>
  <si>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</si>
  <si>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</si>
  <si>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</si>
  <si>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</si>
  <si>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</si>
  <si>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</si>
  <si>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</si>
  <si>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</si>
  <si>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</si>
  <si>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</si>
  <si>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</si>
  <si>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</si>
  <si>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</si>
  <si>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</si>
  <si>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</si>
  <si>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</si>
  <si>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</si>
  <si>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</si>
  <si>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</si>
  <si>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</si>
  <si>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</si>
  <si>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</si>
  <si>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</si>
  <si>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</si>
  <si>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</si>
  <si>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</si>
  <si>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</si>
  <si>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</si>
  <si>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</si>
  <si>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</si>
  <si>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</si>
  <si>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</si>
  <si>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</si>
  <si>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</si>
  <si>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</si>
  <si>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</si>
  <si>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</si>
  <si>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</si>
  <si>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</si>
  <si>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</si>
  <si>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</si>
  <si>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</si>
  <si>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</si>
  <si>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</si>
  <si>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</si>
  <si>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</si>
  <si>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</si>
  <si>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</si>
  <si>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</si>
  <si>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</si>
  <si>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</si>
  <si>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</si>
  <si>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</si>
  <si>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</si>
  <si>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</si>
  <si>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</si>
  <si>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</si>
  <si>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</si>
  <si>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</si>
  <si>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</si>
  <si>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</si>
  <si>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</si>
  <si>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</si>
  <si>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</si>
  <si>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</si>
  <si>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</si>
  <si>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</si>
  <si>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</si>
  <si>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</si>
  <si>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</si>
  <si>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</si>
  <si>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</si>
  <si>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</si>
  <si>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</si>
  <si>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</si>
  <si>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</si>
  <si>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</si>
  <si>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</si>
  <si>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</si>
  <si>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</si>
  <si>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</si>
  <si>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</si>
  <si>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</si>
  <si>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</si>
  <si>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</si>
  <si>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</si>
  <si>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</si>
  <si>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</si>
  <si>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</si>
  <si>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</si>
  <si>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</si>
  <si>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</si>
  <si>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</si>
  <si>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</si>
  <si>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</si>
  <si>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</si>
  <si>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</si>
  <si>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</si>
  <si>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</si>
  <si>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</si>
  <si>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</si>
  <si>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</si>
  <si>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</si>
  <si>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</si>
  <si>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</si>
  <si>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</si>
  <si>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</si>
  <si>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</si>
  <si>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</si>
  <si>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</si>
  <si>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</si>
  <si>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</si>
  <si>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</si>
  <si>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 West</t>
  </si>
  <si>
    <t xml:space="preserve">■ Middle</t>
  </si>
  <si>
    <t xml:space="preserve">■ East</t>
  </si>
  <si>
    <t xml:space="preserve">■ This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</si>
  <si>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</si>
  <si>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PROJECT</t>
  </si>
  <si>
    <t xml:space="preserve">CHARTS</t>
  </si>
  <si>
    <t xml:space="preserve">Airport</t>
  </si>
  <si>
    <t xml:space="preserve">City / county</t>
  </si>
  <si>
    <t xml:space="preserve">TDOT region</t>
  </si>
  <si>
    <t xml:space="preserve">Coordinates</t>
  </si>
  <si>
    <t xml:space="preserve">Elevation</t>
  </si>
  <si>
    <t xml:space="preserve">Branch / project</t>
  </si>
  <si>
    <t xml:space="preserve">Mainline area</t>
  </si>
  <si>
    <t xml:space="preserve">Runway width, ft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</si>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</sst>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00000"/>
    <numFmt numFmtId="181" formatCode="\$#,##0.0,,\M"/>
    <numFmt numFmtId="182" formatCode=";;;"/>
    <numFmt numFmtId="183" formatCode="#,##0.00"/>
  </numFmts>
  <fonts count="4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3">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FF3CD"/>
        <bgColor rgb="FFE8F6EC"/>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9" fillId="9" borderId="35" xfId="0" applyFont="true" applyBorder="true" applyAlignment="true" applyProtection="false">
      <alignment horizontal="center" vertical="bottom" textRotation="0" wrapText="false" indent="0" shrinkToFit="false"/>
      <protection locked="true" hidden="false"/>
    </xf>
    <xf numFmtId="168" fontId="29" fillId="10" borderId="35" xfId="0" applyFont="true" applyBorder="true" applyAlignment="true" applyProtection="false">
      <alignment horizontal="center" vertical="bottom" textRotation="0" wrapText="false" indent="0" shrinkToFit="false"/>
      <protection locked="true" hidden="false"/>
    </xf>
    <xf numFmtId="165" fontId="29"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75" fontId="32" fillId="0" borderId="1" xfId="0" applyFont="true" applyBorder="true" applyAlignment="false" applyProtection="false">
      <alignment horizontal="general" vertical="bottom" textRotation="0" wrapText="false" indent="0" shrinkToFit="false"/>
      <protection locked="true" hidden="false"/>
    </xf>
    <xf numFmtId="167" fontId="32" fillId="0" borderId="1" xfId="0" applyFont="true" applyBorder="true" applyAlignment="false" applyProtection="false">
      <alignment horizontal="general" vertical="bottom" textRotation="0" wrapText="false" indent="0" shrinkToFit="false"/>
      <protection locked="true" hidden="false"/>
    </xf>
    <xf numFmtId="176" fontId="32" fillId="0" borderId="1"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75" fontId="33" fillId="0" borderId="0" xfId="0" applyFont="true" applyBorder="true" applyAlignment="false" applyProtection="false">
      <alignment horizontal="general" vertical="bottom" textRotation="0" wrapText="false" indent="0" shrinkToFit="false"/>
      <protection locked="true" hidden="false"/>
    </xf>
    <xf numFmtId="164" fontId="31"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3" fillId="0" borderId="0" xfId="0" applyFont="true" applyBorder="true" applyAlignment="false" applyProtection="false">
      <alignment horizontal="general" vertical="bottom" textRotation="0" wrapText="false" indent="0" shrinkToFit="false"/>
      <protection locked="true" hidden="false"/>
    </xf>
    <xf numFmtId="178" fontId="32" fillId="0"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6" fontId="32" fillId="5" borderId="1" xfId="0" applyFont="true" applyBorder="true" applyAlignment="false" applyProtection="false">
      <alignment horizontal="general" vertical="bottom" textRotation="0" wrapText="false" indent="0" shrinkToFit="false"/>
      <protection locked="true" hidden="false"/>
    </xf>
    <xf numFmtId="164" fontId="38" fillId="1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3" fillId="0" borderId="0" xfId="0" applyFont="true" applyBorder="true" applyAlignment="false" applyProtection="false">
      <alignment horizontal="general" vertical="bottom" textRotation="0" wrapText="false" indent="0" shrinkToFit="false"/>
      <protection locked="true" hidden="false"/>
    </xf>
    <xf numFmtId="179" fontId="33" fillId="0" borderId="0" xfId="0" applyFont="true" applyBorder="true" applyAlignment="false" applyProtection="false">
      <alignment horizontal="general" vertical="bottom" textRotation="0" wrapText="false" indent="0" shrinkToFit="false"/>
      <protection locked="true" hidden="false"/>
    </xf>
    <xf numFmtId="179" fontId="32" fillId="0" borderId="1" xfId="0" applyFont="true" applyBorder="true" applyAlignment="false" applyProtection="false">
      <alignment horizontal="general" vertical="bottom" textRotation="0" wrapText="false" indent="0" shrinkToFit="false"/>
      <protection locked="true" hidden="false"/>
    </xf>
    <xf numFmtId="180" fontId="33" fillId="0" borderId="0" xfId="0" applyFont="true" applyBorder="true" applyAlignment="false" applyProtection="false">
      <alignment horizontal="general" vertical="bottom"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8" fontId="32" fillId="0" borderId="1" xfId="0" applyFont="true" applyBorder="true" applyAlignment="true" applyProtection="false">
      <alignment horizontal="general" vertical="top" textRotation="0" wrapText="true" indent="0" shrinkToFit="false"/>
      <protection locked="true" hidden="false"/>
    </xf>
    <xf numFmtId="166" fontId="32" fillId="0" borderId="1" xfId="0" applyFont="true" applyBorder="true" applyAlignment="true" applyProtection="false">
      <alignment horizontal="general" vertical="top" textRotation="0" wrapText="true" indent="0" shrinkToFit="false"/>
      <protection locked="true" hidden="false"/>
    </xf>
    <xf numFmtId="164" fontId="42" fillId="0" borderId="1" xfId="0" applyFont="true" applyBorder="true" applyAlignment="true" applyProtection="false">
      <alignment horizontal="general" vertical="top" textRotation="0" wrapText="true" indent="0" shrinkToFit="false"/>
      <protection locked="true" hidden="false"/>
    </xf>
    <xf numFmtId="183" fontId="32" fillId="0" borderId="1" xfId="0" applyFont="true" applyBorder="true" applyAlignment="true" applyProtection="false">
      <alignment horizontal="general" vertical="top" textRotation="0" wrapText="true" indent="0" shrinkToFit="false"/>
      <protection locked="true" hidden="false"/>
    </xf>
    <xf numFmtId="164" fontId="43" fillId="0" borderId="1" xfId="0" applyFont="true" applyBorder="true" applyAlignment="true" applyProtection="false">
      <alignment horizontal="general" vertical="top" textRotation="0" wrapText="true" indent="0" shrinkToFit="false"/>
      <protection locked="true" hidden="false"/>
    </xf>
    <xf numFmtId="166" fontId="43" fillId="0" borderId="1" xfId="0" applyFont="true" applyBorder="true" applyAlignment="true" applyProtection="false">
      <alignment horizontal="general" vertical="top" textRotation="0" wrapText="true" indent="0" shrinkToFit="false"/>
      <protection locked="true" hidden="false"/>
    </xf>
    <xf numFmtId="179" fontId="43" fillId="0" borderId="1" xfId="0" applyFont="true" applyBorder="true" applyAlignment="true" applyProtection="false">
      <alignment horizontal="general" vertical="top" textRotation="0" wrapText="true" indent="0" shrinkToFit="false"/>
      <protection locked="true" hidden="false"/>
    </xf>
    <xf numFmtId="173" fontId="43" fillId="0" borderId="1" xfId="0" applyFont="true" applyBorder="true" applyAlignment="true" applyProtection="false">
      <alignment horizontal="general" vertical="top" textRotation="0" wrapText="true" indent="0" shrinkToFit="false"/>
      <protection locked="true" hidden="false"/>
    </xf>
    <xf numFmtId="164" fontId="32" fillId="12"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DAE3F3"/>
      <rgbColor rgb="FF0000FF"/>
      <rgbColor rgb="FFFFFF00"/>
      <rgbColor rgb="FFFF00FF"/>
      <rgbColor rgb="FFA5A5A5"/>
      <rgbColor rgb="FF9C0006"/>
      <rgbColor rgb="FF186A3B"/>
      <rgbColor rgb="FF000080"/>
      <rgbColor rgb="FF7F6000"/>
      <rgbColor rgb="FF8C8C8C"/>
      <rgbColor rgb="FF7F7F7F"/>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D9E1F2"/>
      <rgbColor rgb="FF800080"/>
      <rgbColor rgb="FFC00000"/>
      <rgbColor rgb="FF8B8B8B"/>
      <rgbColor rgb="FF0000FF"/>
      <rgbColor rgb="FF7FA8CF"/>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9AA0A6"/>
      <rgbColor rgb="FF1F3864"/>
      <rgbColor rgb="FF4472C4"/>
      <rgbColor rgb="FF003300"/>
      <rgbColor rgb="FF1D2733"/>
      <rgbColor rgb="FFC1440E"/>
      <rgbColor rgb="FF4A4A4A"/>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12565097"/>
        <c:axId val="74881480"/>
      </c:barChart>
      <c:catAx>
        <c:axId val="1256509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881480"/>
        <c:crosses val="autoZero"/>
        <c:auto val="1"/>
        <c:lblAlgn val="ctr"/>
        <c:lblOffset val="100"/>
        <c:noMultiLvlLbl val="0"/>
      </c:catAx>
      <c:valAx>
        <c:axId val="7488148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256509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95481155"/>
        <c:axId val="30315566"/>
      </c:barChart>
      <c:catAx>
        <c:axId val="9548115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0315566"/>
        <c:crosses val="autoZero"/>
        <c:auto val="1"/>
        <c:lblAlgn val="ctr"/>
        <c:lblOffset val="100"/>
        <c:noMultiLvlLbl val="0"/>
      </c:catAx>
      <c:valAx>
        <c:axId val="3031556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548115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96191844"/>
        <c:axId val="70069874"/>
      </c:barChart>
      <c:catAx>
        <c:axId val="9619184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0069874"/>
        <c:crosses val="autoZero"/>
        <c:auto val="1"/>
        <c:lblAlgn val="ctr"/>
        <c:lblOffset val="100"/>
        <c:noMultiLvlLbl val="0"/>
      </c:catAx>
      <c:valAx>
        <c:axId val="7006987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619184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5827995"/>
        <c:axId val="73672431"/>
      </c:barChart>
      <c:catAx>
        <c:axId val="582799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3672431"/>
        <c:crosses val="autoZero"/>
        <c:auto val="1"/>
        <c:lblAlgn val="ctr"/>
        <c:lblOffset val="100"/>
        <c:noMultiLvlLbl val="0"/>
      </c:catAx>
      <c:valAx>
        <c:axId val="7367243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82799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94074506"/>
        <c:axId val="39567056"/>
      </c:barChart>
      <c:catAx>
        <c:axId val="9407450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9567056"/>
        <c:crosses val="autoZero"/>
        <c:auto val="1"/>
        <c:lblAlgn val="ctr"/>
        <c:lblOffset val="100"/>
        <c:noMultiLvlLbl val="0"/>
      </c:catAx>
      <c:valAx>
        <c:axId val="3956705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407450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3229581"/>
        <c:axId val="57358287"/>
      </c:barChart>
      <c:catAx>
        <c:axId val="322958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7358287"/>
        <c:crosses val="autoZero"/>
        <c:auto val="1"/>
        <c:lblAlgn val="ctr"/>
        <c:lblOffset val="100"/>
        <c:noMultiLvlLbl val="0"/>
      </c:catAx>
      <c:valAx>
        <c:axId val="5735828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22958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7142104"/>
        <c:axId val="13263493"/>
      </c:barChart>
      <c:catAx>
        <c:axId val="714210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3263493"/>
        <c:crosses val="autoZero"/>
        <c:auto val="1"/>
        <c:lblAlgn val="ctr"/>
        <c:lblOffset val="100"/>
        <c:noMultiLvlLbl val="0"/>
      </c:catAx>
      <c:valAx>
        <c:axId val="1326349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1421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76890191"/>
        <c:axId val="39038276"/>
      </c:lineChart>
      <c:catAx>
        <c:axId val="7689019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9038276"/>
        <c:crosses val="autoZero"/>
        <c:auto val="1"/>
        <c:lblAlgn val="ctr"/>
        <c:lblOffset val="100"/>
        <c:noMultiLvlLbl val="0"/>
      </c:catAx>
      <c:valAx>
        <c:axId val="3903827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68901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42711049"/>
        <c:axId val="1381858"/>
      </c:barChart>
      <c:catAx>
        <c:axId val="4271104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381858"/>
        <c:crosses val="autoZero"/>
        <c:auto val="1"/>
        <c:lblAlgn val="ctr"/>
        <c:lblOffset val="100"/>
        <c:noMultiLvlLbl val="0"/>
      </c:catAx>
      <c:valAx>
        <c:axId val="138185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27110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8329783"/>
        <c:axId val="54869561"/>
      </c:lineChart>
      <c:catAx>
        <c:axId val="83297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869561"/>
        <c:crosses val="autoZero"/>
        <c:auto val="1"/>
        <c:lblAlgn val="ctr"/>
        <c:lblOffset val="100"/>
        <c:noMultiLvlLbl val="0"/>
      </c:catAx>
      <c:valAx>
        <c:axId val="5486956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3297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22181609"/>
        <c:axId val="18998951"/>
      </c:barChart>
      <c:catAx>
        <c:axId val="221816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8998951"/>
        <c:crosses val="autoZero"/>
        <c:auto val="1"/>
        <c:lblAlgn val="ctr"/>
        <c:lblOffset val="100"/>
        <c:noMultiLvlLbl val="0"/>
      </c:catAx>
      <c:valAx>
        <c:axId val="1899895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21816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85873661"/>
        <c:axId val="69800002"/>
      </c:barChart>
      <c:catAx>
        <c:axId val="858736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69800002"/>
        <c:crosses val="autoZero"/>
        <c:auto val="1"/>
        <c:lblAlgn val="ctr"/>
        <c:lblOffset val="100"/>
        <c:noMultiLvlLbl val="0"/>
      </c:catAx>
      <c:valAx>
        <c:axId val="698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8736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35111491"/>
        <c:axId val="44473043"/>
      </c:barChart>
      <c:catAx>
        <c:axId val="3511149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4473043"/>
        <c:crosses val="autoZero"/>
        <c:auto val="1"/>
        <c:lblAlgn val="ctr"/>
        <c:lblOffset val="100"/>
        <c:noMultiLvlLbl val="0"/>
      </c:catAx>
      <c:valAx>
        <c:axId val="4447304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51114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Summary!$AH$117:$AH$321</c:f>
              <c:numCache>
                <c:formatCode>0.00000</c:formatCode>
                <c:ptCount val="205"/>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-83.09778</c:v>
                </c:pt>
                <c:pt idx="159">
                  <c:v>-82.77722</c:v>
                </c:pt>
                <c:pt idx="160">
                  <c:v>-82.75444</c:v>
                </c:pt>
                <c:pt idx="161">
                  <c:v>-82.69667</c:v>
                </c:pt>
                <c:pt idx="162">
                  <c:v>-82.67722</c:v>
                </c:pt>
                <c:pt idx="163">
                  <c:v>-82.65222</c:v>
                </c:pt>
                <c:pt idx="164">
                  <c:v>-82.48389</c:v>
                </c:pt>
                <c:pt idx="165">
                  <c:v>-82.43555</c:v>
                </c:pt>
                <c:pt idx="166">
                  <c:v>-82.39139</c:v>
                </c:pt>
                <c:pt idx="167">
                  <c:v>-82.36777</c:v>
                </c:pt>
                <c:pt idx="168">
                  <c:v>-82.325</c:v>
                </c:pt>
                <c:pt idx="169">
                  <c:v>-82.28222</c:v>
                </c:pt>
                <c:pt idx="170">
                  <c:v>-81.60269</c:v>
                </c:pt>
                <c:pt idx="172">
                  <c:v>-84.57972</c:v>
                </c:pt>
                <c:pt idx="173">
                  <c:v>-84.315</c:v>
                </c:pt>
                <c:pt idx="174">
                  <c:v>-83.09639</c:v>
                </c:pt>
                <c:pt idx="176">
                  <c:v>-86.8325</c:v>
                </c:pt>
                <c:pt idx="177">
                  <c:v>-88.19639</c:v>
                </c:pt>
                <c:pt idx="179">
                  <c:v>-90.3775</c:v>
                </c:pt>
                <c:pt idx="180">
                  <c:v>-90.16222</c:v>
                </c:pt>
                <c:pt idx="181">
                  <c:v>-90.12695</c:v>
                </c:pt>
                <c:pt idx="182">
                  <c:v>-90.12028</c:v>
                </c:pt>
                <c:pt idx="183">
                  <c:v>-90.06416</c:v>
                </c:pt>
                <c:pt idx="184">
                  <c:v>-90.06944</c:v>
                </c:pt>
                <c:pt idx="185">
                  <c:v>-90.12139</c:v>
                </c:pt>
                <c:pt idx="186">
                  <c:v>-90.13805</c:v>
                </c:pt>
                <c:pt idx="187">
                  <c:v>-90.22583</c:v>
                </c:pt>
                <c:pt idx="188">
                  <c:v>-90.24834</c:v>
                </c:pt>
                <c:pt idx="189">
                  <c:v>-90.29861</c:v>
                </c:pt>
                <c:pt idx="190">
                  <c:v>-90.38277</c:v>
                </c:pt>
                <c:pt idx="191">
                  <c:v>-89.72916</c:v>
                </c:pt>
                <c:pt idx="193">
                  <c:v>-83.35639</c:v>
                </c:pt>
                <c:pt idx="194">
                  <c:v>-83.41222</c:v>
                </c:pt>
                <c:pt idx="195">
                  <c:v>-83.50889</c:v>
                </c:pt>
                <c:pt idx="196">
                  <c:v>-83.6175</c:v>
                </c:pt>
                <c:pt idx="197">
                  <c:v>-83.67278</c:v>
                </c:pt>
                <c:pt idx="199">
                  <c:v>-85.61707</c:v>
                </c:pt>
                <c:pt idx="200">
                  <c:v>-85.62334</c:v>
                </c:pt>
                <c:pt idx="202">
                  <c:v>-89.56389</c:v>
                </c:pt>
                <c:pt idx="203">
                  <c:v>-89.49223</c:v>
                </c:pt>
              </c:numCache>
            </c:numRef>
          </c:xVal>
          <c:yVal>
            <c:numRef>
              <c:f>Summary!$AI$117:$AI$321</c:f>
              <c:numCache>
                <c:formatCode>0.00000</c:formatCode>
                <c:ptCount val="205"/>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35.00027</c:v>
                </c:pt>
                <c:pt idx="159">
                  <c:v>35.09138</c:v>
                </c:pt>
                <c:pt idx="160">
                  <c:v>35.07028</c:v>
                </c:pt>
                <c:pt idx="161">
                  <c:v>35.0975</c:v>
                </c:pt>
                <c:pt idx="162">
                  <c:v>35.13083</c:v>
                </c:pt>
                <c:pt idx="163">
                  <c:v>35.125</c:v>
                </c:pt>
                <c:pt idx="164">
                  <c:v>35.17667</c:v>
                </c:pt>
                <c:pt idx="165">
                  <c:v>35.17472</c:v>
                </c:pt>
                <c:pt idx="166">
                  <c:v>35.22083</c:v>
                </c:pt>
                <c:pt idx="167">
                  <c:v>35.20056</c:v>
                </c:pt>
                <c:pt idx="168">
                  <c:v>35.19611</c:v>
                </c:pt>
                <c:pt idx="169">
                  <c:v>35.20639</c:v>
                </c:pt>
                <c:pt idx="170">
                  <c:v>35.181</c:v>
                </c:pt>
                <c:pt idx="172">
                  <c:v>34.99722</c:v>
                </c:pt>
                <c:pt idx="173">
                  <c:v>34.98611</c:v>
                </c:pt>
                <c:pt idx="174">
                  <c:v>35</c:v>
                </c:pt>
                <c:pt idx="176">
                  <c:v>35.00222</c:v>
                </c:pt>
                <c:pt idx="177">
                  <c:v>35.02361</c:v>
                </c:pt>
                <c:pt idx="179">
                  <c:v>36.49976</c:v>
                </c:pt>
                <c:pt idx="180">
                  <c:v>36.49973</c:v>
                </c:pt>
                <c:pt idx="181">
                  <c:v>36.45361</c:v>
                </c:pt>
                <c:pt idx="182">
                  <c:v>36.41361</c:v>
                </c:pt>
                <c:pt idx="183">
                  <c:v>36.37473</c:v>
                </c:pt>
                <c:pt idx="184">
                  <c:v>36.28194</c:v>
                </c:pt>
                <c:pt idx="185">
                  <c:v>36.25694</c:v>
                </c:pt>
                <c:pt idx="186">
                  <c:v>36.21389</c:v>
                </c:pt>
                <c:pt idx="187">
                  <c:v>36.17944</c:v>
                </c:pt>
                <c:pt idx="188">
                  <c:v>36.13194</c:v>
                </c:pt>
                <c:pt idx="189">
                  <c:v>36.11361</c:v>
                </c:pt>
                <c:pt idx="190">
                  <c:v>35.98556</c:v>
                </c:pt>
                <c:pt idx="191">
                  <c:v>36</c:v>
                </c:pt>
                <c:pt idx="193">
                  <c:v>36.70639</c:v>
                </c:pt>
                <c:pt idx="194">
                  <c:v>36.67416</c:v>
                </c:pt>
                <c:pt idx="195">
                  <c:v>36.66888</c:v>
                </c:pt>
                <c:pt idx="196">
                  <c:v>36.64056</c:v>
                </c:pt>
                <c:pt idx="197">
                  <c:v>36.6025</c:v>
                </c:pt>
                <c:pt idx="199">
                  <c:v>34.97196</c:v>
                </c:pt>
                <c:pt idx="200">
                  <c:v>34.99917</c:v>
                </c:pt>
                <c:pt idx="202">
                  <c:v>36.50083</c:v>
                </c:pt>
                <c:pt idx="203">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Summary!$Y$117:$Y$137</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Summary!$Z$117:$Z$137</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Summary!$Y$138:$Y$170</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Summary!$Z$138:$Z$170</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Summary!$Y$171:$Y$195</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Summary!$Z$171:$Z$195</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Summary!$AF$117</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Summary!$AD$117</c:f>
              <c:numCache>
                <c:formatCode>0.00000</c:formatCode>
                <c:ptCount val="1"/>
                <c:pt idx="0">
                  <c:v>-88.91561</c:v>
                </c:pt>
              </c:numCache>
            </c:numRef>
          </c:xVal>
          <c:yVal>
            <c:numRef>
              <c:f>Summary!$AE$117</c:f>
              <c:numCache>
                <c:formatCode>0.00000</c:formatCode>
                <c:ptCount val="1"/>
                <c:pt idx="0">
                  <c:v>35.59988</c:v>
                </c:pt>
              </c:numCache>
            </c:numRef>
          </c:yVal>
          <c:smooth val="1"/>
        </c:ser>
        <c:axId val="54818174"/>
        <c:axId val="43042333"/>
      </c:scatterChart>
      <c:valAx>
        <c:axId val="54818174"/>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3042333"/>
        <c:crosses val="autoZero"/>
        <c:crossBetween val="midCat"/>
      </c:valAx>
      <c:valAx>
        <c:axId val="43042333"/>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81817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39126537"/>
        <c:axId val="34006894"/>
      </c:barChart>
      <c:catAx>
        <c:axId val="3912653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4006894"/>
        <c:crosses val="autoZero"/>
        <c:auto val="1"/>
        <c:lblAlgn val="ctr"/>
        <c:lblOffset val="100"/>
        <c:noMultiLvlLbl val="0"/>
      </c:catAx>
      <c:valAx>
        <c:axId val="3400689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912653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60425618"/>
        <c:axId val="72157836"/>
      </c:barChart>
      <c:catAx>
        <c:axId val="6042561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2157836"/>
        <c:crosses val="autoZero"/>
        <c:auto val="1"/>
        <c:lblAlgn val="ctr"/>
        <c:lblOffset val="100"/>
        <c:noMultiLvlLbl val="0"/>
      </c:catAx>
      <c:valAx>
        <c:axId val="7215783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042561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75296920"/>
        <c:axId val="20506489"/>
      </c:barChart>
      <c:catAx>
        <c:axId val="7529692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0506489"/>
        <c:crosses val="autoZero"/>
        <c:auto val="1"/>
        <c:lblAlgn val="ctr"/>
        <c:lblOffset val="100"/>
        <c:noMultiLvlLbl val="0"/>
      </c:catAx>
      <c:valAx>
        <c:axId val="2050648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529692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16172765"/>
        <c:axId val="27997953"/>
      </c:barChart>
      <c:catAx>
        <c:axId val="1617276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7997953"/>
        <c:crosses val="autoZero"/>
        <c:auto val="1"/>
        <c:lblAlgn val="ctr"/>
        <c:lblOffset val="100"/>
        <c:noMultiLvlLbl val="0"/>
      </c:catAx>
      <c:valAx>
        <c:axId val="2799795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617276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
</Relationships>
</file>

<file path=xl/drawings/_rels/drawing13.xml.rels><?xml version="1.0" encoding="UTF-8"?>
<Relationships xmlns="http://schemas.openxmlformats.org/package/2006/relationships"><Relationship Id="rId1" Type="http://schemas.openxmlformats.org/officeDocument/2006/relationships/chart" Target="../charts/chart16.xml"/>
</Relationships>
</file>

<file path=xl/drawings/_rels/drawing14.xml.rels><?xml version="1.0" encoding="UTF-8"?>
<Relationships xmlns="http://schemas.openxmlformats.org/package/2006/relationships"><Relationship Id="rId1" Type="http://schemas.openxmlformats.org/officeDocument/2006/relationships/chart" Target="../charts/chart17.xml"/>
</Relationships>
</file>

<file path=xl/drawings/_rels/drawing1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57</xdr:row>
      <xdr:rowOff>0</xdr:rowOff>
    </xdr:from>
    <xdr:to>
      <xdr:col>19</xdr:col>
      <xdr:colOff>1244160</xdr:colOff>
      <xdr:row>73</xdr:row>
      <xdr:rowOff>190080</xdr:rowOff>
    </xdr:to>
    <xdr:graphicFrame>
      <xdr:nvGraphicFramePr>
        <xdr:cNvPr id="11" name="Chart 1"/>
        <xdr:cNvGraphicFramePr/>
      </xdr:nvGraphicFramePr>
      <xdr:xfrm>
        <a:off x="10134720" y="11725200"/>
        <a:ext cx="1155636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9</xdr:col>
      <xdr:colOff>783360</xdr:colOff>
      <xdr:row>32</xdr:row>
      <xdr:rowOff>155520</xdr:rowOff>
    </xdr:to>
    <xdr:graphicFrame>
      <xdr:nvGraphicFramePr>
        <xdr:cNvPr id="12" name="Summary Chart 1"/>
        <xdr:cNvGraphicFramePr/>
      </xdr:nvGraphicFramePr>
      <xdr:xfrm>
        <a:off x="0" y="423864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21</xdr:row>
      <xdr:rowOff>0</xdr:rowOff>
    </xdr:from>
    <xdr:to>
      <xdr:col>16</xdr:col>
      <xdr:colOff>783720</xdr:colOff>
      <xdr:row>32</xdr:row>
      <xdr:rowOff>155520</xdr:rowOff>
    </xdr:to>
    <xdr:graphicFrame>
      <xdr:nvGraphicFramePr>
        <xdr:cNvPr id="13" name="Summary Chart 2"/>
        <xdr:cNvGraphicFramePr/>
      </xdr:nvGraphicFramePr>
      <xdr:xfrm>
        <a:off x="10134720" y="423864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39</xdr:row>
      <xdr:rowOff>0</xdr:rowOff>
    </xdr:from>
    <xdr:to>
      <xdr:col>9</xdr:col>
      <xdr:colOff>783360</xdr:colOff>
      <xdr:row>54</xdr:row>
      <xdr:rowOff>21960</xdr:rowOff>
    </xdr:to>
    <xdr:graphicFrame>
      <xdr:nvGraphicFramePr>
        <xdr:cNvPr id="14" name="Summary Chart 3"/>
        <xdr:cNvGraphicFramePr/>
      </xdr:nvGraphicFramePr>
      <xdr:xfrm>
        <a:off x="0" y="829620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39</xdr:row>
      <xdr:rowOff>0</xdr:rowOff>
    </xdr:from>
    <xdr:to>
      <xdr:col>16</xdr:col>
      <xdr:colOff>783720</xdr:colOff>
      <xdr:row>54</xdr:row>
      <xdr:rowOff>21960</xdr:rowOff>
    </xdr:to>
    <xdr:graphicFrame>
      <xdr:nvGraphicFramePr>
        <xdr:cNvPr id="15" name="Summary Chart 4"/>
        <xdr:cNvGraphicFramePr/>
      </xdr:nvGraphicFramePr>
      <xdr:xfrm>
        <a:off x="10134720" y="829620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57</xdr:row>
      <xdr:rowOff>0</xdr:rowOff>
    </xdr:from>
    <xdr:to>
      <xdr:col>9</xdr:col>
      <xdr:colOff>783360</xdr:colOff>
      <xdr:row>72</xdr:row>
      <xdr:rowOff>21960</xdr:rowOff>
    </xdr:to>
    <xdr:graphicFrame>
      <xdr:nvGraphicFramePr>
        <xdr:cNvPr id="16" name="Summary Chart 5"/>
        <xdr:cNvGraphicFramePr/>
      </xdr:nvGraphicFramePr>
      <xdr:xfrm>
        <a:off x="0" y="1172520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89</xdr:row>
      <xdr:rowOff>0</xdr:rowOff>
    </xdr:from>
    <xdr:to>
      <xdr:col>9</xdr:col>
      <xdr:colOff>783360</xdr:colOff>
      <xdr:row>104</xdr:row>
      <xdr:rowOff>22320</xdr:rowOff>
    </xdr:to>
    <xdr:graphicFrame>
      <xdr:nvGraphicFramePr>
        <xdr:cNvPr id="17" name="Summary Chart 6"/>
        <xdr:cNvGraphicFramePr/>
      </xdr:nvGraphicFramePr>
      <xdr:xfrm>
        <a:off x="0" y="1797372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89</xdr:row>
      <xdr:rowOff>0</xdr:rowOff>
    </xdr:from>
    <xdr:to>
      <xdr:col>16</xdr:col>
      <xdr:colOff>783720</xdr:colOff>
      <xdr:row>104</xdr:row>
      <xdr:rowOff>22320</xdr:rowOff>
    </xdr:to>
    <xdr:graphicFrame>
      <xdr:nvGraphicFramePr>
        <xdr:cNvPr id="18" name="Summary Chart 7"/>
        <xdr:cNvGraphicFramePr/>
      </xdr:nvGraphicFramePr>
      <xdr:xfrm>
        <a:off x="10134720" y="1797372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2</xdr:row>
      <xdr:rowOff>0</xdr:rowOff>
    </xdr:from>
    <xdr:to>
      <xdr:col>21</xdr:col>
      <xdr:colOff>225720</xdr:colOff>
      <xdr:row>11</xdr:row>
      <xdr:rowOff>156960</xdr:rowOff>
    </xdr:to>
    <xdr:graphicFrame>
      <xdr:nvGraphicFramePr>
        <xdr:cNvPr id="19" name="Summary Chart 8"/>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0"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1"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2"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3"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MKL</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Jackson</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West</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12</v>
      </c>
      <c r="D25" s="54" t="n">
        <v>2027</v>
      </c>
      <c r="F25" s="59" t="s">
        <v>152</v>
      </c>
      <c r="L25" s="47" t="s">
        <v>153</v>
      </c>
      <c r="M25" s="47" t="s">
        <v>154</v>
      </c>
      <c r="N25" s="47" t="s">
        <v>155</v>
      </c>
      <c r="O25" s="47" t="s">
        <v>155</v>
      </c>
      <c r="P25" s="47" t="s">
        <v>68</v>
      </c>
      <c r="S25" s="47" t="s">
        <v>156</v>
      </c>
    </row>
    <row r="26" customFormat="false" ht="12.75" hidden="false" customHeight="false" outlineLevel="0" collapsed="false">
      <c r="C26" s="47" t="s">
        <v>157</v>
      </c>
      <c r="D26" s="54" t="n">
        <v>100083</v>
      </c>
      <c r="F26" s="59" t="s">
        <v>158</v>
      </c>
      <c r="L26" s="47" t="s">
        <v>159</v>
      </c>
      <c r="M26" s="47" t="s">
        <v>160</v>
      </c>
      <c r="N26" s="47" t="s">
        <v>161</v>
      </c>
      <c r="O26" s="47" t="s">
        <v>162</v>
      </c>
      <c r="P26" s="47" t="s">
        <v>75</v>
      </c>
    </row>
    <row r="27" customFormat="false" ht="12.75" hidden="false" customHeight="false" outlineLevel="0" collapsed="false">
      <c r="C27" s="47" t="s">
        <v>163</v>
      </c>
      <c r="D27" s="54" t="n">
        <v>33361</v>
      </c>
      <c r="F27" s="59" t="s">
        <v>164</v>
      </c>
      <c r="L27" s="47" t="s">
        <v>165</v>
      </c>
      <c r="M27" s="47" t="s">
        <v>166</v>
      </c>
      <c r="N27" s="47" t="s">
        <v>167</v>
      </c>
      <c r="O27" s="47" t="s">
        <v>168</v>
      </c>
      <c r="P27" s="47" t="s">
        <v>116</v>
      </c>
    </row>
    <row r="28" customFormat="false" ht="12.75" hidden="false" customHeight="false" outlineLevel="0" collapsed="false">
      <c r="C28" s="47" t="s">
        <v>169</v>
      </c>
      <c r="D28" s="54" t="n">
        <v>25000</v>
      </c>
      <c r="F28" s="59" t="s">
        <v>170</v>
      </c>
      <c r="L28" s="47" t="s">
        <v>171</v>
      </c>
      <c r="M28" s="47" t="s">
        <v>172</v>
      </c>
      <c r="N28" s="47" t="s">
        <v>173</v>
      </c>
      <c r="O28" s="47" t="s">
        <v>174</v>
      </c>
      <c r="P28" s="47" t="s">
        <v>68</v>
      </c>
    </row>
    <row r="29" customFormat="false" ht="12.75" hidden="false" customHeight="false" outlineLevel="0" collapsed="false">
      <c r="C29" s="47" t="s">
        <v>175</v>
      </c>
      <c r="D29" s="54" t="s">
        <v>112</v>
      </c>
      <c r="L29" s="47" t="s">
        <v>176</v>
      </c>
      <c r="M29" s="47" t="s">
        <v>177</v>
      </c>
      <c r="N29" s="47" t="s">
        <v>178</v>
      </c>
      <c r="O29" s="47" t="s">
        <v>179</v>
      </c>
      <c r="P29" s="47" t="s">
        <v>75</v>
      </c>
    </row>
    <row r="30" customFormat="false" ht="12.75" hidden="false" customHeight="false" outlineLevel="0" collapsed="false">
      <c r="L30" s="47" t="s">
        <v>180</v>
      </c>
      <c r="M30" s="47" t="s">
        <v>181</v>
      </c>
      <c r="N30" s="47" t="s">
        <v>182</v>
      </c>
      <c r="O30" s="47" t="s">
        <v>183</v>
      </c>
      <c r="P30" s="47" t="s">
        <v>75</v>
      </c>
    </row>
    <row r="31" customFormat="false" ht="12.75" hidden="false" customHeight="false" outlineLevel="0" collapsed="false">
      <c r="L31" s="47" t="s">
        <v>184</v>
      </c>
      <c r="M31" s="47" t="s">
        <v>185</v>
      </c>
      <c r="N31" s="47" t="s">
        <v>186</v>
      </c>
      <c r="O31" s="47" t="s">
        <v>187</v>
      </c>
      <c r="P31" s="47" t="s">
        <v>68</v>
      </c>
    </row>
    <row r="32" customFormat="false" ht="12.75" hidden="false" customHeight="false" outlineLevel="0" collapsed="false">
      <c r="B32" s="52" t="s">
        <v>188</v>
      </c>
      <c r="C32" s="52"/>
      <c r="D32" s="52"/>
      <c r="E32" s="52"/>
      <c r="L32" s="47" t="s">
        <v>189</v>
      </c>
      <c r="M32" s="47" t="s">
        <v>190</v>
      </c>
      <c r="N32" s="47" t="s">
        <v>191</v>
      </c>
      <c r="O32" s="47" t="s">
        <v>192</v>
      </c>
      <c r="P32" s="47" t="s">
        <v>68</v>
      </c>
    </row>
    <row r="33" customFormat="false" ht="12.75" hidden="false" customHeight="false" outlineLevel="0" collapsed="false">
      <c r="C33" s="47" t="s">
        <v>193</v>
      </c>
      <c r="D33" s="60" t="n">
        <v>30</v>
      </c>
      <c r="F33" s="59" t="s">
        <v>194</v>
      </c>
      <c r="L33" s="47" t="s">
        <v>195</v>
      </c>
      <c r="M33" s="47" t="s">
        <v>196</v>
      </c>
      <c r="N33" s="47" t="s">
        <v>197</v>
      </c>
      <c r="O33" s="47" t="s">
        <v>198</v>
      </c>
      <c r="P33" s="47" t="s">
        <v>116</v>
      </c>
    </row>
    <row r="34" customFormat="false" ht="12.75" hidden="false" customHeight="false" outlineLevel="0" collapsed="false">
      <c r="C34" s="47" t="s">
        <v>199</v>
      </c>
      <c r="D34" s="60" t="n">
        <v>3</v>
      </c>
      <c r="F34" s="59" t="s">
        <v>200</v>
      </c>
      <c r="L34" s="47" t="s">
        <v>201</v>
      </c>
      <c r="M34" s="47" t="s">
        <v>202</v>
      </c>
      <c r="N34" s="47" t="s">
        <v>203</v>
      </c>
      <c r="O34" s="47" t="s">
        <v>111</v>
      </c>
      <c r="P34" s="47" t="s">
        <v>75</v>
      </c>
    </row>
    <row r="35" customFormat="false" ht="12.75" hidden="false" customHeight="false" outlineLevel="0" collapsed="false">
      <c r="C35" s="47" t="s">
        <v>204</v>
      </c>
      <c r="D35" s="5" t="s">
        <v>205</v>
      </c>
      <c r="L35" s="47" t="s">
        <v>206</v>
      </c>
      <c r="M35" s="47" t="s">
        <v>207</v>
      </c>
      <c r="N35" s="47" t="s">
        <v>208</v>
      </c>
      <c r="O35" s="47" t="s">
        <v>209</v>
      </c>
      <c r="P35" s="47" t="s">
        <v>75</v>
      </c>
    </row>
    <row r="36" customFormat="false" ht="12.75" hidden="false" customHeight="false" outlineLevel="0" collapsed="false">
      <c r="C36" s="47" t="s">
        <v>210</v>
      </c>
      <c r="D36" s="60" t="n">
        <v>10</v>
      </c>
      <c r="F36" s="59" t="s">
        <v>211</v>
      </c>
      <c r="L36" s="47" t="s">
        <v>212</v>
      </c>
      <c r="M36" s="47" t="s">
        <v>213</v>
      </c>
      <c r="N36" s="47" t="s">
        <v>214</v>
      </c>
      <c r="O36" s="47" t="s">
        <v>215</v>
      </c>
      <c r="P36" s="47" t="s">
        <v>116</v>
      </c>
    </row>
    <row r="37" customFormat="false" ht="12.75" hidden="false" customHeight="false" outlineLevel="0" collapsed="false">
      <c r="C37" s="47" t="s">
        <v>216</v>
      </c>
      <c r="D37" s="60" t="n">
        <v>5</v>
      </c>
      <c r="F37" s="59" t="s">
        <v>217</v>
      </c>
      <c r="L37" s="47" t="s">
        <v>218</v>
      </c>
      <c r="M37" s="47" t="s">
        <v>219</v>
      </c>
      <c r="N37" s="47" t="s">
        <v>220</v>
      </c>
      <c r="O37" s="47" t="s">
        <v>221</v>
      </c>
      <c r="P37" s="47" t="s">
        <v>68</v>
      </c>
    </row>
    <row r="38" customFormat="false" ht="12.75" hidden="false" customHeight="false" outlineLevel="0" collapsed="false">
      <c r="C38" s="47" t="s">
        <v>222</v>
      </c>
      <c r="D38" s="61" t="s">
        <v>223</v>
      </c>
      <c r="F38" s="59" t="s">
        <v>224</v>
      </c>
      <c r="L38" s="47" t="s">
        <v>225</v>
      </c>
      <c r="M38" s="47" t="s">
        <v>226</v>
      </c>
      <c r="N38" s="47" t="s">
        <v>227</v>
      </c>
      <c r="O38" s="47" t="s">
        <v>228</v>
      </c>
      <c r="P38" s="47" t="s">
        <v>116</v>
      </c>
    </row>
    <row r="39" customFormat="false" ht="12.75" hidden="false" customHeight="false" outlineLevel="0" collapsed="false">
      <c r="C39" s="47" t="s">
        <v>229</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47" t="s">
        <v>230</v>
      </c>
      <c r="M39" s="47" t="s">
        <v>231</v>
      </c>
      <c r="N39" s="47" t="s">
        <v>232</v>
      </c>
      <c r="O39" s="47" t="s">
        <v>233</v>
      </c>
      <c r="P39" s="47" t="s">
        <v>75</v>
      </c>
    </row>
    <row r="40" customFormat="false" ht="12.75" hidden="false" customHeight="false" outlineLevel="0" collapsed="false">
      <c r="L40" s="47" t="s">
        <v>234</v>
      </c>
      <c r="M40" s="47" t="s">
        <v>235</v>
      </c>
      <c r="N40" s="47" t="s">
        <v>236</v>
      </c>
      <c r="O40" s="47" t="s">
        <v>237</v>
      </c>
      <c r="P40" s="47" t="s">
        <v>68</v>
      </c>
    </row>
    <row r="41" customFormat="false" ht="12.75" hidden="false" customHeight="false" outlineLevel="0" collapsed="false">
      <c r="B41" s="49" t="s">
        <v>238</v>
      </c>
      <c r="L41" s="47" t="s">
        <v>239</v>
      </c>
      <c r="M41" s="47" t="s">
        <v>240</v>
      </c>
      <c r="N41" s="47" t="s">
        <v>241</v>
      </c>
      <c r="O41" s="47" t="s">
        <v>209</v>
      </c>
      <c r="P41" s="47" t="s">
        <v>75</v>
      </c>
    </row>
    <row r="42" customFormat="false" ht="12.75" hidden="false" customHeight="false" outlineLevel="0" collapsed="false">
      <c r="L42" s="47" t="s">
        <v>242</v>
      </c>
      <c r="M42" s="47" t="s">
        <v>243</v>
      </c>
      <c r="N42" s="47" t="s">
        <v>244</v>
      </c>
      <c r="O42" s="47" t="s">
        <v>245</v>
      </c>
      <c r="P42" s="47" t="s">
        <v>68</v>
      </c>
    </row>
    <row r="43" customFormat="false" ht="12.75" hidden="false" customHeight="false" outlineLevel="0" collapsed="false">
      <c r="L43" s="47" t="s">
        <v>246</v>
      </c>
      <c r="M43" s="47" t="s">
        <v>247</v>
      </c>
      <c r="N43" s="47" t="s">
        <v>248</v>
      </c>
      <c r="O43" s="47" t="s">
        <v>249</v>
      </c>
      <c r="P43" s="47" t="s">
        <v>68</v>
      </c>
    </row>
    <row r="44" customFormat="false" ht="21" hidden="false" customHeight="true" outlineLevel="0" collapsed="false">
      <c r="B44" s="49" t="s">
        <v>250</v>
      </c>
      <c r="D44" s="3" t="str">
        <f aca="false">HYPERLINK("#Summary!G1","View Summary  ►")</f>
        <v>View Summary  ►</v>
      </c>
      <c r="L44" s="47" t="s">
        <v>251</v>
      </c>
      <c r="M44" s="47" t="s">
        <v>252</v>
      </c>
      <c r="N44" s="47" t="s">
        <v>253</v>
      </c>
      <c r="O44" s="47" t="s">
        <v>254</v>
      </c>
      <c r="P44" s="47" t="s">
        <v>68</v>
      </c>
    </row>
    <row r="45" customFormat="false" ht="12.75" hidden="false" customHeight="false" outlineLevel="0" collapsed="false">
      <c r="L45" s="47" t="s">
        <v>255</v>
      </c>
      <c r="M45" s="47" t="s">
        <v>256</v>
      </c>
      <c r="N45" s="47" t="s">
        <v>257</v>
      </c>
      <c r="O45" s="47" t="s">
        <v>258</v>
      </c>
      <c r="P45" s="47" t="s">
        <v>68</v>
      </c>
    </row>
    <row r="46" customFormat="false" ht="21" hidden="false" customHeight="true" outlineLevel="0" collapsed="false">
      <c r="B46" s="49" t="s">
        <v>259</v>
      </c>
      <c r="D46" s="3" t="str">
        <f aca="false">HYPERLINK("#'Typical Values'!A1","Typical Values  ►")</f>
        <v>Typical Values  ►</v>
      </c>
      <c r="L46" s="47" t="s">
        <v>260</v>
      </c>
      <c r="M46" s="47" t="s">
        <v>261</v>
      </c>
      <c r="N46" s="47" t="s">
        <v>262</v>
      </c>
      <c r="O46" s="47" t="s">
        <v>263</v>
      </c>
      <c r="P46" s="47" t="s">
        <v>68</v>
      </c>
    </row>
    <row r="47" customFormat="false" ht="12.75" hidden="false" customHeight="false" outlineLevel="0" collapsed="false">
      <c r="L47" s="47" t="s">
        <v>264</v>
      </c>
      <c r="M47" s="47" t="s">
        <v>265</v>
      </c>
      <c r="N47" s="47" t="s">
        <v>266</v>
      </c>
      <c r="O47" s="47" t="s">
        <v>267</v>
      </c>
      <c r="P47" s="47" t="s">
        <v>68</v>
      </c>
    </row>
    <row r="48" customFormat="false" ht="21" hidden="false" customHeight="true" outlineLevel="0" collapsed="false">
      <c r="B48" s="49" t="s">
        <v>268</v>
      </c>
      <c r="D48" s="3" t="str">
        <f aca="false">HYPERLINK("#Method!A1","Method  ►")</f>
        <v>Method  ►</v>
      </c>
      <c r="L48" s="47" t="s">
        <v>269</v>
      </c>
      <c r="M48" s="47" t="s">
        <v>270</v>
      </c>
      <c r="N48" s="47" t="s">
        <v>271</v>
      </c>
      <c r="O48" s="47" t="s">
        <v>272</v>
      </c>
      <c r="P48" s="47" t="s">
        <v>116</v>
      </c>
    </row>
    <row r="49" customFormat="false" ht="12.75" hidden="false" customHeight="false" outlineLevel="0" collapsed="false">
      <c r="L49" s="47" t="s">
        <v>273</v>
      </c>
      <c r="M49" s="47" t="s">
        <v>274</v>
      </c>
      <c r="N49" s="47" t="s">
        <v>275</v>
      </c>
      <c r="O49" s="47" t="s">
        <v>276</v>
      </c>
      <c r="P49" s="47" t="s">
        <v>116</v>
      </c>
    </row>
    <row r="50" customFormat="false" ht="12.75" hidden="false" customHeight="false" outlineLevel="0" collapsed="false">
      <c r="L50" s="47" t="s">
        <v>277</v>
      </c>
      <c r="M50" s="47" t="s">
        <v>278</v>
      </c>
      <c r="N50" s="47" t="s">
        <v>279</v>
      </c>
      <c r="O50" s="47" t="s">
        <v>280</v>
      </c>
      <c r="P50" s="47" t="s">
        <v>116</v>
      </c>
    </row>
    <row r="51" customFormat="false" ht="12.75" hidden="false" customHeight="false" outlineLevel="0" collapsed="false">
      <c r="L51" s="47" t="s">
        <v>281</v>
      </c>
      <c r="M51" s="47" t="s">
        <v>282</v>
      </c>
      <c r="N51" s="47" t="s">
        <v>283</v>
      </c>
      <c r="O51" s="47" t="s">
        <v>284</v>
      </c>
      <c r="P51" s="47" t="s">
        <v>68</v>
      </c>
    </row>
    <row r="52" customFormat="false" ht="12.75" hidden="false" customHeight="false" outlineLevel="0" collapsed="false">
      <c r="L52" s="47" t="s">
        <v>285</v>
      </c>
      <c r="M52" s="47" t="s">
        <v>286</v>
      </c>
      <c r="N52" s="47" t="s">
        <v>287</v>
      </c>
      <c r="O52" s="47" t="s">
        <v>288</v>
      </c>
      <c r="P52" s="47" t="s">
        <v>68</v>
      </c>
    </row>
    <row r="53" customFormat="false" ht="12.75" hidden="false" customHeight="false" outlineLevel="0" collapsed="false">
      <c r="L53" s="47" t="s">
        <v>289</v>
      </c>
      <c r="M53" s="47" t="s">
        <v>290</v>
      </c>
      <c r="N53" s="47" t="s">
        <v>291</v>
      </c>
      <c r="O53" s="47" t="s">
        <v>292</v>
      </c>
      <c r="P53" s="47" t="s">
        <v>68</v>
      </c>
    </row>
    <row r="54" customFormat="false" ht="12.75" hidden="false" customHeight="false" outlineLevel="0" collapsed="false">
      <c r="L54" s="47" t="s">
        <v>293</v>
      </c>
      <c r="M54" s="47" t="s">
        <v>294</v>
      </c>
      <c r="N54" s="47" t="s">
        <v>295</v>
      </c>
      <c r="O54" s="47" t="s">
        <v>296</v>
      </c>
      <c r="P54" s="47" t="s">
        <v>68</v>
      </c>
    </row>
    <row r="55" customFormat="false" ht="12.75" hidden="false" customHeight="false" outlineLevel="0" collapsed="false">
      <c r="L55" s="47" t="s">
        <v>297</v>
      </c>
      <c r="M55" s="47" t="s">
        <v>298</v>
      </c>
      <c r="N55" s="47" t="s">
        <v>150</v>
      </c>
      <c r="O55" s="47" t="s">
        <v>126</v>
      </c>
      <c r="P55" s="47" t="s">
        <v>116</v>
      </c>
    </row>
    <row r="56" customFormat="false" ht="12.75" hidden="false" customHeight="false" outlineLevel="0" collapsed="false">
      <c r="L56" s="47" t="s">
        <v>299</v>
      </c>
      <c r="M56" s="47" t="s">
        <v>300</v>
      </c>
      <c r="N56" s="47" t="s">
        <v>301</v>
      </c>
      <c r="O56" s="47" t="s">
        <v>302</v>
      </c>
      <c r="P56" s="47" t="s">
        <v>116</v>
      </c>
    </row>
    <row r="57" customFormat="false" ht="12.75" hidden="false" customHeight="false" outlineLevel="0" collapsed="false">
      <c r="L57" s="47" t="s">
        <v>303</v>
      </c>
      <c r="M57" s="47" t="s">
        <v>304</v>
      </c>
      <c r="N57" s="47" t="s">
        <v>305</v>
      </c>
      <c r="O57" s="47" t="s">
        <v>306</v>
      </c>
      <c r="P57" s="47" t="s">
        <v>116</v>
      </c>
    </row>
    <row r="58" customFormat="false" ht="12.75" hidden="false" customHeight="false" outlineLevel="0" collapsed="false">
      <c r="L58" s="47" t="s">
        <v>307</v>
      </c>
      <c r="M58" s="47" t="s">
        <v>308</v>
      </c>
      <c r="N58" s="47" t="s">
        <v>309</v>
      </c>
      <c r="O58" s="47" t="s">
        <v>115</v>
      </c>
      <c r="P58" s="47" t="s">
        <v>116</v>
      </c>
    </row>
    <row r="59" customFormat="false" ht="12.75" hidden="false" customHeight="false" outlineLevel="0" collapsed="false">
      <c r="L59" s="47" t="s">
        <v>310</v>
      </c>
      <c r="M59" s="47" t="s">
        <v>311</v>
      </c>
      <c r="N59" s="47" t="s">
        <v>312</v>
      </c>
      <c r="O59" s="47" t="s">
        <v>313</v>
      </c>
      <c r="P59" s="47" t="s">
        <v>68</v>
      </c>
    </row>
    <row r="60" customFormat="false" ht="12.75" hidden="false" customHeight="false" outlineLevel="0" collapsed="false">
      <c r="L60" s="47" t="s">
        <v>314</v>
      </c>
      <c r="M60" s="47" t="s">
        <v>315</v>
      </c>
      <c r="N60" s="47" t="s">
        <v>279</v>
      </c>
      <c r="O60" s="47" t="s">
        <v>316</v>
      </c>
      <c r="P60" s="47" t="s">
        <v>116</v>
      </c>
    </row>
    <row r="61" customFormat="false" ht="12.75" hidden="false" customHeight="false" outlineLevel="0" collapsed="false">
      <c r="L61" s="47" t="s">
        <v>61</v>
      </c>
      <c r="M61" s="47" t="s">
        <v>317</v>
      </c>
      <c r="N61" s="47" t="s">
        <v>249</v>
      </c>
      <c r="O61" s="47" t="s">
        <v>318</v>
      </c>
      <c r="P61" s="47" t="s">
        <v>75</v>
      </c>
    </row>
    <row r="62" customFormat="false" ht="12.75" hidden="false" customHeight="false" outlineLevel="0" collapsed="false">
      <c r="L62" s="47" t="s">
        <v>319</v>
      </c>
      <c r="M62" s="47" t="s">
        <v>320</v>
      </c>
      <c r="N62" s="47" t="s">
        <v>321</v>
      </c>
      <c r="O62" s="47" t="s">
        <v>322</v>
      </c>
      <c r="P62" s="47" t="s">
        <v>116</v>
      </c>
    </row>
    <row r="63" customFormat="false" ht="12.75" hidden="false" customHeight="false" outlineLevel="0" collapsed="false">
      <c r="L63" s="47" t="s">
        <v>323</v>
      </c>
      <c r="M63" s="47" t="s">
        <v>324</v>
      </c>
      <c r="N63" s="47" t="s">
        <v>203</v>
      </c>
      <c r="O63" s="47" t="s">
        <v>111</v>
      </c>
      <c r="P63" s="47" t="s">
        <v>75</v>
      </c>
    </row>
    <row r="64" customFormat="false" ht="12.75" hidden="false" customHeight="false" outlineLevel="0" collapsed="false">
      <c r="L64" s="47" t="s">
        <v>325</v>
      </c>
      <c r="M64" s="47" t="s">
        <v>326</v>
      </c>
      <c r="N64" s="47" t="s">
        <v>110</v>
      </c>
      <c r="O64" s="47" t="s">
        <v>111</v>
      </c>
      <c r="P64" s="47" t="s">
        <v>75</v>
      </c>
    </row>
    <row r="65" customFormat="false" ht="12.75" hidden="false" customHeight="false" outlineLevel="0" collapsed="false">
      <c r="L65" s="47" t="s">
        <v>327</v>
      </c>
      <c r="M65" s="47" t="s">
        <v>328</v>
      </c>
      <c r="N65" s="47" t="s">
        <v>329</v>
      </c>
      <c r="O65" s="47" t="s">
        <v>330</v>
      </c>
      <c r="P65" s="47" t="s">
        <v>116</v>
      </c>
    </row>
    <row r="66" customFormat="false" ht="12.75" hidden="false" customHeight="false" outlineLevel="0" collapsed="false">
      <c r="L66" s="47" t="s">
        <v>331</v>
      </c>
      <c r="M66" s="47" t="s">
        <v>332</v>
      </c>
      <c r="N66" s="47" t="s">
        <v>333</v>
      </c>
      <c r="O66" s="47" t="s">
        <v>334</v>
      </c>
      <c r="P66" s="47" t="s">
        <v>116</v>
      </c>
    </row>
    <row r="67" customFormat="false" ht="12.75" hidden="false" customHeight="false" outlineLevel="0" collapsed="false">
      <c r="L67" s="47" t="s">
        <v>335</v>
      </c>
      <c r="M67" s="47" t="s">
        <v>336</v>
      </c>
      <c r="N67" s="47" t="s">
        <v>337</v>
      </c>
      <c r="O67" s="47" t="s">
        <v>338</v>
      </c>
      <c r="P67" s="47" t="s">
        <v>68</v>
      </c>
    </row>
    <row r="68" customFormat="false" ht="12.75" hidden="false" customHeight="false" outlineLevel="0" collapsed="false">
      <c r="L68" s="47" t="s">
        <v>339</v>
      </c>
      <c r="M68" s="47" t="s">
        <v>340</v>
      </c>
      <c r="N68" s="47" t="s">
        <v>341</v>
      </c>
      <c r="O68" s="47" t="s">
        <v>342</v>
      </c>
      <c r="P68" s="47" t="s">
        <v>68</v>
      </c>
    </row>
    <row r="69" customFormat="false" ht="12.75" hidden="false" customHeight="false" outlineLevel="0" collapsed="false">
      <c r="L69" s="47" t="s">
        <v>343</v>
      </c>
      <c r="M69" s="47" t="s">
        <v>344</v>
      </c>
      <c r="N69" s="47" t="s">
        <v>266</v>
      </c>
      <c r="O69" s="47" t="s">
        <v>267</v>
      </c>
      <c r="P69" s="47" t="s">
        <v>68</v>
      </c>
    </row>
    <row r="70" customFormat="false" ht="12.75" hidden="false" customHeight="false" outlineLevel="0" collapsed="false">
      <c r="L70" s="47" t="s">
        <v>345</v>
      </c>
      <c r="M70" s="47" t="s">
        <v>346</v>
      </c>
      <c r="N70" s="47" t="s">
        <v>347</v>
      </c>
      <c r="O70" s="47" t="s">
        <v>348</v>
      </c>
      <c r="P70" s="47" t="s">
        <v>116</v>
      </c>
    </row>
    <row r="71" customFormat="false" ht="12.75" hidden="false" customHeight="false" outlineLevel="0" collapsed="false">
      <c r="L71" s="47" t="s">
        <v>349</v>
      </c>
      <c r="M71" s="47" t="s">
        <v>350</v>
      </c>
      <c r="N71" s="47" t="s">
        <v>351</v>
      </c>
      <c r="O71" s="47" t="s">
        <v>352</v>
      </c>
      <c r="P71" s="47" t="s">
        <v>68</v>
      </c>
    </row>
    <row r="72" customFormat="false" ht="12.75" hidden="false" customHeight="false" outlineLevel="0" collapsed="false">
      <c r="L72" s="47" t="s">
        <v>353</v>
      </c>
      <c r="M72" s="47" t="s">
        <v>354</v>
      </c>
      <c r="N72" s="47" t="s">
        <v>355</v>
      </c>
      <c r="O72" s="47" t="s">
        <v>342</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338</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192</v>
      </c>
      <c r="P87" s="47" t="s">
        <v>68</v>
      </c>
    </row>
    <row r="88" customFormat="false" ht="12.75" hidden="false" customHeight="false" outlineLevel="0" collapsed="false">
      <c r="L88" s="47" t="s">
        <v>413</v>
      </c>
      <c r="M88" s="47" t="s">
        <v>414</v>
      </c>
      <c r="N88" s="47" t="s">
        <v>415</v>
      </c>
      <c r="O88" s="47" t="s">
        <v>183</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t="n">
        <v>12</v>
      </c>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row r="6" customFormat="false" ht="15" hidden="false" customHeight="false" outlineLevel="0" collapsed="false">
      <c r="A6" s="0" t="s">
        <v>571</v>
      </c>
      <c r="B6" s="0" t="s">
        <v>565</v>
      </c>
      <c r="C6" s="0" t="s">
        <v>566</v>
      </c>
      <c r="D6" s="0" t="s">
        <v>572</v>
      </c>
    </row>
    <row r="7" customFormat="false" ht="15" hidden="false" customHeight="false" outlineLevel="0" collapsed="false">
      <c r="A7" s="0" t="s">
        <v>573</v>
      </c>
      <c r="B7" s="0" t="s">
        <v>569</v>
      </c>
      <c r="C7" s="0" t="s">
        <v>7</v>
      </c>
      <c r="D7" s="0" t="s">
        <v>574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575</v>
      </c>
    </row>
    <row r="9" customFormat="false" ht="23.85" hidden="false" customHeight="false" outlineLevel="0" collapsed="false">
      <c r="B9" s="68" t="s">
        <v>576</v>
      </c>
      <c r="C9" s="69" t="s">
        <v>577</v>
      </c>
      <c r="D9" s="69" t="s">
        <v>578</v>
      </c>
      <c r="E9" s="69" t="s">
        <v>31</v>
      </c>
    </row>
    <row r="10" customFormat="false" ht="12.75" hidden="false" customHeight="true" outlineLevel="0" collapsed="false">
      <c r="B10" s="70" t="s">
        <v>4</v>
      </c>
      <c r="C10" s="71" t="s">
        <v>579</v>
      </c>
      <c r="D10" s="72" t="n">
        <v>1</v>
      </c>
      <c r="E10" s="73" t="n">
        <v>4</v>
      </c>
    </row>
    <row r="11" customFormat="false" ht="12.75" hidden="false" customHeight="true" outlineLevel="0" collapsed="false">
      <c r="B11" s="74"/>
      <c r="C11" s="75" t="s">
        <v>580</v>
      </c>
      <c r="D11" s="76" t="n">
        <v>1</v>
      </c>
      <c r="E11" s="77"/>
    </row>
    <row r="12" customFormat="false" ht="12" hidden="false" customHeight="true" outlineLevel="0" collapsed="false">
      <c r="B12" s="78" t="s">
        <v>581</v>
      </c>
      <c r="C12" s="71" t="s">
        <v>579</v>
      </c>
      <c r="D12" s="72" t="n">
        <v>1</v>
      </c>
      <c r="E12" s="79" t="n">
        <v>8</v>
      </c>
    </row>
    <row r="13" customFormat="false" ht="12.75" hidden="false" customHeight="true" outlineLevel="0" collapsed="false">
      <c r="B13" s="74"/>
      <c r="C13" s="75" t="s">
        <v>580</v>
      </c>
      <c r="D13" s="76" t="n">
        <v>1</v>
      </c>
      <c r="E13" s="77"/>
    </row>
    <row r="14" customFormat="false" ht="12" hidden="false" customHeight="true" outlineLevel="0" collapsed="false">
      <c r="B14" s="78" t="s">
        <v>582</v>
      </c>
      <c r="C14" s="71" t="s">
        <v>583</v>
      </c>
      <c r="D14" s="72" t="n">
        <v>0.0075</v>
      </c>
      <c r="E14" s="79" t="n">
        <v>12</v>
      </c>
    </row>
    <row r="15" customFormat="false" ht="12" hidden="false" customHeight="true" outlineLevel="0" collapsed="false">
      <c r="B15" s="80"/>
      <c r="C15" s="71" t="s">
        <v>584</v>
      </c>
      <c r="D15" s="72" t="n">
        <v>0.0325</v>
      </c>
      <c r="E15" s="81"/>
    </row>
    <row r="16" customFormat="false" ht="12" hidden="false" customHeight="true" outlineLevel="0" collapsed="false">
      <c r="B16" s="80"/>
      <c r="C16" s="71" t="s">
        <v>585</v>
      </c>
      <c r="D16" s="72" t="n">
        <v>1</v>
      </c>
      <c r="E16" s="81"/>
    </row>
    <row r="17" customFormat="false" ht="12.75" hidden="false" customHeight="true" outlineLevel="0" collapsed="false">
      <c r="B17" s="74"/>
      <c r="C17" s="75" t="s">
        <v>586</v>
      </c>
      <c r="D17" s="76" t="n">
        <v>1</v>
      </c>
      <c r="E17" s="77"/>
    </row>
    <row r="18" customFormat="false" ht="12" hidden="false" customHeight="true" outlineLevel="0" collapsed="false">
      <c r="B18" s="78" t="s">
        <v>587</v>
      </c>
      <c r="C18" s="71" t="s">
        <v>588</v>
      </c>
      <c r="D18" s="72" t="n">
        <v>0.01</v>
      </c>
      <c r="E18" s="79" t="n">
        <v>16</v>
      </c>
    </row>
    <row r="19" customFormat="false" ht="12" hidden="false" customHeight="true" outlineLevel="0" collapsed="false">
      <c r="B19" s="80"/>
      <c r="C19" s="71" t="s">
        <v>589</v>
      </c>
      <c r="D19" s="72" t="n">
        <v>0.035</v>
      </c>
      <c r="E19" s="81"/>
    </row>
    <row r="20" customFormat="false" ht="12" hidden="false" customHeight="true" outlineLevel="0" collapsed="false">
      <c r="B20" s="80"/>
      <c r="C20" s="71" t="s">
        <v>585</v>
      </c>
      <c r="D20" s="72" t="n">
        <v>1</v>
      </c>
      <c r="E20" s="81"/>
    </row>
    <row r="21" customFormat="false" ht="12.75" hidden="false" customHeight="true" outlineLevel="0" collapsed="false">
      <c r="B21" s="74"/>
      <c r="C21" s="75" t="s">
        <v>586</v>
      </c>
      <c r="D21" s="76" t="n">
        <v>1</v>
      </c>
      <c r="E21" s="77"/>
    </row>
    <row r="22" customFormat="false" ht="12" hidden="false" customHeight="true" outlineLevel="0" collapsed="false">
      <c r="B22" s="78" t="s">
        <v>5</v>
      </c>
      <c r="C22" s="71" t="s">
        <v>590</v>
      </c>
      <c r="D22" s="72" t="n">
        <v>1</v>
      </c>
      <c r="E22" s="79" t="n">
        <v>20</v>
      </c>
    </row>
    <row r="23" customFormat="false" ht="12" hidden="false" customHeight="true" outlineLevel="0" collapsed="false">
      <c r="B23" s="80"/>
      <c r="C23" s="71" t="s">
        <v>591</v>
      </c>
      <c r="D23" s="72" t="n">
        <v>0.015</v>
      </c>
      <c r="E23" s="81"/>
    </row>
    <row r="24" customFormat="false" ht="12" hidden="false" customHeight="true" outlineLevel="0" collapsed="false">
      <c r="B24" s="80"/>
      <c r="C24" s="71" t="s">
        <v>592</v>
      </c>
      <c r="D24" s="72" t="n">
        <v>0.005</v>
      </c>
      <c r="E24" s="81"/>
    </row>
    <row r="25" customFormat="false" ht="12.75" hidden="false" customHeight="true" outlineLevel="0" collapsed="false">
      <c r="B25" s="74"/>
      <c r="C25" s="75" t="s">
        <v>586</v>
      </c>
      <c r="D25" s="76" t="n">
        <v>1</v>
      </c>
      <c r="E25" s="77"/>
    </row>
    <row r="26" customFormat="false" ht="12" hidden="false" customHeight="true" outlineLevel="0" collapsed="false">
      <c r="B26" s="78" t="s">
        <v>593</v>
      </c>
      <c r="C26" s="71" t="s">
        <v>585</v>
      </c>
      <c r="D26" s="72" t="n">
        <v>1</v>
      </c>
      <c r="E26" s="79" t="n">
        <v>24</v>
      </c>
    </row>
    <row r="27" customFormat="false" ht="12.75" hidden="false" customHeight="true" outlineLevel="0" collapsed="false">
      <c r="B27" s="74"/>
      <c r="C27" s="75" t="s">
        <v>586</v>
      </c>
      <c r="D27" s="76" t="n">
        <v>1</v>
      </c>
      <c r="E27" s="77"/>
    </row>
    <row r="28" customFormat="false" ht="12" hidden="false" customHeight="true" outlineLevel="0" collapsed="false">
      <c r="B28" s="78" t="s">
        <v>594</v>
      </c>
      <c r="C28" s="71" t="s">
        <v>595</v>
      </c>
      <c r="D28" s="72" t="n">
        <v>0.0125</v>
      </c>
      <c r="E28" s="79" t="n">
        <v>28</v>
      </c>
    </row>
    <row r="29" customFormat="false" ht="12" hidden="false" customHeight="true" outlineLevel="0" collapsed="false">
      <c r="B29" s="80"/>
      <c r="C29" s="71" t="s">
        <v>596</v>
      </c>
      <c r="D29" s="72" t="n">
        <v>0.04</v>
      </c>
      <c r="E29" s="81"/>
    </row>
    <row r="30" customFormat="false" ht="12" hidden="false" customHeight="true" outlineLevel="0" collapsed="false">
      <c r="B30" s="80"/>
      <c r="C30" s="71" t="s">
        <v>585</v>
      </c>
      <c r="D30" s="72" t="n">
        <v>1</v>
      </c>
      <c r="E30" s="81"/>
    </row>
    <row r="31" customFormat="false" ht="12.75" hidden="false" customHeight="true" outlineLevel="0" collapsed="false">
      <c r="B31" s="74"/>
      <c r="C31" s="75" t="s">
        <v>586</v>
      </c>
      <c r="D31" s="76" t="n">
        <v>1</v>
      </c>
      <c r="E31" s="77"/>
    </row>
    <row r="32" customFormat="false" ht="12.75" hidden="false" customHeight="false" outlineLevel="0" collapsed="false">
      <c r="B32" s="82" t="s">
        <v>41</v>
      </c>
      <c r="C32" s="83" t="s">
        <v>597</v>
      </c>
      <c r="D32" s="84" t="n">
        <v>0.125</v>
      </c>
      <c r="E32" s="85" t="n">
        <v>30</v>
      </c>
    </row>
    <row r="35" customFormat="false" ht="12.75" hidden="false" customHeight="false" outlineLevel="0" collapsed="false">
      <c r="B35" s="49" t="s">
        <v>598</v>
      </c>
    </row>
    <row r="36" customFormat="false" ht="23.85" hidden="false" customHeight="false" outlineLevel="0" collapsed="false">
      <c r="B36" s="86" t="s">
        <v>599</v>
      </c>
      <c r="C36" s="87" t="s">
        <v>577</v>
      </c>
      <c r="D36" s="87" t="s">
        <v>578</v>
      </c>
      <c r="E36" s="87" t="s">
        <v>31</v>
      </c>
    </row>
    <row r="37" customFormat="false" ht="12.75" hidden="false" customHeight="true" outlineLevel="0" collapsed="false">
      <c r="B37" s="88" t="s">
        <v>4</v>
      </c>
      <c r="C37" s="89" t="s">
        <v>600</v>
      </c>
      <c r="D37" s="90" t="n">
        <v>1</v>
      </c>
      <c r="E37" s="91" t="n">
        <v>19</v>
      </c>
    </row>
    <row r="38" customFormat="false" ht="12" hidden="false" customHeight="true" outlineLevel="0" collapsed="false">
      <c r="B38" s="92"/>
      <c r="C38" s="89" t="s">
        <v>601</v>
      </c>
      <c r="D38" s="90" t="n">
        <v>0.0025</v>
      </c>
      <c r="E38" s="93"/>
    </row>
    <row r="39" customFormat="false" ht="12" hidden="false" customHeight="true" outlineLevel="0" collapsed="false">
      <c r="B39" s="92"/>
      <c r="C39" s="89" t="s">
        <v>602</v>
      </c>
      <c r="D39" s="90" t="n">
        <v>0.0013</v>
      </c>
      <c r="E39" s="93"/>
    </row>
    <row r="40" customFormat="false" ht="12.75" hidden="false" customHeight="true" outlineLevel="0" collapsed="false">
      <c r="B40" s="94"/>
      <c r="C40" s="95" t="s">
        <v>603</v>
      </c>
      <c r="D40" s="96" t="n">
        <v>0.003</v>
      </c>
      <c r="E40" s="97"/>
    </row>
    <row r="41" customFormat="false" ht="12" hidden="false" customHeight="true" outlineLevel="0" collapsed="false">
      <c r="B41" s="98" t="s">
        <v>5</v>
      </c>
      <c r="C41" s="89" t="s">
        <v>604</v>
      </c>
      <c r="D41" s="90" t="n">
        <v>0.02</v>
      </c>
      <c r="E41" s="99" t="n">
        <v>27</v>
      </c>
    </row>
    <row r="42" customFormat="false" ht="12" hidden="false" customHeight="true" outlineLevel="0" collapsed="false">
      <c r="B42" s="92"/>
      <c r="C42" s="89" t="s">
        <v>603</v>
      </c>
      <c r="D42" s="90" t="n">
        <v>0.003</v>
      </c>
      <c r="E42" s="93"/>
    </row>
    <row r="43" customFormat="false" ht="12" hidden="false" customHeight="true" outlineLevel="0" collapsed="false">
      <c r="B43" s="92"/>
      <c r="C43" s="89" t="s">
        <v>602</v>
      </c>
      <c r="D43" s="90" t="n">
        <v>0.0013</v>
      </c>
      <c r="E43" s="93"/>
    </row>
    <row r="44" customFormat="false" ht="12" hidden="false" customHeight="true" outlineLevel="0" collapsed="false">
      <c r="B44" s="92"/>
      <c r="C44" s="89" t="s">
        <v>605</v>
      </c>
      <c r="D44" s="90" t="n">
        <v>0.003</v>
      </c>
      <c r="E44" s="93"/>
    </row>
    <row r="45" customFormat="false" ht="12.75" hidden="false" customHeight="true" outlineLevel="0" collapsed="false">
      <c r="B45" s="94"/>
      <c r="C45" s="95" t="s">
        <v>606</v>
      </c>
      <c r="D45" s="96" t="n">
        <v>1</v>
      </c>
      <c r="E45" s="97"/>
    </row>
    <row r="46" customFormat="false" ht="12.75" hidden="false" customHeight="false" outlineLevel="0" collapsed="false">
      <c r="B46" s="100" t="s">
        <v>41</v>
      </c>
      <c r="C46" s="101" t="s">
        <v>607</v>
      </c>
      <c r="D46" s="102" t="n">
        <v>0.25</v>
      </c>
      <c r="E46" s="103" t="n">
        <v>30</v>
      </c>
    </row>
    <row r="49" customFormat="false" ht="12.75" hidden="false" customHeight="false" outlineLevel="0" collapsed="false">
      <c r="B49" s="49" t="s">
        <v>608</v>
      </c>
    </row>
    <row r="50" customFormat="false" ht="23.85" hidden="false" customHeight="false" outlineLevel="0" collapsed="false">
      <c r="B50" s="68" t="s">
        <v>576</v>
      </c>
      <c r="C50" s="69" t="s">
        <v>577</v>
      </c>
      <c r="D50" s="69" t="s">
        <v>578</v>
      </c>
      <c r="E50" s="69" t="s">
        <v>31</v>
      </c>
    </row>
    <row r="51" customFormat="false" ht="12.75" hidden="false" customHeight="false" outlineLevel="0" collapsed="false">
      <c r="B51" s="78" t="s">
        <v>4</v>
      </c>
      <c r="C51" s="71" t="s">
        <v>585</v>
      </c>
      <c r="D51" s="72" t="n">
        <v>1</v>
      </c>
      <c r="E51" s="79" t="n">
        <v>4</v>
      </c>
    </row>
    <row r="52" customFormat="false" ht="12.75" hidden="false" customHeight="false" outlineLevel="0" collapsed="false">
      <c r="B52" s="74"/>
      <c r="C52" s="75" t="s">
        <v>586</v>
      </c>
      <c r="D52" s="76" t="n">
        <v>1</v>
      </c>
      <c r="E52" s="77"/>
    </row>
    <row r="53" customFormat="false" ht="12.75" hidden="false" customHeight="false" outlineLevel="0" collapsed="false">
      <c r="B53" s="78" t="s">
        <v>581</v>
      </c>
      <c r="C53" s="71" t="s">
        <v>595</v>
      </c>
      <c r="D53" s="72" t="n">
        <v>0.0125</v>
      </c>
      <c r="E53" s="79" t="n">
        <v>8</v>
      </c>
    </row>
    <row r="54" customFormat="false" ht="12.75" hidden="false" customHeight="false" outlineLevel="0" collapsed="false">
      <c r="B54" s="80"/>
      <c r="C54" s="71" t="s">
        <v>596</v>
      </c>
      <c r="D54" s="72" t="n">
        <v>0.04</v>
      </c>
      <c r="E54" s="81"/>
    </row>
    <row r="55" customFormat="false" ht="12.75" hidden="false" customHeight="false" outlineLevel="0" collapsed="false">
      <c r="B55" s="80"/>
      <c r="C55" s="71" t="s">
        <v>585</v>
      </c>
      <c r="D55" s="72" t="n">
        <v>1</v>
      </c>
      <c r="E55" s="81"/>
    </row>
    <row r="56" customFormat="false" ht="12.75" hidden="false" customHeight="false" outlineLevel="0" collapsed="false">
      <c r="B56" s="74"/>
      <c r="C56" s="75" t="s">
        <v>586</v>
      </c>
      <c r="D56" s="76" t="n">
        <v>1</v>
      </c>
      <c r="E56" s="77"/>
    </row>
    <row r="57" customFormat="false" ht="12.75" hidden="false" customHeight="false" outlineLevel="0" collapsed="false">
      <c r="B57" s="78" t="s">
        <v>582</v>
      </c>
      <c r="C57" s="71" t="s">
        <v>579</v>
      </c>
      <c r="D57" s="72" t="n">
        <v>1</v>
      </c>
      <c r="E57" s="104" t="n">
        <v>12</v>
      </c>
    </row>
    <row r="58" customFormat="false" ht="12.75" hidden="false" customHeight="false" outlineLevel="0" collapsed="false">
      <c r="B58" s="74"/>
      <c r="C58" s="75" t="s">
        <v>580</v>
      </c>
      <c r="D58" s="76" t="n">
        <v>1</v>
      </c>
      <c r="E58" s="77"/>
    </row>
    <row r="59" customFormat="false" ht="12.75" hidden="false" customHeight="false" outlineLevel="0" collapsed="false">
      <c r="B59" s="78" t="s">
        <v>609</v>
      </c>
      <c r="C59" s="71" t="s">
        <v>590</v>
      </c>
      <c r="D59" s="72" t="n">
        <v>1</v>
      </c>
      <c r="E59" s="79" t="n">
        <v>16</v>
      </c>
    </row>
    <row r="60" customFormat="false" ht="12.75" hidden="false" customHeight="false" outlineLevel="0" collapsed="false">
      <c r="B60" s="80"/>
      <c r="C60" s="71" t="s">
        <v>610</v>
      </c>
      <c r="D60" s="72" t="n">
        <v>0.015</v>
      </c>
      <c r="E60" s="81"/>
    </row>
    <row r="61" customFormat="false" ht="12.75" hidden="false" customHeight="false" outlineLevel="0" collapsed="false">
      <c r="B61" s="80"/>
      <c r="C61" s="71" t="s">
        <v>611</v>
      </c>
      <c r="D61" s="72" t="n">
        <v>0.005</v>
      </c>
      <c r="E61" s="81"/>
    </row>
    <row r="62" customFormat="false" ht="12.75" hidden="false" customHeight="false" outlineLevel="0" collapsed="false">
      <c r="B62" s="74"/>
      <c r="C62" s="75" t="s">
        <v>586</v>
      </c>
      <c r="D62" s="76" t="n">
        <v>1</v>
      </c>
      <c r="E62" s="77"/>
    </row>
    <row r="63" customFormat="false" ht="12.75" hidden="false" customHeight="false" outlineLevel="0" collapsed="false">
      <c r="B63" s="78" t="s">
        <v>587</v>
      </c>
      <c r="C63" s="71" t="s">
        <v>585</v>
      </c>
      <c r="D63" s="72" t="n">
        <v>1</v>
      </c>
      <c r="E63" s="79" t="n">
        <v>20</v>
      </c>
    </row>
    <row r="64" customFormat="false" ht="12.75" hidden="false" customHeight="false" outlineLevel="0" collapsed="false">
      <c r="B64" s="74"/>
      <c r="C64" s="75" t="s">
        <v>586</v>
      </c>
      <c r="D64" s="76" t="n">
        <v>1</v>
      </c>
      <c r="E64" s="77"/>
    </row>
    <row r="65" customFormat="false" ht="12.75" hidden="false" customHeight="false" outlineLevel="0" collapsed="false">
      <c r="B65" s="78" t="s">
        <v>593</v>
      </c>
      <c r="C65" s="71" t="s">
        <v>595</v>
      </c>
      <c r="D65" s="72" t="n">
        <v>0.0125</v>
      </c>
      <c r="E65" s="79" t="n">
        <v>24</v>
      </c>
    </row>
    <row r="66" customFormat="false" ht="12.75" hidden="false" customHeight="false" outlineLevel="0" collapsed="false">
      <c r="B66" s="80"/>
      <c r="C66" s="71" t="s">
        <v>596</v>
      </c>
      <c r="D66" s="72" t="n">
        <v>0.04</v>
      </c>
      <c r="E66" s="81"/>
    </row>
    <row r="67" customFormat="false" ht="12.75" hidden="false" customHeight="false" outlineLevel="0" collapsed="false">
      <c r="B67" s="80"/>
      <c r="C67" s="71" t="s">
        <v>585</v>
      </c>
      <c r="D67" s="72" t="n">
        <v>1</v>
      </c>
      <c r="E67" s="81"/>
    </row>
    <row r="68" customFormat="false" ht="12.75" hidden="false" customHeight="false" outlineLevel="0" collapsed="false">
      <c r="B68" s="74"/>
      <c r="C68" s="75" t="s">
        <v>586</v>
      </c>
      <c r="D68" s="76" t="n">
        <v>1</v>
      </c>
      <c r="E68" s="77"/>
    </row>
    <row r="69" customFormat="false" ht="12.75" hidden="false" customHeight="false" outlineLevel="0" collapsed="false">
      <c r="B69" s="78" t="s">
        <v>594</v>
      </c>
      <c r="C69" s="71" t="s">
        <v>585</v>
      </c>
      <c r="D69" s="72" t="n">
        <v>1</v>
      </c>
      <c r="E69" s="79" t="n">
        <v>28</v>
      </c>
    </row>
    <row r="70" customFormat="false" ht="12.75" hidden="false" customHeight="false" outlineLevel="0" collapsed="false">
      <c r="B70" s="74"/>
      <c r="C70" s="75" t="s">
        <v>586</v>
      </c>
      <c r="D70" s="76" t="n">
        <v>1</v>
      </c>
      <c r="E70" s="77"/>
    </row>
    <row r="71" customFormat="false" ht="12.75" hidden="false" customHeight="false" outlineLevel="0" collapsed="false">
      <c r="B71" s="82" t="s">
        <v>41</v>
      </c>
      <c r="C71" s="83" t="s">
        <v>612</v>
      </c>
      <c r="D71" s="84" t="n">
        <v>0</v>
      </c>
      <c r="E71" s="85" t="n">
        <v>30</v>
      </c>
    </row>
    <row r="74" customFormat="false" ht="12.75" hidden="false" customHeight="false" outlineLevel="0" collapsed="false">
      <c r="B74" s="49" t="s">
        <v>613</v>
      </c>
    </row>
    <row r="75" customFormat="false" ht="23.85" hidden="false" customHeight="false" outlineLevel="0" collapsed="false">
      <c r="B75" s="86" t="s">
        <v>599</v>
      </c>
      <c r="C75" s="87" t="s">
        <v>577</v>
      </c>
      <c r="D75" s="87" t="s">
        <v>578</v>
      </c>
      <c r="E75" s="87" t="s">
        <v>31</v>
      </c>
    </row>
    <row r="76" customFormat="false" ht="12.75" hidden="false" customHeight="false" outlineLevel="0" collapsed="false">
      <c r="B76" s="88" t="s">
        <v>4</v>
      </c>
      <c r="C76" s="89" t="s">
        <v>600</v>
      </c>
      <c r="D76" s="90" t="n">
        <v>1</v>
      </c>
      <c r="E76" s="91" t="n">
        <v>15</v>
      </c>
    </row>
    <row r="77" customFormat="false" ht="12.75" hidden="false" customHeight="false" outlineLevel="0" collapsed="false">
      <c r="B77" s="92"/>
      <c r="C77" s="89" t="s">
        <v>614</v>
      </c>
      <c r="D77" s="90" t="n">
        <v>0.0035</v>
      </c>
      <c r="E77" s="93"/>
    </row>
    <row r="78" customFormat="false" ht="12.75" hidden="false" customHeight="false" outlineLevel="0" collapsed="false">
      <c r="B78" s="92"/>
      <c r="C78" s="89" t="s">
        <v>615</v>
      </c>
      <c r="D78" s="90" t="n">
        <v>0.002</v>
      </c>
      <c r="E78" s="93"/>
    </row>
    <row r="79" customFormat="false" ht="12.75" hidden="false" customHeight="false" outlineLevel="0" collapsed="false">
      <c r="B79" s="94"/>
      <c r="C79" s="95" t="s">
        <v>603</v>
      </c>
      <c r="D79" s="96" t="n">
        <v>0.003</v>
      </c>
      <c r="E79" s="97"/>
    </row>
    <row r="80" customFormat="false" ht="12.75" hidden="false" customHeight="false" outlineLevel="0" collapsed="false">
      <c r="B80" s="98" t="s">
        <v>5</v>
      </c>
      <c r="C80" s="89" t="s">
        <v>616</v>
      </c>
      <c r="D80" s="90" t="n">
        <v>0.05</v>
      </c>
      <c r="E80" s="99" t="n">
        <v>25</v>
      </c>
    </row>
    <row r="81" customFormat="false" ht="12.75" hidden="false" customHeight="false" outlineLevel="0" collapsed="false">
      <c r="B81" s="92"/>
      <c r="C81" s="89" t="s">
        <v>603</v>
      </c>
      <c r="D81" s="90" t="n">
        <v>0.003</v>
      </c>
      <c r="E81" s="93"/>
    </row>
    <row r="82" customFormat="false" ht="12.75" hidden="false" customHeight="false" outlineLevel="0" collapsed="false">
      <c r="B82" s="92"/>
      <c r="C82" s="89" t="s">
        <v>617</v>
      </c>
      <c r="D82" s="90" t="n">
        <v>0.0015</v>
      </c>
      <c r="E82" s="93"/>
    </row>
    <row r="83" customFormat="false" ht="12.75" hidden="false" customHeight="false" outlineLevel="0" collapsed="false">
      <c r="B83" s="92"/>
      <c r="C83" s="89" t="s">
        <v>605</v>
      </c>
      <c r="D83" s="90" t="n">
        <v>0.003</v>
      </c>
      <c r="E83" s="93"/>
    </row>
    <row r="84" customFormat="false" ht="12.75" hidden="false" customHeight="false" outlineLevel="0" collapsed="false">
      <c r="B84" s="94"/>
      <c r="C84" s="95" t="s">
        <v>606</v>
      </c>
      <c r="D84" s="96" t="n">
        <v>1</v>
      </c>
      <c r="E84" s="97"/>
    </row>
    <row r="85" customFormat="false" ht="12.75" hidden="false" customHeight="false" outlineLevel="0" collapsed="false">
      <c r="B85" s="100" t="s">
        <v>41</v>
      </c>
      <c r="C85" s="101" t="s">
        <v>612</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6"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633</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4155626.15840461</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639</v>
      </c>
      <c r="B1" s="120" t="s">
        <v>640</v>
      </c>
      <c r="C1" s="121" t="s">
        <v>641</v>
      </c>
      <c r="D1" s="120" t="s">
        <v>642</v>
      </c>
      <c r="E1" s="120" t="s">
        <v>643</v>
      </c>
      <c r="F1" s="120" t="s">
        <v>644</v>
      </c>
      <c r="G1" s="120" t="s">
        <v>645</v>
      </c>
      <c r="H1" s="120" t="s">
        <v>646</v>
      </c>
    </row>
    <row r="2" customFormat="false" ht="15" hidden="false" customHeight="false" outlineLevel="0" collapsed="false">
      <c r="A2" s="122" t="s">
        <v>317</v>
      </c>
      <c r="B2" s="123" t="n">
        <v>946.42</v>
      </c>
      <c r="C2" s="123" t="n">
        <v>7293.08</v>
      </c>
      <c r="D2" s="123" t="n">
        <v>60.53</v>
      </c>
      <c r="E2" s="123" t="n">
        <v>3</v>
      </c>
      <c r="F2" s="123" t="n">
        <v>94.64</v>
      </c>
      <c r="G2" s="123" t="n">
        <v>108.27</v>
      </c>
      <c r="H2" s="123" t="s">
        <v>647</v>
      </c>
    </row>
    <row r="3" customFormat="false" ht="15" hidden="false" customHeight="false" outlineLevel="0" collapsed="false">
      <c r="A3" s="122" t="s">
        <v>399</v>
      </c>
      <c r="B3" s="123" t="n">
        <v>794.52</v>
      </c>
      <c r="C3" s="123" t="n">
        <v>2153.43</v>
      </c>
      <c r="D3" s="123" t="n">
        <v>13.7</v>
      </c>
      <c r="E3" s="123" t="n">
        <v>1101.37</v>
      </c>
      <c r="F3" s="123" t="n">
        <v>26.3</v>
      </c>
      <c r="G3" s="123" t="n">
        <v>254.8</v>
      </c>
      <c r="H3" s="123" t="s">
        <v>648</v>
      </c>
    </row>
    <row r="4" customFormat="false" ht="15" hidden="false" customHeight="false" outlineLevel="0" collapsed="false">
      <c r="A4" s="122" t="s">
        <v>336</v>
      </c>
      <c r="B4" s="123" t="n">
        <v>4939.57</v>
      </c>
      <c r="C4" s="123" t="n">
        <v>1517.81</v>
      </c>
      <c r="D4" s="123" t="n">
        <v>30</v>
      </c>
      <c r="E4" s="123" t="n">
        <v>10</v>
      </c>
      <c r="F4" s="123" t="s">
        <v>648</v>
      </c>
      <c r="G4" s="123" t="n">
        <v>2344</v>
      </c>
      <c r="H4" s="123" t="s">
        <v>648</v>
      </c>
    </row>
    <row r="5" customFormat="false" ht="15" hidden="false" customHeight="false" outlineLevel="0" collapsed="false">
      <c r="A5" s="122" t="s">
        <v>326</v>
      </c>
      <c r="B5" s="123" t="n">
        <v>592</v>
      </c>
      <c r="C5" s="123" t="n">
        <v>1410</v>
      </c>
      <c r="D5" s="123" t="n">
        <v>1</v>
      </c>
      <c r="E5" s="123" t="n">
        <v>7</v>
      </c>
      <c r="F5" s="123" t="s">
        <v>648</v>
      </c>
      <c r="G5" s="123" t="n">
        <v>2250</v>
      </c>
      <c r="H5" s="123" t="n">
        <v>2031</v>
      </c>
    </row>
    <row r="6" customFormat="false" ht="15" hidden="false" customHeight="false" outlineLevel="0" collapsed="false">
      <c r="A6" s="122" t="s">
        <v>278</v>
      </c>
      <c r="B6" s="123" t="n">
        <v>2630</v>
      </c>
      <c r="C6" s="123" t="n">
        <v>1044</v>
      </c>
      <c r="D6" s="123" t="n">
        <v>42</v>
      </c>
      <c r="E6" s="123" t="n">
        <v>15</v>
      </c>
      <c r="F6" s="123" t="s">
        <v>648</v>
      </c>
      <c r="G6" s="123" t="n">
        <v>110</v>
      </c>
      <c r="H6" s="123" t="n">
        <v>2862</v>
      </c>
    </row>
    <row r="7" customFormat="false" ht="15" hidden="false" customHeight="false" outlineLevel="0" collapsed="false">
      <c r="A7" s="122" t="s">
        <v>91</v>
      </c>
      <c r="B7" s="123" t="n">
        <v>1924.14</v>
      </c>
      <c r="C7" s="123" t="n">
        <v>923.66</v>
      </c>
      <c r="D7" s="123" t="s">
        <v>648</v>
      </c>
      <c r="E7" s="123" t="s">
        <v>648</v>
      </c>
      <c r="F7" s="123" t="s">
        <v>648</v>
      </c>
      <c r="G7" s="123" t="n">
        <v>27397.26</v>
      </c>
      <c r="H7" s="123" t="n">
        <v>571.58</v>
      </c>
    </row>
    <row r="8" customFormat="false" ht="15" hidden="false" customHeight="false" outlineLevel="0" collapsed="false">
      <c r="A8" s="122" t="s">
        <v>213</v>
      </c>
      <c r="B8" s="123" t="n">
        <v>1000</v>
      </c>
      <c r="C8" s="123" t="n">
        <v>725</v>
      </c>
      <c r="D8" s="123" t="n">
        <v>10</v>
      </c>
      <c r="E8" s="123" t="n">
        <v>5</v>
      </c>
      <c r="F8" s="123" t="n">
        <v>40</v>
      </c>
      <c r="G8" s="123" t="s">
        <v>649</v>
      </c>
      <c r="H8" s="123" t="n">
        <v>20</v>
      </c>
    </row>
    <row r="9" customFormat="false" ht="15" hidden="false" customHeight="false" outlineLevel="0" collapsed="false">
      <c r="A9" s="122" t="s">
        <v>395</v>
      </c>
      <c r="B9" s="123" t="n">
        <v>635.26</v>
      </c>
      <c r="C9" s="123" t="n">
        <v>279</v>
      </c>
      <c r="D9" s="123" t="s">
        <v>648</v>
      </c>
      <c r="E9" s="123" t="s">
        <v>648</v>
      </c>
      <c r="F9" s="123" t="s">
        <v>648</v>
      </c>
      <c r="G9" s="123" t="s">
        <v>648</v>
      </c>
      <c r="H9" s="123" t="n">
        <v>25</v>
      </c>
    </row>
    <row r="10" customFormat="false" ht="15" hidden="false" customHeight="true" outlineLevel="0" collapsed="false">
      <c r="A10" s="122" t="s">
        <v>196</v>
      </c>
      <c r="B10" s="123" t="n">
        <v>1660.27</v>
      </c>
      <c r="C10" s="123" t="n">
        <v>3427.4</v>
      </c>
      <c r="D10" s="123" t="n">
        <v>3.5</v>
      </c>
      <c r="E10" s="123" t="n">
        <v>350</v>
      </c>
      <c r="F10" s="123" t="s">
        <v>648</v>
      </c>
      <c r="G10" s="123" t="s">
        <v>648</v>
      </c>
      <c r="H10" s="123" t="s">
        <v>648</v>
      </c>
    </row>
    <row r="11" customFormat="false" ht="15" hidden="false" customHeight="true" outlineLevel="0" collapsed="false">
      <c r="A11" s="122" t="s">
        <v>265</v>
      </c>
      <c r="B11" s="123" t="n">
        <v>8400</v>
      </c>
      <c r="C11" s="123" t="n">
        <v>70000</v>
      </c>
      <c r="D11" s="123" t="n">
        <v>1000</v>
      </c>
      <c r="E11" s="123" t="s">
        <v>648</v>
      </c>
      <c r="F11" s="123" t="n">
        <v>625</v>
      </c>
      <c r="G11" s="123" t="s">
        <v>648</v>
      </c>
      <c r="H11" s="123" t="n">
        <v>9215</v>
      </c>
    </row>
    <row r="12" customFormat="false" ht="15" hidden="false" customHeight="true" outlineLevel="0" collapsed="false">
      <c r="A12" s="122" t="s">
        <v>332</v>
      </c>
      <c r="B12" s="123" t="n">
        <v>4604</v>
      </c>
      <c r="C12" s="123" t="n">
        <v>4057</v>
      </c>
      <c r="D12" s="123" t="s">
        <v>648</v>
      </c>
      <c r="E12" s="123" t="s">
        <v>648</v>
      </c>
      <c r="F12" s="123" t="n">
        <v>140.4</v>
      </c>
      <c r="G12" s="123" t="s">
        <v>648</v>
      </c>
      <c r="H12" s="123" t="s">
        <v>648</v>
      </c>
    </row>
    <row r="13" customFormat="false" ht="15" hidden="false" customHeight="true" outlineLevel="0" collapsed="false">
      <c r="A13" s="122" t="s">
        <v>384</v>
      </c>
      <c r="B13" s="123" t="n">
        <v>4939.57</v>
      </c>
      <c r="C13" s="123" t="n">
        <v>1517.81</v>
      </c>
      <c r="D13" s="123" t="n">
        <v>30</v>
      </c>
      <c r="E13" s="123" t="n">
        <v>10</v>
      </c>
      <c r="F13" s="123" t="s">
        <v>648</v>
      </c>
      <c r="G13" s="123" t="n">
        <v>2344</v>
      </c>
      <c r="H13" s="123" t="s">
        <v>648</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340</v>
      </c>
      <c r="B15" s="123" t="n">
        <v>5.26</v>
      </c>
      <c r="C15" s="123" t="n">
        <v>76.71</v>
      </c>
      <c r="D15" s="123" t="s">
        <v>650</v>
      </c>
      <c r="E15" s="123" t="s">
        <v>651</v>
      </c>
      <c r="F15" s="123" t="s">
        <v>652</v>
      </c>
      <c r="G15" s="123" t="s">
        <v>653</v>
      </c>
      <c r="H15" s="123" t="s">
        <v>654</v>
      </c>
    </row>
    <row r="16" customFormat="false" ht="15" hidden="false" customHeight="false" outlineLevel="0" collapsed="false">
      <c r="A16" s="122" t="s">
        <v>387</v>
      </c>
      <c r="B16" s="124" t="n">
        <v>727</v>
      </c>
      <c r="C16" s="124" t="n">
        <v>388</v>
      </c>
      <c r="D16" s="123" t="n">
        <v>6</v>
      </c>
      <c r="E16" s="123" t="s">
        <v>648</v>
      </c>
      <c r="F16" s="123" t="s">
        <v>648</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648</v>
      </c>
      <c r="G17" s="123" t="s">
        <v>648</v>
      </c>
      <c r="H17" s="123" t="s">
        <v>648</v>
      </c>
    </row>
    <row r="18" customFormat="false" ht="15" hidden="false" customHeight="false" outlineLevel="0" collapsed="false">
      <c r="A18" s="122" t="s">
        <v>290</v>
      </c>
      <c r="B18" s="125" t="s">
        <v>655</v>
      </c>
      <c r="C18" s="125"/>
      <c r="D18" s="123" t="s">
        <v>648</v>
      </c>
      <c r="E18" s="123" t="s">
        <v>648</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J2" s="10" t="s">
        <v>4</v>
      </c>
      <c r="R2" s="7" t="s">
        <v>581</v>
      </c>
      <c r="Z2" s="10" t="s">
        <v>582</v>
      </c>
      <c r="AH2" s="7" t="s">
        <v>587</v>
      </c>
      <c r="AP2" s="10" t="s">
        <v>5</v>
      </c>
      <c r="AX2" s="7" t="s">
        <v>593</v>
      </c>
      <c r="BF2" s="10" t="s">
        <v>594</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P6" s="1" t="s">
        <v>622</v>
      </c>
      <c r="AQ6" s="1" t="n">
        <v>2</v>
      </c>
      <c r="AR6" s="1" t="s">
        <v>623</v>
      </c>
    </row>
    <row r="7" customFormat="false" ht="15" hidden="false" customHeight="false" outlineLevel="0" collapsed="false">
      <c r="A7" s="0" t="s">
        <v>624</v>
      </c>
      <c r="C7" s="105" t="s">
        <v>530</v>
      </c>
      <c r="D7" s="6" t="s">
        <v>625</v>
      </c>
      <c r="AP7" s="1" t="s">
        <v>627</v>
      </c>
      <c r="AQ7" s="1" t="n">
        <v>120</v>
      </c>
      <c r="AR7" s="1" t="s">
        <v>628</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P9" s="1" t="s">
        <v>630</v>
      </c>
      <c r="AQ9" s="1" t="n">
        <v>0.1</v>
      </c>
      <c r="AR9" s="1" t="s">
        <v>631</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633</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656</v>
      </c>
      <c r="M36" s="1" t="s">
        <v>657</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581</v>
      </c>
      <c r="C38" s="41" t="n">
        <f aca="false">'Maintenance Policies'!E12</f>
        <v>8</v>
      </c>
      <c r="D38" s="42" t="n">
        <f aca="false">X19</f>
        <v>501909.577777778</v>
      </c>
      <c r="E38" s="43" t="n">
        <f aca="false">IF(C38&gt;'General Information'!$D$33,0,D38/(1+('General Information'!$D$34/100))^C38)</f>
        <v>396212.055488386</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582</v>
      </c>
      <c r="C39" s="41" t="n">
        <f aca="false">'Maintenance Policies'!E14</f>
        <v>12</v>
      </c>
      <c r="D39" s="42" t="n">
        <f aca="false">AF21</f>
        <v>702607.268715278</v>
      </c>
      <c r="E39" s="43" t="n">
        <f aca="false">IF(C39&gt;'General Information'!$D$33,0,D39/(1+('General Information'!$D$34/100))^C39)</f>
        <v>492794.601954233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587</v>
      </c>
      <c r="C40" s="41" t="n">
        <f aca="false">'Maintenance Policies'!E18</f>
        <v>16</v>
      </c>
      <c r="D40" s="42" t="n">
        <f aca="false">AN21</f>
        <v>734977.864027778</v>
      </c>
      <c r="E40" s="43" t="n">
        <f aca="false">IF(C40&gt;'General Information'!$D$33,0,D40/(1+('General Information'!$D$34/100))^C40)</f>
        <v>458013.905920727</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2548101.44179167</v>
      </c>
      <c r="E41" s="43" t="n">
        <f aca="false">IF(C41&gt;'General Information'!$D$33,0,D41/(1+('General Information'!$D$34/100))^C41)</f>
        <v>1410821.98752729</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593</v>
      </c>
      <c r="C42" s="41" t="n">
        <f aca="false">'Maintenance Policies'!E26</f>
        <v>24</v>
      </c>
      <c r="D42" s="42" t="n">
        <f aca="false">BD19</f>
        <v>501909.577777778</v>
      </c>
      <c r="E42" s="43" t="n">
        <f aca="false">IF(C42&gt;'General Information'!$D$33,0,D42/(1+('General Information'!$D$34/100))^C42)</f>
        <v>246906.253900808</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594</v>
      </c>
      <c r="C43" s="41" t="n">
        <f aca="false">'Maintenance Policies'!E28</f>
        <v>28</v>
      </c>
      <c r="D43" s="42" t="n">
        <f aca="false">BL21</f>
        <v>777707.049840278</v>
      </c>
      <c r="E43" s="43" t="n">
        <f aca="false">IF(C43&gt;'General Information'!$D$33,0,D43/(1+('General Information'!$D$34/100))^C43)</f>
        <v>339917.672261939</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-318512.680223958</v>
      </c>
      <c r="E44" s="43" t="n">
        <f aca="false">IF(C44&gt;'General Information'!$D$33,0,D44/(1+('General Information'!$D$34/100))^C44)</f>
        <v>-131223.006990195</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3659383.62914357</v>
      </c>
      <c r="K45" s="1" t="n">
        <f aca="false">K44+1</f>
        <v>2035</v>
      </c>
      <c r="L45" s="27" t="n">
        <f aca="false">IF(K45-$C$6&gt;'General Information'!$D$33,0,IF(K45=$C$6,$D$36,0)+SUMIF($C$37:$C$44,K45-$C$6,$D$37:$D$44))</f>
        <v>501909.577777778</v>
      </c>
      <c r="M45" s="27" t="n">
        <f aca="false">IF(K45-$C$6&gt;'General Information'!$D$33,0,IF(K45=$C$6,$E$36,0)+SUMIF($C$37:$C$44,K45-$C$6,$E$37:$E$44))</f>
        <v>396212.055488386</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702607.268715278</v>
      </c>
      <c r="M49" s="27" t="n">
        <f aca="false">IF(K49-$C$6&gt;'General Information'!$D$33,0,IF(K49=$C$6,$E$36,0)+SUMIF($C$37:$C$44,K49-$C$6,$E$37:$E$44))</f>
        <v>492794.601954233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734977.864027778</v>
      </c>
      <c r="M53" s="27" t="n">
        <f aca="false">IF(K53-$C$6&gt;'General Information'!$D$33,0,IF(K53=$C$6,$E$36,0)+SUMIF($C$37:$C$44,K53-$C$6,$E$37:$E$44))</f>
        <v>458013.905920727</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2548101.44179167</v>
      </c>
      <c r="M57" s="27" t="n">
        <f aca="false">IF(K57-$C$6&gt;'General Information'!$D$33,0,IF(K57=$C$6,$E$36,0)+SUMIF($C$37:$C$44,K57-$C$6,$E$37:$E$44))</f>
        <v>1410821.98752729</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501909.577777778</v>
      </c>
      <c r="M61" s="27" t="n">
        <f aca="false">IF(K61-$C$6&gt;'General Information'!$D$33,0,IF(K61=$C$6,$E$36,0)+SUMIF($C$37:$C$44,K61-$C$6,$E$37:$E$44))</f>
        <v>246906.253900808</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777707.049840278</v>
      </c>
      <c r="M65" s="27" t="n">
        <f aca="false">IF(K65-$C$6&gt;'General Information'!$D$33,0,IF(K65=$C$6,$E$36,0)+SUMIF($C$37:$C$44,K65-$C$6,$E$37:$E$44))</f>
        <v>339917.672261939</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-318512.680223958</v>
      </c>
      <c r="M67" s="27" t="n">
        <f aca="false">IF(K67-$C$6&gt;'General Information'!$D$33,0,IF(K67=$C$6,$E$36,0)+SUMIF($C$37:$C$44,K67-$C$6,$E$37:$E$44))</f>
        <v>-131223.006990195</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1" t="s">
        <v>656</v>
      </c>
      <c r="M37" s="1" t="s">
        <v>657</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1609955.1546</v>
      </c>
      <c r="E39" s="43" t="n">
        <f aca="false">IF(C39&gt;'General Information'!$D$33,0,D39/(1+('General Information'!$D$34/100))^C39)</f>
        <v>724784.190874235</v>
      </c>
      <c r="K39" s="1" t="n">
        <f aca="false">K38+1</f>
        <v>2028</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2029</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1509281.52179934</v>
      </c>
      <c r="K41" s="1" t="n">
        <f aca="false">K40+1</f>
        <v>2030</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2031</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2032</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2033</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2034</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2035</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2036</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2037</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2038</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2039</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2040</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2041</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2042</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2043</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2044</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2045</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2046</v>
      </c>
      <c r="L57" s="27" t="n">
        <f aca="false">IF(K57-$C$6&gt;'General Information'!$D$33,0,IF(K57=$C$6,$D$37,0)+SUMIF($C$38:$C$40,K57-$C$6,$D$38:$D$40))</f>
        <v>1375620.8184</v>
      </c>
      <c r="M57" s="27" t="n">
        <f aca="false">IF(K57-$C$6&gt;'General Information'!$D$33,0,IF(K57=$C$6,$E$37,0)+SUMIF($C$38:$C$40,K57-$C$6,$E$38:$E$40))</f>
        <v>784497.330925104</v>
      </c>
    </row>
    <row r="58" customFormat="false" ht="15" hidden="false" customHeight="false" outlineLevel="0" collapsed="false">
      <c r="K58" s="1" t="n">
        <f aca="false">K57+1</f>
        <v>2047</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2048</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2049</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2050</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2051</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2052</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2053</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2054</v>
      </c>
      <c r="L65" s="27" t="n">
        <f aca="false">IF(K65-$C$6&gt;'General Information'!$D$33,0,IF(K65=$C$6,$D$37,0)+SUMIF($C$38:$C$40,K65-$C$6,$D$38:$D$40))</f>
        <v>1609955.1546</v>
      </c>
      <c r="M65" s="27" t="n">
        <f aca="false">IF(K65-$C$6&gt;'General Information'!$D$33,0,IF(K65=$C$6,$E$37,0)+SUMIF($C$38:$C$40,K65-$C$6,$E$38:$E$40))</f>
        <v>724784.190874235</v>
      </c>
    </row>
    <row r="66" customFormat="false" ht="15" hidden="false" customHeight="false" outlineLevel="0" collapsed="false">
      <c r="K66" s="1" t="n">
        <f aca="false">K65+1</f>
        <v>2055</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2056</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2057</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J2" s="10" t="s">
        <v>4</v>
      </c>
      <c r="R2" s="7" t="s">
        <v>581</v>
      </c>
      <c r="Z2" s="10" t="s">
        <v>582</v>
      </c>
      <c r="AH2" s="7" t="s">
        <v>5</v>
      </c>
      <c r="AP2" s="10" t="s">
        <v>587</v>
      </c>
      <c r="AX2" s="7" t="s">
        <v>593</v>
      </c>
      <c r="BF2" s="10" t="s">
        <v>594</v>
      </c>
    </row>
    <row r="4" customFormat="false" ht="15" hidden="false" customHeight="false" outlineLevel="0" collapsed="false">
      <c r="A4" s="0" t="s">
        <v>6</v>
      </c>
      <c r="C4" s="13" t="s">
        <v>658</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H6" s="6" t="s">
        <v>622</v>
      </c>
      <c r="AI6" s="0" t="n">
        <v>2</v>
      </c>
      <c r="AJ6" s="6" t="s">
        <v>623</v>
      </c>
    </row>
    <row r="7" customFormat="false" ht="15" hidden="false" customHeight="false" outlineLevel="0" collapsed="false">
      <c r="A7" s="0" t="s">
        <v>624</v>
      </c>
      <c r="C7" s="105" t="s">
        <v>530</v>
      </c>
      <c r="D7" s="6" t="s">
        <v>625</v>
      </c>
      <c r="AH7" s="6" t="s">
        <v>627</v>
      </c>
      <c r="AI7" s="0" t="n">
        <v>120</v>
      </c>
      <c r="AJ7" s="6" t="s">
        <v>628</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H9" s="6" t="s">
        <v>630</v>
      </c>
      <c r="AI9" s="0" t="n">
        <v>0.07</v>
      </c>
      <c r="AJ9" s="6" t="s">
        <v>631</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100083</v>
      </c>
      <c r="O13" s="110" t="n">
        <f aca="false">IF(L13="","N/A",VLOOKUP(L13,CHOOSE({1,2},Table2[Pay Item Description],Table2[Unit Cost]),2,0))</f>
        <v>4</v>
      </c>
      <c r="P13" s="27" t="n">
        <f aca="false">O13*N13</f>
        <v>400332</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11259.3375</v>
      </c>
      <c r="W13" s="115" t="n">
        <f aca="false">IF(T13="","N/A",VLOOKUP(T13,CHOOSE({1,2},Table2[Pay Item Description],Table2[Unit Cost]),2,0))</f>
        <v>8.5</v>
      </c>
      <c r="X13" s="30" t="n">
        <f aca="false">W13*V13</f>
        <v>95704.36875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100083</v>
      </c>
      <c r="AE13" s="110" t="n">
        <f aca="false">IF(AB13="","N/A",VLOOKUP(AB13,CHOOSE({1,2},Table2[Pay Item Description],Table2[Unit Cost]),2,0))</f>
        <v>4</v>
      </c>
      <c r="AF13" s="27" t="n">
        <f aca="false">AE13*AD13</f>
        <v>400332</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100083</v>
      </c>
      <c r="AM13" s="66" t="n">
        <f aca="false">IF(AJ13="","N/A",VLOOKUP(AJ13,CHOOSE({1,2},Table2[Pay Item Description],Table2[Unit Cost]),2,0))</f>
        <v>5</v>
      </c>
      <c r="AN13" s="30" t="n">
        <f aca="false">AM13*AL13</f>
        <v>500415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100083</v>
      </c>
      <c r="AU13" s="110" t="n">
        <f aca="false">IF(AR13="","N/A",VLOOKUP(AR13,CHOOSE({1,2},Table2[Pay Item Description],Table2[Unit Cost]),2,0))</f>
        <v>4</v>
      </c>
      <c r="AV13" s="27" t="n">
        <f aca="false">AU13*AT13</f>
        <v>400332</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11259.3375</v>
      </c>
      <c r="BC13" s="66" t="n">
        <f aca="false">IF(AZ13="","N/A",VLOOKUP(AZ13,CHOOSE({1,2},Table2[Pay Item Description],Table2[Unit Cost]),2,0))</f>
        <v>8.5</v>
      </c>
      <c r="BD13" s="30" t="n">
        <f aca="false">BC13*BB13</f>
        <v>95704.36875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100083</v>
      </c>
      <c r="BK13" s="110" t="n">
        <f aca="false">IF(BH13="","N/A",VLOOKUP(BH13,CHOOSE({1,2},Table2[Pay Item Description],Table2[Unit Cost]),2,0))</f>
        <v>4</v>
      </c>
      <c r="BL13" s="27" t="n">
        <f aca="false">BK13*BJ13</f>
        <v>400332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36029.88</v>
      </c>
      <c r="W14" s="115" t="n">
        <f aca="false">IF(T14="","N/A",VLOOKUP(T14,CHOOSE({1,2},Table2[Pay Item Description],Table2[Unit Cost]),2,0))</f>
        <v>4</v>
      </c>
      <c r="X14" s="30" t="n">
        <f aca="false">W14*V14</f>
        <v>144119.52</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25000</v>
      </c>
      <c r="AE14" s="110" t="n">
        <f aca="false">IF(AB14="","N/A",VLOOKUP(AB14,CHOOSE({1,2},Table2[Pay Item Description],Table2[Unit Cost]),2,0))</f>
        <v>0.777777777777778</v>
      </c>
      <c r="AF14" s="27" t="n">
        <f aca="false">AE14*AD14</f>
        <v>19444.4444444444</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7005.81</v>
      </c>
      <c r="AM14" s="66" t="n">
        <f aca="false">IF(AJ14="","N/A",VLOOKUP(AJ14,CHOOSE({1,2},Table2[Pay Item Description],Table2[Unit Cost]),2,0))</f>
        <v>4.5</v>
      </c>
      <c r="AN14" s="30" t="n">
        <f aca="false">AM14*AL14</f>
        <v>31526.145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25000</v>
      </c>
      <c r="AU14" s="110" t="n">
        <f aca="false">IF(AR14="","N/A",VLOOKUP(AR14,CHOOSE({1,2},Table2[Pay Item Description],Table2[Unit Cost]),2,0))</f>
        <v>0.777777777777778</v>
      </c>
      <c r="AV14" s="27" t="n">
        <f aca="false">AU14*AT14</f>
        <v>19444.4444444444</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36029.88</v>
      </c>
      <c r="BC14" s="66" t="n">
        <f aca="false">IF(AZ14="","N/A",VLOOKUP(AZ14,CHOOSE({1,2},Table2[Pay Item Description],Table2[Unit Cost]),2,0))</f>
        <v>4</v>
      </c>
      <c r="BD14" s="30" t="n">
        <f aca="false">BC14*BB14</f>
        <v>144119.52</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25000</v>
      </c>
      <c r="BK14" s="110" t="n">
        <f aca="false">IF(BH14="","N/A",VLOOKUP(BH14,CHOOSE({1,2},Table2[Pay Item Description],Table2[Unit Cost]),2,0))</f>
        <v>0.777777777777778</v>
      </c>
      <c r="BL14" s="27" t="n">
        <f aca="false">BK14*BJ14</f>
        <v>19444.4444444444</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25000</v>
      </c>
      <c r="O15" s="113" t="n">
        <f aca="false">IF(L15="","N/A",VLOOKUP(L15,CHOOSE({1,2},Table2[Pay Item Description],Table2[Unit Cost]),2,0))</f>
        <v>0.666666666666667</v>
      </c>
      <c r="P15" s="27" t="n">
        <f aca="false">O15*N15</f>
        <v>16666.6666666667</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100083</v>
      </c>
      <c r="W15" s="66" t="n">
        <f aca="false">IF(T15="","N/A",VLOOKUP(T15,CHOOSE({1,2},Table2[Pay Item Description],Table2[Unit Cost]),2,0))</f>
        <v>4</v>
      </c>
      <c r="X15" s="30" t="n">
        <f aca="false">W15*V15</f>
        <v>400332</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25000</v>
      </c>
      <c r="AE15" s="110" t="n">
        <f aca="false">IF(AB15="","N/A",VLOOKUP(AB15,CHOOSE({1,2},Table2[Pay Item Description],Table2[Unit Cost]),2,0))</f>
        <v>0.666666666666667</v>
      </c>
      <c r="AF15" s="27" t="n">
        <f aca="false">AE15*AD15</f>
        <v>16666.6666666667</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12009.96</v>
      </c>
      <c r="AM15" s="66" t="n">
        <f aca="false">IF(AJ15="","N/A",VLOOKUP(AJ15,CHOOSE({1,2},Table2[Pay Item Description],Table2[Unit Cost]),2,0))</f>
        <v>130</v>
      </c>
      <c r="AN15" s="30" t="n">
        <f aca="false">AM15*AL15</f>
        <v>1561294.8</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25000</v>
      </c>
      <c r="AU15" s="110" t="n">
        <f aca="false">IF(AR15="","N/A",VLOOKUP(AR15,CHOOSE({1,2},Table2[Pay Item Description],Table2[Unit Cost]),2,0))</f>
        <v>0.666666666666667</v>
      </c>
      <c r="AV15" s="27" t="n">
        <f aca="false">AU15*AT15</f>
        <v>16666.6666666667</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100083</v>
      </c>
      <c r="BC15" s="66" t="n">
        <f aca="false">IF(AZ15="","N/A",VLOOKUP(AZ15,CHOOSE({1,2},Table2[Pay Item Description],Table2[Unit Cost]),2,0))</f>
        <v>4</v>
      </c>
      <c r="BD15" s="30" t="n">
        <f aca="false">BC15*BB15</f>
        <v>400332</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25000</v>
      </c>
      <c r="BK15" s="110" t="n">
        <f aca="false">IF(BH15="","N/A",VLOOKUP(BH15,CHOOSE({1,2},Table2[Pay Item Description],Table2[Unit Cost]),2,0))</f>
        <v>0.666666666666667</v>
      </c>
      <c r="BL15" s="27" t="n">
        <f aca="false">BK15*BJ15</f>
        <v>16666.6666666667</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436443.111111111</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25000</v>
      </c>
      <c r="W16" s="115" t="n">
        <f aca="false">IF(T16="","N/A",VLOOKUP(T16,CHOOSE({1,2},Table2[Pay Item Description],Table2[Unit Cost]),2,0))</f>
        <v>0.777777777777778</v>
      </c>
      <c r="X16" s="30" t="n">
        <f aca="false">W16*V16</f>
        <v>19444.4444444444</v>
      </c>
      <c r="AE16" s="1" t="s">
        <v>24</v>
      </c>
      <c r="AF16" s="27" t="n">
        <f aca="false">SUM(AF13:AF15)</f>
        <v>436443.111111111</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13511.205</v>
      </c>
      <c r="AM16" s="66" t="n">
        <f aca="false">IF(AJ16="","N/A",VLOOKUP(AJ16,CHOOSE({1,2},Table2[Pay Item Description],Table2[Unit Cost]),2,0))</f>
        <v>4</v>
      </c>
      <c r="AN16" s="30" t="n">
        <f aca="false">AM16*AL16</f>
        <v>54044.82</v>
      </c>
      <c r="AU16" s="1" t="s">
        <v>24</v>
      </c>
      <c r="AV16" s="27" t="n">
        <f aca="false">SUM(AV13:AV15)</f>
        <v>436443.111111111</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25000</v>
      </c>
      <c r="BC16" s="66" t="n">
        <f aca="false">IF(AZ16="","N/A",VLOOKUP(AZ16,CHOOSE({1,2},Table2[Pay Item Description],Table2[Unit Cost]),2,0))</f>
        <v>0.777777777777778</v>
      </c>
      <c r="BD16" s="30" t="n">
        <f aca="false">BC16*BB16</f>
        <v>19444.4444444444</v>
      </c>
      <c r="BK16" s="1" t="s">
        <v>24</v>
      </c>
      <c r="BL16" s="27" t="n">
        <f aca="false">SUM(BL13:BL15)</f>
        <v>436443.111111111</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25000</v>
      </c>
      <c r="W17" s="115" t="n">
        <f aca="false">IF(T17="","N/A",VLOOKUP(T17,CHOOSE({1,2},Table2[Pay Item Description],Table2[Unit Cost]),2,0))</f>
        <v>0.666666666666667</v>
      </c>
      <c r="X17" s="30" t="n">
        <f aca="false">W17*V17</f>
        <v>16666.6666666667</v>
      </c>
      <c r="AB17" s="1" t="s">
        <v>25</v>
      </c>
      <c r="AF17" s="27" t="n">
        <f aca="false">('General Information'!$D$36/100)*AF16</f>
        <v>43644.3111111111</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4503.735</v>
      </c>
      <c r="AM17" s="66" t="n">
        <f aca="false">IF(AJ17="","N/A",VLOOKUP(AJ17,CHOOSE({1,2},Table2[Pay Item Description],Table2[Unit Cost]),2,0))</f>
        <v>8.5</v>
      </c>
      <c r="AN17" s="30" t="n">
        <f aca="false">AM17*AL17</f>
        <v>38281.7475</v>
      </c>
      <c r="AR17" s="1" t="s">
        <v>25</v>
      </c>
      <c r="AV17" s="27" t="n">
        <f aca="false">('General Information'!$D$36/100)*AV16</f>
        <v>43644.3111111111</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25000</v>
      </c>
      <c r="BC17" s="66" t="n">
        <f aca="false">IF(AZ17="","N/A",VLOOKUP(AZ17,CHOOSE({1,2},Table2[Pay Item Description],Table2[Unit Cost]),2,0))</f>
        <v>0.666666666666667</v>
      </c>
      <c r="BD17" s="30" t="n">
        <f aca="false">BC17*BB17</f>
        <v>16666.6666666667</v>
      </c>
      <c r="BH17" s="1" t="s">
        <v>25</v>
      </c>
      <c r="BL17" s="27" t="n">
        <f aca="false">('General Information'!$D$36/100)*BL16</f>
        <v>43644.3111111111</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21822.1555555556</v>
      </c>
      <c r="W18" s="6" t="s">
        <v>24</v>
      </c>
      <c r="X18" s="30" t="n">
        <f aca="false">SUM(X13:X17)</f>
        <v>676266.999861111</v>
      </c>
      <c r="AB18" s="1" t="s">
        <v>26</v>
      </c>
      <c r="AF18" s="27" t="n">
        <f aca="false">('General Information'!$D$37/100)*AF16</f>
        <v>21822.1555555556</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25000</v>
      </c>
      <c r="AM18" s="66" t="n">
        <f aca="false">IF(AJ18="","N/A",VLOOKUP(AJ18,CHOOSE({1,2},Table2[Pay Item Description],Table2[Unit Cost]),2,0))</f>
        <v>0.666666666666667</v>
      </c>
      <c r="AN18" s="30" t="n">
        <f aca="false">AM18*AL18</f>
        <v>16666.6666666667</v>
      </c>
      <c r="AR18" s="1" t="s">
        <v>26</v>
      </c>
      <c r="AV18" s="27" t="n">
        <f aca="false">('General Information'!$D$37/100)*AV16</f>
        <v>21822.1555555556</v>
      </c>
      <c r="BC18" s="6" t="s">
        <v>24</v>
      </c>
      <c r="BD18" s="30" t="n">
        <f aca="false">SUM(BD13:BD17)</f>
        <v>676266.999861111</v>
      </c>
      <c r="BH18" s="1" t="s">
        <v>26</v>
      </c>
      <c r="BL18" s="27" t="n">
        <f aca="false">('General Information'!$D$37/100)*BL16</f>
        <v>21822.1555555556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501909.577777778</v>
      </c>
      <c r="T19" s="6" t="s">
        <v>25</v>
      </c>
      <c r="X19" s="30" t="n">
        <f aca="false">('General Information'!$D$36/100)*X18</f>
        <v>67626.6999861111</v>
      </c>
      <c r="AE19" s="1" t="s">
        <v>27</v>
      </c>
      <c r="AF19" s="27" t="n">
        <f aca="false">SUM(AF16:AF18)</f>
        <v>501909.577777778</v>
      </c>
      <c r="AM19" s="6" t="s">
        <v>24</v>
      </c>
      <c r="AN19" s="30" t="n">
        <f aca="false">SUM(AN13:AN18)</f>
        <v>2202229.17916667</v>
      </c>
      <c r="AU19" s="1" t="s">
        <v>27</v>
      </c>
      <c r="AV19" s="27" t="n">
        <f aca="false">SUM(AV16:AV18)</f>
        <v>501909.577777778</v>
      </c>
      <c r="AZ19" s="6" t="s">
        <v>25</v>
      </c>
      <c r="BD19" s="30" t="n">
        <f aca="false">('General Information'!$D$36/100)*BD18</f>
        <v>67626.6999861111</v>
      </c>
      <c r="BK19" s="1" t="s">
        <v>27</v>
      </c>
      <c r="BL19" s="27" t="n">
        <f aca="false">SUM(BL16:BL18)</f>
        <v>501909.577777778</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33813.3499930556</v>
      </c>
      <c r="AJ20" s="6" t="s">
        <v>25</v>
      </c>
      <c r="AN20" s="30" t="n">
        <f aca="false">('General Information'!$D$36/100)*AN19</f>
        <v>220222.917916667</v>
      </c>
      <c r="AZ20" s="6" t="s">
        <v>26</v>
      </c>
      <c r="BD20" s="30" t="n">
        <f aca="false">('General Information'!$D$37/100)*BD18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777707.049840278</v>
      </c>
      <c r="AJ21" s="6" t="s">
        <v>26</v>
      </c>
      <c r="AN21" s="30" t="n">
        <f aca="false">('General Information'!$D$37/100)*AN19</f>
        <v>110111.458958333</v>
      </c>
      <c r="BC21" s="6" t="s">
        <v>27</v>
      </c>
      <c r="BD21" s="30" t="n">
        <f aca="false">SUM(BD18:BD20)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2532563.55604167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656</v>
      </c>
      <c r="M36" s="1" t="s">
        <v>657</v>
      </c>
    </row>
    <row r="37" customFormat="false" ht="15" hidden="false" customHeight="false" outlineLevel="0" collapsed="false">
      <c r="B37" s="40" t="s">
        <v>4</v>
      </c>
      <c r="C37" s="41" t="n">
        <f aca="false">'Maintenance Policies'!E51</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581</v>
      </c>
      <c r="C38" s="41" t="n">
        <f aca="false">'Maintenance Policies'!E53</f>
        <v>8</v>
      </c>
      <c r="D38" s="42" t="n">
        <f aca="false">X21</f>
        <v>777707.049840278</v>
      </c>
      <c r="E38" s="43" t="n">
        <f aca="false">IF(C38&gt;'General Information'!$D$33,0,D38/(1+('General Information'!$D$34/100))^C38)</f>
        <v>613929.126734963</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582</v>
      </c>
      <c r="C39" s="41" t="n">
        <f aca="false">'Maintenance Policies'!E57</f>
        <v>12</v>
      </c>
      <c r="D39" s="42" t="n">
        <f aca="false">AF19</f>
        <v>501909.577777778</v>
      </c>
      <c r="E39" s="43" t="n">
        <f aca="false">IF(C39&gt;'General Information'!$D$33,0,D39/(1+('General Information'!$D$34/100))^C39)</f>
        <v>352029.279529483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2532563.55604167</v>
      </c>
      <c r="E40" s="43" t="n">
        <f aca="false">IF(C40&gt;'General Information'!$D$33,0,D40/(1+('General Information'!$D$34/100))^C40)</f>
        <v>1578209.87959889</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587</v>
      </c>
      <c r="C41" s="41" t="n">
        <f aca="false">'Maintenance Policies'!E63</f>
        <v>20</v>
      </c>
      <c r="D41" s="42" t="n">
        <f aca="false">AV19</f>
        <v>501909.577777778</v>
      </c>
      <c r="E41" s="43" t="n">
        <f aca="false">IF(C41&gt;'General Information'!$D$33,0,D41/(1+('General Information'!$D$34/100))^C41)</f>
        <v>277895.164009456</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593</v>
      </c>
      <c r="C42" s="41" t="n">
        <f aca="false">'Maintenance Policies'!E65</f>
        <v>24</v>
      </c>
      <c r="D42" s="42" t="n">
        <f aca="false">BD21</f>
        <v>777707.049840278</v>
      </c>
      <c r="E42" s="43" t="n">
        <f aca="false">IF(C42&gt;'General Information'!$D$33,0,D42/(1+('General Information'!$D$34/100))^C42)</f>
        <v>382580.334805505</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594</v>
      </c>
      <c r="C43" s="41" t="n">
        <f aca="false">'Maintenance Policies'!E69</f>
        <v>28</v>
      </c>
      <c r="D43" s="42" t="n">
        <f aca="false">BL19</f>
        <v>501909.577777778</v>
      </c>
      <c r="E43" s="43" t="n">
        <f aca="false">IF(C43&gt;'General Information'!$D$33,0,D43/(1+('General Information'!$D$34/100))^C43)</f>
        <v>219373.00864025</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3869956.95239894</v>
      </c>
      <c r="K45" s="1" t="n">
        <f aca="false">K44+1</f>
        <v>2035</v>
      </c>
      <c r="L45" s="27" t="n">
        <f aca="false">IF(K45-$C$6&gt;'General Information'!$D$33,0,IF(K45=$C$6,$D$36,0)+SUMIF($C$37:$C$44,K45-$C$6,$D$37:$D$44))</f>
        <v>777707.049840278</v>
      </c>
      <c r="M45" s="27" t="n">
        <f aca="false">IF(K45-$C$6&gt;'General Information'!$D$33,0,IF(K45=$C$6,$E$36,0)+SUMIF($C$37:$C$44,K45-$C$6,$E$37:$E$44))</f>
        <v>613929.126734963</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501909.577777778</v>
      </c>
      <c r="M49" s="27" t="n">
        <f aca="false">IF(K49-$C$6&gt;'General Information'!$D$33,0,IF(K49=$C$6,$E$36,0)+SUMIF($C$37:$C$44,K49-$C$6,$E$37:$E$44))</f>
        <v>352029.279529483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2532563.55604167</v>
      </c>
      <c r="M53" s="27" t="n">
        <f aca="false">IF(K53-$C$6&gt;'General Information'!$D$33,0,IF(K53=$C$6,$E$36,0)+SUMIF($C$37:$C$44,K53-$C$6,$E$37:$E$44))</f>
        <v>1578209.87959889</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501909.577777778</v>
      </c>
      <c r="M57" s="27" t="n">
        <f aca="false">IF(K57-$C$6&gt;'General Information'!$D$33,0,IF(K57=$C$6,$E$36,0)+SUMIF($C$37:$C$44,K57-$C$6,$E$37:$E$44))</f>
        <v>277895.164009456</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777707.049840278</v>
      </c>
      <c r="M61" s="27" t="n">
        <f aca="false">IF(K61-$C$6&gt;'General Information'!$D$33,0,IF(K61=$C$6,$E$36,0)+SUMIF($C$37:$C$44,K61-$C$6,$E$37:$E$44))</f>
        <v>382580.334805505</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501909.577777778</v>
      </c>
      <c r="M65" s="27" t="n">
        <f aca="false">IF(K65-$C$6&gt;'General Information'!$D$33,0,IF(K65=$C$6,$E$36,0)+SUMIF($C$37:$C$44,K65-$C$6,$E$37:$E$44))</f>
        <v>219373.00864025</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660</v>
      </c>
    </row>
    <row r="45" customFormat="false" ht="15" hidden="false" customHeight="false" outlineLevel="0" collapsed="false">
      <c r="E45" s="0" t="s">
        <v>661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6" t="s">
        <v>662</v>
      </c>
      <c r="L1" s="12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W1" s="127" t="s">
        <v>663</v>
      </c>
    </row>
    <row r="2" customFormat="false" ht="15" hidden="false" customHeight="false" outlineLevel="0" collapsed="false">
      <c r="G2" s="59" t="s">
        <v>664</v>
      </c>
      <c r="S2" s="128" t="s">
        <v>665</v>
      </c>
      <c r="T2" s="128"/>
      <c r="U2" s="128"/>
      <c r="V2" s="128"/>
    </row>
    <row r="3" customFormat="false" ht="15" hidden="false" customHeight="false" outlineLevel="0" collapsed="false">
      <c r="A3" s="129" t="s">
        <v>666</v>
      </c>
      <c r="B3" s="129" t="s">
        <v>53</v>
      </c>
      <c r="C3" s="129" t="s">
        <v>34</v>
      </c>
      <c r="D3" s="129" t="s">
        <v>667</v>
      </c>
      <c r="E3" s="129" t="s">
        <v>668</v>
      </c>
      <c r="G3" s="129" t="s">
        <v>669</v>
      </c>
      <c r="H3" s="129" t="s">
        <v>666</v>
      </c>
      <c r="I3" s="129" t="s">
        <v>562</v>
      </c>
      <c r="J3" s="129" t="s">
        <v>670</v>
      </c>
      <c r="K3" s="129" t="s">
        <v>671</v>
      </c>
      <c r="L3" s="129" t="s">
        <v>672</v>
      </c>
      <c r="M3" s="129" t="s">
        <v>673</v>
      </c>
      <c r="N3" s="129" t="s">
        <v>674</v>
      </c>
      <c r="O3" s="129" t="s">
        <v>675</v>
      </c>
      <c r="P3" s="129" t="s">
        <v>676</v>
      </c>
      <c r="Q3" s="129" t="s">
        <v>677</v>
      </c>
      <c r="R3" s="129" t="s">
        <v>678</v>
      </c>
      <c r="W3" s="127" t="s">
        <v>679</v>
      </c>
    </row>
    <row r="4" customFormat="false" ht="15" hidden="false" customHeight="false" outlineLevel="0" collapsed="false">
      <c r="A4" s="0" t="s">
        <v>680</v>
      </c>
      <c r="B4" s="0" t="s">
        <v>564</v>
      </c>
      <c r="C4" s="30" t="n">
        <f aca="false">'Alt 1 (New HMA)'!G27</f>
        <v>12372457.4666667</v>
      </c>
      <c r="D4" s="30" t="n">
        <f aca="false">'Alt 1 (New HMA)'!E52</f>
        <v>16528083.6250713</v>
      </c>
      <c r="E4" s="0" t="s">
        <v>681</v>
      </c>
      <c r="G4" s="130" t="str">
        <f aca="false">IF(INDEX(Database!$D:$D,4)="","",INDEX(Database!$D:$D,4))</f>
        <v>Alt 1 (New HMA)</v>
      </c>
      <c r="H4" s="130" t="str">
        <f aca="false">IF($G4="","",INDEX(Database!$A:$A,4))</f>
        <v>Alternative 1</v>
      </c>
      <c r="I4" s="130" t="str">
        <f aca="false">IF($G4="","",INDEX(Database!$B:$B,4))</f>
        <v>HMA-New</v>
      </c>
      <c r="J4" s="131" t="n">
        <f aca="true">IF($G4="","",IFERROR(INDEX(INDIRECT("'"&amp;$G4&amp;"'!$G$1:$G$70"),MATCH("Total",INDIRECT("'"&amp;$G4&amp;"'!$A$1:$A$70"),0)),0))</f>
        <v>12372457.4666667</v>
      </c>
      <c r="K4" s="131" t="n">
        <f aca="true">IF($G4="","",IFERROR(SUMIFS(INDIRECT("'"&amp;$G4&amp;"'!$E$37:$E$52"),INDIRECT("'"&amp;$G4&amp;"'!$B$37:$B$52"),"Maintenance*",INDIRECT("'"&amp;$G4&amp;"'!$B$37:$B$52"),"&lt;&gt;*Indirect*"),0))</f>
        <v>2379784.64860648</v>
      </c>
      <c r="L4" s="131" t="n">
        <f aca="true">IF($G4="","",IFERROR(SUMIFS(INDIRECT("'"&amp;$G4&amp;"'!$E$37:$E$52"),INDIRECT("'"&amp;$G4&amp;"'!$B$37:$B$52"),"Rehabilitation*",INDIRECT("'"&amp;$G4&amp;"'!$B$37:$B$52"),"&lt;&gt;*Indirect*"),0))</f>
        <v>1410821.98752729</v>
      </c>
      <c r="M4" s="131" t="n">
        <f aca="true">IF($G4="","",IFERROR(SUMIFS(INDIRECT("'"&amp;$G4&amp;"'!$E$37:$E$52"),INDIRECT("'"&amp;$G4&amp;"'!$B$37:$B$52"),"*Indirect*"),0))</f>
        <v>496242.529261035</v>
      </c>
      <c r="N4" s="131" t="n">
        <f aca="true">IF($G4="","",IFERROR(SUMIFS(INDIRECT("'"&amp;$G4&amp;"'!$E$37:$E$52"),INDIRECT("'"&amp;$G4&amp;"'!$B$37:$B$52"),"Salvage*"),0))</f>
        <v>-131223.006990195</v>
      </c>
      <c r="O4" s="131" t="n">
        <f aca="true">IF($G4="","",IFERROR(INDEX(INDIRECT("'"&amp;$G4&amp;"'!$E$1:$E$70"),MATCH("Net Present Worth",INDIRECT("'"&amp;$G4&amp;"'!$B$1:$B$70"),0)),0))</f>
        <v>16528083.6250713</v>
      </c>
      <c r="P4" s="131" t="n">
        <f aca="false">IF($G4="","",O4-MIN($O$4:$O$7))</f>
        <v>2461515.24496457</v>
      </c>
      <c r="Q4" s="132" t="n">
        <f aca="true">IF($G4="","",IF(IFERROR(INDIRECT("'"&amp;$G4&amp;"'!$F$2"),0)&gt;0,SUM($AG$41:$AG$71),IFERROR(SUM(INDIRECT("'"&amp;$G4&amp;"'!$F$4:$F$10")),0)))</f>
        <v>94</v>
      </c>
      <c r="R4" s="133" t="n">
        <f aca="false">IF($G4="","",1-Q4/('General Information'!$D$33*365))</f>
        <v>0.991415525114155</v>
      </c>
      <c r="W4" s="129" t="s">
        <v>682</v>
      </c>
      <c r="X4" s="129" t="str">
        <f aca="false">IF($H$4="","",$H$4)</f>
        <v>Alternative 1</v>
      </c>
      <c r="Y4" s="129" t="str">
        <f aca="false">IF($H$5="","",$H$5)</f>
        <v>Alternative 2</v>
      </c>
      <c r="Z4" s="129" t="str">
        <f aca="false">IF($H$6="","",$H$6)</f>
        <v>Alternative 3</v>
      </c>
      <c r="AA4" s="129" t="str">
        <f aca="false">IF($H$7="","",$H$7)</f>
        <v>Alternative 4</v>
      </c>
    </row>
    <row r="5" customFormat="false" ht="15" hidden="false" customHeight="false" outlineLevel="0" collapsed="false">
      <c r="A5" s="0" t="s">
        <v>683</v>
      </c>
      <c r="B5" s="0" t="s">
        <v>568</v>
      </c>
      <c r="C5" s="30" t="n">
        <f aca="false">'Alt 2 (New PCC)'!G27</f>
        <v>13830665.5166667</v>
      </c>
      <c r="D5" s="30" t="n">
        <f aca="false">'Alt 2 (New PCC)'!E43</f>
        <v>14066568.3801067</v>
      </c>
      <c r="E5" s="0" t="s">
        <v>684</v>
      </c>
      <c r="G5" s="130" t="str">
        <f aca="false">IF(INDEX(Database!$D:$D,5)="","",INDEX(Database!$D:$D,5))</f>
        <v>Alt 2 (New PCC)</v>
      </c>
      <c r="H5" s="130" t="str">
        <f aca="false">IF($G5="","",INDEX(Database!$A:$A,5))</f>
        <v>Alternative 2</v>
      </c>
      <c r="I5" s="130" t="str">
        <f aca="false">IF($G5="","",INDEX(Database!$B:$B,5))</f>
        <v>PCC-New</v>
      </c>
      <c r="J5" s="131" t="n">
        <f aca="true">IF($G5="","",IFERROR(INDEX(INDIRECT("'"&amp;$G5&amp;"'!$G$1:$G$70"),MATCH("Total",INDIRECT("'"&amp;$G5&amp;"'!$A$1:$A$70"),0)),0))</f>
        <v>13830665.5166667</v>
      </c>
      <c r="K5" s="131" t="n">
        <f aca="true">IF($G5="","",IFERROR(SUMIFS(INDIRECT("'"&amp;$G5&amp;"'!$E$37:$E$52"),INDIRECT("'"&amp;$G5&amp;"'!$B$37:$B$52"),"Maintenance*",INDIRECT("'"&amp;$G5&amp;"'!$B$37:$B$52"),"&lt;&gt;*Indirect*"),0))</f>
        <v>784497.330925104</v>
      </c>
      <c r="L5" s="131" t="n">
        <f aca="true">IF($G5="","",IFERROR(SUMIFS(INDIRECT("'"&amp;$G5&amp;"'!$E$37:$E$52"),INDIRECT("'"&amp;$G5&amp;"'!$B$37:$B$52"),"Rehabilitation*",INDIRECT("'"&amp;$G5&amp;"'!$B$37:$B$52"),"&lt;&gt;*Indirect*"),0))</f>
        <v>724784.190874235</v>
      </c>
      <c r="M5" s="131" t="n">
        <f aca="true">IF($G5="","",IFERROR(SUMIFS(INDIRECT("'"&amp;$G5&amp;"'!$E$37:$E$52"),INDIRECT("'"&amp;$G5&amp;"'!$B$37:$B$52"),"*Indirect*"),0))</f>
        <v>151134.108680669</v>
      </c>
      <c r="N5" s="131" t="n">
        <f aca="true">IF($G5="","",IFERROR(SUMIFS(INDIRECT("'"&amp;$G5&amp;"'!$E$37:$E$52"),INDIRECT("'"&amp;$G5&amp;"'!$B$37:$B$52"),"Salvage*"),0))</f>
        <v>-1424512.76703997</v>
      </c>
      <c r="O5" s="131" t="n">
        <f aca="true">IF($G5="","",IFERROR(INDEX(INDIRECT("'"&amp;$G5&amp;"'!$E$1:$E$70"),MATCH("Net Present Worth",INDIRECT("'"&amp;$G5&amp;"'!$B$1:$B$70"),0)),0))</f>
        <v>14066568.3801067</v>
      </c>
      <c r="P5" s="131" t="n">
        <f aca="false">IF($G5="","",O5-MIN($O$4:$O$7))</f>
        <v>0</v>
      </c>
      <c r="Q5" s="132" t="n">
        <f aca="true">IF($G5="","",IF(IFERROR(INDIRECT("'"&amp;$G5&amp;"'!$F$2"),0)&gt;0,SUM($AH$41:$AH$71),IFERROR(SUM(INDIRECT("'"&amp;$G5&amp;"'!$F$4:$F$10")),0)))</f>
        <v>36</v>
      </c>
      <c r="R5" s="133" t="n">
        <f aca="false">IF($G5="","",1-Q5/('General Information'!$D$33*365))</f>
        <v>0.996712328767123</v>
      </c>
      <c r="W5" s="134" t="s">
        <v>670</v>
      </c>
      <c r="X5" s="135" t="n">
        <f aca="false">IF(J4="",0,J4)</f>
        <v>12372457.4666667</v>
      </c>
      <c r="Y5" s="135" t="n">
        <f aca="false">IF(J5="",0,J5)</f>
        <v>13830665.5166667</v>
      </c>
      <c r="Z5" s="135" t="n">
        <f aca="false">IF(J6="",0,J6)</f>
        <v>14671661.6666667</v>
      </c>
      <c r="AA5" s="135" t="n">
        <f aca="false">IF(J7="",0,J7)</f>
        <v>14418903.1666667</v>
      </c>
    </row>
    <row r="6" customFormat="false" ht="15" hidden="false" customHeight="false" outlineLevel="0" collapsed="false">
      <c r="A6" s="0" t="s">
        <v>685</v>
      </c>
      <c r="B6" s="0" t="s">
        <v>571</v>
      </c>
      <c r="C6" s="30" t="n">
        <f aca="false">'Alt 3 (New HMA)'!G27</f>
        <v>14671661.6666667</v>
      </c>
      <c r="D6" s="30" t="n">
        <f aca="false">'Alt 3 (New HMA)'!E52</f>
        <v>18827287.8250713</v>
      </c>
      <c r="E6" s="0" t="s">
        <v>686</v>
      </c>
      <c r="G6" s="130" t="str">
        <f aca="false">IF(INDEX(Database!$D:$D,6)="","",INDEX(Database!$D:$D,6))</f>
        <v>Alt 3 (New HMA)</v>
      </c>
      <c r="H6" s="130" t="str">
        <f aca="false">IF($G6="","",INDEX(Database!$A:$A,6))</f>
        <v>Alternative 3</v>
      </c>
      <c r="I6" s="130" t="str">
        <f aca="false">IF($G6="","",INDEX(Database!$B:$B,6))</f>
        <v>HMA-New</v>
      </c>
      <c r="J6" s="131" t="n">
        <f aca="true">IF($G6="","",IFERROR(INDEX(INDIRECT("'"&amp;$G6&amp;"'!$G$1:$G$70"),MATCH("Total",INDIRECT("'"&amp;$G6&amp;"'!$A$1:$A$70"),0)),0))</f>
        <v>14671661.6666667</v>
      </c>
      <c r="K6" s="131" t="n">
        <f aca="true">IF($G6="","",IFERROR(SUMIFS(INDIRECT("'"&amp;$G6&amp;"'!$E$37:$E$52"),INDIRECT("'"&amp;$G6&amp;"'!$B$37:$B$52"),"Maintenance*",INDIRECT("'"&amp;$G6&amp;"'!$B$37:$B$52"),"&lt;&gt;*Indirect*"),0))</f>
        <v>2379784.64860648</v>
      </c>
      <c r="L6" s="131" t="n">
        <f aca="true">IF($G6="","",IFERROR(SUMIFS(INDIRECT("'"&amp;$G6&amp;"'!$E$37:$E$52"),INDIRECT("'"&amp;$G6&amp;"'!$B$37:$B$52"),"Rehabilitation*",INDIRECT("'"&amp;$G6&amp;"'!$B$37:$B$52"),"&lt;&gt;*Indirect*"),0))</f>
        <v>1410821.98752729</v>
      </c>
      <c r="M6" s="131" t="n">
        <f aca="true">IF($G6="","",IFERROR(SUMIFS(INDIRECT("'"&amp;$G6&amp;"'!$E$37:$E$52"),INDIRECT("'"&amp;$G6&amp;"'!$B$37:$B$52"),"*Indirect*"),0))</f>
        <v>496242.529261035</v>
      </c>
      <c r="N6" s="131" t="n">
        <f aca="true">IF($G6="","",IFERROR(SUMIFS(INDIRECT("'"&amp;$G6&amp;"'!$E$37:$E$52"),INDIRECT("'"&amp;$G6&amp;"'!$B$37:$B$52"),"Salvage*"),0))</f>
        <v>-131223.006990195</v>
      </c>
      <c r="O6" s="131" t="n">
        <f aca="true">IF($G6="","",IFERROR(INDEX(INDIRECT("'"&amp;$G6&amp;"'!$E$1:$E$70"),MATCH("Net Present Worth",INDIRECT("'"&amp;$G6&amp;"'!$B$1:$B$70"),0)),0))</f>
        <v>18827287.8250713</v>
      </c>
      <c r="P6" s="131" t="n">
        <f aca="false">IF($G6="","",O6-MIN($O$4:$O$7))</f>
        <v>4760719.44496457</v>
      </c>
      <c r="Q6" s="132" t="n">
        <f aca="true">IF($G6="","",IF(IFERROR(INDIRECT("'"&amp;$G6&amp;"'!$F$2"),0)&gt;0,SUM($AI$41:$AI$71),IFERROR(SUM(INDIRECT("'"&amp;$G6&amp;"'!$F$4:$F$10")),0)))</f>
        <v>94</v>
      </c>
      <c r="R6" s="133" t="n">
        <f aca="false">IF($G6="","",1-Q6/('General Information'!$D$33*365))</f>
        <v>0.991415525114155</v>
      </c>
      <c r="W6" s="134" t="s">
        <v>687</v>
      </c>
      <c r="X6" s="135" t="n">
        <f aca="false">IF(K4="",0,K4)</f>
        <v>2379784.64860648</v>
      </c>
      <c r="Y6" s="135" t="n">
        <f aca="false">IF(K5="",0,K5)</f>
        <v>784497.330925104</v>
      </c>
      <c r="Z6" s="135" t="n">
        <f aca="false">IF(K6="",0,K6)</f>
        <v>2379784.64860648</v>
      </c>
      <c r="AA6" s="135" t="n">
        <f aca="false">IF(K7="",0,K7)</f>
        <v>784497.330925104</v>
      </c>
    </row>
    <row r="7" customFormat="false" ht="15" hidden="false" customHeight="false" outlineLevel="0" collapsed="false">
      <c r="A7" s="0" t="s">
        <v>688</v>
      </c>
      <c r="B7" s="0" t="s">
        <v>573</v>
      </c>
      <c r="C7" s="30" t="n">
        <f aca="false">'Alt 4 (New PCC)'!G27</f>
        <v>14418903.1666667</v>
      </c>
      <c r="D7" s="30" t="n">
        <f aca="false">'Alt 4 (New PCC)'!E43</f>
        <v>14594219.4992945</v>
      </c>
      <c r="E7" s="0" t="s">
        <v>689</v>
      </c>
      <c r="G7" s="130" t="str">
        <f aca="false">IF(INDEX(Database!$D:$D,7)="","",INDEX(Database!$D:$D,7))</f>
        <v>Alt 4 (New PCC)</v>
      </c>
      <c r="H7" s="130" t="str">
        <f aca="false">IF($G7="","",INDEX(Database!$A:$A,7))</f>
        <v>Alternative 4</v>
      </c>
      <c r="I7" s="130" t="str">
        <f aca="false">IF($G7="","",INDEX(Database!$B:$B,7))</f>
        <v>PCC-New</v>
      </c>
      <c r="J7" s="131" t="n">
        <f aca="true">IF($G7="","",IFERROR(INDEX(INDIRECT("'"&amp;$G7&amp;"'!$G$1:$G$70"),MATCH("Total",INDIRECT("'"&amp;$G7&amp;"'!$A$1:$A$70"),0)),0))</f>
        <v>14418903.1666667</v>
      </c>
      <c r="K7" s="131" t="n">
        <f aca="true">IF($G7="","",IFERROR(SUMIFS(INDIRECT("'"&amp;$G7&amp;"'!$E$37:$E$52"),INDIRECT("'"&amp;$G7&amp;"'!$B$37:$B$52"),"Maintenance*",INDIRECT("'"&amp;$G7&amp;"'!$B$37:$B$52"),"&lt;&gt;*Indirect*"),0))</f>
        <v>784497.330925104</v>
      </c>
      <c r="L7" s="131" t="n">
        <f aca="true">IF($G7="","",IFERROR(SUMIFS(INDIRECT("'"&amp;$G7&amp;"'!$E$37:$E$52"),INDIRECT("'"&amp;$G7&amp;"'!$B$37:$B$52"),"Rehabilitation*",INDIRECT("'"&amp;$G7&amp;"'!$B$37:$B$52"),"&lt;&gt;*Indirect*"),0))</f>
        <v>724784.190874235</v>
      </c>
      <c r="M7" s="131" t="n">
        <f aca="true">IF($G7="","",IFERROR(SUMIFS(INDIRECT("'"&amp;$G7&amp;"'!$E$37:$E$52"),INDIRECT("'"&amp;$G7&amp;"'!$B$37:$B$52"),"*Indirect*"),0))</f>
        <v>151134.108680669</v>
      </c>
      <c r="N7" s="131" t="n">
        <f aca="true">IF($G7="","",IFERROR(SUMIFS(INDIRECT("'"&amp;$G7&amp;"'!$E$37:$E$52"),INDIRECT("'"&amp;$G7&amp;"'!$B$37:$B$52"),"Salvage*"),0))</f>
        <v>-1485099.29785216</v>
      </c>
      <c r="O7" s="131" t="n">
        <f aca="true">IF($G7="","",IFERROR(INDEX(INDIRECT("'"&amp;$G7&amp;"'!$E$1:$E$70"),MATCH("Net Present Worth",INDIRECT("'"&amp;$G7&amp;"'!$B$1:$B$70"),0)),0))</f>
        <v>14594219.4992945</v>
      </c>
      <c r="P7" s="131" t="n">
        <f aca="false">IF($G7="","",O7-MIN($O$4:$O$7))</f>
        <v>527651.119187811</v>
      </c>
      <c r="Q7" s="132" t="n">
        <f aca="true">IF($G7="","",IF(IFERROR(INDIRECT("'"&amp;$G7&amp;"'!$F$2"),0)&gt;0,SUM($AJ$41:$AJ$71),IFERROR(SUM(INDIRECT("'"&amp;$G7&amp;"'!$F$4:$F$10")),0)))</f>
        <v>36</v>
      </c>
      <c r="R7" s="133" t="n">
        <f aca="false">IF($G7="","",1-Q7/('General Information'!$D$33*365))</f>
        <v>0.996712328767123</v>
      </c>
      <c r="W7" s="134" t="s">
        <v>690</v>
      </c>
      <c r="X7" s="135" t="n">
        <f aca="false">IF(L4="",0,L4)</f>
        <v>1410821.98752729</v>
      </c>
      <c r="Y7" s="135" t="n">
        <f aca="false">IF(L5="",0,L5)</f>
        <v>724784.190874235</v>
      </c>
      <c r="Z7" s="135" t="n">
        <f aca="false">IF(L6="",0,L6)</f>
        <v>1410821.98752729</v>
      </c>
      <c r="AA7" s="135" t="n">
        <f aca="false">IF(L7="",0,L7)</f>
        <v>724784.190874235</v>
      </c>
    </row>
    <row r="8" customFormat="false" ht="15" hidden="false" customHeight="false" outlineLevel="0" collapsed="false">
      <c r="W8" s="134" t="s">
        <v>691</v>
      </c>
      <c r="X8" s="135" t="n">
        <f aca="false">IF(M4="",0,M4)</f>
        <v>496242.529261035</v>
      </c>
      <c r="Y8" s="135" t="n">
        <f aca="false">IF(M5="",0,M5)</f>
        <v>151134.108680669</v>
      </c>
      <c r="Z8" s="135" t="n">
        <f aca="false">IF(M6="",0,M6)</f>
        <v>496242.529261035</v>
      </c>
      <c r="AA8" s="135" t="n">
        <f aca="false">IF(M7="",0,M7)</f>
        <v>151134.108680669</v>
      </c>
    </row>
    <row r="9" customFormat="false" ht="15" hidden="false" customHeight="false" outlineLevel="0" collapsed="false">
      <c r="G9" s="136"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$527,651   |   3% over 30 years   |   lost revenue: Yes</v>
      </c>
      <c r="H9" s="137"/>
      <c r="I9" s="137"/>
      <c r="J9" s="137"/>
      <c r="K9" s="137"/>
      <c r="L9" s="137"/>
      <c r="M9" s="137"/>
      <c r="N9" s="137"/>
      <c r="O9" s="137"/>
      <c r="P9" s="137"/>
      <c r="Q9" s="137"/>
      <c r="R9" s="137"/>
      <c r="W9" s="134" t="s">
        <v>41</v>
      </c>
      <c r="X9" s="135" t="n">
        <f aca="false">IF(N4="",0,N4)</f>
        <v>-131223.006990195</v>
      </c>
      <c r="Y9" s="135" t="n">
        <f aca="false">IF(N5="",0,N5)</f>
        <v>-1424512.76703997</v>
      </c>
      <c r="Z9" s="135" t="n">
        <f aca="false">IF(N6="",0,N6)</f>
        <v>-131223.006990195</v>
      </c>
      <c r="AA9" s="135" t="n">
        <f aca="false">IF(N7="",0,N7)</f>
        <v>-1485099.29785216</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same at 7% (pre-2022 AIP rule)</v>
      </c>
      <c r="W10" s="127" t="s">
        <v>692</v>
      </c>
    </row>
    <row r="11" customFormat="false" ht="15" hidden="false" customHeight="false" outlineLevel="0" collapsed="false">
      <c r="W11" s="129" t="s">
        <v>693</v>
      </c>
      <c r="X11" s="129" t="str">
        <f aca="false">IF(X$4="","",X$4)</f>
        <v>Alternative 1</v>
      </c>
      <c r="Y11" s="129" t="str">
        <f aca="false">IF(Y$4="","",Y$4)</f>
        <v>Alternative 2</v>
      </c>
      <c r="Z11" s="129" t="str">
        <f aca="false">IF(Z$4="","",Z$4)</f>
        <v>Alternative 3</v>
      </c>
      <c r="AA11" s="129" t="str">
        <f aca="false">IF(AA$4="","",AA$4)</f>
        <v>Alternative 4</v>
      </c>
    </row>
    <row r="12" customFormat="false" ht="15" hidden="false" customHeight="false" outlineLevel="0" collapsed="false">
      <c r="G12" s="126" t="s">
        <v>694</v>
      </c>
      <c r="W12" s="138" t="n">
        <v>2</v>
      </c>
      <c r="X12" s="135" t="n">
        <f aca="true">IF($G$4="",0,IFERROR($J$4+SUMPRODUCT((INDIRECT("'"&amp;$G$4&amp;"'!$C$37:$C$52")&lt;='General Information'!$D$33)*INDIRECT("'"&amp;$G$4&amp;"'!$D$37:$D$52")/(1+$W12/100)^INDIRECT("'"&amp;$G$4&amp;"'!$C$37:$C$52")),0))</f>
        <v>17229417.1943786</v>
      </c>
      <c r="Y12" s="135" t="n">
        <f aca="true">IF($G$5="",0,IFERROR($J$5+SUMPRODUCT((INDIRECT("'"&amp;$G$5&amp;"'!$C$37:$C$52")&lt;='General Information'!$D$33)*INDIRECT("'"&amp;$G$5&amp;"'!$D$37:$D$52")/(1+$W12/100)^INDIRECT("'"&amp;$G$5&amp;"'!$C$37:$C$52")),0))</f>
        <v>13999788.3012032</v>
      </c>
      <c r="Z12" s="135" t="n">
        <f aca="true">IF($G$6="",0,IFERROR($J$6+SUMPRODUCT((INDIRECT("'"&amp;$G$6&amp;"'!$C$37:$C$52")&lt;='General Information'!$D$33)*INDIRECT("'"&amp;$G$6&amp;"'!$D$37:$D$52")/(1+$W12/100)^INDIRECT("'"&amp;$G$6&amp;"'!$C$37:$C$52")),0))</f>
        <v>19528621.3943786</v>
      </c>
      <c r="AA12" s="135" t="n">
        <f aca="true">IF($G$7="",0,IFERROR($J$7+SUMPRODUCT((INDIRECT("'"&amp;$G$7&amp;"'!$C$37:$C$52")&lt;='General Information'!$D$33)*INDIRECT("'"&amp;$G$7&amp;"'!$D$37:$D$52")/(1+$W12/100)^INDIRECT("'"&amp;$G$7&amp;"'!$C$37:$C$52")),0))</f>
        <v>14506838.7306115</v>
      </c>
    </row>
    <row r="13" customFormat="false" ht="27" hidden="false" customHeight="true" outlineLevel="0" collapsed="false">
      <c r="G13" s="129" t="s">
        <v>666</v>
      </c>
      <c r="H13" s="129" t="s">
        <v>695</v>
      </c>
      <c r="I13" s="129" t="s">
        <v>696</v>
      </c>
      <c r="J13" s="129" t="s">
        <v>697</v>
      </c>
      <c r="K13" s="129" t="s">
        <v>698</v>
      </c>
      <c r="L13" s="129" t="s">
        <v>699</v>
      </c>
      <c r="M13" s="129" t="s">
        <v>700</v>
      </c>
      <c r="N13" s="129" t="s">
        <v>701</v>
      </c>
      <c r="O13" s="129" t="s">
        <v>702</v>
      </c>
      <c r="P13" s="129" t="s">
        <v>703</v>
      </c>
      <c r="W13" s="138" t="n">
        <v>2.25</v>
      </c>
      <c r="X13" s="135" t="n">
        <f aca="true">IF($G$4="",0,IFERROR($J$4+SUMPRODUCT((INDIRECT("'"&amp;$G$4&amp;"'!$C$37:$C$52")&lt;='General Information'!$D$33)*INDIRECT("'"&amp;$G$4&amp;"'!$D$37:$D$52")/(1+$W13/100)^INDIRECT("'"&amp;$G$4&amp;"'!$C$37:$C$52")),0))</f>
        <v>17041189.8234528</v>
      </c>
      <c r="Y13" s="135" t="n">
        <f aca="true">IF($G$5="",0,IFERROR($J$5+SUMPRODUCT((INDIRECT("'"&amp;$G$5&amp;"'!$C$37:$C$52")&lt;='General Information'!$D$33)*INDIRECT("'"&amp;$G$5&amp;"'!$D$37:$D$52")/(1+$W13/100)^INDIRECT("'"&amp;$G$5&amp;"'!$C$37:$C$52")),0))</f>
        <v>14020930.8610812</v>
      </c>
      <c r="Z13" s="135" t="n">
        <f aca="true">IF($G$6="",0,IFERROR($J$6+SUMPRODUCT((INDIRECT("'"&amp;$G$6&amp;"'!$C$37:$C$52")&lt;='General Information'!$D$33)*INDIRECT("'"&amp;$G$6&amp;"'!$D$37:$D$52")/(1+$W13/100)^INDIRECT("'"&amp;$G$6&amp;"'!$C$37:$C$52")),0))</f>
        <v>19340394.0234528</v>
      </c>
      <c r="AA13" s="135" t="n">
        <f aca="true">IF($G$7="",0,IFERROR($J$7+SUMPRODUCT((INDIRECT("'"&amp;$G$7&amp;"'!$C$37:$C$52")&lt;='General Information'!$D$33)*INDIRECT("'"&amp;$G$7&amp;"'!$D$37:$D$52")/(1+$W13/100)^INDIRECT("'"&amp;$G$7&amp;"'!$C$37:$C$52")),0))</f>
        <v>14533729.9621238</v>
      </c>
    </row>
    <row r="14" customFormat="false" ht="15" hidden="false" customHeight="false" outlineLevel="0" collapsed="false">
      <c r="G14" s="130" t="str">
        <f aca="false">IF($G$4="","",$H$4)</f>
        <v>Alternative 1</v>
      </c>
      <c r="H14" s="131" t="n">
        <f aca="false">IF($G$4="","",$J$4+$K$4+$L$4+$N$4)</f>
        <v>16031841.0958102</v>
      </c>
      <c r="I14" s="131" t="n">
        <f aca="false">IF($G$4="","",H14*(('General Information'!$D$34/100)*(1+'General Information'!$D$34/100)^'General Information'!$D$33/((1+'General Information'!$D$34/100)^'General Information'!$D$33-1)))</f>
        <v>817932.658248225</v>
      </c>
      <c r="J14" s="131" t="n">
        <f aca="false">IF($G$4="","",$M$4)</f>
        <v>496242.529261035</v>
      </c>
      <c r="K14" s="131" t="n">
        <f aca="false">IF($G$4="","",J14*(('General Information'!$D$34/100)*(1+'General Information'!$D$34/100)^'General Information'!$D$33/((1+'General Information'!$D$34/100)^'General Information'!$D$33-1)))</f>
        <v>25317.9262861068</v>
      </c>
      <c r="L14" s="131" t="n">
        <f aca="false">IF($G$4="","",$O$4)</f>
        <v>16528083.6250713</v>
      </c>
      <c r="M14" s="131" t="n">
        <f aca="false">IF($G$4="","",L14*(('General Information'!$D$34/100)*(1+'General Information'!$D$34/100)^'General Information'!$D$33/((1+'General Information'!$D$34/100)^'General Information'!$D$33-1)))</f>
        <v>843250.584534331</v>
      </c>
      <c r="N14" s="131" t="n">
        <f aca="false">IF($G$4="","",$P$4)</f>
        <v>2461515.24496457</v>
      </c>
      <c r="O14" s="139" t="n">
        <f aca="false">IF($G$4="","",IFERROR($P$4/MIN($O$4:$O$7),0))</f>
        <v>0.174990458116687</v>
      </c>
      <c r="P14" s="130" t="str">
        <f aca="false">IF($G$4="","",IF($O$4=MIN($O$4:$O$7),"lowest",""))</f>
        <v/>
      </c>
      <c r="W14" s="138" t="n">
        <v>2.5</v>
      </c>
      <c r="X14" s="135" t="n">
        <f aca="true">IF($G$4="",0,IFERROR($J$4+SUMPRODUCT((INDIRECT("'"&amp;$G$4&amp;"'!$C$37:$C$52")&lt;='General Information'!$D$33)*INDIRECT("'"&amp;$G$4&amp;"'!$D$37:$D$52")/(1+$W14/100)^INDIRECT("'"&amp;$G$4&amp;"'!$C$37:$C$52")),0))</f>
        <v>16861867.575719</v>
      </c>
      <c r="Y14" s="135" t="n">
        <f aca="true">IF($G$5="",0,IFERROR($J$5+SUMPRODUCT((INDIRECT("'"&amp;$G$5&amp;"'!$C$37:$C$52")&lt;='General Information'!$D$33)*INDIRECT("'"&amp;$G$5&amp;"'!$D$37:$D$52")/(1+$W14/100)^INDIRECT("'"&amp;$G$5&amp;"'!$C$37:$C$52")),0))</f>
        <v>14038896.7540619</v>
      </c>
      <c r="Z14" s="135" t="n">
        <f aca="true">IF($G$6="",0,IFERROR($J$6+SUMPRODUCT((INDIRECT("'"&amp;$G$6&amp;"'!$C$37:$C$52")&lt;='General Information'!$D$33)*INDIRECT("'"&amp;$G$6&amp;"'!$D$37:$D$52")/(1+$W14/100)^INDIRECT("'"&amp;$G$6&amp;"'!$C$37:$C$52")),0))</f>
        <v>19161071.775719</v>
      </c>
      <c r="AA14" s="135" t="n">
        <f aca="true">IF($G$7="",0,IFERROR($J$7+SUMPRODUCT((INDIRECT("'"&amp;$G$7&amp;"'!$C$37:$C$52")&lt;='General Information'!$D$33)*INDIRECT("'"&amp;$G$7&amp;"'!$D$37:$D$52")/(1+$W14/100)^INDIRECT("'"&amp;$G$7&amp;"'!$C$37:$C$52")),0))</f>
        <v>14557024.9048655</v>
      </c>
    </row>
    <row r="15" customFormat="false" ht="15" hidden="false" customHeight="false" outlineLevel="0" collapsed="false">
      <c r="G15" s="130" t="str">
        <f aca="false">IF($G$5="","",$H$5)</f>
        <v>Alternative 2</v>
      </c>
      <c r="H15" s="131" t="n">
        <f aca="false">IF($G$5="","",$J$5+$K$5+$L$5+$N$5)</f>
        <v>13915434.271426</v>
      </c>
      <c r="I15" s="131" t="n">
        <f aca="false">IF($G$5="","",H15*(('General Information'!$D$34/100)*(1+'General Information'!$D$34/100)^'General Information'!$D$33/((1+'General Information'!$D$34/100)^'General Information'!$D$33-1)))</f>
        <v>709955.149647815</v>
      </c>
      <c r="J15" s="131" t="n">
        <f aca="false">IF($G$5="","",$M$5)</f>
        <v>151134.108680669</v>
      </c>
      <c r="K15" s="131" t="n">
        <f aca="false">IF($G$5="","",J15*(('General Information'!$D$34/100)*(1+'General Information'!$D$34/100)^'General Information'!$D$33/((1+'General Information'!$D$34/100)^'General Information'!$D$33-1)))</f>
        <v>7710.75028291431</v>
      </c>
      <c r="L15" s="131" t="n">
        <f aca="false">IF($G$5="","",$O$5)</f>
        <v>14066568.3801067</v>
      </c>
      <c r="M15" s="131" t="n">
        <f aca="false">IF($G$5="","",L15*(('General Information'!$D$34/100)*(1+'General Information'!$D$34/100)^'General Information'!$D$33/((1+'General Information'!$D$34/100)^'General Information'!$D$33-1)))</f>
        <v>717665.899930729</v>
      </c>
      <c r="N15" s="131" t="n">
        <f aca="false">IF($G$5="","",$P$5)</f>
        <v>0</v>
      </c>
      <c r="O15" s="139" t="n">
        <f aca="false">IF($G$5="","",IFERROR($P$5/MIN($O$4:$O$7),0))</f>
        <v>0</v>
      </c>
      <c r="P15" s="130" t="str">
        <f aca="false">IF($G$5="","",IF($O$5=MIN($O$4:$O$7),"lowest",""))</f>
        <v>lowest</v>
      </c>
      <c r="W15" s="138" t="n">
        <v>2.75</v>
      </c>
      <c r="X15" s="135" t="n">
        <f aca="true">IF($G$4="",0,IFERROR($J$4+SUMPRODUCT((INDIRECT("'"&amp;$G$4&amp;"'!$C$37:$C$52")&lt;='General Information'!$D$33)*INDIRECT("'"&amp;$G$4&amp;"'!$D$37:$D$52")/(1+$W15/100)^INDIRECT("'"&amp;$G$4&amp;"'!$C$37:$C$52")),0))</f>
        <v>16690980.0340895</v>
      </c>
      <c r="Y15" s="135" t="n">
        <f aca="true">IF($G$5="",0,IFERROR($J$5+SUMPRODUCT((INDIRECT("'"&amp;$G$5&amp;"'!$C$37:$C$52")&lt;='General Information'!$D$33)*INDIRECT("'"&amp;$G$5&amp;"'!$D$37:$D$52")/(1+$W15/100)^INDIRECT("'"&amp;$G$5&amp;"'!$C$37:$C$52")),0))</f>
        <v>14054010.9355636</v>
      </c>
      <c r="Z15" s="135" t="n">
        <f aca="true">IF($G$6="",0,IFERROR($J$6+SUMPRODUCT((INDIRECT("'"&amp;$G$6&amp;"'!$C$37:$C$52")&lt;='General Information'!$D$33)*INDIRECT("'"&amp;$G$6&amp;"'!$D$37:$D$52")/(1+$W15/100)^INDIRECT("'"&amp;$G$6&amp;"'!$C$37:$C$52")),0))</f>
        <v>18990184.2340895</v>
      </c>
      <c r="AA15" s="135" t="n">
        <f aca="true">IF($G$7="",0,IFERROR($J$7+SUMPRODUCT((INDIRECT("'"&amp;$G$7&amp;"'!$C$37:$C$52")&lt;='General Information'!$D$33)*INDIRECT("'"&amp;$G$7&amp;"'!$D$37:$D$52")/(1+$W15/100)^INDIRECT("'"&amp;$G$7&amp;"'!$C$37:$C$52")),0))</f>
        <v>14577080.0577503</v>
      </c>
    </row>
    <row r="16" customFormat="false" ht="15" hidden="false" customHeight="false" outlineLevel="0" collapsed="false">
      <c r="G16" s="130" t="str">
        <f aca="false">IF($G$6="","",$H$6)</f>
        <v>Alternative 3</v>
      </c>
      <c r="H16" s="131" t="n">
        <f aca="false">IF($G$6="","",$J$6+$K$6+$L$6+$N$6)</f>
        <v>18331045.2958102</v>
      </c>
      <c r="I16" s="131" t="n">
        <f aca="false">IF($G$6="","",H16*(('General Information'!$D$34/100)*(1+'General Information'!$D$34/100)^'General Information'!$D$33/((1+'General Information'!$D$34/100)^'General Information'!$D$33-1)))</f>
        <v>935236.353558239</v>
      </c>
      <c r="J16" s="131" t="n">
        <f aca="false">IF($G$6="","",$M$6)</f>
        <v>496242.529261035</v>
      </c>
      <c r="K16" s="131" t="n">
        <f aca="false">IF($G$6="","",J16*(('General Information'!$D$34/100)*(1+'General Information'!$D$34/100)^'General Information'!$D$33/((1+'General Information'!$D$34/100)^'General Information'!$D$33-1)))</f>
        <v>25317.9262861068</v>
      </c>
      <c r="L16" s="131" t="n">
        <f aca="false">IF($G$6="","",$O$6)</f>
        <v>18827287.8250713</v>
      </c>
      <c r="M16" s="131" t="n">
        <f aca="false">IF($G$6="","",L16*(('General Information'!$D$34/100)*(1+'General Information'!$D$34/100)^'General Information'!$D$33/((1+'General Information'!$D$34/100)^'General Information'!$D$33-1)))</f>
        <v>960554.279844345</v>
      </c>
      <c r="N16" s="131" t="n">
        <f aca="false">IF($G$6="","",$P$6)</f>
        <v>4760719.44496457</v>
      </c>
      <c r="O16" s="139" t="n">
        <f aca="false">IF($G$6="","",IFERROR($P$6/MIN($O$4:$O$7),0))</f>
        <v>0.338442135730652</v>
      </c>
      <c r="P16" s="130" t="str">
        <f aca="false">IF($G$6="","",IF($O$6=MIN($O$4:$O$7),"lowest",""))</f>
        <v/>
      </c>
      <c r="W16" s="138" t="n">
        <v>3</v>
      </c>
      <c r="X16" s="135" t="n">
        <f aca="true">IF($G$4="",0,IFERROR($J$4+SUMPRODUCT((INDIRECT("'"&amp;$G$4&amp;"'!$C$37:$C$52")&lt;='General Information'!$D$33)*INDIRECT("'"&amp;$G$4&amp;"'!$D$37:$D$52")/(1+$W16/100)^INDIRECT("'"&amp;$G$4&amp;"'!$C$37:$C$52")),0))</f>
        <v>16528083.6250713</v>
      </c>
      <c r="Y16" s="135" t="n">
        <f aca="true">IF($G$5="",0,IFERROR($J$5+SUMPRODUCT((INDIRECT("'"&amp;$G$5&amp;"'!$C$37:$C$52")&lt;='General Information'!$D$33)*INDIRECT("'"&amp;$G$5&amp;"'!$D$37:$D$52")/(1+$W16/100)^INDIRECT("'"&amp;$G$5&amp;"'!$C$37:$C$52")),0))</f>
        <v>14066568.3801067</v>
      </c>
      <c r="Z16" s="135" t="n">
        <f aca="true">IF($G$6="",0,IFERROR($J$6+SUMPRODUCT((INDIRECT("'"&amp;$G$6&amp;"'!$C$37:$C$52")&lt;='General Information'!$D$33)*INDIRECT("'"&amp;$G$6&amp;"'!$D$37:$D$52")/(1+$W16/100)^INDIRECT("'"&amp;$G$6&amp;"'!$C$37:$C$52")),0))</f>
        <v>18827287.8250713</v>
      </c>
      <c r="AA16" s="135" t="n">
        <f aca="true">IF($G$7="",0,IFERROR($J$7+SUMPRODUCT((INDIRECT("'"&amp;$G$7&amp;"'!$C$37:$C$52")&lt;='General Information'!$D$33)*INDIRECT("'"&amp;$G$7&amp;"'!$D$37:$D$52")/(1+$W16/100)^INDIRECT("'"&amp;$G$7&amp;"'!$C$37:$C$52")),0))</f>
        <v>14594219.4992945</v>
      </c>
    </row>
    <row r="17" customFormat="false" ht="15" hidden="false" customHeight="false" outlineLevel="0" collapsed="false">
      <c r="G17" s="130" t="str">
        <f aca="false">IF($G$7="","",$H$7)</f>
        <v>Alternative 4</v>
      </c>
      <c r="H17" s="131" t="n">
        <f aca="false">IF($G$7="","",$J$7+$K$7+$L$7+$N$7)</f>
        <v>14443085.3906138</v>
      </c>
      <c r="I17" s="131" t="n">
        <f aca="false">IF($G$7="","",H17*(('General Information'!$D$34/100)*(1+'General Information'!$D$34/100)^'General Information'!$D$33/((1+'General Information'!$D$34/100)^'General Information'!$D$33-1)))</f>
        <v>736875.518928279</v>
      </c>
      <c r="J17" s="131" t="n">
        <f aca="false">IF($G$7="","",$M$7)</f>
        <v>151134.108680669</v>
      </c>
      <c r="K17" s="131" t="n">
        <f aca="false">IF($G$7="","",J17*(('General Information'!$D$34/100)*(1+'General Information'!$D$34/100)^'General Information'!$D$33/((1+'General Information'!$D$34/100)^'General Information'!$D$33-1)))</f>
        <v>7710.75028291431</v>
      </c>
      <c r="L17" s="131" t="n">
        <f aca="false">IF($G$7="","",$O$7)</f>
        <v>14594219.4992945</v>
      </c>
      <c r="M17" s="131" t="n">
        <f aca="false">IF($G$7="","",L17*(('General Information'!$D$34/100)*(1+'General Information'!$D$34/100)^'General Information'!$D$33/((1+'General Information'!$D$34/100)^'General Information'!$D$33-1)))</f>
        <v>744586.269211193</v>
      </c>
      <c r="N17" s="131" t="n">
        <f aca="false">IF($G$7="","",$P$7)</f>
        <v>527651.119187811</v>
      </c>
      <c r="O17" s="139" t="n">
        <f aca="false">IF($G$7="","",IFERROR($P$7/MIN($O$4:$O$7),0))</f>
        <v>0.0375110051669765</v>
      </c>
      <c r="P17" s="130" t="str">
        <f aca="false">IF($G$7="","",IF($O$7=MIN($O$4:$O$7),"lowest",""))</f>
        <v/>
      </c>
      <c r="S17" s="140" t="s">
        <v>704</v>
      </c>
      <c r="T17" s="141" t="s">
        <v>705</v>
      </c>
      <c r="U17" s="142" t="s">
        <v>706</v>
      </c>
      <c r="V17" s="143" t="s">
        <v>707</v>
      </c>
      <c r="W17" s="138" t="n">
        <v>3.25</v>
      </c>
      <c r="X17" s="135" t="n">
        <f aca="true">IF($G$4="",0,IFERROR($J$4+SUMPRODUCT((INDIRECT("'"&amp;$G$4&amp;"'!$C$37:$C$52")&lt;='General Information'!$D$33)*INDIRECT("'"&amp;$G$4&amp;"'!$D$37:$D$52")/(1+$W17/100)^INDIRECT("'"&amp;$G$4&amp;"'!$C$37:$C$52")),0))</f>
        <v>16372759.9897213</v>
      </c>
      <c r="Y17" s="135" t="n">
        <f aca="true">IF($G$5="",0,IFERROR($J$5+SUMPRODUCT((INDIRECT("'"&amp;$G$5&amp;"'!$C$37:$C$52")&lt;='General Information'!$D$33)*INDIRECT("'"&amp;$G$5&amp;"'!$D$37:$D$52")/(1+$W17/100)^INDIRECT("'"&amp;$G$5&amp;"'!$C$37:$C$52")),0))</f>
        <v>14076836.7549447</v>
      </c>
      <c r="Z17" s="135" t="n">
        <f aca="true">IF($G$6="",0,IFERROR($J$6+SUMPRODUCT((INDIRECT("'"&amp;$G$6&amp;"'!$C$37:$C$52")&lt;='General Information'!$D$33)*INDIRECT("'"&amp;$G$6&amp;"'!$D$37:$D$52")/(1+$W17/100)^INDIRECT("'"&amp;$G$6&amp;"'!$C$37:$C$52")),0))</f>
        <v>18671964.1897213</v>
      </c>
      <c r="AA17" s="135" t="n">
        <f aca="true">IF($G$7="",0,IFERROR($J$7+SUMPRODUCT((INDIRECT("'"&amp;$G$7&amp;"'!$C$37:$C$52")&lt;='General Information'!$D$33)*INDIRECT("'"&amp;$G$7&amp;"'!$D$37:$D$52")/(1+$W17/100)^INDIRECT("'"&amp;$G$7&amp;"'!$C$37:$C$52")),0))</f>
        <v>14608737.7551734</v>
      </c>
    </row>
    <row r="18" customFormat="false" ht="15" hidden="false" customHeight="false" outlineLevel="0" collapsed="false">
      <c r="G18" s="59" t="s">
        <v>708</v>
      </c>
      <c r="W18" s="138" t="n">
        <v>3.5</v>
      </c>
      <c r="X18" s="135" t="n">
        <f aca="true">IF($G$4="",0,IFERROR($J$4+SUMPRODUCT((INDIRECT("'"&amp;$G$4&amp;"'!$C$37:$C$52")&lt;='General Information'!$D$33)*INDIRECT("'"&amp;$G$4&amp;"'!$D$37:$D$52")/(1+$W18/100)^INDIRECT("'"&amp;$G$4&amp;"'!$C$37:$C$52")),0))</f>
        <v>16224614.4587692</v>
      </c>
      <c r="Y18" s="135" t="n">
        <f aca="true">IF($G$5="",0,IFERROR($J$5+SUMPRODUCT((INDIRECT("'"&amp;$G$5&amp;"'!$C$37:$C$52")&lt;='General Information'!$D$33)*INDIRECT("'"&amp;$G$5&amp;"'!$D$37:$D$52")/(1+$W18/100)^INDIRECT("'"&amp;$G$5&amp;"'!$C$37:$C$52")),0))</f>
        <v>14085058.8570033</v>
      </c>
      <c r="Z18" s="135" t="n">
        <f aca="true">IF($G$6="",0,IFERROR($J$6+SUMPRODUCT((INDIRECT("'"&amp;$G$6&amp;"'!$C$37:$C$52")&lt;='General Information'!$D$33)*INDIRECT("'"&amp;$G$6&amp;"'!$D$37:$D$52")/(1+$W18/100)^INDIRECT("'"&amp;$G$6&amp;"'!$C$37:$C$52")),0))</f>
        <v>18523818.6587692</v>
      </c>
      <c r="AA18" s="135" t="n">
        <f aca="true">IF($G$7="",0,IFERROR($J$7+SUMPRODUCT((INDIRECT("'"&amp;$G$7&amp;"'!$C$37:$C$52")&lt;='General Information'!$D$33)*INDIRECT("'"&amp;$G$7&amp;"'!$D$37:$D$52")/(1+$W18/100)^INDIRECT("'"&amp;$G$7&amp;"'!$C$37:$C$52")),0))</f>
        <v>14620902.4132537</v>
      </c>
    </row>
    <row r="19" customFormat="false" ht="15" hidden="false" customHeight="false" outlineLevel="0" collapsed="false">
      <c r="S19" s="127" t="s">
        <v>709</v>
      </c>
      <c r="W19" s="138" t="n">
        <v>3.75</v>
      </c>
      <c r="X19" s="135" t="n">
        <f aca="true">IF($G$4="",0,IFERROR($J$4+SUMPRODUCT((INDIRECT("'"&amp;$G$4&amp;"'!$C$37:$C$52")&lt;='General Information'!$D$33)*INDIRECT("'"&amp;$G$4&amp;"'!$D$37:$D$52")/(1+$W19/100)^INDIRECT("'"&amp;$G$4&amp;"'!$C$37:$C$52")),0))</f>
        <v>16083274.624933</v>
      </c>
      <c r="Y19" s="135" t="n">
        <f aca="true">IF($G$5="",0,IFERROR($J$5+SUMPRODUCT((INDIRECT("'"&amp;$G$5&amp;"'!$C$37:$C$52")&lt;='General Information'!$D$33)*INDIRECT("'"&amp;$G$5&amp;"'!$D$37:$D$52")/(1+$W19/100)^INDIRECT("'"&amp;$G$5&amp;"'!$C$37:$C$52")),0))</f>
        <v>14091454.8341891</v>
      </c>
      <c r="Z19" s="135" t="n">
        <f aca="true">IF($G$6="",0,IFERROR($J$6+SUMPRODUCT((INDIRECT("'"&amp;$G$6&amp;"'!$C$37:$C$52")&lt;='General Information'!$D$33)*INDIRECT("'"&amp;$G$6&amp;"'!$D$37:$D$52")/(1+$W19/100)^INDIRECT("'"&amp;$G$6&amp;"'!$C$37:$C$52")),0))</f>
        <v>18382478.824933</v>
      </c>
      <c r="AA19" s="135" t="n">
        <f aca="true">IF($G$7="",0,IFERROR($J$7+SUMPRODUCT((INDIRECT("'"&amp;$G$7&amp;"'!$C$37:$C$52")&lt;='General Information'!$D$33)*INDIRECT("'"&amp;$G$7&amp;"'!$D$37:$D$52")/(1+$W19/100)^INDIRECT("'"&amp;$G$7&amp;"'!$C$37:$C$52")),0))</f>
        <v>14630956.5084889</v>
      </c>
    </row>
    <row r="20" customFormat="false" ht="15" hidden="false" customHeight="false" outlineLevel="0" collapsed="false">
      <c r="G20" s="126" t="s">
        <v>710</v>
      </c>
      <c r="S20" s="144" t="s">
        <v>711</v>
      </c>
      <c r="T20" s="144" t="str">
        <f aca="false">IF('General Information'!$D$9="","",'General Information'!$D$9&amp;" ("&amp;'General Information'!$D$10&amp;")")</f>
        <v>McKellar-Sipes Regional Airport (MKL)</v>
      </c>
      <c r="W20" s="138" t="n">
        <v>4</v>
      </c>
      <c r="X20" s="135" t="n">
        <f aca="true">IF($G$4="",0,IFERROR($J$4+SUMPRODUCT((INDIRECT("'"&amp;$G$4&amp;"'!$C$37:$C$52")&lt;='General Information'!$D$33)*INDIRECT("'"&amp;$G$4&amp;"'!$D$37:$D$52")/(1+$W20/100)^INDIRECT("'"&amp;$G$4&amp;"'!$C$37:$C$52")),0))</f>
        <v>15948389.005944</v>
      </c>
      <c r="Y20" s="135" t="n">
        <f aca="true">IF($G$5="",0,IFERROR($J$5+SUMPRODUCT((INDIRECT("'"&amp;$G$5&amp;"'!$C$37:$C$52")&lt;='General Information'!$D$33)*INDIRECT("'"&amp;$G$5&amp;"'!$D$37:$D$52")/(1+$W20/100)^INDIRECT("'"&amp;$G$5&amp;"'!$C$37:$C$52")),0))</f>
        <v>14096224.2102331</v>
      </c>
      <c r="Z20" s="135" t="n">
        <f aca="true">IF($G$6="",0,IFERROR($J$6+SUMPRODUCT((INDIRECT("'"&amp;$G$6&amp;"'!$C$37:$C$52")&lt;='General Information'!$D$33)*INDIRECT("'"&amp;$G$6&amp;"'!$D$37:$D$52")/(1+$W20/100)^INDIRECT("'"&amp;$G$6&amp;"'!$C$37:$C$52")),0))</f>
        <v>18247593.205944</v>
      </c>
      <c r="AA20" s="135" t="n">
        <f aca="true">IF($G$7="",0,IFERROR($J$7+SUMPRODUCT((INDIRECT("'"&amp;$G$7&amp;"'!$C$37:$C$52")&lt;='General Information'!$D$33)*INDIRECT("'"&amp;$G$7&amp;"'!$D$37:$D$52")/(1+$W20/100)^INDIRECT("'"&amp;$G$7&amp;"'!$C$37:$C$52")),0))</f>
        <v>14639120.6980581</v>
      </c>
    </row>
    <row r="21" customFormat="false" ht="15" hidden="false" customHeight="false" outlineLevel="0" collapsed="false">
      <c r="S21" s="144" t="s">
        <v>712</v>
      </c>
      <c r="T21" s="144" t="str">
        <f aca="false">IF('General Information'!$D$9="","",'General Information'!$D$11&amp;IF(IFERROR(VLOOKUP('General Information'!$D$9,'General Information'!$L$10:$Q$88,4,FALSE()),"")="",""," / "&amp;IFERROR(VLOOKUP('General Information'!$D$9,'General Information'!$L$10:$Q$88,4,FALSE()),"")&amp;" County"))</f>
        <v>Jackson / Madison County</v>
      </c>
      <c r="W21" s="138" t="n">
        <v>4.25</v>
      </c>
      <c r="X21" s="135" t="n">
        <f aca="true">IF($G$4="",0,IFERROR($J$4+SUMPRODUCT((INDIRECT("'"&amp;$G$4&amp;"'!$C$37:$C$52")&lt;='General Information'!$D$33)*INDIRECT("'"&amp;$G$4&amp;"'!$D$37:$D$52")/(1+$W21/100)^INDIRECT("'"&amp;$G$4&amp;"'!$C$37:$C$52")),0))</f>
        <v>15819625.7922423</v>
      </c>
      <c r="Y21" s="135" t="n">
        <f aca="true">IF($G$5="",0,IFERROR($J$5+SUMPRODUCT((INDIRECT("'"&amp;$G$5&amp;"'!$C$37:$C$52")&lt;='General Information'!$D$33)*INDIRECT("'"&amp;$G$5&amp;"'!$D$37:$D$52")/(1+$W21/100)^INDIRECT("'"&amp;$G$5&amp;"'!$C$37:$C$52")),0))</f>
        <v>14099547.7305129</v>
      </c>
      <c r="Z21" s="135" t="n">
        <f aca="true">IF($G$6="",0,IFERROR($J$6+SUMPRODUCT((INDIRECT("'"&amp;$G$6&amp;"'!$C$37:$C$52")&lt;='General Information'!$D$33)*INDIRECT("'"&amp;$G$6&amp;"'!$D$37:$D$52")/(1+$W21/100)^INDIRECT("'"&amp;$G$6&amp;"'!$C$37:$C$52")),0))</f>
        <v>18118829.9922423</v>
      </c>
      <c r="AA21" s="135" t="n">
        <f aca="true">IF($G$7="",0,IFERROR($J$7+SUMPRODUCT((INDIRECT("'"&amp;$G$7&amp;"'!$C$37:$C$52")&lt;='General Information'!$D$33)*INDIRECT("'"&amp;$G$7&amp;"'!$D$37:$D$52")/(1+$W21/100)^INDIRECT("'"&amp;$G$7&amp;"'!$C$37:$C$52")),0))</f>
        <v>14645595.2452966</v>
      </c>
    </row>
    <row r="22" customFormat="false" ht="15" hidden="false" customHeight="false" outlineLevel="0" collapsed="false">
      <c r="S22" s="144" t="s">
        <v>713</v>
      </c>
      <c r="T22" s="144" t="str">
        <f aca="false">IF('General Information'!$D$9="","",'General Information'!$D$13)</f>
        <v>West</v>
      </c>
      <c r="W22" s="138" t="n">
        <v>4.5</v>
      </c>
      <c r="X22" s="135" t="n">
        <f aca="true">IF($G$4="",0,IFERROR($J$4+SUMPRODUCT((INDIRECT("'"&amp;$G$4&amp;"'!$C$37:$C$52")&lt;='General Information'!$D$33)*INDIRECT("'"&amp;$G$4&amp;"'!$D$37:$D$52")/(1+$W22/100)^INDIRECT("'"&amp;$G$4&amp;"'!$C$37:$C$52")),0))</f>
        <v>15696671.6737287</v>
      </c>
      <c r="Y22" s="135" t="n">
        <f aca="true">IF($G$5="",0,IFERROR($J$5+SUMPRODUCT((INDIRECT("'"&amp;$G$5&amp;"'!$C$37:$C$52")&lt;='General Information'!$D$33)*INDIRECT("'"&amp;$G$5&amp;"'!$D$37:$D$52")/(1+$W22/100)^INDIRECT("'"&amp;$G$5&amp;"'!$C$37:$C$52")),0))</f>
        <v>14101589.0447311</v>
      </c>
      <c r="Z22" s="135" t="n">
        <f aca="true">IF($G$6="",0,IFERROR($J$6+SUMPRODUCT((INDIRECT("'"&amp;$G$6&amp;"'!$C$37:$C$52")&lt;='General Information'!$D$33)*INDIRECT("'"&amp;$G$6&amp;"'!$D$37:$D$52")/(1+$W22/100)^INDIRECT("'"&amp;$G$6&amp;"'!$C$37:$C$52")),0))</f>
        <v>17995875.8737287</v>
      </c>
      <c r="AA22" s="135" t="n">
        <f aca="true">IF($G$7="",0,IFERROR($J$7+SUMPRODUCT((INDIRECT("'"&amp;$G$7&amp;"'!$C$37:$C$52")&lt;='General Information'!$D$33)*INDIRECT("'"&amp;$G$7&amp;"'!$D$37:$D$52")/(1+$W22/100)^INDIRECT("'"&amp;$G$7&amp;"'!$C$37:$C$52")),0))</f>
        <v>14650561.8293132</v>
      </c>
    </row>
    <row r="23" customFormat="false" ht="15" hidden="false" customHeight="false" outlineLevel="0" collapsed="false">
      <c r="S23" s="144" t="s">
        <v>714</v>
      </c>
      <c r="T23" s="144" t="str">
        <f aca="false">IF(AE117="","not in the reference list",TEXT(AE117,"0.0000")&amp;"° N, "&amp;TEXT(-AD117,"0.0000")&amp;"° W")</f>
        <v>35.5999° N, 88.9156° W</v>
      </c>
      <c r="W23" s="138" t="n">
        <v>4.75</v>
      </c>
      <c r="X23" s="135" t="n">
        <f aca="true">IF($G$4="",0,IFERROR($J$4+SUMPRODUCT((INDIRECT("'"&amp;$G$4&amp;"'!$C$37:$C$52")&lt;='General Information'!$D$33)*INDIRECT("'"&amp;$G$4&amp;"'!$D$37:$D$52")/(1+$W23/100)^INDIRECT("'"&amp;$G$4&amp;"'!$C$37:$C$52")),0))</f>
        <v>15579230.7403418</v>
      </c>
      <c r="Y23" s="135" t="n">
        <f aca="true">IF($G$5="",0,IFERROR($J$5+SUMPRODUCT((INDIRECT("'"&amp;$G$5&amp;"'!$C$37:$C$52")&lt;='General Information'!$D$33)*INDIRECT("'"&amp;$G$5&amp;"'!$D$37:$D$52")/(1+$W23/100)^INDIRECT("'"&amp;$G$5&amp;"'!$C$37:$C$52")),0))</f>
        <v>14102496.2409046</v>
      </c>
      <c r="Z23" s="135" t="n">
        <f aca="true">IF($G$6="",0,IFERROR($J$6+SUMPRODUCT((INDIRECT("'"&amp;$G$6&amp;"'!$C$37:$C$52")&lt;='General Information'!$D$33)*INDIRECT("'"&amp;$G$6&amp;"'!$D$37:$D$52")/(1+$W23/100)^INDIRECT("'"&amp;$G$6&amp;"'!$C$37:$C$52")),0))</f>
        <v>17878434.9403418</v>
      </c>
      <c r="AA23" s="135" t="n">
        <f aca="true">IF($G$7="",0,IFERROR($J$7+SUMPRODUCT((INDIRECT("'"&amp;$G$7&amp;"'!$C$37:$C$52")&lt;='General Information'!$D$33)*INDIRECT("'"&amp;$G$7&amp;"'!$D$37:$D$52")/(1+$W23/100)^INDIRECT("'"&amp;$G$7&amp;"'!$C$37:$C$52")),0))</f>
        <v>14654185.1956735</v>
      </c>
    </row>
    <row r="24" customFormat="false" ht="15" hidden="false" customHeight="false" outlineLevel="0" collapsed="false">
      <c r="S24" s="144" t="s">
        <v>715</v>
      </c>
      <c r="T24" s="144" t="str">
        <f aca="false">IFERROR(IF(INDEX($AB$117:$AB$195,MATCH('General Information'!$D$10,$X$117:$X$195,0))="","",TEXT(INDEX($AB$117:$AB$195,MATCH('General Information'!$D$10,$X$117:$X$195,0)),"#,##0")&amp;" ft"),"")</f>
        <v>435 ft</v>
      </c>
      <c r="W24" s="138" t="n">
        <v>5</v>
      </c>
      <c r="X24" s="135" t="n">
        <f aca="true">IF($G$4="",0,IFERROR($J$4+SUMPRODUCT((INDIRECT("'"&amp;$G$4&amp;"'!$C$37:$C$52")&lt;='General Information'!$D$33)*INDIRECT("'"&amp;$G$4&amp;"'!$D$37:$D$52")/(1+$W24/100)^INDIRECT("'"&amp;$G$4&amp;"'!$C$37:$C$52")),0))</f>
        <v>15467023.4515934</v>
      </c>
      <c r="Y24" s="135" t="n">
        <f aca="true">IF($G$5="",0,IFERROR($J$5+SUMPRODUCT((INDIRECT("'"&amp;$G$5&amp;"'!$C$37:$C$52")&lt;='General Information'!$D$33)*INDIRECT("'"&amp;$G$5&amp;"'!$D$37:$D$52")/(1+$W24/100)^INDIRECT("'"&amp;$G$5&amp;"'!$C$37:$C$52")),0))</f>
        <v>14102403.2438256</v>
      </c>
      <c r="Z24" s="135" t="n">
        <f aca="true">IF($G$6="",0,IFERROR($J$6+SUMPRODUCT((INDIRECT("'"&amp;$G$6&amp;"'!$C$37:$C$52")&lt;='General Information'!$D$33)*INDIRECT("'"&amp;$G$6&amp;"'!$D$37:$D$52")/(1+$W24/100)^INDIRECT("'"&amp;$G$6&amp;"'!$C$37:$C$52")),0))</f>
        <v>17766227.6515934</v>
      </c>
      <c r="AA24" s="135" t="n">
        <f aca="true">IF($G$7="",0,IFERROR($J$7+SUMPRODUCT((INDIRECT("'"&amp;$G$7&amp;"'!$C$37:$C$52")&lt;='General Information'!$D$33)*INDIRECT("'"&amp;$G$7&amp;"'!$D$37:$D$52")/(1+$W24/100)^INDIRECT("'"&amp;$G$7&amp;"'!$C$37:$C$52")),0))</f>
        <v>14656614.6621605</v>
      </c>
    </row>
    <row r="25" customFormat="false" ht="15" hidden="false" customHeight="false" outlineLevel="0" collapsed="false">
      <c r="S25" s="144" t="s">
        <v>716</v>
      </c>
      <c r="T25" s="144" t="str">
        <f aca="false">IF('General Information'!$D$22="","",'General Information'!$D$22&amp;IF('General Information'!$D$23=""," ",", "&amp;'General Information'!$D$23))</f>
        <v>Runway 2-20, Reconstruction</v>
      </c>
      <c r="W25" s="138" t="n">
        <v>5.25</v>
      </c>
      <c r="X25" s="135" t="n">
        <f aca="true">IF($G$4="",0,IFERROR($J$4+SUMPRODUCT((INDIRECT("'"&amp;$G$4&amp;"'!$C$37:$C$52")&lt;='General Information'!$D$33)*INDIRECT("'"&amp;$G$4&amp;"'!$D$37:$D$52")/(1+$W25/100)^INDIRECT("'"&amp;$G$4&amp;"'!$C$37:$C$52")),0))</f>
        <v>15359785.6705284</v>
      </c>
      <c r="Y25" s="135" t="n">
        <f aca="true">IF($G$5="",0,IFERROR($J$5+SUMPRODUCT((INDIRECT("'"&amp;$G$5&amp;"'!$C$37:$C$52")&lt;='General Information'!$D$33)*INDIRECT("'"&amp;$G$5&amp;"'!$D$37:$D$52")/(1+$W25/100)^INDIRECT("'"&amp;$G$5&amp;"'!$C$37:$C$52")),0))</f>
        <v>14101431.0899802</v>
      </c>
      <c r="Z25" s="135" t="n">
        <f aca="true">IF($G$6="",0,IFERROR($J$6+SUMPRODUCT((INDIRECT("'"&amp;$G$6&amp;"'!$C$37:$C$52")&lt;='General Information'!$D$33)*INDIRECT("'"&amp;$G$6&amp;"'!$D$37:$D$52")/(1+$W25/100)^INDIRECT("'"&amp;$G$6&amp;"'!$C$37:$C$52")),0))</f>
        <v>17658989.8705284</v>
      </c>
      <c r="AA25" s="135" t="n">
        <f aca="true">IF($G$7="",0,IFERROR($J$7+SUMPRODUCT((INDIRECT("'"&amp;$G$7&amp;"'!$C$37:$C$52")&lt;='General Information'!$D$33)*INDIRECT("'"&amp;$G$7&amp;"'!$D$37:$D$52")/(1+$W25/100)^INDIRECT("'"&amp;$G$7&amp;"'!$C$37:$C$52")),0))</f>
        <v>14657985.4923725</v>
      </c>
    </row>
    <row r="26" customFormat="false" ht="15" hidden="false" customHeight="false" outlineLevel="0" collapsed="false">
      <c r="S26" s="144" t="s">
        <v>717</v>
      </c>
      <c r="T26" s="144" t="str">
        <f aca="false">IF('General Information'!$D$26="","",TEXT('General Information'!$D$26,"#,##0")&amp;" S.Y."&amp;IF('General Information'!$D$27&gt;0," + "&amp;TEXT('General Information'!$D$27,"#,##0")&amp;" S.Y. shoulder",""))</f>
        <v>100,083 S.Y. + 33,361 S.Y. shoulder</v>
      </c>
      <c r="W26" s="138" t="n">
        <v>5.5</v>
      </c>
      <c r="X26" s="135" t="n">
        <f aca="true">IF($G$4="",0,IFERROR($J$4+SUMPRODUCT((INDIRECT("'"&amp;$G$4&amp;"'!$C$37:$C$52")&lt;='General Information'!$D$33)*INDIRECT("'"&amp;$G$4&amp;"'!$D$37:$D$52")/(1+$W26/100)^INDIRECT("'"&amp;$G$4&amp;"'!$C$37:$C$52")),0))</f>
        <v>15257267.7578851</v>
      </c>
      <c r="Y26" s="135" t="n">
        <f aca="true">IF($G$5="",0,IFERROR($J$5+SUMPRODUCT((INDIRECT("'"&amp;$G$5&amp;"'!$C$37:$C$52")&lt;='General Information'!$D$33)*INDIRECT("'"&amp;$G$5&amp;"'!$D$37:$D$52")/(1+$W26/100)^INDIRECT("'"&amp;$G$5&amp;"'!$C$37:$C$52")),0))</f>
        <v>14099689.0898387</v>
      </c>
      <c r="Z26" s="135" t="n">
        <f aca="true">IF($G$6="",0,IFERROR($J$6+SUMPRODUCT((INDIRECT("'"&amp;$G$6&amp;"'!$C$37:$C$52")&lt;='General Information'!$D$33)*INDIRECT("'"&amp;$G$6&amp;"'!$D$37:$D$52")/(1+$W26/100)^INDIRECT("'"&amp;$G$6&amp;"'!$C$37:$C$52")),0))</f>
        <v>17556471.9578851</v>
      </c>
      <c r="AA26" s="135" t="n">
        <f aca="true">IF($G$7="",0,IFERROR($J$7+SUMPRODUCT((INDIRECT("'"&amp;$G$7&amp;"'!$C$37:$C$52")&lt;='General Information'!$D$33)*INDIRECT("'"&amp;$G$7&amp;"'!$D$37:$D$52")/(1+$W26/100)^INDIRECT("'"&amp;$G$7&amp;"'!$C$37:$C$52")),0))</f>
        <v>14658420.1487846</v>
      </c>
    </row>
    <row r="27" customFormat="false" ht="15" hidden="false" customHeight="false" outlineLevel="0" collapsed="false">
      <c r="S27" s="144" t="s">
        <v>718</v>
      </c>
      <c r="T27" s="145" t="n">
        <v>150</v>
      </c>
      <c r="W27" s="138" t="n">
        <v>5.75</v>
      </c>
      <c r="X27" s="135" t="n">
        <f aca="true">IF($G$4="",0,IFERROR($J$4+SUMPRODUCT((INDIRECT("'"&amp;$G$4&amp;"'!$C$37:$C$52")&lt;='General Information'!$D$33)*INDIRECT("'"&amp;$G$4&amp;"'!$D$37:$D$52")/(1+$W27/100)^INDIRECT("'"&amp;$G$4&amp;"'!$C$37:$C$52")),0))</f>
        <v>15159233.7225235</v>
      </c>
      <c r="Y27" s="135" t="n">
        <f aca="true">IF($G$5="",0,IFERROR($J$5+SUMPRODUCT((INDIRECT("'"&amp;$G$5&amp;"'!$C$37:$C$52")&lt;='General Information'!$D$33)*INDIRECT("'"&amp;$G$5&amp;"'!$D$37:$D$52")/(1+$W27/100)^INDIRECT("'"&amp;$G$5&amp;"'!$C$37:$C$52")),0))</f>
        <v>14097275.8874616</v>
      </c>
      <c r="Z27" s="135" t="n">
        <f aca="true">IF($G$6="",0,IFERROR($J$6+SUMPRODUCT((INDIRECT("'"&amp;$G$6&amp;"'!$C$37:$C$52")&lt;='General Information'!$D$33)*INDIRECT("'"&amp;$G$6&amp;"'!$D$37:$D$52")/(1+$W27/100)^INDIRECT("'"&amp;$G$6&amp;"'!$C$37:$C$52")),0))</f>
        <v>17458437.9225235</v>
      </c>
      <c r="AA27" s="135" t="n">
        <f aca="true">IF($G$7="",0,IFERROR($J$7+SUMPRODUCT((INDIRECT("'"&amp;$G$7&amp;"'!$C$37:$C$52")&lt;='General Information'!$D$33)*INDIRECT("'"&amp;$G$7&amp;"'!$D$37:$D$52")/(1+$W27/100)^INDIRECT("'"&amp;$G$7&amp;"'!$C$37:$C$52")),0))</f>
        <v>14658029.4358675</v>
      </c>
    </row>
    <row r="28" customFormat="false" ht="43.5" hidden="false" customHeight="true" outlineLevel="0" collapsed="false">
      <c r="S28" s="14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46"/>
      <c r="U28" s="146"/>
      <c r="V28" s="146"/>
      <c r="W28" s="138" t="n">
        <v>6</v>
      </c>
      <c r="X28" s="135" t="n">
        <f aca="true">IF($G$4="",0,IFERROR($J$4+SUMPRODUCT((INDIRECT("'"&amp;$G$4&amp;"'!$C$37:$C$52")&lt;='General Information'!$D$33)*INDIRECT("'"&amp;$G$4&amp;"'!$D$37:$D$52")/(1+$W28/100)^INDIRECT("'"&amp;$G$4&amp;"'!$C$37:$C$52")),0))</f>
        <v>15065460.4244543</v>
      </c>
      <c r="Y28" s="135" t="n">
        <f aca="true">IF($G$5="",0,IFERROR($J$5+SUMPRODUCT((INDIRECT("'"&amp;$G$5&amp;"'!$C$37:$C$52")&lt;='General Information'!$D$33)*INDIRECT("'"&amp;$G$5&amp;"'!$D$37:$D$52")/(1+$W28/100)^INDIRECT("'"&amp;$G$5&amp;"'!$C$37:$C$52")),0))</f>
        <v>14094280.4264773</v>
      </c>
      <c r="Z28" s="135" t="n">
        <f aca="true">IF($G$6="",0,IFERROR($J$6+SUMPRODUCT((INDIRECT("'"&amp;$G$6&amp;"'!$C$37:$C$52")&lt;='General Information'!$D$33)*INDIRECT("'"&amp;$G$6&amp;"'!$D$37:$D$52")/(1+$W28/100)^INDIRECT("'"&amp;$G$6&amp;"'!$C$37:$C$52")),0))</f>
        <v>17364664.6244543</v>
      </c>
      <c r="AA28" s="135" t="n">
        <f aca="true">IF($G$7="",0,IFERROR($J$7+SUMPRODUCT((INDIRECT("'"&amp;$G$7&amp;"'!$C$37:$C$52")&lt;='General Information'!$D$33)*INDIRECT("'"&amp;$G$7&amp;"'!$D$37:$D$52")/(1+$W28/100)^INDIRECT("'"&amp;$G$7&amp;"'!$C$37:$C$52")),0))</f>
        <v>14656913.5429153</v>
      </c>
    </row>
    <row r="29" customFormat="false" ht="25.5" hidden="false" customHeight="true" outlineLevel="0" collapsed="false">
      <c r="S29" s="147" t="s">
        <v>719</v>
      </c>
      <c r="T29" s="147"/>
      <c r="U29" s="147"/>
      <c r="V29" s="147"/>
      <c r="W29" s="138" t="n">
        <v>6.25</v>
      </c>
      <c r="X29" s="135" t="n">
        <f aca="true">IF($G$4="",0,IFERROR($J$4+SUMPRODUCT((INDIRECT("'"&amp;$G$4&amp;"'!$C$37:$C$52")&lt;='General Information'!$D$33)*INDIRECT("'"&amp;$G$4&amp;"'!$D$37:$D$52")/(1+$W29/100)^INDIRECT("'"&amp;$G$4&amp;"'!$C$37:$C$52")),0))</f>
        <v>14975736.8270522</v>
      </c>
      <c r="Y29" s="135" t="n">
        <f aca="true">IF($G$5="",0,IFERROR($J$5+SUMPRODUCT((INDIRECT("'"&amp;$G$5&amp;"'!$C$37:$C$52")&lt;='General Information'!$D$33)*INDIRECT("'"&amp;$G$5&amp;"'!$D$37:$D$52")/(1+$W29/100)^INDIRECT("'"&amp;$G$5&amp;"'!$C$37:$C$52")),0))</f>
        <v>14090782.8306857</v>
      </c>
      <c r="Z29" s="135" t="n">
        <f aca="true">IF($G$6="",0,IFERROR($J$6+SUMPRODUCT((INDIRECT("'"&amp;$G$6&amp;"'!$C$37:$C$52")&lt;='General Information'!$D$33)*INDIRECT("'"&amp;$G$6&amp;"'!$D$37:$D$52")/(1+$W29/100)^INDIRECT("'"&amp;$G$6&amp;"'!$C$37:$C$52")),0))</f>
        <v>17274941.0270522</v>
      </c>
      <c r="AA29" s="135" t="n">
        <f aca="true">IF($G$7="",0,IFERROR($J$7+SUMPRODUCT((INDIRECT("'"&amp;$G$7&amp;"'!$C$37:$C$52")&lt;='General Information'!$D$33)*INDIRECT("'"&amp;$G$7&amp;"'!$D$37:$D$52")/(1+$W29/100)^INDIRECT("'"&amp;$G$7&amp;"'!$C$37:$C$52")),0))</f>
        <v>14655162.9953821</v>
      </c>
    </row>
    <row r="30" customFormat="false" ht="25.5" hidden="false" customHeight="true" outlineLevel="0" collapsed="false">
      <c r="S30" s="147" t="s">
        <v>720</v>
      </c>
      <c r="T30" s="147"/>
      <c r="U30" s="147"/>
      <c r="V30" s="147"/>
      <c r="W30" s="138" t="n">
        <v>6.5</v>
      </c>
      <c r="X30" s="135" t="n">
        <f aca="true">IF($G$4="",0,IFERROR($J$4+SUMPRODUCT((INDIRECT("'"&amp;$G$4&amp;"'!$C$37:$C$52")&lt;='General Information'!$D$33)*INDIRECT("'"&amp;$G$4&amp;"'!$D$37:$D$52")/(1+$W30/100)^INDIRECT("'"&amp;$G$4&amp;"'!$C$37:$C$52")),0))</f>
        <v>14889863.295268</v>
      </c>
      <c r="Y30" s="135" t="n">
        <f aca="true">IF($G$5="",0,IFERROR($J$5+SUMPRODUCT((INDIRECT("'"&amp;$G$5&amp;"'!$C$37:$C$52")&lt;='General Information'!$D$33)*INDIRECT("'"&amp;$G$5&amp;"'!$D$37:$D$52")/(1+$W30/100)^INDIRECT("'"&amp;$G$5&amp;"'!$C$37:$C$52")),0))</f>
        <v>14086855.2068048</v>
      </c>
      <c r="Z30" s="135" t="n">
        <f aca="true">IF($G$6="",0,IFERROR($J$6+SUMPRODUCT((INDIRECT("'"&amp;$G$6&amp;"'!$C$37:$C$52")&lt;='General Information'!$D$33)*INDIRECT("'"&amp;$G$6&amp;"'!$D$37:$D$52")/(1+$W30/100)^INDIRECT("'"&amp;$G$6&amp;"'!$C$37:$C$52")),0))</f>
        <v>17189067.495268</v>
      </c>
      <c r="AA30" s="135" t="n">
        <f aca="true">IF($G$7="",0,IFERROR($J$7+SUMPRODUCT((INDIRECT("'"&amp;$G$7&amp;"'!$C$37:$C$52")&lt;='General Information'!$D$33)*INDIRECT("'"&amp;$G$7&amp;"'!$D$37:$D$52")/(1+$W30/100)^INDIRECT("'"&amp;$G$7&amp;"'!$C$37:$C$52")),0))</f>
        <v>14652859.5227445</v>
      </c>
    </row>
    <row r="31" customFormat="false" ht="15" hidden="false" customHeight="false" outlineLevel="0" collapsed="false">
      <c r="W31" s="138" t="n">
        <v>6.75</v>
      </c>
      <c r="X31" s="135" t="n">
        <f aca="true">IF($G$4="",0,IFERROR($J$4+SUMPRODUCT((INDIRECT("'"&amp;$G$4&amp;"'!$C$37:$C$52")&lt;='General Information'!$D$33)*INDIRECT("'"&amp;$G$4&amp;"'!$D$37:$D$52")/(1+$W31/100)^INDIRECT("'"&amp;$G$4&amp;"'!$C$37:$C$52")),0))</f>
        <v>14807650.9368703</v>
      </c>
      <c r="Y31" s="135" t="n">
        <f aca="true">IF($G$5="",0,IFERROR($J$5+SUMPRODUCT((INDIRECT("'"&amp;$G$5&amp;"'!$C$37:$C$52")&lt;='General Information'!$D$33)*INDIRECT("'"&amp;$G$5&amp;"'!$D$37:$D$52")/(1+$W31/100)^INDIRECT("'"&amp;$G$5&amp;"'!$C$37:$C$52")),0))</f>
        <v>14082562.3762169</v>
      </c>
      <c r="Z31" s="135" t="n">
        <f aca="true">IF($G$6="",0,IFERROR($J$6+SUMPRODUCT((INDIRECT("'"&amp;$G$6&amp;"'!$C$37:$C$52")&lt;='General Information'!$D$33)*INDIRECT("'"&amp;$G$6&amp;"'!$D$37:$D$52")/(1+$W31/100)^INDIRECT("'"&amp;$G$6&amp;"'!$C$37:$C$52")),0))</f>
        <v>17106855.1368703</v>
      </c>
      <c r="AA31" s="135" t="n">
        <f aca="true">IF($G$7="",0,IFERROR($J$7+SUMPRODUCT((INDIRECT("'"&amp;$G$7&amp;"'!$C$37:$C$52")&lt;='General Information'!$D$33)*INDIRECT("'"&amp;$G$7&amp;"'!$D$37:$D$52")/(1+$W31/100)^INDIRECT("'"&amp;$G$7&amp;"'!$C$37:$C$52")),0))</f>
        <v>14650076.8502029</v>
      </c>
    </row>
    <row r="32" customFormat="false" ht="15" hidden="false" customHeight="false" outlineLevel="0" collapsed="false">
      <c r="W32" s="138" t="n">
        <v>7</v>
      </c>
      <c r="X32" s="135" t="n">
        <f aca="true">IF($G$4="",0,IFERROR($J$4+SUMPRODUCT((INDIRECT("'"&amp;$G$4&amp;"'!$C$37:$C$52")&lt;='General Information'!$D$33)*INDIRECT("'"&amp;$G$4&amp;"'!$D$37:$D$52")/(1+$W32/100)^INDIRECT("'"&amp;$G$4&amp;"'!$C$37:$C$52")),0))</f>
        <v>14728920.9839463</v>
      </c>
      <c r="Y32" s="135" t="n">
        <f aca="true">IF($G$5="",0,IFERROR($J$5+SUMPRODUCT((INDIRECT("'"&amp;$G$5&amp;"'!$C$37:$C$52")&lt;='General Information'!$D$33)*INDIRECT("'"&amp;$G$5&amp;"'!$D$37:$D$52")/(1+$W32/100)^INDIRECT("'"&amp;$G$5&amp;"'!$C$37:$C$52")),0))</f>
        <v>14077962.5419561</v>
      </c>
      <c r="Z32" s="135" t="n">
        <f aca="true">IF($G$6="",0,IFERROR($J$6+SUMPRODUCT((INDIRECT("'"&amp;$G$6&amp;"'!$C$37:$C$52")&lt;='General Information'!$D$33)*INDIRECT("'"&amp;$G$6&amp;"'!$D$37:$D$52")/(1+$W32/100)^INDIRECT("'"&amp;$G$6&amp;"'!$C$37:$C$52")),0))</f>
        <v>17028125.1839463</v>
      </c>
      <c r="AA32" s="135" t="n">
        <f aca="true">IF($G$7="",0,IFERROR($J$7+SUMPRODUCT((INDIRECT("'"&amp;$G$7&amp;"'!$C$37:$C$52")&lt;='General Information'!$D$33)*INDIRECT("'"&amp;$G$7&amp;"'!$D$37:$D$52")/(1+$W32/100)^INDIRECT("'"&amp;$G$7&amp;"'!$C$37:$C$52")),0))</f>
        <v>14646881.4208856</v>
      </c>
    </row>
    <row r="33" customFormat="false" ht="15" hidden="false" customHeight="false" outlineLevel="0" collapsed="false">
      <c r="W33" s="138" t="n">
        <v>7.25</v>
      </c>
      <c r="X33" s="135" t="n">
        <f aca="true">IF($G$4="",0,IFERROR($J$4+SUMPRODUCT((INDIRECT("'"&amp;$G$4&amp;"'!$C$37:$C$52")&lt;='General Information'!$D$33)*INDIRECT("'"&amp;$G$4&amp;"'!$D$37:$D$52")/(1+$W33/100)^INDIRECT("'"&amp;$G$4&amp;"'!$C$37:$C$52")),0))</f>
        <v>14653504.2120786</v>
      </c>
      <c r="Y33" s="135" t="n">
        <f aca="true">IF($G$5="",0,IFERROR($J$5+SUMPRODUCT((INDIRECT("'"&amp;$G$5&amp;"'!$C$37:$C$52")&lt;='General Information'!$D$33)*INDIRECT("'"&amp;$G$5&amp;"'!$D$37:$D$52")/(1+$W33/100)^INDIRECT("'"&amp;$G$5&amp;"'!$C$37:$C$52")),0))</f>
        <v>14073107.8966348</v>
      </c>
      <c r="Z33" s="135" t="n">
        <f aca="true">IF($G$6="",0,IFERROR($J$6+SUMPRODUCT((INDIRECT("'"&amp;$G$6&amp;"'!$C$37:$C$52")&lt;='General Information'!$D$33)*INDIRECT("'"&amp;$G$6&amp;"'!$D$37:$D$52")/(1+$W33/100)^INDIRECT("'"&amp;$G$6&amp;"'!$C$37:$C$52")),0))</f>
        <v>16952708.4120786</v>
      </c>
      <c r="AA33" s="135" t="n">
        <f aca="true">IF($G$7="",0,IFERROR($J$7+SUMPRODUCT((INDIRECT("'"&amp;$G$7&amp;"'!$C$37:$C$52")&lt;='General Information'!$D$33)*INDIRECT("'"&amp;$G$7&amp;"'!$D$37:$D$52")/(1+$W33/100)^INDIRECT("'"&amp;$G$7&amp;"'!$C$37:$C$52")),0))</f>
        <v>14643333.0546348</v>
      </c>
    </row>
    <row r="34" customFormat="false" ht="15" hidden="false" customHeight="false" outlineLevel="0" collapsed="false">
      <c r="W34" s="138" t="n">
        <v>7.5</v>
      </c>
      <c r="X34" s="135" t="n">
        <f aca="true">IF($G$4="",0,IFERROR($J$4+SUMPRODUCT((INDIRECT("'"&amp;$G$4&amp;"'!$C$37:$C$52")&lt;='General Information'!$D$33)*INDIRECT("'"&amp;$G$4&amp;"'!$D$37:$D$52")/(1+$W34/100)^INDIRECT("'"&amp;$G$4&amp;"'!$C$37:$C$52")),0))</f>
        <v>14581240.3947873</v>
      </c>
      <c r="Y34" s="135" t="n">
        <f aca="true">IF($G$5="",0,IFERROR($J$5+SUMPRODUCT((INDIRECT("'"&amp;$G$5&amp;"'!$C$37:$C$52")&lt;='General Information'!$D$33)*INDIRECT("'"&amp;$G$5&amp;"'!$D$37:$D$52")/(1+$W34/100)^INDIRECT("'"&amp;$G$5&amp;"'!$C$37:$C$52")),0))</f>
        <v>14068045.1764953</v>
      </c>
      <c r="Z34" s="135" t="n">
        <f aca="true">IF($G$6="",0,IFERROR($J$6+SUMPRODUCT((INDIRECT("'"&amp;$G$6&amp;"'!$C$37:$C$52")&lt;='General Information'!$D$33)*INDIRECT("'"&amp;$G$6&amp;"'!$D$37:$D$52")/(1+$W34/100)^INDIRECT("'"&amp;$G$6&amp;"'!$C$37:$C$52")),0))</f>
        <v>16880444.5947873</v>
      </c>
      <c r="AA34" s="135" t="n">
        <f aca="true">IF($G$7="",0,IFERROR($J$7+SUMPRODUCT((INDIRECT("'"&amp;$G$7&amp;"'!$C$37:$C$52")&lt;='General Information'!$D$33)*INDIRECT("'"&amp;$G$7&amp;"'!$D$37:$D$52")/(1+$W34/100)^INDIRECT("'"&amp;$G$7&amp;"'!$C$37:$C$52")),0))</f>
        <v>14639485.5489164</v>
      </c>
    </row>
    <row r="35" customFormat="false" ht="15" hidden="false" customHeight="false" outlineLevel="0" collapsed="false">
      <c r="W35" s="138" t="n">
        <v>7.75</v>
      </c>
      <c r="X35" s="135" t="n">
        <f aca="true">IF($G$4="",0,IFERROR($J$4+SUMPRODUCT((INDIRECT("'"&amp;$G$4&amp;"'!$C$37:$C$52")&lt;='General Information'!$D$33)*INDIRECT("'"&amp;$G$4&amp;"'!$D$37:$D$52")/(1+$W35/100)^INDIRECT("'"&amp;$G$4&amp;"'!$C$37:$C$52")),0))</f>
        <v>14511977.7909877</v>
      </c>
      <c r="Y35" s="135" t="n">
        <f aca="true">IF($G$5="",0,IFERROR($J$5+SUMPRODUCT((INDIRECT("'"&amp;$G$5&amp;"'!$C$37:$C$52")&lt;='General Information'!$D$33)*INDIRECT("'"&amp;$G$5&amp;"'!$D$37:$D$52")/(1+$W35/100)^INDIRECT("'"&amp;$G$5&amp;"'!$C$37:$C$52")),0))</f>
        <v>14062816.1663221</v>
      </c>
      <c r="Z35" s="135" t="n">
        <f aca="true">IF($G$6="",0,IFERROR($J$6+SUMPRODUCT((INDIRECT("'"&amp;$G$6&amp;"'!$C$37:$C$52")&lt;='General Information'!$D$33)*INDIRECT("'"&amp;$G$6&amp;"'!$D$37:$D$52")/(1+$W35/100)^INDIRECT("'"&amp;$G$6&amp;"'!$C$37:$C$52")),0))</f>
        <v>16811181.9909877</v>
      </c>
      <c r="AA35" s="135" t="n">
        <f aca="true">IF($G$7="",0,IFERROR($J$7+SUMPRODUCT((INDIRECT("'"&amp;$G$7&amp;"'!$C$37:$C$52")&lt;='General Information'!$D$33)*INDIRECT("'"&amp;$G$7&amp;"'!$D$37:$D$52")/(1+$W35/100)^INDIRECT("'"&amp;$G$7&amp;"'!$C$37:$C$52")),0))</f>
        <v>14635387.2269095</v>
      </c>
    </row>
    <row r="36" customFormat="false" ht="15" hidden="false" customHeight="false" outlineLevel="0" collapsed="false">
      <c r="W36" s="138" t="n">
        <v>8</v>
      </c>
      <c r="X36" s="135" t="n">
        <f aca="true">IF($G$4="",0,IFERROR($J$4+SUMPRODUCT((INDIRECT("'"&amp;$G$4&amp;"'!$C$37:$C$52")&lt;='General Information'!$D$33)*INDIRECT("'"&amp;$G$4&amp;"'!$D$37:$D$52")/(1+$W36/100)^INDIRECT("'"&amp;$G$4&amp;"'!$C$37:$C$52")),0))</f>
        <v>14445572.6633656</v>
      </c>
      <c r="Y36" s="135" t="n">
        <f aca="true">IF($G$5="",0,IFERROR($J$5+SUMPRODUCT((INDIRECT("'"&amp;$G$5&amp;"'!$C$37:$C$52")&lt;='General Information'!$D$33)*INDIRECT("'"&amp;$G$5&amp;"'!$D$37:$D$52")/(1+$W36/100)^INDIRECT("'"&amp;$G$5&amp;"'!$C$37:$C$52")),0))</f>
        <v>14057458.1595278</v>
      </c>
      <c r="Z36" s="135" t="n">
        <f aca="true">IF($G$6="",0,IFERROR($J$6+SUMPRODUCT((INDIRECT("'"&amp;$G$6&amp;"'!$C$37:$C$52")&lt;='General Information'!$D$33)*INDIRECT("'"&amp;$G$6&amp;"'!$D$37:$D$52")/(1+$W36/100)^INDIRECT("'"&amp;$G$6&amp;"'!$C$37:$C$52")),0))</f>
        <v>16744776.8633656</v>
      </c>
      <c r="AA36" s="135" t="n">
        <f aca="true">IF($G$7="",0,IFERROR($J$7+SUMPRODUCT((INDIRECT("'"&amp;$G$7&amp;"'!$C$37:$C$52")&lt;='General Information'!$D$33)*INDIRECT("'"&amp;$G$7&amp;"'!$D$37:$D$52")/(1+$W36/100)^INDIRECT("'"&amp;$G$7&amp;"'!$C$37:$C$52")),0))</f>
        <v>14631081.4373872</v>
      </c>
    </row>
    <row r="39" customFormat="false" ht="15" hidden="false" customHeight="false" outlineLevel="0" collapsed="false">
      <c r="W39" s="127" t="s">
        <v>721</v>
      </c>
    </row>
    <row r="40" customFormat="false" ht="15" hidden="false" customHeight="false" outlineLevel="0" collapsed="false">
      <c r="W40" s="129" t="s">
        <v>35</v>
      </c>
      <c r="X40" s="129" t="s">
        <v>722</v>
      </c>
      <c r="Y40" s="129" t="str">
        <f aca="false">IF(X$4="","",X$4&amp;" spend")</f>
        <v>Alternative 1 spend</v>
      </c>
      <c r="Z40" s="129" t="str">
        <f aca="false">IF(Y$4="","",Y$4&amp;" spend")</f>
        <v>Alternative 2 spend</v>
      </c>
      <c r="AA40" s="129" t="str">
        <f aca="false">IF(Z$4="","",Z$4&amp;" spend")</f>
        <v>Alternative 3 spend</v>
      </c>
      <c r="AB40" s="129" t="str">
        <f aca="false">IF(AA$4="","",AA$4&amp;" spend")</f>
        <v>Alternative 4 spend</v>
      </c>
      <c r="AC40" s="129" t="str">
        <f aca="false">IF(X$4="","",X$4&amp;" cumulative PW")</f>
        <v>Alternative 1 cumulative PW</v>
      </c>
      <c r="AD40" s="129" t="str">
        <f aca="false">IF(Y$4="","",Y$4&amp;" cumulative PW")</f>
        <v>Alternative 2 cumulative PW</v>
      </c>
      <c r="AE40" s="129" t="str">
        <f aca="false">IF(Z$4="","",Z$4&amp;" cumulative PW")</f>
        <v>Alternative 3 cumulative PW</v>
      </c>
      <c r="AF40" s="129" t="str">
        <f aca="false">IF(AA$4="","",AA$4&amp;" cumulative PW")</f>
        <v>Alternative 4 cumulative PW</v>
      </c>
      <c r="AG40" s="129" t="str">
        <f aca="false">IF(X$4="","",X$4&amp;" closure days")</f>
        <v>Alternative 1 closure days</v>
      </c>
      <c r="AH40" s="129" t="str">
        <f aca="false">IF(Y$4="","",Y$4&amp;" closure days")</f>
        <v>Alternative 2 closure days</v>
      </c>
      <c r="AI40" s="129" t="str">
        <f aca="false">IF(Z$4="","",Z$4&amp;" closure days")</f>
        <v>Alternative 3 closure days</v>
      </c>
      <c r="AJ40" s="129" t="str">
        <f aca="false">IF(AA$4="","",AA$4&amp;" closure days")</f>
        <v>Alternative 4 closure days</v>
      </c>
    </row>
    <row r="41" customFormat="false" ht="15" hidden="false" customHeight="false" outlineLevel="0" collapsed="false">
      <c r="W41" s="134" t="n">
        <v>0</v>
      </c>
      <c r="X41" s="134" t="n">
        <f aca="false">'General Information'!$D$25+W41</f>
        <v>2027</v>
      </c>
      <c r="Y41" s="135" t="n">
        <f aca="true">IF($G$4="",0,IF(W41&gt;'General Information'!$D$33,0,IF(W41=0,$J$4,IFERROR(SUMIF(INDIRECT("'"&amp;$G$4&amp;"'!$C$37:$C$52"),W41,INDIRECT("'"&amp;$G$4&amp;"'!$D$37:$D$52")),0))))</f>
        <v>12372457.4666667</v>
      </c>
      <c r="Z41" s="135" t="n">
        <f aca="true">IF($G$5="",0,IF(W41&gt;'General Information'!$D$33,0,IF(W41=0,$J$5,IFERROR(SUMIF(INDIRECT("'"&amp;$G$5&amp;"'!$C$37:$C$52"),W41,INDIRECT("'"&amp;$G$5&amp;"'!$D$37:$D$52")),0))))</f>
        <v>13830665.5166667</v>
      </c>
      <c r="AA41" s="135" t="n">
        <f aca="true">IF($G$6="",0,IF(W41&gt;'General Information'!$D$33,0,IF(W41=0,$J$6,IFERROR(SUMIF(INDIRECT("'"&amp;$G$6&amp;"'!$C$37:$C$52"),W41,INDIRECT("'"&amp;$G$6&amp;"'!$D$37:$D$52")),0))))</f>
        <v>14671661.6666667</v>
      </c>
      <c r="AB41" s="135" t="n">
        <f aca="true">IF($G$7="",0,IF(W41&gt;'General Information'!$D$33,0,IF(W41=0,$J$7,IFERROR(SUMIF(INDIRECT("'"&amp;$G$7&amp;"'!$C$37:$C$52"),W41,INDIRECT("'"&amp;$G$7&amp;"'!$D$37:$D$52")),0))))</f>
        <v>14418903.1666667</v>
      </c>
      <c r="AC41" s="135" t="n">
        <f aca="true">IF($G$4="",0,IF(W41&gt;'General Information'!$D$33,0,IF(W41=0,$J$4,IFERROR(SUMIF(INDIRECT("'"&amp;$G$4&amp;"'!$C$37:$C$52"),W41,INDIRECT("'"&amp;$G$4&amp;"'!$E$37:$E$52")),0))))</f>
        <v>12372457.4666667</v>
      </c>
      <c r="AD41" s="135" t="n">
        <f aca="true">IF($G$5="",0,IF(W41&gt;'General Information'!$D$33,0,IF(W41=0,$J$5,IFERROR(SUMIF(INDIRECT("'"&amp;$G$5&amp;"'!$C$37:$C$52"),W41,INDIRECT("'"&amp;$G$5&amp;"'!$E$37:$E$52")),0))))</f>
        <v>13830665.5166667</v>
      </c>
      <c r="AE41" s="135" t="n">
        <f aca="true">IF($G$6="",0,IF(W41&gt;'General Information'!$D$33,0,IF(W41=0,$J$6,IFERROR(SUMIF(INDIRECT("'"&amp;$G$6&amp;"'!$C$37:$C$52"),W41,INDIRECT("'"&amp;$G$6&amp;"'!$E$37:$E$52")),0))))</f>
        <v>14671661.6666667</v>
      </c>
      <c r="AF41" s="135" t="n">
        <f aca="true">IF($G$7="",0,IF(W41&gt;'General Information'!$D$33,0,IF(W41=0,$J$7,IFERROR(SUMIF(INDIRECT("'"&amp;$G$7&amp;"'!$C$37:$C$52"),W41,INDIRECT("'"&amp;$G$7&amp;"'!$E$37:$E$52")),0))))</f>
        <v>14418903.1666667</v>
      </c>
      <c r="AG41" s="148" t="n">
        <f aca="true">IF($G$4="",0,IF(W41&gt;'General Information'!$D$33,0,IFERROR(SUMIFS(INDIRECT("'"&amp;$G$4&amp;"'!$D$37:$D$52"),INDIRECT("'"&amp;$G$4&amp;"'!$C$37:$C$52"),W41,INDIRECT("'"&amp;$G$4&amp;"'!$B$37:$B$52"),"*Indirect*")/INDIRECT("'"&amp;$G$4&amp;"'!$F$2"),0)))</f>
        <v>0</v>
      </c>
      <c r="AH41" s="148" t="n">
        <f aca="true">IF($G$5="",0,IF(W41&gt;'General Information'!$D$33,0,IFERROR(SUMIFS(INDIRECT("'"&amp;$G$5&amp;"'!$D$37:$D$52"),INDIRECT("'"&amp;$G$5&amp;"'!$C$37:$C$52"),W41,INDIRECT("'"&amp;$G$5&amp;"'!$B$37:$B$52"),"*Indirect*")/INDIRECT("'"&amp;$G$5&amp;"'!$F$2"),0)))</f>
        <v>0</v>
      </c>
      <c r="AI41" s="148" t="n">
        <f aca="true">IF($G$6="",0,IF(W41&gt;'General Information'!$D$33,0,IFERROR(SUMIFS(INDIRECT("'"&amp;$G$6&amp;"'!$D$37:$D$52"),INDIRECT("'"&amp;$G$6&amp;"'!$C$37:$C$52"),W41,INDIRECT("'"&amp;$G$6&amp;"'!$B$37:$B$52"),"*Indirect*")/INDIRECT("'"&amp;$G$6&amp;"'!$F$2"),0)))</f>
        <v>0</v>
      </c>
      <c r="AJ41" s="148" t="n">
        <f aca="true">IF($G$7="",0,IF(W41&gt;'General Information'!$D$33,0,IFERROR(SUMIFS(INDIRECT("'"&amp;$G$7&amp;"'!$D$37:$D$52"),INDIRECT("'"&amp;$G$7&amp;"'!$C$37:$C$52"),W41,INDIRECT("'"&amp;$G$7&amp;"'!$B$37:$B$52"),"*Indirect*")/INDIRECT("'"&amp;$G$7&amp;"'!$F$2"),0)))</f>
        <v>0</v>
      </c>
    </row>
    <row r="42" customFormat="false" ht="15" hidden="false" customHeight="false" outlineLevel="0" collapsed="false">
      <c r="W42" s="134" t="n">
        <v>1</v>
      </c>
      <c r="X42" s="134" t="n">
        <f aca="false">'General Information'!$D$25+W42</f>
        <v>2028</v>
      </c>
      <c r="Y42" s="135" t="n">
        <f aca="true">IF($G$4="",0,IF(W42&gt;'General Information'!$D$33,0,IF(W42=0,$J$4,IFERROR(SUMIF(INDIRECT("'"&amp;$G$4&amp;"'!$C$37:$C$52"),W42,INDIRECT("'"&amp;$G$4&amp;"'!$D$37:$D$52")),0))))</f>
        <v>0</v>
      </c>
      <c r="Z42" s="135" t="n">
        <f aca="true">IF($G$5="",0,IF(W42&gt;'General Information'!$D$33,0,IF(W42=0,$J$5,IFERROR(SUMIF(INDIRECT("'"&amp;$G$5&amp;"'!$C$37:$C$52"),W42,INDIRECT("'"&amp;$G$5&amp;"'!$D$37:$D$52")),0))))</f>
        <v>0</v>
      </c>
      <c r="AA42" s="135" t="n">
        <f aca="true">IF($G$6="",0,IF(W42&gt;'General Information'!$D$33,0,IF(W42=0,$J$6,IFERROR(SUMIF(INDIRECT("'"&amp;$G$6&amp;"'!$C$37:$C$52"),W42,INDIRECT("'"&amp;$G$6&amp;"'!$D$37:$D$52")),0))))</f>
        <v>0</v>
      </c>
      <c r="AB42" s="135" t="n">
        <f aca="true">IF($G$7="",0,IF(W42&gt;'General Information'!$D$33,0,IF(W42=0,$J$7,IFERROR(SUMIF(INDIRECT("'"&amp;$G$7&amp;"'!$C$37:$C$52"),W42,INDIRECT("'"&amp;$G$7&amp;"'!$D$37:$D$52")),0))))</f>
        <v>0</v>
      </c>
      <c r="AC42" s="135" t="n">
        <f aca="true">IF($G$4="",0,AC41+IF(W42&gt;'General Information'!$D$33,0,IF(W42=0,$J$4,IFERROR(SUMIF(INDIRECT("'"&amp;$G$4&amp;"'!$C$37:$C$52"),W42,INDIRECT("'"&amp;$G$4&amp;"'!$E$37:$E$52")),0))))</f>
        <v>12372457.4666667</v>
      </c>
      <c r="AD42" s="135" t="n">
        <f aca="true">IF($G$5="",0,AD41+IF(W42&gt;'General Information'!$D$33,0,IF(W42=0,$J$5,IFERROR(SUMIF(INDIRECT("'"&amp;$G$5&amp;"'!$C$37:$C$52"),W42,INDIRECT("'"&amp;$G$5&amp;"'!$E$37:$E$52")),0))))</f>
        <v>13830665.5166667</v>
      </c>
      <c r="AE42" s="135" t="n">
        <f aca="true">IF($G$6="",0,AE41+IF(W42&gt;'General Information'!$D$33,0,IF(W42=0,$J$6,IFERROR(SUMIF(INDIRECT("'"&amp;$G$6&amp;"'!$C$37:$C$52"),W42,INDIRECT("'"&amp;$G$6&amp;"'!$E$37:$E$52")),0))))</f>
        <v>14671661.6666667</v>
      </c>
      <c r="AF42" s="135" t="n">
        <f aca="true">IF($G$7="",0,AF41+IF(W42&gt;'General Information'!$D$33,0,IF(W42=0,$J$7,IFERROR(SUMIF(INDIRECT("'"&amp;$G$7&amp;"'!$C$37:$C$52"),W42,INDIRECT("'"&amp;$G$7&amp;"'!$E$37:$E$52")),0))))</f>
        <v>14418903.1666667</v>
      </c>
      <c r="AG42" s="148" t="n">
        <f aca="true">IF($G$4="",0,IF(W42&gt;'General Information'!$D$33,0,IFERROR(SUMIFS(INDIRECT("'"&amp;$G$4&amp;"'!$D$37:$D$52"),INDIRECT("'"&amp;$G$4&amp;"'!$C$37:$C$52"),W42,INDIRECT("'"&amp;$G$4&amp;"'!$B$37:$B$52"),"*Indirect*")/INDIRECT("'"&amp;$G$4&amp;"'!$F$2"),0)))</f>
        <v>0</v>
      </c>
      <c r="AH42" s="148" t="n">
        <f aca="true">IF($G$5="",0,IF(W42&gt;'General Information'!$D$33,0,IFERROR(SUMIFS(INDIRECT("'"&amp;$G$5&amp;"'!$D$37:$D$52"),INDIRECT("'"&amp;$G$5&amp;"'!$C$37:$C$52"),W42,INDIRECT("'"&amp;$G$5&amp;"'!$B$37:$B$52"),"*Indirect*")/INDIRECT("'"&amp;$G$5&amp;"'!$F$2"),0)))</f>
        <v>0</v>
      </c>
      <c r="AI42" s="148" t="n">
        <f aca="true">IF($G$6="",0,IF(W42&gt;'General Information'!$D$33,0,IFERROR(SUMIFS(INDIRECT("'"&amp;$G$6&amp;"'!$D$37:$D$52"),INDIRECT("'"&amp;$G$6&amp;"'!$C$37:$C$52"),W42,INDIRECT("'"&amp;$G$6&amp;"'!$B$37:$B$52"),"*Indirect*")/INDIRECT("'"&amp;$G$6&amp;"'!$F$2"),0)))</f>
        <v>0</v>
      </c>
      <c r="AJ42" s="148" t="n">
        <f aca="true">IF($G$7="",0,IF(W42&gt;'General Information'!$D$33,0,IFERROR(SUMIFS(INDIRECT("'"&amp;$G$7&amp;"'!$D$37:$D$52"),INDIRECT("'"&amp;$G$7&amp;"'!$C$37:$C$52"),W42,INDIRECT("'"&amp;$G$7&amp;"'!$B$37:$B$52"),"*Indirect*")/INDIRECT("'"&amp;$G$7&amp;"'!$F$2"),0)))</f>
        <v>0</v>
      </c>
    </row>
    <row r="43" customFormat="false" ht="15" hidden="false" customHeight="false" outlineLevel="0" collapsed="false">
      <c r="W43" s="134" t="n">
        <v>2</v>
      </c>
      <c r="X43" s="134" t="n">
        <f aca="false">'General Information'!$D$25+W43</f>
        <v>2029</v>
      </c>
      <c r="Y43" s="135" t="n">
        <f aca="true">IF($G$4="",0,IF(W43&gt;'General Information'!$D$33,0,IF(W43=0,$J$4,IFERROR(SUMIF(INDIRECT("'"&amp;$G$4&amp;"'!$C$37:$C$52"),W43,INDIRECT("'"&amp;$G$4&amp;"'!$D$37:$D$52")),0))))</f>
        <v>0</v>
      </c>
      <c r="Z43" s="135" t="n">
        <f aca="true">IF($G$5="",0,IF(W43&gt;'General Information'!$D$33,0,IF(W43=0,$J$5,IFERROR(SUMIF(INDIRECT("'"&amp;$G$5&amp;"'!$C$37:$C$52"),W43,INDIRECT("'"&amp;$G$5&amp;"'!$D$37:$D$52")),0))))</f>
        <v>0</v>
      </c>
      <c r="AA43" s="135" t="n">
        <f aca="true">IF($G$6="",0,IF(W43&gt;'General Information'!$D$33,0,IF(W43=0,$J$6,IFERROR(SUMIF(INDIRECT("'"&amp;$G$6&amp;"'!$C$37:$C$52"),W43,INDIRECT("'"&amp;$G$6&amp;"'!$D$37:$D$52")),0))))</f>
        <v>0</v>
      </c>
      <c r="AB43" s="135" t="n">
        <f aca="true">IF($G$7="",0,IF(W43&gt;'General Information'!$D$33,0,IF(W43=0,$J$7,IFERROR(SUMIF(INDIRECT("'"&amp;$G$7&amp;"'!$C$37:$C$52"),W43,INDIRECT("'"&amp;$G$7&amp;"'!$D$37:$D$52")),0))))</f>
        <v>0</v>
      </c>
      <c r="AC43" s="135" t="n">
        <f aca="true">IF($G$4="",0,AC42+IF(W43&gt;'General Information'!$D$33,0,IF(W43=0,$J$4,IFERROR(SUMIF(INDIRECT("'"&amp;$G$4&amp;"'!$C$37:$C$52"),W43,INDIRECT("'"&amp;$G$4&amp;"'!$E$37:$E$52")),0))))</f>
        <v>12372457.4666667</v>
      </c>
      <c r="AD43" s="135" t="n">
        <f aca="true">IF($G$5="",0,AD42+IF(W43&gt;'General Information'!$D$33,0,IF(W43=0,$J$5,IFERROR(SUMIF(INDIRECT("'"&amp;$G$5&amp;"'!$C$37:$C$52"),W43,INDIRECT("'"&amp;$G$5&amp;"'!$E$37:$E$52")),0))))</f>
        <v>13830665.5166667</v>
      </c>
      <c r="AE43" s="135" t="n">
        <f aca="true">IF($G$6="",0,AE42+IF(W43&gt;'General Information'!$D$33,0,IF(W43=0,$J$6,IFERROR(SUMIF(INDIRECT("'"&amp;$G$6&amp;"'!$C$37:$C$52"),W43,INDIRECT("'"&amp;$G$6&amp;"'!$E$37:$E$52")),0))))</f>
        <v>14671661.6666667</v>
      </c>
      <c r="AF43" s="135" t="n">
        <f aca="true">IF($G$7="",0,AF42+IF(W43&gt;'General Information'!$D$33,0,IF(W43=0,$J$7,IFERROR(SUMIF(INDIRECT("'"&amp;$G$7&amp;"'!$C$37:$C$52"),W43,INDIRECT("'"&amp;$G$7&amp;"'!$E$37:$E$52")),0))))</f>
        <v>14418903.1666667</v>
      </c>
      <c r="AG43" s="148" t="n">
        <f aca="true">IF($G$4="",0,IF(W43&gt;'General Information'!$D$33,0,IFERROR(SUMIFS(INDIRECT("'"&amp;$G$4&amp;"'!$D$37:$D$52"),INDIRECT("'"&amp;$G$4&amp;"'!$C$37:$C$52"),W43,INDIRECT("'"&amp;$G$4&amp;"'!$B$37:$B$52"),"*Indirect*")/INDIRECT("'"&amp;$G$4&amp;"'!$F$2"),0)))</f>
        <v>0</v>
      </c>
      <c r="AH43" s="148" t="n">
        <f aca="true">IF($G$5="",0,IF(W43&gt;'General Information'!$D$33,0,IFERROR(SUMIFS(INDIRECT("'"&amp;$G$5&amp;"'!$D$37:$D$52"),INDIRECT("'"&amp;$G$5&amp;"'!$C$37:$C$52"),W43,INDIRECT("'"&amp;$G$5&amp;"'!$B$37:$B$52"),"*Indirect*")/INDIRECT("'"&amp;$G$5&amp;"'!$F$2"),0)))</f>
        <v>0</v>
      </c>
      <c r="AI43" s="148" t="n">
        <f aca="true">IF($G$6="",0,IF(W43&gt;'General Information'!$D$33,0,IFERROR(SUMIFS(INDIRECT("'"&amp;$G$6&amp;"'!$D$37:$D$52"),INDIRECT("'"&amp;$G$6&amp;"'!$C$37:$C$52"),W43,INDIRECT("'"&amp;$G$6&amp;"'!$B$37:$B$52"),"*Indirect*")/INDIRECT("'"&amp;$G$6&amp;"'!$F$2"),0)))</f>
        <v>0</v>
      </c>
      <c r="AJ43" s="148" t="n">
        <f aca="true">IF($G$7="",0,IF(W43&gt;'General Information'!$D$33,0,IFERROR(SUMIFS(INDIRECT("'"&amp;$G$7&amp;"'!$D$37:$D$52"),INDIRECT("'"&amp;$G$7&amp;"'!$C$37:$C$52"),W43,INDIRECT("'"&amp;$G$7&amp;"'!$B$37:$B$52"),"*Indirect*")/INDIRECT("'"&amp;$G$7&amp;"'!$F$2"),0)))</f>
        <v>0</v>
      </c>
    </row>
    <row r="44" customFormat="false" ht="15" hidden="false" customHeight="false" outlineLevel="0" collapsed="false">
      <c r="W44" s="134" t="n">
        <v>3</v>
      </c>
      <c r="X44" s="134" t="n">
        <f aca="false">'General Information'!$D$25+W44</f>
        <v>2030</v>
      </c>
      <c r="Y44" s="135" t="n">
        <f aca="true">IF($G$4="",0,IF(W44&gt;'General Information'!$D$33,0,IF(W44=0,$J$4,IFERROR(SUMIF(INDIRECT("'"&amp;$G$4&amp;"'!$C$37:$C$52"),W44,INDIRECT("'"&amp;$G$4&amp;"'!$D$37:$D$52")),0))))</f>
        <v>0</v>
      </c>
      <c r="Z44" s="135" t="n">
        <f aca="true">IF($G$5="",0,IF(W44&gt;'General Information'!$D$33,0,IF(W44=0,$J$5,IFERROR(SUMIF(INDIRECT("'"&amp;$G$5&amp;"'!$C$37:$C$52"),W44,INDIRECT("'"&amp;$G$5&amp;"'!$D$37:$D$52")),0))))</f>
        <v>0</v>
      </c>
      <c r="AA44" s="135" t="n">
        <f aca="true">IF($G$6="",0,IF(W44&gt;'General Information'!$D$33,0,IF(W44=0,$J$6,IFERROR(SUMIF(INDIRECT("'"&amp;$G$6&amp;"'!$C$37:$C$52"),W44,INDIRECT("'"&amp;$G$6&amp;"'!$D$37:$D$52")),0))))</f>
        <v>0</v>
      </c>
      <c r="AB44" s="135" t="n">
        <f aca="true">IF($G$7="",0,IF(W44&gt;'General Information'!$D$33,0,IF(W44=0,$J$7,IFERROR(SUMIF(INDIRECT("'"&amp;$G$7&amp;"'!$C$37:$C$52"),W44,INDIRECT("'"&amp;$G$7&amp;"'!$D$37:$D$52")),0))))</f>
        <v>0</v>
      </c>
      <c r="AC44" s="135" t="n">
        <f aca="true">IF($G$4="",0,AC43+IF(W44&gt;'General Information'!$D$33,0,IF(W44=0,$J$4,IFERROR(SUMIF(INDIRECT("'"&amp;$G$4&amp;"'!$C$37:$C$52"),W44,INDIRECT("'"&amp;$G$4&amp;"'!$E$37:$E$52")),0))))</f>
        <v>12372457.4666667</v>
      </c>
      <c r="AD44" s="135" t="n">
        <f aca="true">IF($G$5="",0,AD43+IF(W44&gt;'General Information'!$D$33,0,IF(W44=0,$J$5,IFERROR(SUMIF(INDIRECT("'"&amp;$G$5&amp;"'!$C$37:$C$52"),W44,INDIRECT("'"&amp;$G$5&amp;"'!$E$37:$E$52")),0))))</f>
        <v>13830665.5166667</v>
      </c>
      <c r="AE44" s="135" t="n">
        <f aca="true">IF($G$6="",0,AE43+IF(W44&gt;'General Information'!$D$33,0,IF(W44=0,$J$6,IFERROR(SUMIF(INDIRECT("'"&amp;$G$6&amp;"'!$C$37:$C$52"),W44,INDIRECT("'"&amp;$G$6&amp;"'!$E$37:$E$52")),0))))</f>
        <v>14671661.6666667</v>
      </c>
      <c r="AF44" s="135" t="n">
        <f aca="true">IF($G$7="",0,AF43+IF(W44&gt;'General Information'!$D$33,0,IF(W44=0,$J$7,IFERROR(SUMIF(INDIRECT("'"&amp;$G$7&amp;"'!$C$37:$C$52"),W44,INDIRECT("'"&amp;$G$7&amp;"'!$E$37:$E$52")),0))))</f>
        <v>14418903.1666667</v>
      </c>
      <c r="AG44" s="148" t="n">
        <f aca="true">IF($G$4="",0,IF(W44&gt;'General Information'!$D$33,0,IFERROR(SUMIFS(INDIRECT("'"&amp;$G$4&amp;"'!$D$37:$D$52"),INDIRECT("'"&amp;$G$4&amp;"'!$C$37:$C$52"),W44,INDIRECT("'"&amp;$G$4&amp;"'!$B$37:$B$52"),"*Indirect*")/INDIRECT("'"&amp;$G$4&amp;"'!$F$2"),0)))</f>
        <v>0</v>
      </c>
      <c r="AH44" s="148" t="n">
        <f aca="true">IF($G$5="",0,IF(W44&gt;'General Information'!$D$33,0,IFERROR(SUMIFS(INDIRECT("'"&amp;$G$5&amp;"'!$D$37:$D$52"),INDIRECT("'"&amp;$G$5&amp;"'!$C$37:$C$52"),W44,INDIRECT("'"&amp;$G$5&amp;"'!$B$37:$B$52"),"*Indirect*")/INDIRECT("'"&amp;$G$5&amp;"'!$F$2"),0)))</f>
        <v>0</v>
      </c>
      <c r="AI44" s="148" t="n">
        <f aca="true">IF($G$6="",0,IF(W44&gt;'General Information'!$D$33,0,IFERROR(SUMIFS(INDIRECT("'"&amp;$G$6&amp;"'!$D$37:$D$52"),INDIRECT("'"&amp;$G$6&amp;"'!$C$37:$C$52"),W44,INDIRECT("'"&amp;$G$6&amp;"'!$B$37:$B$52"),"*Indirect*")/INDIRECT("'"&amp;$G$6&amp;"'!$F$2"),0)))</f>
        <v>0</v>
      </c>
      <c r="AJ44" s="148" t="n">
        <f aca="true">IF($G$7="",0,IF(W44&gt;'General Information'!$D$33,0,IFERROR(SUMIFS(INDIRECT("'"&amp;$G$7&amp;"'!$D$37:$D$52"),INDIRECT("'"&amp;$G$7&amp;"'!$C$37:$C$52"),W44,INDIRECT("'"&amp;$G$7&amp;"'!$B$37:$B$52"),"*Indirect*")/INDIRECT("'"&amp;$G$7&amp;"'!$F$2"),0)))</f>
        <v>0</v>
      </c>
    </row>
    <row r="45" customFormat="false" ht="15" hidden="false" customHeight="false" outlineLevel="0" collapsed="false">
      <c r="W45" s="134" t="n">
        <v>4</v>
      </c>
      <c r="X45" s="134" t="n">
        <f aca="false">'General Information'!$D$25+W45</f>
        <v>2031</v>
      </c>
      <c r="Y45" s="135" t="n">
        <f aca="true">IF($G$4="",0,IF(W45&gt;'General Information'!$D$33,0,IF(W45=0,$J$4,IFERROR(SUMIF(INDIRECT("'"&amp;$G$4&amp;"'!$C$37:$C$52"),W45,INDIRECT("'"&amp;$G$4&amp;"'!$D$37:$D$52")),0))))</f>
        <v>586968.977777778</v>
      </c>
      <c r="Z45" s="135" t="n">
        <f aca="true">IF($G$5="",0,IF(W45&gt;'General Information'!$D$33,0,IF(W45=0,$J$5,IFERROR(SUMIF(INDIRECT("'"&amp;$G$5&amp;"'!$C$37:$C$52"),W45,INDIRECT("'"&amp;$G$5&amp;"'!$D$37:$D$52")),0))))</f>
        <v>0</v>
      </c>
      <c r="AA45" s="135" t="n">
        <f aca="true">IF($G$6="",0,IF(W45&gt;'General Information'!$D$33,0,IF(W45=0,$J$6,IFERROR(SUMIF(INDIRECT("'"&amp;$G$6&amp;"'!$C$37:$C$52"),W45,INDIRECT("'"&amp;$G$6&amp;"'!$D$37:$D$52")),0))))</f>
        <v>586968.977777778</v>
      </c>
      <c r="AB45" s="135" t="n">
        <f aca="true">IF($G$7="",0,IF(W45&gt;'General Information'!$D$33,0,IF(W45=0,$J$7,IFERROR(SUMIF(INDIRECT("'"&amp;$G$7&amp;"'!$C$37:$C$52"),W45,INDIRECT("'"&amp;$G$7&amp;"'!$D$37:$D$52")),0))))</f>
        <v>0</v>
      </c>
      <c r="AC45" s="135" t="n">
        <f aca="true">IF($G$4="",0,AC44+IF(W45&gt;'General Information'!$D$33,0,IF(W45=0,$J$4,IFERROR(SUMIF(INDIRECT("'"&amp;$G$4&amp;"'!$C$37:$C$52"),W45,INDIRECT("'"&amp;$G$4&amp;"'!$E$37:$E$52")),0))))</f>
        <v>12893971.8009505</v>
      </c>
      <c r="AD45" s="135" t="n">
        <f aca="true">IF($G$5="",0,AD44+IF(W45&gt;'General Information'!$D$33,0,IF(W45=0,$J$5,IFERROR(SUMIF(INDIRECT("'"&amp;$G$5&amp;"'!$C$37:$C$52"),W45,INDIRECT("'"&amp;$G$5&amp;"'!$E$37:$E$52")),0))))</f>
        <v>13830665.5166667</v>
      </c>
      <c r="AE45" s="135" t="n">
        <f aca="true">IF($G$6="",0,AE44+IF(W45&gt;'General Information'!$D$33,0,IF(W45=0,$J$6,IFERROR(SUMIF(INDIRECT("'"&amp;$G$6&amp;"'!$C$37:$C$52"),W45,INDIRECT("'"&amp;$G$6&amp;"'!$E$37:$E$52")),0))))</f>
        <v>15193176.0009505</v>
      </c>
      <c r="AF45" s="135" t="n">
        <f aca="true">IF($G$7="",0,AF44+IF(W45&gt;'General Information'!$D$33,0,IF(W45=0,$J$7,IFERROR(SUMIF(INDIRECT("'"&amp;$G$7&amp;"'!$C$37:$C$52"),W45,INDIRECT("'"&amp;$G$7&amp;"'!$E$37:$E$52")),0))))</f>
        <v>14418903.1666667</v>
      </c>
      <c r="AG45" s="148" t="n">
        <f aca="true">IF($G$4="",0,IF(W45&gt;'General Information'!$D$33,0,IFERROR(SUMIFS(INDIRECT("'"&amp;$G$4&amp;"'!$D$37:$D$52"),INDIRECT("'"&amp;$G$4&amp;"'!$C$37:$C$52"),W45,INDIRECT("'"&amp;$G$4&amp;"'!$B$37:$B$52"),"*Indirect*")/INDIRECT("'"&amp;$G$4&amp;"'!$F$2"),0)))</f>
        <v>10</v>
      </c>
      <c r="AH45" s="148" t="n">
        <f aca="true">IF($G$5="",0,IF(W45&gt;'General Information'!$D$33,0,IFERROR(SUMIFS(INDIRECT("'"&amp;$G$5&amp;"'!$D$37:$D$52"),INDIRECT("'"&amp;$G$5&amp;"'!$C$37:$C$52"),W45,INDIRECT("'"&amp;$G$5&amp;"'!$B$37:$B$52"),"*Indirect*")/INDIRECT("'"&amp;$G$5&amp;"'!$F$2"),0)))</f>
        <v>0</v>
      </c>
      <c r="AI45" s="148" t="n">
        <f aca="true">IF($G$6="",0,IF(W45&gt;'General Information'!$D$33,0,IFERROR(SUMIFS(INDIRECT("'"&amp;$G$6&amp;"'!$D$37:$D$52"),INDIRECT("'"&amp;$G$6&amp;"'!$C$37:$C$52"),W45,INDIRECT("'"&amp;$G$6&amp;"'!$B$37:$B$52"),"*Indirect*")/INDIRECT("'"&amp;$G$6&amp;"'!$F$2"),0)))</f>
        <v>10</v>
      </c>
      <c r="AJ45" s="148" t="n">
        <f aca="true">IF($G$7="",0,IF(W45&gt;'General Information'!$D$33,0,IFERROR(SUMIFS(INDIRECT("'"&amp;$G$7&amp;"'!$D$37:$D$52"),INDIRECT("'"&amp;$G$7&amp;"'!$C$37:$C$52"),W45,INDIRECT("'"&amp;$G$7&amp;"'!$B$37:$B$52"),"*Indirect*")/INDIRECT("'"&amp;$G$7&amp;"'!$F$2"),0)))</f>
        <v>0</v>
      </c>
    </row>
    <row r="46" customFormat="false" ht="15" hidden="false" customHeight="false" outlineLevel="0" collapsed="false">
      <c r="W46" s="134" t="n">
        <v>5</v>
      </c>
      <c r="X46" s="134" t="n">
        <f aca="false">'General Information'!$D$25+W46</f>
        <v>2032</v>
      </c>
      <c r="Y46" s="135" t="n">
        <f aca="true">IF($G$4="",0,IF(W46&gt;'General Information'!$D$33,0,IF(W46=0,$J$4,IFERROR(SUMIF(INDIRECT("'"&amp;$G$4&amp;"'!$C$37:$C$52"),W46,INDIRECT("'"&amp;$G$4&amp;"'!$D$37:$D$52")),0))))</f>
        <v>0</v>
      </c>
      <c r="Z46" s="135" t="n">
        <f aca="true">IF($G$5="",0,IF(W46&gt;'General Information'!$D$33,0,IF(W46=0,$J$5,IFERROR(SUMIF(INDIRECT("'"&amp;$G$5&amp;"'!$C$37:$C$52"),W46,INDIRECT("'"&amp;$G$5&amp;"'!$D$37:$D$52")),0))))</f>
        <v>0</v>
      </c>
      <c r="AA46" s="135" t="n">
        <f aca="true">IF($G$6="",0,IF(W46&gt;'General Information'!$D$33,0,IF(W46=0,$J$6,IFERROR(SUMIF(INDIRECT("'"&amp;$G$6&amp;"'!$C$37:$C$52"),W46,INDIRECT("'"&amp;$G$6&amp;"'!$D$37:$D$52")),0))))</f>
        <v>0</v>
      </c>
      <c r="AB46" s="135" t="n">
        <f aca="true">IF($G$7="",0,IF(W46&gt;'General Information'!$D$33,0,IF(W46=0,$J$7,IFERROR(SUMIF(INDIRECT("'"&amp;$G$7&amp;"'!$C$37:$C$52"),W46,INDIRECT("'"&amp;$G$7&amp;"'!$D$37:$D$52")),0))))</f>
        <v>0</v>
      </c>
      <c r="AC46" s="135" t="n">
        <f aca="true">IF($G$4="",0,AC45+IF(W46&gt;'General Information'!$D$33,0,IF(W46=0,$J$4,IFERROR(SUMIF(INDIRECT("'"&amp;$G$4&amp;"'!$C$37:$C$52"),W46,INDIRECT("'"&amp;$G$4&amp;"'!$E$37:$E$52")),0))))</f>
        <v>12893971.8009505</v>
      </c>
      <c r="AD46" s="135" t="n">
        <f aca="true">IF($G$5="",0,AD45+IF(W46&gt;'General Information'!$D$33,0,IF(W46=0,$J$5,IFERROR(SUMIF(INDIRECT("'"&amp;$G$5&amp;"'!$C$37:$C$52"),W46,INDIRECT("'"&amp;$G$5&amp;"'!$E$37:$E$52")),0))))</f>
        <v>13830665.5166667</v>
      </c>
      <c r="AE46" s="135" t="n">
        <f aca="true">IF($G$6="",0,AE45+IF(W46&gt;'General Information'!$D$33,0,IF(W46=0,$J$6,IFERROR(SUMIF(INDIRECT("'"&amp;$G$6&amp;"'!$C$37:$C$52"),W46,INDIRECT("'"&amp;$G$6&amp;"'!$E$37:$E$52")),0))))</f>
        <v>15193176.0009505</v>
      </c>
      <c r="AF46" s="135" t="n">
        <f aca="true">IF($G$7="",0,AF45+IF(W46&gt;'General Information'!$D$33,0,IF(W46=0,$J$7,IFERROR(SUMIF(INDIRECT("'"&amp;$G$7&amp;"'!$C$37:$C$52"),W46,INDIRECT("'"&amp;$G$7&amp;"'!$E$37:$E$52")),0))))</f>
        <v>14418903.1666667</v>
      </c>
      <c r="AG46" s="148" t="n">
        <f aca="true">IF($G$4="",0,IF(W46&gt;'General Information'!$D$33,0,IFERROR(SUMIFS(INDIRECT("'"&amp;$G$4&amp;"'!$D$37:$D$52"),INDIRECT("'"&amp;$G$4&amp;"'!$C$37:$C$52"),W46,INDIRECT("'"&amp;$G$4&amp;"'!$B$37:$B$52"),"*Indirect*")/INDIRECT("'"&amp;$G$4&amp;"'!$F$2"),0)))</f>
        <v>0</v>
      </c>
      <c r="AH46" s="148" t="n">
        <f aca="true">IF($G$5="",0,IF(W46&gt;'General Information'!$D$33,0,IFERROR(SUMIFS(INDIRECT("'"&amp;$G$5&amp;"'!$D$37:$D$52"),INDIRECT("'"&amp;$G$5&amp;"'!$C$37:$C$52"),W46,INDIRECT("'"&amp;$G$5&amp;"'!$B$37:$B$52"),"*Indirect*")/INDIRECT("'"&amp;$G$5&amp;"'!$F$2"),0)))</f>
        <v>0</v>
      </c>
      <c r="AI46" s="148" t="n">
        <f aca="true">IF($G$6="",0,IF(W46&gt;'General Information'!$D$33,0,IFERROR(SUMIFS(INDIRECT("'"&amp;$G$6&amp;"'!$D$37:$D$52"),INDIRECT("'"&amp;$G$6&amp;"'!$C$37:$C$52"),W46,INDIRECT("'"&amp;$G$6&amp;"'!$B$37:$B$52"),"*Indirect*")/INDIRECT("'"&amp;$G$6&amp;"'!$F$2"),0)))</f>
        <v>0</v>
      </c>
      <c r="AJ46" s="148" t="n">
        <f aca="true">IF($G$7="",0,IF(W46&gt;'General Information'!$D$33,0,IFERROR(SUMIFS(INDIRECT("'"&amp;$G$7&amp;"'!$D$37:$D$52"),INDIRECT("'"&amp;$G$7&amp;"'!$C$37:$C$52"),W46,INDIRECT("'"&amp;$G$7&amp;"'!$B$37:$B$52"),"*Indirect*")/INDIRECT("'"&amp;$G$7&amp;"'!$F$2"),0)))</f>
        <v>0</v>
      </c>
    </row>
    <row r="47" customFormat="false" ht="15" hidden="false" customHeight="false" outlineLevel="0" collapsed="false">
      <c r="W47" s="134" t="n">
        <v>6</v>
      </c>
      <c r="X47" s="134" t="n">
        <f aca="false">'General Information'!$D$25+W47</f>
        <v>2033</v>
      </c>
      <c r="Y47" s="135" t="n">
        <f aca="true">IF($G$4="",0,IF(W47&gt;'General Information'!$D$33,0,IF(W47=0,$J$4,IFERROR(SUMIF(INDIRECT("'"&amp;$G$4&amp;"'!$C$37:$C$52"),W47,INDIRECT("'"&amp;$G$4&amp;"'!$D$37:$D$52")),0))))</f>
        <v>0</v>
      </c>
      <c r="Z47" s="135" t="n">
        <f aca="true">IF($G$5="",0,IF(W47&gt;'General Information'!$D$33,0,IF(W47=0,$J$5,IFERROR(SUMIF(INDIRECT("'"&amp;$G$5&amp;"'!$C$37:$C$52"),W47,INDIRECT("'"&amp;$G$5&amp;"'!$D$37:$D$52")),0))))</f>
        <v>0</v>
      </c>
      <c r="AA47" s="135" t="n">
        <f aca="true">IF($G$6="",0,IF(W47&gt;'General Information'!$D$33,0,IF(W47=0,$J$6,IFERROR(SUMIF(INDIRECT("'"&amp;$G$6&amp;"'!$C$37:$C$52"),W47,INDIRECT("'"&amp;$G$6&amp;"'!$D$37:$D$52")),0))))</f>
        <v>0</v>
      </c>
      <c r="AB47" s="135" t="n">
        <f aca="true">IF($G$7="",0,IF(W47&gt;'General Information'!$D$33,0,IF(W47=0,$J$7,IFERROR(SUMIF(INDIRECT("'"&amp;$G$7&amp;"'!$C$37:$C$52"),W47,INDIRECT("'"&amp;$G$7&amp;"'!$D$37:$D$52")),0))))</f>
        <v>0</v>
      </c>
      <c r="AC47" s="135" t="n">
        <f aca="true">IF($G$4="",0,AC46+IF(W47&gt;'General Information'!$D$33,0,IF(W47=0,$J$4,IFERROR(SUMIF(INDIRECT("'"&amp;$G$4&amp;"'!$C$37:$C$52"),W47,INDIRECT("'"&amp;$G$4&amp;"'!$E$37:$E$52")),0))))</f>
        <v>12893971.8009505</v>
      </c>
      <c r="AD47" s="135" t="n">
        <f aca="true">IF($G$5="",0,AD46+IF(W47&gt;'General Information'!$D$33,0,IF(W47=0,$J$5,IFERROR(SUMIF(INDIRECT("'"&amp;$G$5&amp;"'!$C$37:$C$52"),W47,INDIRECT("'"&amp;$G$5&amp;"'!$E$37:$E$52")),0))))</f>
        <v>13830665.5166667</v>
      </c>
      <c r="AE47" s="135" t="n">
        <f aca="true">IF($G$6="",0,AE46+IF(W47&gt;'General Information'!$D$33,0,IF(W47=0,$J$6,IFERROR(SUMIF(INDIRECT("'"&amp;$G$6&amp;"'!$C$37:$C$52"),W47,INDIRECT("'"&amp;$G$6&amp;"'!$E$37:$E$52")),0))))</f>
        <v>15193176.0009505</v>
      </c>
      <c r="AF47" s="135" t="n">
        <f aca="true">IF($G$7="",0,AF46+IF(W47&gt;'General Information'!$D$33,0,IF(W47=0,$J$7,IFERROR(SUMIF(INDIRECT("'"&amp;$G$7&amp;"'!$C$37:$C$52"),W47,INDIRECT("'"&amp;$G$7&amp;"'!$E$37:$E$52")),0))))</f>
        <v>14418903.1666667</v>
      </c>
      <c r="AG47" s="148" t="n">
        <f aca="true">IF($G$4="",0,IF(W47&gt;'General Information'!$D$33,0,IFERROR(SUMIFS(INDIRECT("'"&amp;$G$4&amp;"'!$D$37:$D$52"),INDIRECT("'"&amp;$G$4&amp;"'!$C$37:$C$52"),W47,INDIRECT("'"&amp;$G$4&amp;"'!$B$37:$B$52"),"*Indirect*")/INDIRECT("'"&amp;$G$4&amp;"'!$F$2"),0)))</f>
        <v>0</v>
      </c>
      <c r="AH47" s="148" t="n">
        <f aca="true">IF($G$5="",0,IF(W47&gt;'General Information'!$D$33,0,IFERROR(SUMIFS(INDIRECT("'"&amp;$G$5&amp;"'!$D$37:$D$52"),INDIRECT("'"&amp;$G$5&amp;"'!$C$37:$C$52"),W47,INDIRECT("'"&amp;$G$5&amp;"'!$B$37:$B$52"),"*Indirect*")/INDIRECT("'"&amp;$G$5&amp;"'!$F$2"),0)))</f>
        <v>0</v>
      </c>
      <c r="AI47" s="148" t="n">
        <f aca="true">IF($G$6="",0,IF(W47&gt;'General Information'!$D$33,0,IFERROR(SUMIFS(INDIRECT("'"&amp;$G$6&amp;"'!$D$37:$D$52"),INDIRECT("'"&amp;$G$6&amp;"'!$C$37:$C$52"),W47,INDIRECT("'"&amp;$G$6&amp;"'!$B$37:$B$52"),"*Indirect*")/INDIRECT("'"&amp;$G$6&amp;"'!$F$2"),0)))</f>
        <v>0</v>
      </c>
      <c r="AJ47" s="148" t="n">
        <f aca="true">IF($G$7="",0,IF(W47&gt;'General Information'!$D$33,0,IFERROR(SUMIFS(INDIRECT("'"&amp;$G$7&amp;"'!$D$37:$D$52"),INDIRECT("'"&amp;$G$7&amp;"'!$C$37:$C$52"),W47,INDIRECT("'"&amp;$G$7&amp;"'!$B$37:$B$52"),"*Indirect*")/INDIRECT("'"&amp;$G$7&amp;"'!$F$2"),0)))</f>
        <v>0</v>
      </c>
    </row>
    <row r="48" customFormat="false" ht="15" hidden="false" customHeight="false" outlineLevel="0" collapsed="false">
      <c r="W48" s="134" t="n">
        <v>7</v>
      </c>
      <c r="X48" s="134" t="n">
        <f aca="false">'General Information'!$D$25+W48</f>
        <v>2034</v>
      </c>
      <c r="Y48" s="135" t="n">
        <f aca="true">IF($G$4="",0,IF(W48&gt;'General Information'!$D$33,0,IF(W48=0,$J$4,IFERROR(SUMIF(INDIRECT("'"&amp;$G$4&amp;"'!$C$37:$C$52"),W48,INDIRECT("'"&amp;$G$4&amp;"'!$D$37:$D$52")),0))))</f>
        <v>0</v>
      </c>
      <c r="Z48" s="135" t="n">
        <f aca="true">IF($G$5="",0,IF(W48&gt;'General Information'!$D$33,0,IF(W48=0,$J$5,IFERROR(SUMIF(INDIRECT("'"&amp;$G$5&amp;"'!$C$37:$C$52"),W48,INDIRECT("'"&amp;$G$5&amp;"'!$D$37:$D$52")),0))))</f>
        <v>0</v>
      </c>
      <c r="AA48" s="135" t="n">
        <f aca="true">IF($G$6="",0,IF(W48&gt;'General Information'!$D$33,0,IF(W48=0,$J$6,IFERROR(SUMIF(INDIRECT("'"&amp;$G$6&amp;"'!$C$37:$C$52"),W48,INDIRECT("'"&amp;$G$6&amp;"'!$D$37:$D$52")),0))))</f>
        <v>0</v>
      </c>
      <c r="AB48" s="135" t="n">
        <f aca="true">IF($G$7="",0,IF(W48&gt;'General Information'!$D$33,0,IF(W48=0,$J$7,IFERROR(SUMIF(INDIRECT("'"&amp;$G$7&amp;"'!$C$37:$C$52"),W48,INDIRECT("'"&amp;$G$7&amp;"'!$D$37:$D$52")),0))))</f>
        <v>0</v>
      </c>
      <c r="AC48" s="135" t="n">
        <f aca="true">IF($G$4="",0,AC47+IF(W48&gt;'General Information'!$D$33,0,IF(W48=0,$J$4,IFERROR(SUMIF(INDIRECT("'"&amp;$G$4&amp;"'!$C$37:$C$52"),W48,INDIRECT("'"&amp;$G$4&amp;"'!$E$37:$E$52")),0))))</f>
        <v>12893971.8009505</v>
      </c>
      <c r="AD48" s="135" t="n">
        <f aca="true">IF($G$5="",0,AD47+IF(W48&gt;'General Information'!$D$33,0,IF(W48=0,$J$5,IFERROR(SUMIF(INDIRECT("'"&amp;$G$5&amp;"'!$C$37:$C$52"),W48,INDIRECT("'"&amp;$G$5&amp;"'!$E$37:$E$52")),0))))</f>
        <v>13830665.5166667</v>
      </c>
      <c r="AE48" s="135" t="n">
        <f aca="true">IF($G$6="",0,AE47+IF(W48&gt;'General Information'!$D$33,0,IF(W48=0,$J$6,IFERROR(SUMIF(INDIRECT("'"&amp;$G$6&amp;"'!$C$37:$C$52"),W48,INDIRECT("'"&amp;$G$6&amp;"'!$E$37:$E$52")),0))))</f>
        <v>15193176.0009505</v>
      </c>
      <c r="AF48" s="135" t="n">
        <f aca="true">IF($G$7="",0,AF47+IF(W48&gt;'General Information'!$D$33,0,IF(W48=0,$J$7,IFERROR(SUMIF(INDIRECT("'"&amp;$G$7&amp;"'!$C$37:$C$52"),W48,INDIRECT("'"&amp;$G$7&amp;"'!$E$37:$E$52")),0))))</f>
        <v>14418903.1666667</v>
      </c>
      <c r="AG48" s="148" t="n">
        <f aca="true">IF($G$4="",0,IF(W48&gt;'General Information'!$D$33,0,IFERROR(SUMIFS(INDIRECT("'"&amp;$G$4&amp;"'!$D$37:$D$52"),INDIRECT("'"&amp;$G$4&amp;"'!$C$37:$C$52"),W48,INDIRECT("'"&amp;$G$4&amp;"'!$B$37:$B$52"),"*Indirect*")/INDIRECT("'"&amp;$G$4&amp;"'!$F$2"),0)))</f>
        <v>0</v>
      </c>
      <c r="AH48" s="148" t="n">
        <f aca="true">IF($G$5="",0,IF(W48&gt;'General Information'!$D$33,0,IFERROR(SUMIFS(INDIRECT("'"&amp;$G$5&amp;"'!$D$37:$D$52"),INDIRECT("'"&amp;$G$5&amp;"'!$C$37:$C$52"),W48,INDIRECT("'"&amp;$G$5&amp;"'!$B$37:$B$52"),"*Indirect*")/INDIRECT("'"&amp;$G$5&amp;"'!$F$2"),0)))</f>
        <v>0</v>
      </c>
      <c r="AI48" s="148" t="n">
        <f aca="true">IF($G$6="",0,IF(W48&gt;'General Information'!$D$33,0,IFERROR(SUMIFS(INDIRECT("'"&amp;$G$6&amp;"'!$D$37:$D$52"),INDIRECT("'"&amp;$G$6&amp;"'!$C$37:$C$52"),W48,INDIRECT("'"&amp;$G$6&amp;"'!$B$37:$B$52"),"*Indirect*")/INDIRECT("'"&amp;$G$6&amp;"'!$F$2"),0)))</f>
        <v>0</v>
      </c>
      <c r="AJ48" s="148" t="n">
        <f aca="true">IF($G$7="",0,IF(W48&gt;'General Information'!$D$33,0,IFERROR(SUMIFS(INDIRECT("'"&amp;$G$7&amp;"'!$D$37:$D$52"),INDIRECT("'"&amp;$G$7&amp;"'!$C$37:$C$52"),W48,INDIRECT("'"&amp;$G$7&amp;"'!$B$37:$B$52"),"*Indirect*")/INDIRECT("'"&amp;$G$7&amp;"'!$F$2"),0)))</f>
        <v>0</v>
      </c>
    </row>
    <row r="49" customFormat="false" ht="15" hidden="false" customHeight="false" outlineLevel="0" collapsed="false">
      <c r="W49" s="134" t="n">
        <v>8</v>
      </c>
      <c r="X49" s="134" t="n">
        <f aca="false">'General Information'!$D$25+W49</f>
        <v>2035</v>
      </c>
      <c r="Y49" s="135" t="n">
        <f aca="true">IF($G$4="",0,IF(W49&gt;'General Information'!$D$33,0,IF(W49=0,$J$4,IFERROR(SUMIF(INDIRECT("'"&amp;$G$4&amp;"'!$C$37:$C$52"),W49,INDIRECT("'"&amp;$G$4&amp;"'!$D$37:$D$52")),0))))</f>
        <v>586968.977777778</v>
      </c>
      <c r="Z49" s="135" t="n">
        <f aca="true">IF($G$5="",0,IF(W49&gt;'General Information'!$D$33,0,IF(W49=0,$J$5,IFERROR(SUMIF(INDIRECT("'"&amp;$G$5&amp;"'!$C$37:$C$52"),W49,INDIRECT("'"&amp;$G$5&amp;"'!$D$37:$D$52")),0))))</f>
        <v>0</v>
      </c>
      <c r="AA49" s="135" t="n">
        <f aca="true">IF($G$6="",0,IF(W49&gt;'General Information'!$D$33,0,IF(W49=0,$J$6,IFERROR(SUMIF(INDIRECT("'"&amp;$G$6&amp;"'!$C$37:$C$52"),W49,INDIRECT("'"&amp;$G$6&amp;"'!$D$37:$D$52")),0))))</f>
        <v>586968.977777778</v>
      </c>
      <c r="AB49" s="135" t="n">
        <f aca="true">IF($G$7="",0,IF(W49&gt;'General Information'!$D$33,0,IF(W49=0,$J$7,IFERROR(SUMIF(INDIRECT("'"&amp;$G$7&amp;"'!$C$37:$C$52"),W49,INDIRECT("'"&amp;$G$7&amp;"'!$D$37:$D$52")),0))))</f>
        <v>0</v>
      </c>
      <c r="AC49" s="135" t="n">
        <f aca="true">IF($G$4="",0,AC48+IF(W49&gt;'General Information'!$D$33,0,IF(W49=0,$J$4,IFERROR(SUMIF(INDIRECT("'"&amp;$G$4&amp;"'!$C$37:$C$52"),W49,INDIRECT("'"&amp;$G$4&amp;"'!$E$37:$E$52")),0))))</f>
        <v>13357330.5322641</v>
      </c>
      <c r="AD49" s="135" t="n">
        <f aca="true">IF($G$5="",0,AD48+IF(W49&gt;'General Information'!$D$33,0,IF(W49=0,$J$5,IFERROR(SUMIF(INDIRECT("'"&amp;$G$5&amp;"'!$C$37:$C$52"),W49,INDIRECT("'"&amp;$G$5&amp;"'!$E$37:$E$52")),0))))</f>
        <v>13830665.5166667</v>
      </c>
      <c r="AE49" s="135" t="n">
        <f aca="true">IF($G$6="",0,AE48+IF(W49&gt;'General Information'!$D$33,0,IF(W49=0,$J$6,IFERROR(SUMIF(INDIRECT("'"&amp;$G$6&amp;"'!$C$37:$C$52"),W49,INDIRECT("'"&amp;$G$6&amp;"'!$E$37:$E$52")),0))))</f>
        <v>15656534.7322641</v>
      </c>
      <c r="AF49" s="135" t="n">
        <f aca="true">IF($G$7="",0,AF48+IF(W49&gt;'General Information'!$D$33,0,IF(W49=0,$J$7,IFERROR(SUMIF(INDIRECT("'"&amp;$G$7&amp;"'!$C$37:$C$52"),W49,INDIRECT("'"&amp;$G$7&amp;"'!$E$37:$E$52")),0))))</f>
        <v>14418903.1666667</v>
      </c>
      <c r="AG49" s="148" t="n">
        <f aca="true">IF($G$4="",0,IF(W49&gt;'General Information'!$D$33,0,IFERROR(SUMIFS(INDIRECT("'"&amp;$G$4&amp;"'!$D$37:$D$52"),INDIRECT("'"&amp;$G$4&amp;"'!$C$37:$C$52"),W49,INDIRECT("'"&amp;$G$4&amp;"'!$B$37:$B$52"),"*Indirect*")/INDIRECT("'"&amp;$G$4&amp;"'!$F$2"),0)))</f>
        <v>10</v>
      </c>
      <c r="AH49" s="148" t="n">
        <f aca="true">IF($G$5="",0,IF(W49&gt;'General Information'!$D$33,0,IFERROR(SUMIFS(INDIRECT("'"&amp;$G$5&amp;"'!$D$37:$D$52"),INDIRECT("'"&amp;$G$5&amp;"'!$C$37:$C$52"),W49,INDIRECT("'"&amp;$G$5&amp;"'!$B$37:$B$52"),"*Indirect*")/INDIRECT("'"&amp;$G$5&amp;"'!$F$2"),0)))</f>
        <v>0</v>
      </c>
      <c r="AI49" s="148" t="n">
        <f aca="true">IF($G$6="",0,IF(W49&gt;'General Information'!$D$33,0,IFERROR(SUMIFS(INDIRECT("'"&amp;$G$6&amp;"'!$D$37:$D$52"),INDIRECT("'"&amp;$G$6&amp;"'!$C$37:$C$52"),W49,INDIRECT("'"&amp;$G$6&amp;"'!$B$37:$B$52"),"*Indirect*")/INDIRECT("'"&amp;$G$6&amp;"'!$F$2"),0)))</f>
        <v>10</v>
      </c>
      <c r="AJ49" s="148" t="n">
        <f aca="true">IF($G$7="",0,IF(W49&gt;'General Information'!$D$33,0,IFERROR(SUMIFS(INDIRECT("'"&amp;$G$7&amp;"'!$D$37:$D$52"),INDIRECT("'"&amp;$G$7&amp;"'!$C$37:$C$52"),W49,INDIRECT("'"&amp;$G$7&amp;"'!$B$37:$B$52"),"*Indirect*")/INDIRECT("'"&amp;$G$7&amp;"'!$F$2"),0)))</f>
        <v>0</v>
      </c>
    </row>
    <row r="50" customFormat="false" ht="15" hidden="false" customHeight="false" outlineLevel="0" collapsed="false">
      <c r="W50" s="134" t="n">
        <v>9</v>
      </c>
      <c r="X50" s="134" t="n">
        <f aca="false">'General Information'!$D$25+W50</f>
        <v>2036</v>
      </c>
      <c r="Y50" s="135" t="n">
        <f aca="true">IF($G$4="",0,IF(W50&gt;'General Information'!$D$33,0,IF(W50=0,$J$4,IFERROR(SUMIF(INDIRECT("'"&amp;$G$4&amp;"'!$C$37:$C$52"),W50,INDIRECT("'"&amp;$G$4&amp;"'!$D$37:$D$52")),0))))</f>
        <v>0</v>
      </c>
      <c r="Z50" s="135" t="n">
        <f aca="true">IF($G$5="",0,IF(W50&gt;'General Information'!$D$33,0,IF(W50=0,$J$5,IFERROR(SUMIF(INDIRECT("'"&amp;$G$5&amp;"'!$C$37:$C$52"),W50,INDIRECT("'"&amp;$G$5&amp;"'!$D$37:$D$52")),0))))</f>
        <v>0</v>
      </c>
      <c r="AA50" s="135" t="n">
        <f aca="true">IF($G$6="",0,IF(W50&gt;'General Information'!$D$33,0,IF(W50=0,$J$6,IFERROR(SUMIF(INDIRECT("'"&amp;$G$6&amp;"'!$C$37:$C$52"),W50,INDIRECT("'"&amp;$G$6&amp;"'!$D$37:$D$52")),0))))</f>
        <v>0</v>
      </c>
      <c r="AB50" s="135" t="n">
        <f aca="true">IF($G$7="",0,IF(W50&gt;'General Information'!$D$33,0,IF(W50=0,$J$7,IFERROR(SUMIF(INDIRECT("'"&amp;$G$7&amp;"'!$C$37:$C$52"),W50,INDIRECT("'"&amp;$G$7&amp;"'!$D$37:$D$52")),0))))</f>
        <v>0</v>
      </c>
      <c r="AC50" s="135" t="n">
        <f aca="true">IF($G$4="",0,AC49+IF(W50&gt;'General Information'!$D$33,0,IF(W50=0,$J$4,IFERROR(SUMIF(INDIRECT("'"&amp;$G$4&amp;"'!$C$37:$C$52"),W50,INDIRECT("'"&amp;$G$4&amp;"'!$E$37:$E$52")),0))))</f>
        <v>13357330.5322641</v>
      </c>
      <c r="AD50" s="135" t="n">
        <f aca="true">IF($G$5="",0,AD49+IF(W50&gt;'General Information'!$D$33,0,IF(W50=0,$J$5,IFERROR(SUMIF(INDIRECT("'"&amp;$G$5&amp;"'!$C$37:$C$52"),W50,INDIRECT("'"&amp;$G$5&amp;"'!$E$37:$E$52")),0))))</f>
        <v>13830665.5166667</v>
      </c>
      <c r="AE50" s="135" t="n">
        <f aca="true">IF($G$6="",0,AE49+IF(W50&gt;'General Information'!$D$33,0,IF(W50=0,$J$6,IFERROR(SUMIF(INDIRECT("'"&amp;$G$6&amp;"'!$C$37:$C$52"),W50,INDIRECT("'"&amp;$G$6&amp;"'!$E$37:$E$52")),0))))</f>
        <v>15656534.7322641</v>
      </c>
      <c r="AF50" s="135" t="n">
        <f aca="true">IF($G$7="",0,AF49+IF(W50&gt;'General Information'!$D$33,0,IF(W50=0,$J$7,IFERROR(SUMIF(INDIRECT("'"&amp;$G$7&amp;"'!$C$37:$C$52"),W50,INDIRECT("'"&amp;$G$7&amp;"'!$E$37:$E$52")),0))))</f>
        <v>14418903.1666667</v>
      </c>
      <c r="AG50" s="148" t="n">
        <f aca="true">IF($G$4="",0,IF(W50&gt;'General Information'!$D$33,0,IFERROR(SUMIFS(INDIRECT("'"&amp;$G$4&amp;"'!$D$37:$D$52"),INDIRECT("'"&amp;$G$4&amp;"'!$C$37:$C$52"),W50,INDIRECT("'"&amp;$G$4&amp;"'!$B$37:$B$52"),"*Indirect*")/INDIRECT("'"&amp;$G$4&amp;"'!$F$2"),0)))</f>
        <v>0</v>
      </c>
      <c r="AH50" s="148" t="n">
        <f aca="true">IF($G$5="",0,IF(W50&gt;'General Information'!$D$33,0,IFERROR(SUMIFS(INDIRECT("'"&amp;$G$5&amp;"'!$D$37:$D$52"),INDIRECT("'"&amp;$G$5&amp;"'!$C$37:$C$52"),W50,INDIRECT("'"&amp;$G$5&amp;"'!$B$37:$B$52"),"*Indirect*")/INDIRECT("'"&amp;$G$5&amp;"'!$F$2"),0)))</f>
        <v>0</v>
      </c>
      <c r="AI50" s="148" t="n">
        <f aca="true">IF($G$6="",0,IF(W50&gt;'General Information'!$D$33,0,IFERROR(SUMIFS(INDIRECT("'"&amp;$G$6&amp;"'!$D$37:$D$52"),INDIRECT("'"&amp;$G$6&amp;"'!$C$37:$C$52"),W50,INDIRECT("'"&amp;$G$6&amp;"'!$B$37:$B$52"),"*Indirect*")/INDIRECT("'"&amp;$G$6&amp;"'!$F$2"),0)))</f>
        <v>0</v>
      </c>
      <c r="AJ50" s="148" t="n">
        <f aca="true">IF($G$7="",0,IF(W50&gt;'General Information'!$D$33,0,IFERROR(SUMIFS(INDIRECT("'"&amp;$G$7&amp;"'!$D$37:$D$52"),INDIRECT("'"&amp;$G$7&amp;"'!$C$37:$C$52"),W50,INDIRECT("'"&amp;$G$7&amp;"'!$B$37:$B$52"),"*Indirect*")/INDIRECT("'"&amp;$G$7&amp;"'!$F$2"),0)))</f>
        <v>0</v>
      </c>
    </row>
    <row r="51" customFormat="false" ht="15" hidden="false" customHeight="false" outlineLevel="0" collapsed="false">
      <c r="W51" s="134" t="n">
        <v>10</v>
      </c>
      <c r="X51" s="134" t="n">
        <f aca="false">'General Information'!$D$25+W51</f>
        <v>2037</v>
      </c>
      <c r="Y51" s="135" t="n">
        <f aca="true">IF($G$4="",0,IF(W51&gt;'General Information'!$D$33,0,IF(W51=0,$J$4,IFERROR(SUMIF(INDIRECT("'"&amp;$G$4&amp;"'!$C$37:$C$52"),W51,INDIRECT("'"&amp;$G$4&amp;"'!$D$37:$D$52")),0))))</f>
        <v>0</v>
      </c>
      <c r="Z51" s="135" t="n">
        <f aca="true">IF($G$5="",0,IF(W51&gt;'General Information'!$D$33,0,IF(W51=0,$J$5,IFERROR(SUMIF(INDIRECT("'"&amp;$G$5&amp;"'!$C$37:$C$52"),W51,INDIRECT("'"&amp;$G$5&amp;"'!$D$37:$D$52")),0))))</f>
        <v>0</v>
      </c>
      <c r="AA51" s="135" t="n">
        <f aca="true">IF($G$6="",0,IF(W51&gt;'General Information'!$D$33,0,IF(W51=0,$J$6,IFERROR(SUMIF(INDIRECT("'"&amp;$G$6&amp;"'!$C$37:$C$52"),W51,INDIRECT("'"&amp;$G$6&amp;"'!$D$37:$D$52")),0))))</f>
        <v>0</v>
      </c>
      <c r="AB51" s="135" t="n">
        <f aca="true">IF($G$7="",0,IF(W51&gt;'General Information'!$D$33,0,IF(W51=0,$J$7,IFERROR(SUMIF(INDIRECT("'"&amp;$G$7&amp;"'!$C$37:$C$52"),W51,INDIRECT("'"&amp;$G$7&amp;"'!$D$37:$D$52")),0))))</f>
        <v>0</v>
      </c>
      <c r="AC51" s="135" t="n">
        <f aca="true">IF($G$4="",0,AC50+IF(W51&gt;'General Information'!$D$33,0,IF(W51=0,$J$4,IFERROR(SUMIF(INDIRECT("'"&amp;$G$4&amp;"'!$C$37:$C$52"),W51,INDIRECT("'"&amp;$G$4&amp;"'!$E$37:$E$52")),0))))</f>
        <v>13357330.5322641</v>
      </c>
      <c r="AD51" s="135" t="n">
        <f aca="true">IF($G$5="",0,AD50+IF(W51&gt;'General Information'!$D$33,0,IF(W51=0,$J$5,IFERROR(SUMIF(INDIRECT("'"&amp;$G$5&amp;"'!$C$37:$C$52"),W51,INDIRECT("'"&amp;$G$5&amp;"'!$E$37:$E$52")),0))))</f>
        <v>13830665.5166667</v>
      </c>
      <c r="AE51" s="135" t="n">
        <f aca="true">IF($G$6="",0,AE50+IF(W51&gt;'General Information'!$D$33,0,IF(W51=0,$J$6,IFERROR(SUMIF(INDIRECT("'"&amp;$G$6&amp;"'!$C$37:$C$52"),W51,INDIRECT("'"&amp;$G$6&amp;"'!$E$37:$E$52")),0))))</f>
        <v>15656534.7322641</v>
      </c>
      <c r="AF51" s="135" t="n">
        <f aca="true">IF($G$7="",0,AF50+IF(W51&gt;'General Information'!$D$33,0,IF(W51=0,$J$7,IFERROR(SUMIF(INDIRECT("'"&amp;$G$7&amp;"'!$C$37:$C$52"),W51,INDIRECT("'"&amp;$G$7&amp;"'!$E$37:$E$52")),0))))</f>
        <v>14418903.1666667</v>
      </c>
      <c r="AG51" s="148" t="n">
        <f aca="true">IF($G$4="",0,IF(W51&gt;'General Information'!$D$33,0,IFERROR(SUMIFS(INDIRECT("'"&amp;$G$4&amp;"'!$D$37:$D$52"),INDIRECT("'"&amp;$G$4&amp;"'!$C$37:$C$52"),W51,INDIRECT("'"&amp;$G$4&amp;"'!$B$37:$B$52"),"*Indirect*")/INDIRECT("'"&amp;$G$4&amp;"'!$F$2"),0)))</f>
        <v>0</v>
      </c>
      <c r="AH51" s="148" t="n">
        <f aca="true">IF($G$5="",0,IF(W51&gt;'General Information'!$D$33,0,IFERROR(SUMIFS(INDIRECT("'"&amp;$G$5&amp;"'!$D$37:$D$52"),INDIRECT("'"&amp;$G$5&amp;"'!$C$37:$C$52"),W51,INDIRECT("'"&amp;$G$5&amp;"'!$B$37:$B$52"),"*Indirect*")/INDIRECT("'"&amp;$G$5&amp;"'!$F$2"),0)))</f>
        <v>0</v>
      </c>
      <c r="AI51" s="148" t="n">
        <f aca="true">IF($G$6="",0,IF(W51&gt;'General Information'!$D$33,0,IFERROR(SUMIFS(INDIRECT("'"&amp;$G$6&amp;"'!$D$37:$D$52"),INDIRECT("'"&amp;$G$6&amp;"'!$C$37:$C$52"),W51,INDIRECT("'"&amp;$G$6&amp;"'!$B$37:$B$52"),"*Indirect*")/INDIRECT("'"&amp;$G$6&amp;"'!$F$2"),0)))</f>
        <v>0</v>
      </c>
      <c r="AJ51" s="148" t="n">
        <f aca="true">IF($G$7="",0,IF(W51&gt;'General Information'!$D$33,0,IFERROR(SUMIFS(INDIRECT("'"&amp;$G$7&amp;"'!$D$37:$D$52"),INDIRECT("'"&amp;$G$7&amp;"'!$C$37:$C$52"),W51,INDIRECT("'"&amp;$G$7&amp;"'!$B$37:$B$52"),"*Indirect*")/INDIRECT("'"&amp;$G$7&amp;"'!$F$2"),0)))</f>
        <v>0</v>
      </c>
    </row>
    <row r="52" customFormat="false" ht="15" hidden="false" customHeight="false" outlineLevel="0" collapsed="false">
      <c r="W52" s="134" t="n">
        <v>11</v>
      </c>
      <c r="X52" s="134" t="n">
        <f aca="false">'General Information'!$D$25+W52</f>
        <v>2038</v>
      </c>
      <c r="Y52" s="135" t="n">
        <f aca="true">IF($G$4="",0,IF(W52&gt;'General Information'!$D$33,0,IF(W52=0,$J$4,IFERROR(SUMIF(INDIRECT("'"&amp;$G$4&amp;"'!$C$37:$C$52"),W52,INDIRECT("'"&amp;$G$4&amp;"'!$D$37:$D$52")),0))))</f>
        <v>0</v>
      </c>
      <c r="Z52" s="135" t="n">
        <f aca="true">IF($G$5="",0,IF(W52&gt;'General Information'!$D$33,0,IF(W52=0,$J$5,IFERROR(SUMIF(INDIRECT("'"&amp;$G$5&amp;"'!$C$37:$C$52"),W52,INDIRECT("'"&amp;$G$5&amp;"'!$D$37:$D$52")),0))))</f>
        <v>0</v>
      </c>
      <c r="AA52" s="135" t="n">
        <f aca="true">IF($G$6="",0,IF(W52&gt;'General Information'!$D$33,0,IF(W52=0,$J$6,IFERROR(SUMIF(INDIRECT("'"&amp;$G$6&amp;"'!$C$37:$C$52"),W52,INDIRECT("'"&amp;$G$6&amp;"'!$D$37:$D$52")),0))))</f>
        <v>0</v>
      </c>
      <c r="AB52" s="135" t="n">
        <f aca="true">IF($G$7="",0,IF(W52&gt;'General Information'!$D$33,0,IF(W52=0,$J$7,IFERROR(SUMIF(INDIRECT("'"&amp;$G$7&amp;"'!$C$37:$C$52"),W52,INDIRECT("'"&amp;$G$7&amp;"'!$D$37:$D$52")),0))))</f>
        <v>0</v>
      </c>
      <c r="AC52" s="135" t="n">
        <f aca="true">IF($G$4="",0,AC51+IF(W52&gt;'General Information'!$D$33,0,IF(W52=0,$J$4,IFERROR(SUMIF(INDIRECT("'"&amp;$G$4&amp;"'!$C$37:$C$52"),W52,INDIRECT("'"&amp;$G$4&amp;"'!$E$37:$E$52")),0))))</f>
        <v>13357330.5322641</v>
      </c>
      <c r="AD52" s="135" t="n">
        <f aca="true">IF($G$5="",0,AD51+IF(W52&gt;'General Information'!$D$33,0,IF(W52=0,$J$5,IFERROR(SUMIF(INDIRECT("'"&amp;$G$5&amp;"'!$C$37:$C$52"),W52,INDIRECT("'"&amp;$G$5&amp;"'!$E$37:$E$52")),0))))</f>
        <v>13830665.5166667</v>
      </c>
      <c r="AE52" s="135" t="n">
        <f aca="true">IF($G$6="",0,AE51+IF(W52&gt;'General Information'!$D$33,0,IF(W52=0,$J$6,IFERROR(SUMIF(INDIRECT("'"&amp;$G$6&amp;"'!$C$37:$C$52"),W52,INDIRECT("'"&amp;$G$6&amp;"'!$E$37:$E$52")),0))))</f>
        <v>15656534.7322641</v>
      </c>
      <c r="AF52" s="135" t="n">
        <f aca="true">IF($G$7="",0,AF51+IF(W52&gt;'General Information'!$D$33,0,IF(W52=0,$J$7,IFERROR(SUMIF(INDIRECT("'"&amp;$G$7&amp;"'!$C$37:$C$52"),W52,INDIRECT("'"&amp;$G$7&amp;"'!$E$37:$E$52")),0))))</f>
        <v>14418903.1666667</v>
      </c>
      <c r="AG52" s="148" t="n">
        <f aca="true">IF($G$4="",0,IF(W52&gt;'General Information'!$D$33,0,IFERROR(SUMIFS(INDIRECT("'"&amp;$G$4&amp;"'!$D$37:$D$52"),INDIRECT("'"&amp;$G$4&amp;"'!$C$37:$C$52"),W52,INDIRECT("'"&amp;$G$4&amp;"'!$B$37:$B$52"),"*Indirect*")/INDIRECT("'"&amp;$G$4&amp;"'!$F$2"),0)))</f>
        <v>0</v>
      </c>
      <c r="AH52" s="148" t="n">
        <f aca="true">IF($G$5="",0,IF(W52&gt;'General Information'!$D$33,0,IFERROR(SUMIFS(INDIRECT("'"&amp;$G$5&amp;"'!$D$37:$D$52"),INDIRECT("'"&amp;$G$5&amp;"'!$C$37:$C$52"),W52,INDIRECT("'"&amp;$G$5&amp;"'!$B$37:$B$52"),"*Indirect*")/INDIRECT("'"&amp;$G$5&amp;"'!$F$2"),0)))</f>
        <v>0</v>
      </c>
      <c r="AI52" s="148" t="n">
        <f aca="true">IF($G$6="",0,IF(W52&gt;'General Information'!$D$33,0,IFERROR(SUMIFS(INDIRECT("'"&amp;$G$6&amp;"'!$D$37:$D$52"),INDIRECT("'"&amp;$G$6&amp;"'!$C$37:$C$52"),W52,INDIRECT("'"&amp;$G$6&amp;"'!$B$37:$B$52"),"*Indirect*")/INDIRECT("'"&amp;$G$6&amp;"'!$F$2"),0)))</f>
        <v>0</v>
      </c>
      <c r="AJ52" s="148" t="n">
        <f aca="true">IF($G$7="",0,IF(W52&gt;'General Information'!$D$33,0,IFERROR(SUMIFS(INDIRECT("'"&amp;$G$7&amp;"'!$D$37:$D$52"),INDIRECT("'"&amp;$G$7&amp;"'!$C$37:$C$52"),W52,INDIRECT("'"&amp;$G$7&amp;"'!$B$37:$B$52"),"*Indirect*")/INDIRECT("'"&amp;$G$7&amp;"'!$F$2"),0)))</f>
        <v>0</v>
      </c>
    </row>
    <row r="53" customFormat="false" ht="15" hidden="false" customHeight="false" outlineLevel="0" collapsed="false">
      <c r="W53" s="134" t="n">
        <v>12</v>
      </c>
      <c r="X53" s="134" t="n">
        <f aca="false">'General Information'!$D$25+W53</f>
        <v>2039</v>
      </c>
      <c r="Y53" s="135" t="n">
        <f aca="true">IF($G$4="",0,IF(W53&gt;'General Information'!$D$33,0,IF(W53=0,$J$4,IFERROR(SUMIF(INDIRECT("'"&amp;$G$4&amp;"'!$C$37:$C$52"),W53,INDIRECT("'"&amp;$G$4&amp;"'!$D$37:$D$52")),0))))</f>
        <v>804678.548715278</v>
      </c>
      <c r="Z53" s="135" t="n">
        <f aca="true">IF($G$5="",0,IF(W53&gt;'General Information'!$D$33,0,IF(W53=0,$J$5,IFERROR(SUMIF(INDIRECT("'"&amp;$G$5&amp;"'!$C$37:$C$52"),W53,INDIRECT("'"&amp;$G$5&amp;"'!$D$37:$D$52")),0))))</f>
        <v>0</v>
      </c>
      <c r="AA53" s="135" t="n">
        <f aca="true">IF($G$6="",0,IF(W53&gt;'General Information'!$D$33,0,IF(W53=0,$J$6,IFERROR(SUMIF(INDIRECT("'"&amp;$G$6&amp;"'!$C$37:$C$52"),W53,INDIRECT("'"&amp;$G$6&amp;"'!$D$37:$D$52")),0))))</f>
        <v>804678.548715278</v>
      </c>
      <c r="AB53" s="135" t="n">
        <f aca="true">IF($G$7="",0,IF(W53&gt;'General Information'!$D$33,0,IF(W53=0,$J$7,IFERROR(SUMIF(INDIRECT("'"&amp;$G$7&amp;"'!$C$37:$C$52"),W53,INDIRECT("'"&amp;$G$7&amp;"'!$D$37:$D$52")),0))))</f>
        <v>0</v>
      </c>
      <c r="AC53" s="135" t="n">
        <f aca="true">IF($G$4="",0,AC52+IF(W53&gt;'General Information'!$D$33,0,IF(W53=0,$J$4,IFERROR(SUMIF(INDIRECT("'"&amp;$G$4&amp;"'!$C$37:$C$52"),W53,INDIRECT("'"&amp;$G$4&amp;"'!$E$37:$E$52")),0))))</f>
        <v>13921715.8763559</v>
      </c>
      <c r="AD53" s="135" t="n">
        <f aca="true">IF($G$5="",0,AD52+IF(W53&gt;'General Information'!$D$33,0,IF(W53=0,$J$5,IFERROR(SUMIF(INDIRECT("'"&amp;$G$5&amp;"'!$C$37:$C$52"),W53,INDIRECT("'"&amp;$G$5&amp;"'!$E$37:$E$52")),0))))</f>
        <v>13830665.5166667</v>
      </c>
      <c r="AE53" s="135" t="n">
        <f aca="true">IF($G$6="",0,AE52+IF(W53&gt;'General Information'!$D$33,0,IF(W53=0,$J$6,IFERROR(SUMIF(INDIRECT("'"&amp;$G$6&amp;"'!$C$37:$C$52"),W53,INDIRECT("'"&amp;$G$6&amp;"'!$E$37:$E$52")),0))))</f>
        <v>16220920.0763559</v>
      </c>
      <c r="AF53" s="135" t="n">
        <f aca="true">IF($G$7="",0,AF52+IF(W53&gt;'General Information'!$D$33,0,IF(W53=0,$J$7,IFERROR(SUMIF(INDIRECT("'"&amp;$G$7&amp;"'!$C$37:$C$52"),W53,INDIRECT("'"&amp;$G$7&amp;"'!$E$37:$E$52")),0))))</f>
        <v>14418903.1666667</v>
      </c>
      <c r="AG53" s="148" t="n">
        <f aca="true">IF($G$4="",0,IF(W53&gt;'General Information'!$D$33,0,IFERROR(SUMIFS(INDIRECT("'"&amp;$G$4&amp;"'!$D$37:$D$52"),INDIRECT("'"&amp;$G$4&amp;"'!$C$37:$C$52"),W53,INDIRECT("'"&amp;$G$4&amp;"'!$B$37:$B$52"),"*Indirect*")/INDIRECT("'"&amp;$G$4&amp;"'!$F$2"),0)))</f>
        <v>12</v>
      </c>
      <c r="AH53" s="148" t="n">
        <f aca="true">IF($G$5="",0,IF(W53&gt;'General Information'!$D$33,0,IFERROR(SUMIFS(INDIRECT("'"&amp;$G$5&amp;"'!$D$37:$D$52"),INDIRECT("'"&amp;$G$5&amp;"'!$C$37:$C$52"),W53,INDIRECT("'"&amp;$G$5&amp;"'!$B$37:$B$52"),"*Indirect*")/INDIRECT("'"&amp;$G$5&amp;"'!$F$2"),0)))</f>
        <v>0</v>
      </c>
      <c r="AI53" s="148" t="n">
        <f aca="true">IF($G$6="",0,IF(W53&gt;'General Information'!$D$33,0,IFERROR(SUMIFS(INDIRECT("'"&amp;$G$6&amp;"'!$D$37:$D$52"),INDIRECT("'"&amp;$G$6&amp;"'!$C$37:$C$52"),W53,INDIRECT("'"&amp;$G$6&amp;"'!$B$37:$B$52"),"*Indirect*")/INDIRECT("'"&amp;$G$6&amp;"'!$F$2"),0)))</f>
        <v>12</v>
      </c>
      <c r="AJ53" s="148" t="n">
        <f aca="true">IF($G$7="",0,IF(W53&gt;'General Information'!$D$33,0,IFERROR(SUMIFS(INDIRECT("'"&amp;$G$7&amp;"'!$D$37:$D$52"),INDIRECT("'"&amp;$G$7&amp;"'!$C$37:$C$52"),W53,INDIRECT("'"&amp;$G$7&amp;"'!$B$37:$B$52"),"*Indirect*")/INDIRECT("'"&amp;$G$7&amp;"'!$F$2"),0)))</f>
        <v>0</v>
      </c>
    </row>
    <row r="54" customFormat="false" ht="15" hidden="false" customHeight="false" outlineLevel="0" collapsed="false">
      <c r="W54" s="134" t="n">
        <v>13</v>
      </c>
      <c r="X54" s="134" t="n">
        <f aca="false">'General Information'!$D$25+W54</f>
        <v>2040</v>
      </c>
      <c r="Y54" s="135" t="n">
        <f aca="true">IF($G$4="",0,IF(W54&gt;'General Information'!$D$33,0,IF(W54=0,$J$4,IFERROR(SUMIF(INDIRECT("'"&amp;$G$4&amp;"'!$C$37:$C$52"),W54,INDIRECT("'"&amp;$G$4&amp;"'!$D$37:$D$52")),0))))</f>
        <v>0</v>
      </c>
      <c r="Z54" s="135" t="n">
        <f aca="true">IF($G$5="",0,IF(W54&gt;'General Information'!$D$33,0,IF(W54=0,$J$5,IFERROR(SUMIF(INDIRECT("'"&amp;$G$5&amp;"'!$C$37:$C$52"),W54,INDIRECT("'"&amp;$G$5&amp;"'!$D$37:$D$52")),0))))</f>
        <v>0</v>
      </c>
      <c r="AA54" s="135" t="n">
        <f aca="true">IF($G$6="",0,IF(W54&gt;'General Information'!$D$33,0,IF(W54=0,$J$6,IFERROR(SUMIF(INDIRECT("'"&amp;$G$6&amp;"'!$C$37:$C$52"),W54,INDIRECT("'"&amp;$G$6&amp;"'!$D$37:$D$52")),0))))</f>
        <v>0</v>
      </c>
      <c r="AB54" s="135" t="n">
        <f aca="true">IF($G$7="",0,IF(W54&gt;'General Information'!$D$33,0,IF(W54=0,$J$7,IFERROR(SUMIF(INDIRECT("'"&amp;$G$7&amp;"'!$C$37:$C$52"),W54,INDIRECT("'"&amp;$G$7&amp;"'!$D$37:$D$52")),0))))</f>
        <v>0</v>
      </c>
      <c r="AC54" s="135" t="n">
        <f aca="true">IF($G$4="",0,AC53+IF(W54&gt;'General Information'!$D$33,0,IF(W54=0,$J$4,IFERROR(SUMIF(INDIRECT("'"&amp;$G$4&amp;"'!$C$37:$C$52"),W54,INDIRECT("'"&amp;$G$4&amp;"'!$E$37:$E$52")),0))))</f>
        <v>13921715.8763559</v>
      </c>
      <c r="AD54" s="135" t="n">
        <f aca="true">IF($G$5="",0,AD53+IF(W54&gt;'General Information'!$D$33,0,IF(W54=0,$J$5,IFERROR(SUMIF(INDIRECT("'"&amp;$G$5&amp;"'!$C$37:$C$52"),W54,INDIRECT("'"&amp;$G$5&amp;"'!$E$37:$E$52")),0))))</f>
        <v>13830665.5166667</v>
      </c>
      <c r="AE54" s="135" t="n">
        <f aca="true">IF($G$6="",0,AE53+IF(W54&gt;'General Information'!$D$33,0,IF(W54=0,$J$6,IFERROR(SUMIF(INDIRECT("'"&amp;$G$6&amp;"'!$C$37:$C$52"),W54,INDIRECT("'"&amp;$G$6&amp;"'!$E$37:$E$52")),0))))</f>
        <v>16220920.0763559</v>
      </c>
      <c r="AF54" s="135" t="n">
        <f aca="true">IF($G$7="",0,AF53+IF(W54&gt;'General Information'!$D$33,0,IF(W54=0,$J$7,IFERROR(SUMIF(INDIRECT("'"&amp;$G$7&amp;"'!$C$37:$C$52"),W54,INDIRECT("'"&amp;$G$7&amp;"'!$E$37:$E$52")),0))))</f>
        <v>14418903.1666667</v>
      </c>
      <c r="AG54" s="148" t="n">
        <f aca="true">IF($G$4="",0,IF(W54&gt;'General Information'!$D$33,0,IFERROR(SUMIFS(INDIRECT("'"&amp;$G$4&amp;"'!$D$37:$D$52"),INDIRECT("'"&amp;$G$4&amp;"'!$C$37:$C$52"),W54,INDIRECT("'"&amp;$G$4&amp;"'!$B$37:$B$52"),"*Indirect*")/INDIRECT("'"&amp;$G$4&amp;"'!$F$2"),0)))</f>
        <v>0</v>
      </c>
      <c r="AH54" s="148" t="n">
        <f aca="true">IF($G$5="",0,IF(W54&gt;'General Information'!$D$33,0,IFERROR(SUMIFS(INDIRECT("'"&amp;$G$5&amp;"'!$D$37:$D$52"),INDIRECT("'"&amp;$G$5&amp;"'!$C$37:$C$52"),W54,INDIRECT("'"&amp;$G$5&amp;"'!$B$37:$B$52"),"*Indirect*")/INDIRECT("'"&amp;$G$5&amp;"'!$F$2"),0)))</f>
        <v>0</v>
      </c>
      <c r="AI54" s="148" t="n">
        <f aca="true">IF($G$6="",0,IF(W54&gt;'General Information'!$D$33,0,IFERROR(SUMIFS(INDIRECT("'"&amp;$G$6&amp;"'!$D$37:$D$52"),INDIRECT("'"&amp;$G$6&amp;"'!$C$37:$C$52"),W54,INDIRECT("'"&amp;$G$6&amp;"'!$B$37:$B$52"),"*Indirect*")/INDIRECT("'"&amp;$G$6&amp;"'!$F$2"),0)))</f>
        <v>0</v>
      </c>
      <c r="AJ54" s="148" t="n">
        <f aca="true">IF($G$7="",0,IF(W54&gt;'General Information'!$D$33,0,IFERROR(SUMIFS(INDIRECT("'"&amp;$G$7&amp;"'!$D$37:$D$52"),INDIRECT("'"&amp;$G$7&amp;"'!$C$37:$C$52"),W54,INDIRECT("'"&amp;$G$7&amp;"'!$B$37:$B$52"),"*Indirect*")/INDIRECT("'"&amp;$G$7&amp;"'!$F$2"),0)))</f>
        <v>0</v>
      </c>
    </row>
    <row r="55" customFormat="false" ht="15" hidden="false" customHeight="false" outlineLevel="0" collapsed="false">
      <c r="W55" s="134" t="n">
        <v>14</v>
      </c>
      <c r="X55" s="134" t="n">
        <f aca="false">'General Information'!$D$25+W55</f>
        <v>2041</v>
      </c>
      <c r="Y55" s="135" t="n">
        <f aca="true">IF($G$4="",0,IF(W55&gt;'General Information'!$D$33,0,IF(W55=0,$J$4,IFERROR(SUMIF(INDIRECT("'"&amp;$G$4&amp;"'!$C$37:$C$52"),W55,INDIRECT("'"&amp;$G$4&amp;"'!$D$37:$D$52")),0))))</f>
        <v>0</v>
      </c>
      <c r="Z55" s="135" t="n">
        <f aca="true">IF($G$5="",0,IF(W55&gt;'General Information'!$D$33,0,IF(W55=0,$J$5,IFERROR(SUMIF(INDIRECT("'"&amp;$G$5&amp;"'!$C$37:$C$52"),W55,INDIRECT("'"&amp;$G$5&amp;"'!$D$37:$D$52")),0))))</f>
        <v>0</v>
      </c>
      <c r="AA55" s="135" t="n">
        <f aca="true">IF($G$6="",0,IF(W55&gt;'General Information'!$D$33,0,IF(W55=0,$J$6,IFERROR(SUMIF(INDIRECT("'"&amp;$G$6&amp;"'!$C$37:$C$52"),W55,INDIRECT("'"&amp;$G$6&amp;"'!$D$37:$D$52")),0))))</f>
        <v>0</v>
      </c>
      <c r="AB55" s="135" t="n">
        <f aca="true">IF($G$7="",0,IF(W55&gt;'General Information'!$D$33,0,IF(W55=0,$J$7,IFERROR(SUMIF(INDIRECT("'"&amp;$G$7&amp;"'!$C$37:$C$52"),W55,INDIRECT("'"&amp;$G$7&amp;"'!$D$37:$D$52")),0))))</f>
        <v>0</v>
      </c>
      <c r="AC55" s="135" t="n">
        <f aca="true">IF($G$4="",0,AC54+IF(W55&gt;'General Information'!$D$33,0,IF(W55=0,$J$4,IFERROR(SUMIF(INDIRECT("'"&amp;$G$4&amp;"'!$C$37:$C$52"),W55,INDIRECT("'"&amp;$G$4&amp;"'!$E$37:$E$52")),0))))</f>
        <v>13921715.8763559</v>
      </c>
      <c r="AD55" s="135" t="n">
        <f aca="true">IF($G$5="",0,AD54+IF(W55&gt;'General Information'!$D$33,0,IF(W55=0,$J$5,IFERROR(SUMIF(INDIRECT("'"&amp;$G$5&amp;"'!$C$37:$C$52"),W55,INDIRECT("'"&amp;$G$5&amp;"'!$E$37:$E$52")),0))))</f>
        <v>13830665.5166667</v>
      </c>
      <c r="AE55" s="135" t="n">
        <f aca="true">IF($G$6="",0,AE54+IF(W55&gt;'General Information'!$D$33,0,IF(W55=0,$J$6,IFERROR(SUMIF(INDIRECT("'"&amp;$G$6&amp;"'!$C$37:$C$52"),W55,INDIRECT("'"&amp;$G$6&amp;"'!$E$37:$E$52")),0))))</f>
        <v>16220920.0763559</v>
      </c>
      <c r="AF55" s="135" t="n">
        <f aca="true">IF($G$7="",0,AF54+IF(W55&gt;'General Information'!$D$33,0,IF(W55=0,$J$7,IFERROR(SUMIF(INDIRECT("'"&amp;$G$7&amp;"'!$C$37:$C$52"),W55,INDIRECT("'"&amp;$G$7&amp;"'!$E$37:$E$52")),0))))</f>
        <v>14418903.1666667</v>
      </c>
      <c r="AG55" s="148" t="n">
        <f aca="true">IF($G$4="",0,IF(W55&gt;'General Information'!$D$33,0,IFERROR(SUMIFS(INDIRECT("'"&amp;$G$4&amp;"'!$D$37:$D$52"),INDIRECT("'"&amp;$G$4&amp;"'!$C$37:$C$52"),W55,INDIRECT("'"&amp;$G$4&amp;"'!$B$37:$B$52"),"*Indirect*")/INDIRECT("'"&amp;$G$4&amp;"'!$F$2"),0)))</f>
        <v>0</v>
      </c>
      <c r="AH55" s="148" t="n">
        <f aca="true">IF($G$5="",0,IF(W55&gt;'General Information'!$D$33,0,IFERROR(SUMIFS(INDIRECT("'"&amp;$G$5&amp;"'!$D$37:$D$52"),INDIRECT("'"&amp;$G$5&amp;"'!$C$37:$C$52"),W55,INDIRECT("'"&amp;$G$5&amp;"'!$B$37:$B$52"),"*Indirect*")/INDIRECT("'"&amp;$G$5&amp;"'!$F$2"),0)))</f>
        <v>0</v>
      </c>
      <c r="AI55" s="148" t="n">
        <f aca="true">IF($G$6="",0,IF(W55&gt;'General Information'!$D$33,0,IFERROR(SUMIFS(INDIRECT("'"&amp;$G$6&amp;"'!$D$37:$D$52"),INDIRECT("'"&amp;$G$6&amp;"'!$C$37:$C$52"),W55,INDIRECT("'"&amp;$G$6&amp;"'!$B$37:$B$52"),"*Indirect*")/INDIRECT("'"&amp;$G$6&amp;"'!$F$2"),0)))</f>
        <v>0</v>
      </c>
      <c r="AJ55" s="148" t="n">
        <f aca="true">IF($G$7="",0,IF(W55&gt;'General Information'!$D$33,0,IFERROR(SUMIFS(INDIRECT("'"&amp;$G$7&amp;"'!$D$37:$D$52"),INDIRECT("'"&amp;$G$7&amp;"'!$C$37:$C$52"),W55,INDIRECT("'"&amp;$G$7&amp;"'!$B$37:$B$52"),"*Indirect*")/INDIRECT("'"&amp;$G$7&amp;"'!$F$2"),0)))</f>
        <v>0</v>
      </c>
    </row>
    <row r="56" customFormat="false" ht="15" hidden="false" customHeight="false" outlineLevel="0" collapsed="false">
      <c r="W56" s="134" t="n">
        <v>15</v>
      </c>
      <c r="X56" s="134" t="n">
        <f aca="false">'General Information'!$D$25+W56</f>
        <v>2042</v>
      </c>
      <c r="Y56" s="135" t="n">
        <f aca="true">IF($G$4="",0,IF(W56&gt;'General Information'!$D$33,0,IF(W56=0,$J$4,IFERROR(SUMIF(INDIRECT("'"&amp;$G$4&amp;"'!$C$37:$C$52"),W56,INDIRECT("'"&amp;$G$4&amp;"'!$D$37:$D$52")),0))))</f>
        <v>0</v>
      </c>
      <c r="Z56" s="135" t="n">
        <f aca="true">IF($G$5="",0,IF(W56&gt;'General Information'!$D$33,0,IF(W56=0,$J$5,IFERROR(SUMIF(INDIRECT("'"&amp;$G$5&amp;"'!$C$37:$C$52"),W56,INDIRECT("'"&amp;$G$5&amp;"'!$D$37:$D$52")),0))))</f>
        <v>0</v>
      </c>
      <c r="AA56" s="135" t="n">
        <f aca="true">IF($G$6="",0,IF(W56&gt;'General Information'!$D$33,0,IF(W56=0,$J$6,IFERROR(SUMIF(INDIRECT("'"&amp;$G$6&amp;"'!$C$37:$C$52"),W56,INDIRECT("'"&amp;$G$6&amp;"'!$D$37:$D$52")),0))))</f>
        <v>0</v>
      </c>
      <c r="AB56" s="135" t="n">
        <f aca="true">IF($G$7="",0,IF(W56&gt;'General Information'!$D$33,0,IF(W56=0,$J$7,IFERROR(SUMIF(INDIRECT("'"&amp;$G$7&amp;"'!$C$37:$C$52"),W56,INDIRECT("'"&amp;$G$7&amp;"'!$D$37:$D$52")),0))))</f>
        <v>0</v>
      </c>
      <c r="AC56" s="135" t="n">
        <f aca="true">IF($G$4="",0,AC55+IF(W56&gt;'General Information'!$D$33,0,IF(W56=0,$J$4,IFERROR(SUMIF(INDIRECT("'"&amp;$G$4&amp;"'!$C$37:$C$52"),W56,INDIRECT("'"&amp;$G$4&amp;"'!$E$37:$E$52")),0))))</f>
        <v>13921715.8763559</v>
      </c>
      <c r="AD56" s="135" t="n">
        <f aca="true">IF($G$5="",0,AD55+IF(W56&gt;'General Information'!$D$33,0,IF(W56=0,$J$5,IFERROR(SUMIF(INDIRECT("'"&amp;$G$5&amp;"'!$C$37:$C$52"),W56,INDIRECT("'"&amp;$G$5&amp;"'!$E$37:$E$52")),0))))</f>
        <v>13830665.5166667</v>
      </c>
      <c r="AE56" s="135" t="n">
        <f aca="true">IF($G$6="",0,AE55+IF(W56&gt;'General Information'!$D$33,0,IF(W56=0,$J$6,IFERROR(SUMIF(INDIRECT("'"&amp;$G$6&amp;"'!$C$37:$C$52"),W56,INDIRECT("'"&amp;$G$6&amp;"'!$E$37:$E$52")),0))))</f>
        <v>16220920.0763559</v>
      </c>
      <c r="AF56" s="135" t="n">
        <f aca="true">IF($G$7="",0,AF55+IF(W56&gt;'General Information'!$D$33,0,IF(W56=0,$J$7,IFERROR(SUMIF(INDIRECT("'"&amp;$G$7&amp;"'!$C$37:$C$52"),W56,INDIRECT("'"&amp;$G$7&amp;"'!$E$37:$E$52")),0))))</f>
        <v>14418903.1666667</v>
      </c>
      <c r="AG56" s="148" t="n">
        <f aca="true">IF($G$4="",0,IF(W56&gt;'General Information'!$D$33,0,IFERROR(SUMIFS(INDIRECT("'"&amp;$G$4&amp;"'!$D$37:$D$52"),INDIRECT("'"&amp;$G$4&amp;"'!$C$37:$C$52"),W56,INDIRECT("'"&amp;$G$4&amp;"'!$B$37:$B$52"),"*Indirect*")/INDIRECT("'"&amp;$G$4&amp;"'!$F$2"),0)))</f>
        <v>0</v>
      </c>
      <c r="AH56" s="148" t="n">
        <f aca="true">IF($G$5="",0,IF(W56&gt;'General Information'!$D$33,0,IFERROR(SUMIFS(INDIRECT("'"&amp;$G$5&amp;"'!$D$37:$D$52"),INDIRECT("'"&amp;$G$5&amp;"'!$C$37:$C$52"),W56,INDIRECT("'"&amp;$G$5&amp;"'!$B$37:$B$52"),"*Indirect*")/INDIRECT("'"&amp;$G$5&amp;"'!$F$2"),0)))</f>
        <v>0</v>
      </c>
      <c r="AI56" s="148" t="n">
        <f aca="true">IF($G$6="",0,IF(W56&gt;'General Information'!$D$33,0,IFERROR(SUMIFS(INDIRECT("'"&amp;$G$6&amp;"'!$D$37:$D$52"),INDIRECT("'"&amp;$G$6&amp;"'!$C$37:$C$52"),W56,INDIRECT("'"&amp;$G$6&amp;"'!$B$37:$B$52"),"*Indirect*")/INDIRECT("'"&amp;$G$6&amp;"'!$F$2"),0)))</f>
        <v>0</v>
      </c>
      <c r="AJ56" s="148" t="n">
        <f aca="true">IF($G$7="",0,IF(W56&gt;'General Information'!$D$33,0,IFERROR(SUMIFS(INDIRECT("'"&amp;$G$7&amp;"'!$D$37:$D$52"),INDIRECT("'"&amp;$G$7&amp;"'!$C$37:$C$52"),W56,INDIRECT("'"&amp;$G$7&amp;"'!$B$37:$B$52"),"*Indirect*")/INDIRECT("'"&amp;$G$7&amp;"'!$F$2"),0)))</f>
        <v>0</v>
      </c>
    </row>
    <row r="57" customFormat="false" ht="15" hidden="false" customHeight="false" outlineLevel="0" collapsed="false">
      <c r="W57" s="134" t="n">
        <v>16</v>
      </c>
      <c r="X57" s="134" t="n">
        <f aca="false">'General Information'!$D$25+W57</f>
        <v>2043</v>
      </c>
      <c r="Y57" s="135" t="n">
        <f aca="true">IF($G$4="",0,IF(W57&gt;'General Information'!$D$33,0,IF(W57=0,$J$4,IFERROR(SUMIF(INDIRECT("'"&amp;$G$4&amp;"'!$C$37:$C$52"),W57,INDIRECT("'"&amp;$G$4&amp;"'!$D$37:$D$52")),0))))</f>
        <v>837049.144027778</v>
      </c>
      <c r="Z57" s="135" t="n">
        <f aca="true">IF($G$5="",0,IF(W57&gt;'General Information'!$D$33,0,IF(W57=0,$J$5,IFERROR(SUMIF(INDIRECT("'"&amp;$G$5&amp;"'!$C$37:$C$52"),W57,INDIRECT("'"&amp;$G$5&amp;"'!$D$37:$D$52")),0))))</f>
        <v>0</v>
      </c>
      <c r="AA57" s="135" t="n">
        <f aca="true">IF($G$6="",0,IF(W57&gt;'General Information'!$D$33,0,IF(W57=0,$J$6,IFERROR(SUMIF(INDIRECT("'"&amp;$G$6&amp;"'!$C$37:$C$52"),W57,INDIRECT("'"&amp;$G$6&amp;"'!$D$37:$D$52")),0))))</f>
        <v>837049.144027778</v>
      </c>
      <c r="AB57" s="135" t="n">
        <f aca="true">IF($G$7="",0,IF(W57&gt;'General Information'!$D$33,0,IF(W57=0,$J$7,IFERROR(SUMIF(INDIRECT("'"&amp;$G$7&amp;"'!$C$37:$C$52"),W57,INDIRECT("'"&amp;$G$7&amp;"'!$D$37:$D$52")),0))))</f>
        <v>0</v>
      </c>
      <c r="AC57" s="135" t="n">
        <f aca="true">IF($G$4="",0,AC56+IF(W57&gt;'General Information'!$D$33,0,IF(W57=0,$J$4,IFERROR(SUMIF(INDIRECT("'"&amp;$G$4&amp;"'!$C$37:$C$52"),W57,INDIRECT("'"&amp;$G$4&amp;"'!$E$37:$E$52")),0))))</f>
        <v>14443337.2294165</v>
      </c>
      <c r="AD57" s="135" t="n">
        <f aca="true">IF($G$5="",0,AD56+IF(W57&gt;'General Information'!$D$33,0,IF(W57=0,$J$5,IFERROR(SUMIF(INDIRECT("'"&amp;$G$5&amp;"'!$C$37:$C$52"),W57,INDIRECT("'"&amp;$G$5&amp;"'!$E$37:$E$52")),0))))</f>
        <v>13830665.5166667</v>
      </c>
      <c r="AE57" s="135" t="n">
        <f aca="true">IF($G$6="",0,AE56+IF(W57&gt;'General Information'!$D$33,0,IF(W57=0,$J$6,IFERROR(SUMIF(INDIRECT("'"&amp;$G$6&amp;"'!$C$37:$C$52"),W57,INDIRECT("'"&amp;$G$6&amp;"'!$E$37:$E$52")),0))))</f>
        <v>16742541.4294165</v>
      </c>
      <c r="AF57" s="135" t="n">
        <f aca="true">IF($G$7="",0,AF56+IF(W57&gt;'General Information'!$D$33,0,IF(W57=0,$J$7,IFERROR(SUMIF(INDIRECT("'"&amp;$G$7&amp;"'!$C$37:$C$52"),W57,INDIRECT("'"&amp;$G$7&amp;"'!$E$37:$E$52")),0))))</f>
        <v>14418903.1666667</v>
      </c>
      <c r="AG57" s="148" t="n">
        <f aca="true">IF($G$4="",0,IF(W57&gt;'General Information'!$D$33,0,IFERROR(SUMIFS(INDIRECT("'"&amp;$G$4&amp;"'!$D$37:$D$52"),INDIRECT("'"&amp;$G$4&amp;"'!$C$37:$C$52"),W57,INDIRECT("'"&amp;$G$4&amp;"'!$B$37:$B$52"),"*Indirect*")/INDIRECT("'"&amp;$G$4&amp;"'!$F$2"),0)))</f>
        <v>12</v>
      </c>
      <c r="AH57" s="148" t="n">
        <f aca="true">IF($G$5="",0,IF(W57&gt;'General Information'!$D$33,0,IFERROR(SUMIFS(INDIRECT("'"&amp;$G$5&amp;"'!$D$37:$D$52"),INDIRECT("'"&amp;$G$5&amp;"'!$C$37:$C$52"),W57,INDIRECT("'"&amp;$G$5&amp;"'!$B$37:$B$52"),"*Indirect*")/INDIRECT("'"&amp;$G$5&amp;"'!$F$2"),0)))</f>
        <v>0</v>
      </c>
      <c r="AI57" s="148" t="n">
        <f aca="true">IF($G$6="",0,IF(W57&gt;'General Information'!$D$33,0,IFERROR(SUMIFS(INDIRECT("'"&amp;$G$6&amp;"'!$D$37:$D$52"),INDIRECT("'"&amp;$G$6&amp;"'!$C$37:$C$52"),W57,INDIRECT("'"&amp;$G$6&amp;"'!$B$37:$B$52"),"*Indirect*")/INDIRECT("'"&amp;$G$6&amp;"'!$F$2"),0)))</f>
        <v>12</v>
      </c>
      <c r="AJ57" s="148" t="n">
        <f aca="true">IF($G$7="",0,IF(W57&gt;'General Information'!$D$33,0,IFERROR(SUMIFS(INDIRECT("'"&amp;$G$7&amp;"'!$D$37:$D$52"),INDIRECT("'"&amp;$G$7&amp;"'!$C$37:$C$52"),W57,INDIRECT("'"&amp;$G$7&amp;"'!$B$37:$B$52"),"*Indirect*")/INDIRECT("'"&amp;$G$7&amp;"'!$F$2"),0)))</f>
        <v>0</v>
      </c>
    </row>
    <row r="58" customFormat="false" ht="15" hidden="false" customHeight="false" outlineLevel="0" collapsed="false">
      <c r="W58" s="134" t="n">
        <v>17</v>
      </c>
      <c r="X58" s="134" t="n">
        <f aca="false">'General Information'!$D$25+W58</f>
        <v>2044</v>
      </c>
      <c r="Y58" s="135" t="n">
        <f aca="true">IF($G$4="",0,IF(W58&gt;'General Information'!$D$33,0,IF(W58=0,$J$4,IFERROR(SUMIF(INDIRECT("'"&amp;$G$4&amp;"'!$C$37:$C$52"),W58,INDIRECT("'"&amp;$G$4&amp;"'!$D$37:$D$52")),0))))</f>
        <v>0</v>
      </c>
      <c r="Z58" s="135" t="n">
        <f aca="true">IF($G$5="",0,IF(W58&gt;'General Information'!$D$33,0,IF(W58=0,$J$5,IFERROR(SUMIF(INDIRECT("'"&amp;$G$5&amp;"'!$C$37:$C$52"),W58,INDIRECT("'"&amp;$G$5&amp;"'!$D$37:$D$52")),0))))</f>
        <v>0</v>
      </c>
      <c r="AA58" s="135" t="n">
        <f aca="true">IF($G$6="",0,IF(W58&gt;'General Information'!$D$33,0,IF(W58=0,$J$6,IFERROR(SUMIF(INDIRECT("'"&amp;$G$6&amp;"'!$C$37:$C$52"),W58,INDIRECT("'"&amp;$G$6&amp;"'!$D$37:$D$52")),0))))</f>
        <v>0</v>
      </c>
      <c r="AB58" s="135" t="n">
        <f aca="true">IF($G$7="",0,IF(W58&gt;'General Information'!$D$33,0,IF(W58=0,$J$7,IFERROR(SUMIF(INDIRECT("'"&amp;$G$7&amp;"'!$C$37:$C$52"),W58,INDIRECT("'"&amp;$G$7&amp;"'!$D$37:$D$52")),0))))</f>
        <v>0</v>
      </c>
      <c r="AC58" s="135" t="n">
        <f aca="true">IF($G$4="",0,AC57+IF(W58&gt;'General Information'!$D$33,0,IF(W58=0,$J$4,IFERROR(SUMIF(INDIRECT("'"&amp;$G$4&amp;"'!$C$37:$C$52"),W58,INDIRECT("'"&amp;$G$4&amp;"'!$E$37:$E$52")),0))))</f>
        <v>14443337.2294165</v>
      </c>
      <c r="AD58" s="135" t="n">
        <f aca="true">IF($G$5="",0,AD57+IF(W58&gt;'General Information'!$D$33,0,IF(W58=0,$J$5,IFERROR(SUMIF(INDIRECT("'"&amp;$G$5&amp;"'!$C$37:$C$52"),W58,INDIRECT("'"&amp;$G$5&amp;"'!$E$37:$E$52")),0))))</f>
        <v>13830665.5166667</v>
      </c>
      <c r="AE58" s="135" t="n">
        <f aca="true">IF($G$6="",0,AE57+IF(W58&gt;'General Information'!$D$33,0,IF(W58=0,$J$6,IFERROR(SUMIF(INDIRECT("'"&amp;$G$6&amp;"'!$C$37:$C$52"),W58,INDIRECT("'"&amp;$G$6&amp;"'!$E$37:$E$52")),0))))</f>
        <v>16742541.4294165</v>
      </c>
      <c r="AF58" s="135" t="n">
        <f aca="true">IF($G$7="",0,AF57+IF(W58&gt;'General Information'!$D$33,0,IF(W58=0,$J$7,IFERROR(SUMIF(INDIRECT("'"&amp;$G$7&amp;"'!$C$37:$C$52"),W58,INDIRECT("'"&amp;$G$7&amp;"'!$E$37:$E$52")),0))))</f>
        <v>14418903.1666667</v>
      </c>
      <c r="AG58" s="148" t="n">
        <f aca="true">IF($G$4="",0,IF(W58&gt;'General Information'!$D$33,0,IFERROR(SUMIFS(INDIRECT("'"&amp;$G$4&amp;"'!$D$37:$D$52"),INDIRECT("'"&amp;$G$4&amp;"'!$C$37:$C$52"),W58,INDIRECT("'"&amp;$G$4&amp;"'!$B$37:$B$52"),"*Indirect*")/INDIRECT("'"&amp;$G$4&amp;"'!$F$2"),0)))</f>
        <v>0</v>
      </c>
      <c r="AH58" s="148" t="n">
        <f aca="true">IF($G$5="",0,IF(W58&gt;'General Information'!$D$33,0,IFERROR(SUMIFS(INDIRECT("'"&amp;$G$5&amp;"'!$D$37:$D$52"),INDIRECT("'"&amp;$G$5&amp;"'!$C$37:$C$52"),W58,INDIRECT("'"&amp;$G$5&amp;"'!$B$37:$B$52"),"*Indirect*")/INDIRECT("'"&amp;$G$5&amp;"'!$F$2"),0)))</f>
        <v>0</v>
      </c>
      <c r="AI58" s="148" t="n">
        <f aca="true">IF($G$6="",0,IF(W58&gt;'General Information'!$D$33,0,IFERROR(SUMIFS(INDIRECT("'"&amp;$G$6&amp;"'!$D$37:$D$52"),INDIRECT("'"&amp;$G$6&amp;"'!$C$37:$C$52"),W58,INDIRECT("'"&amp;$G$6&amp;"'!$B$37:$B$52"),"*Indirect*")/INDIRECT("'"&amp;$G$6&amp;"'!$F$2"),0)))</f>
        <v>0</v>
      </c>
      <c r="AJ58" s="148" t="n">
        <f aca="true">IF($G$7="",0,IF(W58&gt;'General Information'!$D$33,0,IFERROR(SUMIFS(INDIRECT("'"&amp;$G$7&amp;"'!$D$37:$D$52"),INDIRECT("'"&amp;$G$7&amp;"'!$C$37:$C$52"),W58,INDIRECT("'"&amp;$G$7&amp;"'!$B$37:$B$52"),"*Indirect*")/INDIRECT("'"&amp;$G$7&amp;"'!$F$2"),0)))</f>
        <v>0</v>
      </c>
    </row>
    <row r="59" customFormat="false" ht="15" hidden="false" customHeight="false" outlineLevel="0" collapsed="false">
      <c r="W59" s="134" t="n">
        <v>18</v>
      </c>
      <c r="X59" s="134" t="n">
        <f aca="false">'General Information'!$D$25+W59</f>
        <v>2045</v>
      </c>
      <c r="Y59" s="135" t="n">
        <f aca="true">IF($G$4="",0,IF(W59&gt;'General Information'!$D$33,0,IF(W59=0,$J$4,IFERROR(SUMIF(INDIRECT("'"&amp;$G$4&amp;"'!$C$37:$C$52"),W59,INDIRECT("'"&amp;$G$4&amp;"'!$D$37:$D$52")),0))))</f>
        <v>0</v>
      </c>
      <c r="Z59" s="135" t="n">
        <f aca="true">IF($G$5="",0,IF(W59&gt;'General Information'!$D$33,0,IF(W59=0,$J$5,IFERROR(SUMIF(INDIRECT("'"&amp;$G$5&amp;"'!$C$37:$C$52"),W59,INDIRECT("'"&amp;$G$5&amp;"'!$D$37:$D$52")),0))))</f>
        <v>0</v>
      </c>
      <c r="AA59" s="135" t="n">
        <f aca="true">IF($G$6="",0,IF(W59&gt;'General Information'!$D$33,0,IF(W59=0,$J$6,IFERROR(SUMIF(INDIRECT("'"&amp;$G$6&amp;"'!$C$37:$C$52"),W59,INDIRECT("'"&amp;$G$6&amp;"'!$D$37:$D$52")),0))))</f>
        <v>0</v>
      </c>
      <c r="AB59" s="135" t="n">
        <f aca="true">IF($G$7="",0,IF(W59&gt;'General Information'!$D$33,0,IF(W59=0,$J$7,IFERROR(SUMIF(INDIRECT("'"&amp;$G$7&amp;"'!$C$37:$C$52"),W59,INDIRECT("'"&amp;$G$7&amp;"'!$D$37:$D$52")),0))))</f>
        <v>0</v>
      </c>
      <c r="AC59" s="135" t="n">
        <f aca="true">IF($G$4="",0,AC58+IF(W59&gt;'General Information'!$D$33,0,IF(W59=0,$J$4,IFERROR(SUMIF(INDIRECT("'"&amp;$G$4&amp;"'!$C$37:$C$52"),W59,INDIRECT("'"&amp;$G$4&amp;"'!$E$37:$E$52")),0))))</f>
        <v>14443337.2294165</v>
      </c>
      <c r="AD59" s="135" t="n">
        <f aca="true">IF($G$5="",0,AD58+IF(W59&gt;'General Information'!$D$33,0,IF(W59=0,$J$5,IFERROR(SUMIF(INDIRECT("'"&amp;$G$5&amp;"'!$C$37:$C$52"),W59,INDIRECT("'"&amp;$G$5&amp;"'!$E$37:$E$52")),0))))</f>
        <v>13830665.5166667</v>
      </c>
      <c r="AE59" s="135" t="n">
        <f aca="true">IF($G$6="",0,AE58+IF(W59&gt;'General Information'!$D$33,0,IF(W59=0,$J$6,IFERROR(SUMIF(INDIRECT("'"&amp;$G$6&amp;"'!$C$37:$C$52"),W59,INDIRECT("'"&amp;$G$6&amp;"'!$E$37:$E$52")),0))))</f>
        <v>16742541.4294165</v>
      </c>
      <c r="AF59" s="135" t="n">
        <f aca="true">IF($G$7="",0,AF58+IF(W59&gt;'General Information'!$D$33,0,IF(W59=0,$J$7,IFERROR(SUMIF(INDIRECT("'"&amp;$G$7&amp;"'!$C$37:$C$52"),W59,INDIRECT("'"&amp;$G$7&amp;"'!$E$37:$E$52")),0))))</f>
        <v>14418903.1666667</v>
      </c>
      <c r="AG59" s="148" t="n">
        <f aca="true">IF($G$4="",0,IF(W59&gt;'General Information'!$D$33,0,IFERROR(SUMIFS(INDIRECT("'"&amp;$G$4&amp;"'!$D$37:$D$52"),INDIRECT("'"&amp;$G$4&amp;"'!$C$37:$C$52"),W59,INDIRECT("'"&amp;$G$4&amp;"'!$B$37:$B$52"),"*Indirect*")/INDIRECT("'"&amp;$G$4&amp;"'!$F$2"),0)))</f>
        <v>0</v>
      </c>
      <c r="AH59" s="148" t="n">
        <f aca="true">IF($G$5="",0,IF(W59&gt;'General Information'!$D$33,0,IFERROR(SUMIFS(INDIRECT("'"&amp;$G$5&amp;"'!$D$37:$D$52"),INDIRECT("'"&amp;$G$5&amp;"'!$C$37:$C$52"),W59,INDIRECT("'"&amp;$G$5&amp;"'!$B$37:$B$52"),"*Indirect*")/INDIRECT("'"&amp;$G$5&amp;"'!$F$2"),0)))</f>
        <v>0</v>
      </c>
      <c r="AI59" s="148" t="n">
        <f aca="true">IF($G$6="",0,IF(W59&gt;'General Information'!$D$33,0,IFERROR(SUMIFS(INDIRECT("'"&amp;$G$6&amp;"'!$D$37:$D$52"),INDIRECT("'"&amp;$G$6&amp;"'!$C$37:$C$52"),W59,INDIRECT("'"&amp;$G$6&amp;"'!$B$37:$B$52"),"*Indirect*")/INDIRECT("'"&amp;$G$6&amp;"'!$F$2"),0)))</f>
        <v>0</v>
      </c>
      <c r="AJ59" s="148" t="n">
        <f aca="true">IF($G$7="",0,IF(W59&gt;'General Information'!$D$33,0,IFERROR(SUMIFS(INDIRECT("'"&amp;$G$7&amp;"'!$D$37:$D$52"),INDIRECT("'"&amp;$G$7&amp;"'!$C$37:$C$52"),W59,INDIRECT("'"&amp;$G$7&amp;"'!$B$37:$B$52"),"*Indirect*")/INDIRECT("'"&amp;$G$7&amp;"'!$F$2"),0)))</f>
        <v>0</v>
      </c>
    </row>
    <row r="60" customFormat="false" ht="15" hidden="false" customHeight="false" outlineLevel="0" collapsed="false">
      <c r="W60" s="134" t="n">
        <v>19</v>
      </c>
      <c r="X60" s="134" t="n">
        <f aca="false">'General Information'!$D$25+W60</f>
        <v>2046</v>
      </c>
      <c r="Y60" s="135" t="n">
        <f aca="true">IF($G$4="",0,IF(W60&gt;'General Information'!$D$33,0,IF(W60=0,$J$4,IFERROR(SUMIF(INDIRECT("'"&amp;$G$4&amp;"'!$C$37:$C$52"),W60,INDIRECT("'"&amp;$G$4&amp;"'!$D$37:$D$52")),0))))</f>
        <v>0</v>
      </c>
      <c r="Z60" s="135" t="n">
        <f aca="true">IF($G$5="",0,IF(W60&gt;'General Information'!$D$33,0,IF(W60=0,$J$5,IFERROR(SUMIF(INDIRECT("'"&amp;$G$5&amp;"'!$C$37:$C$52"),W60,INDIRECT("'"&amp;$G$5&amp;"'!$D$37:$D$52")),0))))</f>
        <v>1486198.0384</v>
      </c>
      <c r="AA60" s="135" t="n">
        <f aca="true">IF($G$6="",0,IF(W60&gt;'General Information'!$D$33,0,IF(W60=0,$J$6,IFERROR(SUMIF(INDIRECT("'"&amp;$G$6&amp;"'!$C$37:$C$52"),W60,INDIRECT("'"&amp;$G$6&amp;"'!$D$37:$D$52")),0))))</f>
        <v>0</v>
      </c>
      <c r="AB60" s="135" t="n">
        <f aca="true">IF($G$7="",0,IF(W60&gt;'General Information'!$D$33,0,IF(W60=0,$J$7,IFERROR(SUMIF(INDIRECT("'"&amp;$G$7&amp;"'!$C$37:$C$52"),W60,INDIRECT("'"&amp;$G$7&amp;"'!$D$37:$D$52")),0))))</f>
        <v>1486198.0384</v>
      </c>
      <c r="AC60" s="135" t="n">
        <f aca="true">IF($G$4="",0,AC59+IF(W60&gt;'General Information'!$D$33,0,IF(W60=0,$J$4,IFERROR(SUMIF(INDIRECT("'"&amp;$G$4&amp;"'!$C$37:$C$52"),W60,INDIRECT("'"&amp;$G$4&amp;"'!$E$37:$E$52")),0))))</f>
        <v>14443337.2294165</v>
      </c>
      <c r="AD60" s="135" t="n">
        <f aca="true">IF($G$5="",0,AD59+IF(W60&gt;'General Information'!$D$33,0,IF(W60=0,$J$5,IFERROR(SUMIF(INDIRECT("'"&amp;$G$5&amp;"'!$C$37:$C$52"),W60,INDIRECT("'"&amp;$G$5&amp;"'!$E$37:$E$52")),0))))</f>
        <v>14678223.4910415</v>
      </c>
      <c r="AE60" s="135" t="n">
        <f aca="true">IF($G$6="",0,AE59+IF(W60&gt;'General Information'!$D$33,0,IF(W60=0,$J$6,IFERROR(SUMIF(INDIRECT("'"&amp;$G$6&amp;"'!$C$37:$C$52"),W60,INDIRECT("'"&amp;$G$6&amp;"'!$E$37:$E$52")),0))))</f>
        <v>16742541.4294165</v>
      </c>
      <c r="AF60" s="135" t="n">
        <f aca="true">IF($G$7="",0,AF59+IF(W60&gt;'General Information'!$D$33,0,IF(W60=0,$J$7,IFERROR(SUMIF(INDIRECT("'"&amp;$G$7&amp;"'!$C$37:$C$52"),W60,INDIRECT("'"&amp;$G$7&amp;"'!$E$37:$E$52")),0))))</f>
        <v>15266461.1410415</v>
      </c>
      <c r="AG60" s="148" t="n">
        <f aca="true">IF($G$4="",0,IF(W60&gt;'General Information'!$D$33,0,IFERROR(SUMIFS(INDIRECT("'"&amp;$G$4&amp;"'!$D$37:$D$52"),INDIRECT("'"&amp;$G$4&amp;"'!$C$37:$C$52"),W60,INDIRECT("'"&amp;$G$4&amp;"'!$B$37:$B$52"),"*Indirect*")/INDIRECT("'"&amp;$G$4&amp;"'!$F$2"),0)))</f>
        <v>0</v>
      </c>
      <c r="AH60" s="148" t="n">
        <f aca="true">IF($G$5="",0,IF(W60&gt;'General Information'!$D$33,0,IFERROR(SUMIFS(INDIRECT("'"&amp;$G$5&amp;"'!$D$37:$D$52"),INDIRECT("'"&amp;$G$5&amp;"'!$C$37:$C$52"),W60,INDIRECT("'"&amp;$G$5&amp;"'!$B$37:$B$52"),"*Indirect*")/INDIRECT("'"&amp;$G$5&amp;"'!$F$2"),0)))</f>
        <v>13</v>
      </c>
      <c r="AI60" s="148" t="n">
        <f aca="true">IF($G$6="",0,IF(W60&gt;'General Information'!$D$33,0,IFERROR(SUMIFS(INDIRECT("'"&amp;$G$6&amp;"'!$D$37:$D$52"),INDIRECT("'"&amp;$G$6&amp;"'!$C$37:$C$52"),W60,INDIRECT("'"&amp;$G$6&amp;"'!$B$37:$B$52"),"*Indirect*")/INDIRECT("'"&amp;$G$6&amp;"'!$F$2"),0)))</f>
        <v>0</v>
      </c>
      <c r="AJ60" s="148" t="n">
        <f aca="true">IF($G$7="",0,IF(W60&gt;'General Information'!$D$33,0,IFERROR(SUMIFS(INDIRECT("'"&amp;$G$7&amp;"'!$D$37:$D$52"),INDIRECT("'"&amp;$G$7&amp;"'!$C$37:$C$52"),W60,INDIRECT("'"&amp;$G$7&amp;"'!$B$37:$B$52"),"*Indirect*")/INDIRECT("'"&amp;$G$7&amp;"'!$F$2"),0)))</f>
        <v>13</v>
      </c>
    </row>
    <row r="61" customFormat="false" ht="15" hidden="false" customHeight="false" outlineLevel="0" collapsed="false">
      <c r="W61" s="134" t="n">
        <v>20</v>
      </c>
      <c r="X61" s="134" t="n">
        <f aca="false">'General Information'!$D$25+W61</f>
        <v>2047</v>
      </c>
      <c r="Y61" s="135" t="n">
        <f aca="true">IF($G$4="",0,IF(W61&gt;'General Information'!$D$33,0,IF(W61=0,$J$4,IFERROR(SUMIF(INDIRECT("'"&amp;$G$4&amp;"'!$C$37:$C$52"),W61,INDIRECT("'"&amp;$G$4&amp;"'!$D$37:$D$52")),0))))</f>
        <v>2786267.76179167</v>
      </c>
      <c r="Z61" s="135" t="n">
        <f aca="true">IF($G$5="",0,IF(W61&gt;'General Information'!$D$33,0,IF(W61=0,$J$5,IFERROR(SUMIF(INDIRECT("'"&amp;$G$5&amp;"'!$C$37:$C$52"),W61,INDIRECT("'"&amp;$G$5&amp;"'!$D$37:$D$52")),0))))</f>
        <v>0</v>
      </c>
      <c r="AA61" s="135" t="n">
        <f aca="true">IF($G$6="",0,IF(W61&gt;'General Information'!$D$33,0,IF(W61=0,$J$6,IFERROR(SUMIF(INDIRECT("'"&amp;$G$6&amp;"'!$C$37:$C$52"),W61,INDIRECT("'"&amp;$G$6&amp;"'!$D$37:$D$52")),0))))</f>
        <v>2786267.76179167</v>
      </c>
      <c r="AB61" s="135" t="n">
        <f aca="true">IF($G$7="",0,IF(W61&gt;'General Information'!$D$33,0,IF(W61=0,$J$7,IFERROR(SUMIF(INDIRECT("'"&amp;$G$7&amp;"'!$C$37:$C$52"),W61,INDIRECT("'"&amp;$G$7&amp;"'!$D$37:$D$52")),0))))</f>
        <v>0</v>
      </c>
      <c r="AC61" s="135" t="n">
        <f aca="true">IF($G$4="",0,AC60+IF(W61&gt;'General Information'!$D$33,0,IF(W61=0,$J$4,IFERROR(SUMIF(INDIRECT("'"&amp;$G$4&amp;"'!$C$37:$C$52"),W61,INDIRECT("'"&amp;$G$4&amp;"'!$E$37:$E$52")),0))))</f>
        <v>15986026.1337916</v>
      </c>
      <c r="AD61" s="135" t="n">
        <f aca="true">IF($G$5="",0,AD60+IF(W61&gt;'General Information'!$D$33,0,IF(W61=0,$J$5,IFERROR(SUMIF(INDIRECT("'"&amp;$G$5&amp;"'!$C$37:$C$52"),W61,INDIRECT("'"&amp;$G$5&amp;"'!$E$37:$E$52")),0))))</f>
        <v>14678223.4910415</v>
      </c>
      <c r="AE61" s="135" t="n">
        <f aca="true">IF($G$6="",0,AE60+IF(W61&gt;'General Information'!$D$33,0,IF(W61=0,$J$6,IFERROR(SUMIF(INDIRECT("'"&amp;$G$6&amp;"'!$C$37:$C$52"),W61,INDIRECT("'"&amp;$G$6&amp;"'!$E$37:$E$52")),0))))</f>
        <v>18285230.3337916</v>
      </c>
      <c r="AF61" s="135" t="n">
        <f aca="true">IF($G$7="",0,AF60+IF(W61&gt;'General Information'!$D$33,0,IF(W61=0,$J$7,IFERROR(SUMIF(INDIRECT("'"&amp;$G$7&amp;"'!$C$37:$C$52"),W61,INDIRECT("'"&amp;$G$7&amp;"'!$E$37:$E$52")),0))))</f>
        <v>15266461.1410415</v>
      </c>
      <c r="AG61" s="148" t="n">
        <f aca="true">IF($G$4="",0,IF(W61&gt;'General Information'!$D$33,0,IFERROR(SUMIFS(INDIRECT("'"&amp;$G$4&amp;"'!$D$37:$D$52"),INDIRECT("'"&amp;$G$4&amp;"'!$C$37:$C$52"),W61,INDIRECT("'"&amp;$G$4&amp;"'!$B$37:$B$52"),"*Indirect*")/INDIRECT("'"&amp;$G$4&amp;"'!$F$2"),0)))</f>
        <v>28</v>
      </c>
      <c r="AH61" s="148" t="n">
        <f aca="true">IF($G$5="",0,IF(W61&gt;'General Information'!$D$33,0,IFERROR(SUMIFS(INDIRECT("'"&amp;$G$5&amp;"'!$D$37:$D$52"),INDIRECT("'"&amp;$G$5&amp;"'!$C$37:$C$52"),W61,INDIRECT("'"&amp;$G$5&amp;"'!$B$37:$B$52"),"*Indirect*")/INDIRECT("'"&amp;$G$5&amp;"'!$F$2"),0)))</f>
        <v>0</v>
      </c>
      <c r="AI61" s="148" t="n">
        <f aca="true">IF($G$6="",0,IF(W61&gt;'General Information'!$D$33,0,IFERROR(SUMIFS(INDIRECT("'"&amp;$G$6&amp;"'!$D$37:$D$52"),INDIRECT("'"&amp;$G$6&amp;"'!$C$37:$C$52"),W61,INDIRECT("'"&amp;$G$6&amp;"'!$B$37:$B$52"),"*Indirect*")/INDIRECT("'"&amp;$G$6&amp;"'!$F$2"),0)))</f>
        <v>28</v>
      </c>
      <c r="AJ61" s="148" t="n">
        <f aca="true">IF($G$7="",0,IF(W61&gt;'General Information'!$D$33,0,IFERROR(SUMIFS(INDIRECT("'"&amp;$G$7&amp;"'!$D$37:$D$52"),INDIRECT("'"&amp;$G$7&amp;"'!$C$37:$C$52"),W61,INDIRECT("'"&amp;$G$7&amp;"'!$B$37:$B$52"),"*Indirect*")/INDIRECT("'"&amp;$G$7&amp;"'!$F$2"),0)))</f>
        <v>0</v>
      </c>
    </row>
    <row r="62" customFormat="false" ht="15" hidden="false" customHeight="false" outlineLevel="0" collapsed="false">
      <c r="W62" s="134" t="n">
        <v>21</v>
      </c>
      <c r="X62" s="134" t="n">
        <f aca="false">'General Information'!$D$25+W62</f>
        <v>2048</v>
      </c>
      <c r="Y62" s="135" t="n">
        <f aca="true">IF($G$4="",0,IF(W62&gt;'General Information'!$D$33,0,IF(W62=0,$J$4,IFERROR(SUMIF(INDIRECT("'"&amp;$G$4&amp;"'!$C$37:$C$52"),W62,INDIRECT("'"&amp;$G$4&amp;"'!$D$37:$D$52")),0))))</f>
        <v>0</v>
      </c>
      <c r="Z62" s="135" t="n">
        <f aca="true">IF($G$5="",0,IF(W62&gt;'General Information'!$D$33,0,IF(W62=0,$J$5,IFERROR(SUMIF(INDIRECT("'"&amp;$G$5&amp;"'!$C$37:$C$52"),W62,INDIRECT("'"&amp;$G$5&amp;"'!$D$37:$D$52")),0))))</f>
        <v>0</v>
      </c>
      <c r="AA62" s="135" t="n">
        <f aca="true">IF($G$6="",0,IF(W62&gt;'General Information'!$D$33,0,IF(W62=0,$J$6,IFERROR(SUMIF(INDIRECT("'"&amp;$G$6&amp;"'!$C$37:$C$52"),W62,INDIRECT("'"&amp;$G$6&amp;"'!$D$37:$D$52")),0))))</f>
        <v>0</v>
      </c>
      <c r="AB62" s="135" t="n">
        <f aca="true">IF($G$7="",0,IF(W62&gt;'General Information'!$D$33,0,IF(W62=0,$J$7,IFERROR(SUMIF(INDIRECT("'"&amp;$G$7&amp;"'!$C$37:$C$52"),W62,INDIRECT("'"&amp;$G$7&amp;"'!$D$37:$D$52")),0))))</f>
        <v>0</v>
      </c>
      <c r="AC62" s="135" t="n">
        <f aca="true">IF($G$4="",0,AC61+IF(W62&gt;'General Information'!$D$33,0,IF(W62=0,$J$4,IFERROR(SUMIF(INDIRECT("'"&amp;$G$4&amp;"'!$C$37:$C$52"),W62,INDIRECT("'"&amp;$G$4&amp;"'!$E$37:$E$52")),0))))</f>
        <v>15986026.1337916</v>
      </c>
      <c r="AD62" s="135" t="n">
        <f aca="true">IF($G$5="",0,AD61+IF(W62&gt;'General Information'!$D$33,0,IF(W62=0,$J$5,IFERROR(SUMIF(INDIRECT("'"&amp;$G$5&amp;"'!$C$37:$C$52"),W62,INDIRECT("'"&amp;$G$5&amp;"'!$E$37:$E$52")),0))))</f>
        <v>14678223.4910415</v>
      </c>
      <c r="AE62" s="135" t="n">
        <f aca="true">IF($G$6="",0,AE61+IF(W62&gt;'General Information'!$D$33,0,IF(W62=0,$J$6,IFERROR(SUMIF(INDIRECT("'"&amp;$G$6&amp;"'!$C$37:$C$52"),W62,INDIRECT("'"&amp;$G$6&amp;"'!$E$37:$E$52")),0))))</f>
        <v>18285230.3337916</v>
      </c>
      <c r="AF62" s="135" t="n">
        <f aca="true">IF($G$7="",0,AF61+IF(W62&gt;'General Information'!$D$33,0,IF(W62=0,$J$7,IFERROR(SUMIF(INDIRECT("'"&amp;$G$7&amp;"'!$C$37:$C$52"),W62,INDIRECT("'"&amp;$G$7&amp;"'!$E$37:$E$52")),0))))</f>
        <v>15266461.1410415</v>
      </c>
      <c r="AG62" s="148" t="n">
        <f aca="true">IF($G$4="",0,IF(W62&gt;'General Information'!$D$33,0,IFERROR(SUMIFS(INDIRECT("'"&amp;$G$4&amp;"'!$D$37:$D$52"),INDIRECT("'"&amp;$G$4&amp;"'!$C$37:$C$52"),W62,INDIRECT("'"&amp;$G$4&amp;"'!$B$37:$B$52"),"*Indirect*")/INDIRECT("'"&amp;$G$4&amp;"'!$F$2"),0)))</f>
        <v>0</v>
      </c>
      <c r="AH62" s="148" t="n">
        <f aca="true">IF($G$5="",0,IF(W62&gt;'General Information'!$D$33,0,IFERROR(SUMIFS(INDIRECT("'"&amp;$G$5&amp;"'!$D$37:$D$52"),INDIRECT("'"&amp;$G$5&amp;"'!$C$37:$C$52"),W62,INDIRECT("'"&amp;$G$5&amp;"'!$B$37:$B$52"),"*Indirect*")/INDIRECT("'"&amp;$G$5&amp;"'!$F$2"),0)))</f>
        <v>0</v>
      </c>
      <c r="AI62" s="148" t="n">
        <f aca="true">IF($G$6="",0,IF(W62&gt;'General Information'!$D$33,0,IFERROR(SUMIFS(INDIRECT("'"&amp;$G$6&amp;"'!$D$37:$D$52"),INDIRECT("'"&amp;$G$6&amp;"'!$C$37:$C$52"),W62,INDIRECT("'"&amp;$G$6&amp;"'!$B$37:$B$52"),"*Indirect*")/INDIRECT("'"&amp;$G$6&amp;"'!$F$2"),0)))</f>
        <v>0</v>
      </c>
      <c r="AJ62" s="148" t="n">
        <f aca="true">IF($G$7="",0,IF(W62&gt;'General Information'!$D$33,0,IFERROR(SUMIFS(INDIRECT("'"&amp;$G$7&amp;"'!$D$37:$D$52"),INDIRECT("'"&amp;$G$7&amp;"'!$C$37:$C$52"),W62,INDIRECT("'"&amp;$G$7&amp;"'!$B$37:$B$52"),"*Indirect*")/INDIRECT("'"&amp;$G$7&amp;"'!$F$2"),0)))</f>
        <v>0</v>
      </c>
    </row>
    <row r="63" customFormat="false" ht="15" hidden="false" customHeight="false" outlineLevel="0" collapsed="false">
      <c r="W63" s="134" t="n">
        <v>22</v>
      </c>
      <c r="X63" s="134" t="n">
        <f aca="false">'General Information'!$D$25+W63</f>
        <v>2049</v>
      </c>
      <c r="Y63" s="135" t="n">
        <f aca="true">IF($G$4="",0,IF(W63&gt;'General Information'!$D$33,0,IF(W63=0,$J$4,IFERROR(SUMIF(INDIRECT("'"&amp;$G$4&amp;"'!$C$37:$C$52"),W63,INDIRECT("'"&amp;$G$4&amp;"'!$D$37:$D$52")),0))))</f>
        <v>0</v>
      </c>
      <c r="Z63" s="135" t="n">
        <f aca="true">IF($G$5="",0,IF(W63&gt;'General Information'!$D$33,0,IF(W63=0,$J$5,IFERROR(SUMIF(INDIRECT("'"&amp;$G$5&amp;"'!$C$37:$C$52"),W63,INDIRECT("'"&amp;$G$5&amp;"'!$D$37:$D$52")),0))))</f>
        <v>0</v>
      </c>
      <c r="AA63" s="135" t="n">
        <f aca="true">IF($G$6="",0,IF(W63&gt;'General Information'!$D$33,0,IF(W63=0,$J$6,IFERROR(SUMIF(INDIRECT("'"&amp;$G$6&amp;"'!$C$37:$C$52"),W63,INDIRECT("'"&amp;$G$6&amp;"'!$D$37:$D$52")),0))))</f>
        <v>0</v>
      </c>
      <c r="AB63" s="135" t="n">
        <f aca="true">IF($G$7="",0,IF(W63&gt;'General Information'!$D$33,0,IF(W63=0,$J$7,IFERROR(SUMIF(INDIRECT("'"&amp;$G$7&amp;"'!$C$37:$C$52"),W63,INDIRECT("'"&amp;$G$7&amp;"'!$D$37:$D$52")),0))))</f>
        <v>0</v>
      </c>
      <c r="AC63" s="135" t="n">
        <f aca="true">IF($G$4="",0,AC62+IF(W63&gt;'General Information'!$D$33,0,IF(W63=0,$J$4,IFERROR(SUMIF(INDIRECT("'"&amp;$G$4&amp;"'!$C$37:$C$52"),W63,INDIRECT("'"&amp;$G$4&amp;"'!$E$37:$E$52")),0))))</f>
        <v>15986026.1337916</v>
      </c>
      <c r="AD63" s="135" t="n">
        <f aca="true">IF($G$5="",0,AD62+IF(W63&gt;'General Information'!$D$33,0,IF(W63=0,$J$5,IFERROR(SUMIF(INDIRECT("'"&amp;$G$5&amp;"'!$C$37:$C$52"),W63,INDIRECT("'"&amp;$G$5&amp;"'!$E$37:$E$52")),0))))</f>
        <v>14678223.4910415</v>
      </c>
      <c r="AE63" s="135" t="n">
        <f aca="true">IF($G$6="",0,AE62+IF(W63&gt;'General Information'!$D$33,0,IF(W63=0,$J$6,IFERROR(SUMIF(INDIRECT("'"&amp;$G$6&amp;"'!$C$37:$C$52"),W63,INDIRECT("'"&amp;$G$6&amp;"'!$E$37:$E$52")),0))))</f>
        <v>18285230.3337916</v>
      </c>
      <c r="AF63" s="135" t="n">
        <f aca="true">IF($G$7="",0,AF62+IF(W63&gt;'General Information'!$D$33,0,IF(W63=0,$J$7,IFERROR(SUMIF(INDIRECT("'"&amp;$G$7&amp;"'!$C$37:$C$52"),W63,INDIRECT("'"&amp;$G$7&amp;"'!$E$37:$E$52")),0))))</f>
        <v>15266461.1410415</v>
      </c>
      <c r="AG63" s="148" t="n">
        <f aca="true">IF($G$4="",0,IF(W63&gt;'General Information'!$D$33,0,IFERROR(SUMIFS(INDIRECT("'"&amp;$G$4&amp;"'!$D$37:$D$52"),INDIRECT("'"&amp;$G$4&amp;"'!$C$37:$C$52"),W63,INDIRECT("'"&amp;$G$4&amp;"'!$B$37:$B$52"),"*Indirect*")/INDIRECT("'"&amp;$G$4&amp;"'!$F$2"),0)))</f>
        <v>0</v>
      </c>
      <c r="AH63" s="148" t="n">
        <f aca="true">IF($G$5="",0,IF(W63&gt;'General Information'!$D$33,0,IFERROR(SUMIFS(INDIRECT("'"&amp;$G$5&amp;"'!$D$37:$D$52"),INDIRECT("'"&amp;$G$5&amp;"'!$C$37:$C$52"),W63,INDIRECT("'"&amp;$G$5&amp;"'!$B$37:$B$52"),"*Indirect*")/INDIRECT("'"&amp;$G$5&amp;"'!$F$2"),0)))</f>
        <v>0</v>
      </c>
      <c r="AI63" s="148" t="n">
        <f aca="true">IF($G$6="",0,IF(W63&gt;'General Information'!$D$33,0,IFERROR(SUMIFS(INDIRECT("'"&amp;$G$6&amp;"'!$D$37:$D$52"),INDIRECT("'"&amp;$G$6&amp;"'!$C$37:$C$52"),W63,INDIRECT("'"&amp;$G$6&amp;"'!$B$37:$B$52"),"*Indirect*")/INDIRECT("'"&amp;$G$6&amp;"'!$F$2"),0)))</f>
        <v>0</v>
      </c>
      <c r="AJ63" s="148" t="n">
        <f aca="true">IF($G$7="",0,IF(W63&gt;'General Information'!$D$33,0,IFERROR(SUMIFS(INDIRECT("'"&amp;$G$7&amp;"'!$D$37:$D$52"),INDIRECT("'"&amp;$G$7&amp;"'!$C$37:$C$52"),W63,INDIRECT("'"&amp;$G$7&amp;"'!$B$37:$B$52"),"*Indirect*")/INDIRECT("'"&amp;$G$7&amp;"'!$F$2"),0)))</f>
        <v>0</v>
      </c>
    </row>
    <row r="64" customFormat="false" ht="15" hidden="false" customHeight="false" outlineLevel="0" collapsed="false">
      <c r="W64" s="134" t="n">
        <v>23</v>
      </c>
      <c r="X64" s="134" t="n">
        <f aca="false">'General Information'!$D$25+W64</f>
        <v>2050</v>
      </c>
      <c r="Y64" s="135" t="n">
        <f aca="true">IF($G$4="",0,IF(W64&gt;'General Information'!$D$33,0,IF(W64=0,$J$4,IFERROR(SUMIF(INDIRECT("'"&amp;$G$4&amp;"'!$C$37:$C$52"),W64,INDIRECT("'"&amp;$G$4&amp;"'!$D$37:$D$52")),0))))</f>
        <v>0</v>
      </c>
      <c r="Z64" s="135" t="n">
        <f aca="true">IF($G$5="",0,IF(W64&gt;'General Information'!$D$33,0,IF(W64=0,$J$5,IFERROR(SUMIF(INDIRECT("'"&amp;$G$5&amp;"'!$C$37:$C$52"),W64,INDIRECT("'"&amp;$G$5&amp;"'!$D$37:$D$52")),0))))</f>
        <v>0</v>
      </c>
      <c r="AA64" s="135" t="n">
        <f aca="true">IF($G$6="",0,IF(W64&gt;'General Information'!$D$33,0,IF(W64=0,$J$6,IFERROR(SUMIF(INDIRECT("'"&amp;$G$6&amp;"'!$C$37:$C$52"),W64,INDIRECT("'"&amp;$G$6&amp;"'!$D$37:$D$52")),0))))</f>
        <v>0</v>
      </c>
      <c r="AB64" s="135" t="n">
        <f aca="true">IF($G$7="",0,IF(W64&gt;'General Information'!$D$33,0,IF(W64=0,$J$7,IFERROR(SUMIF(INDIRECT("'"&amp;$G$7&amp;"'!$C$37:$C$52"),W64,INDIRECT("'"&amp;$G$7&amp;"'!$D$37:$D$52")),0))))</f>
        <v>0</v>
      </c>
      <c r="AC64" s="135" t="n">
        <f aca="true">IF($G$4="",0,AC63+IF(W64&gt;'General Information'!$D$33,0,IF(W64=0,$J$4,IFERROR(SUMIF(INDIRECT("'"&amp;$G$4&amp;"'!$C$37:$C$52"),W64,INDIRECT("'"&amp;$G$4&amp;"'!$E$37:$E$52")),0))))</f>
        <v>15986026.1337916</v>
      </c>
      <c r="AD64" s="135" t="n">
        <f aca="true">IF($G$5="",0,AD63+IF(W64&gt;'General Information'!$D$33,0,IF(W64=0,$J$5,IFERROR(SUMIF(INDIRECT("'"&amp;$G$5&amp;"'!$C$37:$C$52"),W64,INDIRECT("'"&amp;$G$5&amp;"'!$E$37:$E$52")),0))))</f>
        <v>14678223.4910415</v>
      </c>
      <c r="AE64" s="135" t="n">
        <f aca="true">IF($G$6="",0,AE63+IF(W64&gt;'General Information'!$D$33,0,IF(W64=0,$J$6,IFERROR(SUMIF(INDIRECT("'"&amp;$G$6&amp;"'!$C$37:$C$52"),W64,INDIRECT("'"&amp;$G$6&amp;"'!$E$37:$E$52")),0))))</f>
        <v>18285230.3337916</v>
      </c>
      <c r="AF64" s="135" t="n">
        <f aca="true">IF($G$7="",0,AF63+IF(W64&gt;'General Information'!$D$33,0,IF(W64=0,$J$7,IFERROR(SUMIF(INDIRECT("'"&amp;$G$7&amp;"'!$C$37:$C$52"),W64,INDIRECT("'"&amp;$G$7&amp;"'!$E$37:$E$52")),0))))</f>
        <v>15266461.1410415</v>
      </c>
      <c r="AG64" s="148" t="n">
        <f aca="true">IF($G$4="",0,IF(W64&gt;'General Information'!$D$33,0,IFERROR(SUMIFS(INDIRECT("'"&amp;$G$4&amp;"'!$D$37:$D$52"),INDIRECT("'"&amp;$G$4&amp;"'!$C$37:$C$52"),W64,INDIRECT("'"&amp;$G$4&amp;"'!$B$37:$B$52"),"*Indirect*")/INDIRECT("'"&amp;$G$4&amp;"'!$F$2"),0)))</f>
        <v>0</v>
      </c>
      <c r="AH64" s="148" t="n">
        <f aca="true">IF($G$5="",0,IF(W64&gt;'General Information'!$D$33,0,IFERROR(SUMIFS(INDIRECT("'"&amp;$G$5&amp;"'!$D$37:$D$52"),INDIRECT("'"&amp;$G$5&amp;"'!$C$37:$C$52"),W64,INDIRECT("'"&amp;$G$5&amp;"'!$B$37:$B$52"),"*Indirect*")/INDIRECT("'"&amp;$G$5&amp;"'!$F$2"),0)))</f>
        <v>0</v>
      </c>
      <c r="AI64" s="148" t="n">
        <f aca="true">IF($G$6="",0,IF(W64&gt;'General Information'!$D$33,0,IFERROR(SUMIFS(INDIRECT("'"&amp;$G$6&amp;"'!$D$37:$D$52"),INDIRECT("'"&amp;$G$6&amp;"'!$C$37:$C$52"),W64,INDIRECT("'"&amp;$G$6&amp;"'!$B$37:$B$52"),"*Indirect*")/INDIRECT("'"&amp;$G$6&amp;"'!$F$2"),0)))</f>
        <v>0</v>
      </c>
      <c r="AJ64" s="148" t="n">
        <f aca="true">IF($G$7="",0,IF(W64&gt;'General Information'!$D$33,0,IFERROR(SUMIFS(INDIRECT("'"&amp;$G$7&amp;"'!$D$37:$D$52"),INDIRECT("'"&amp;$G$7&amp;"'!$C$37:$C$52"),W64,INDIRECT("'"&amp;$G$7&amp;"'!$B$37:$B$52"),"*Indirect*")/INDIRECT("'"&amp;$G$7&amp;"'!$F$2"),0)))</f>
        <v>0</v>
      </c>
    </row>
    <row r="65" customFormat="false" ht="15" hidden="false" customHeight="false" outlineLevel="0" collapsed="false">
      <c r="W65" s="134" t="n">
        <v>24</v>
      </c>
      <c r="X65" s="134" t="n">
        <f aca="false">'General Information'!$D$25+W65</f>
        <v>2051</v>
      </c>
      <c r="Y65" s="135" t="n">
        <f aca="true">IF($G$4="",0,IF(W65&gt;'General Information'!$D$33,0,IF(W65=0,$J$4,IFERROR(SUMIF(INDIRECT("'"&amp;$G$4&amp;"'!$C$37:$C$52"),W65,INDIRECT("'"&amp;$G$4&amp;"'!$D$37:$D$52")),0))))</f>
        <v>586968.977777778</v>
      </c>
      <c r="Z65" s="135" t="n">
        <f aca="true">IF($G$5="",0,IF(W65&gt;'General Information'!$D$33,0,IF(W65=0,$J$5,IFERROR(SUMIF(INDIRECT("'"&amp;$G$5&amp;"'!$C$37:$C$52"),W65,INDIRECT("'"&amp;$G$5&amp;"'!$D$37:$D$52")),0))))</f>
        <v>0</v>
      </c>
      <c r="AA65" s="135" t="n">
        <f aca="true">IF($G$6="",0,IF(W65&gt;'General Information'!$D$33,0,IF(W65=0,$J$6,IFERROR(SUMIF(INDIRECT("'"&amp;$G$6&amp;"'!$C$37:$C$52"),W65,INDIRECT("'"&amp;$G$6&amp;"'!$D$37:$D$52")),0))))</f>
        <v>586968.977777778</v>
      </c>
      <c r="AB65" s="135" t="n">
        <f aca="true">IF($G$7="",0,IF(W65&gt;'General Information'!$D$33,0,IF(W65=0,$J$7,IFERROR(SUMIF(INDIRECT("'"&amp;$G$7&amp;"'!$C$37:$C$52"),W65,INDIRECT("'"&amp;$G$7&amp;"'!$D$37:$D$52")),0))))</f>
        <v>0</v>
      </c>
      <c r="AC65" s="135" t="n">
        <f aca="true">IF($G$4="",0,AC64+IF(W65&gt;'General Information'!$D$33,0,IF(W65=0,$J$4,IFERROR(SUMIF(INDIRECT("'"&amp;$G$4&amp;"'!$C$37:$C$52"),W65,INDIRECT("'"&amp;$G$4&amp;"'!$E$37:$E$52")),0))))</f>
        <v>16274775.9761452</v>
      </c>
      <c r="AD65" s="135" t="n">
        <f aca="true">IF($G$5="",0,AD64+IF(W65&gt;'General Information'!$D$33,0,IF(W65=0,$J$5,IFERROR(SUMIF(INDIRECT("'"&amp;$G$5&amp;"'!$C$37:$C$52"),W65,INDIRECT("'"&amp;$G$5&amp;"'!$E$37:$E$52")),0))))</f>
        <v>14678223.4910415</v>
      </c>
      <c r="AE65" s="135" t="n">
        <f aca="true">IF($G$6="",0,AE64+IF(W65&gt;'General Information'!$D$33,0,IF(W65=0,$J$6,IFERROR(SUMIF(INDIRECT("'"&amp;$G$6&amp;"'!$C$37:$C$52"),W65,INDIRECT("'"&amp;$G$6&amp;"'!$E$37:$E$52")),0))))</f>
        <v>18573980.1761452</v>
      </c>
      <c r="AF65" s="135" t="n">
        <f aca="true">IF($G$7="",0,AF64+IF(W65&gt;'General Information'!$D$33,0,IF(W65=0,$J$7,IFERROR(SUMIF(INDIRECT("'"&amp;$G$7&amp;"'!$C$37:$C$52"),W65,INDIRECT("'"&amp;$G$7&amp;"'!$E$37:$E$52")),0))))</f>
        <v>15266461.1410415</v>
      </c>
      <c r="AG65" s="148" t="n">
        <f aca="true">IF($G$4="",0,IF(W65&gt;'General Information'!$D$33,0,IFERROR(SUMIFS(INDIRECT("'"&amp;$G$4&amp;"'!$D$37:$D$52"),INDIRECT("'"&amp;$G$4&amp;"'!$C$37:$C$52"),W65,INDIRECT("'"&amp;$G$4&amp;"'!$B$37:$B$52"),"*Indirect*")/INDIRECT("'"&amp;$G$4&amp;"'!$F$2"),0)))</f>
        <v>10</v>
      </c>
      <c r="AH65" s="148" t="n">
        <f aca="true">IF($G$5="",0,IF(W65&gt;'General Information'!$D$33,0,IFERROR(SUMIFS(INDIRECT("'"&amp;$G$5&amp;"'!$D$37:$D$52"),INDIRECT("'"&amp;$G$5&amp;"'!$C$37:$C$52"),W65,INDIRECT("'"&amp;$G$5&amp;"'!$B$37:$B$52"),"*Indirect*")/INDIRECT("'"&amp;$G$5&amp;"'!$F$2"),0)))</f>
        <v>0</v>
      </c>
      <c r="AI65" s="148" t="n">
        <f aca="true">IF($G$6="",0,IF(W65&gt;'General Information'!$D$33,0,IFERROR(SUMIFS(INDIRECT("'"&amp;$G$6&amp;"'!$D$37:$D$52"),INDIRECT("'"&amp;$G$6&amp;"'!$C$37:$C$52"),W65,INDIRECT("'"&amp;$G$6&amp;"'!$B$37:$B$52"),"*Indirect*")/INDIRECT("'"&amp;$G$6&amp;"'!$F$2"),0)))</f>
        <v>10</v>
      </c>
      <c r="AJ65" s="148" t="n">
        <f aca="true">IF($G$7="",0,IF(W65&gt;'General Information'!$D$33,0,IFERROR(SUMIFS(INDIRECT("'"&amp;$G$7&amp;"'!$D$37:$D$52"),INDIRECT("'"&amp;$G$7&amp;"'!$C$37:$C$52"),W65,INDIRECT("'"&amp;$G$7&amp;"'!$B$37:$B$52"),"*Indirect*")/INDIRECT("'"&amp;$G$7&amp;"'!$F$2"),0)))</f>
        <v>0</v>
      </c>
    </row>
    <row r="66" customFormat="false" ht="15" hidden="false" customHeight="false" outlineLevel="0" collapsed="false">
      <c r="W66" s="134" t="n">
        <v>25</v>
      </c>
      <c r="X66" s="134" t="n">
        <f aca="false">'General Information'!$D$25+W66</f>
        <v>2052</v>
      </c>
      <c r="Y66" s="135" t="n">
        <f aca="true">IF($G$4="",0,IF(W66&gt;'General Information'!$D$33,0,IF(W66=0,$J$4,IFERROR(SUMIF(INDIRECT("'"&amp;$G$4&amp;"'!$C$37:$C$52"),W66,INDIRECT("'"&amp;$G$4&amp;"'!$D$37:$D$52")),0))))</f>
        <v>0</v>
      </c>
      <c r="Z66" s="135" t="n">
        <f aca="true">IF($G$5="",0,IF(W66&gt;'General Information'!$D$33,0,IF(W66=0,$J$5,IFERROR(SUMIF(INDIRECT("'"&amp;$G$5&amp;"'!$C$37:$C$52"),W66,INDIRECT("'"&amp;$G$5&amp;"'!$D$37:$D$52")),0))))</f>
        <v>0</v>
      </c>
      <c r="AA66" s="135" t="n">
        <f aca="true">IF($G$6="",0,IF(W66&gt;'General Information'!$D$33,0,IF(W66=0,$J$6,IFERROR(SUMIF(INDIRECT("'"&amp;$G$6&amp;"'!$C$37:$C$52"),W66,INDIRECT("'"&amp;$G$6&amp;"'!$D$37:$D$52")),0))))</f>
        <v>0</v>
      </c>
      <c r="AB66" s="135" t="n">
        <f aca="true">IF($G$7="",0,IF(W66&gt;'General Information'!$D$33,0,IF(W66=0,$J$7,IFERROR(SUMIF(INDIRECT("'"&amp;$G$7&amp;"'!$C$37:$C$52"),W66,INDIRECT("'"&amp;$G$7&amp;"'!$D$37:$D$52")),0))))</f>
        <v>0</v>
      </c>
      <c r="AC66" s="135" t="n">
        <f aca="true">IF($G$4="",0,AC65+IF(W66&gt;'General Information'!$D$33,0,IF(W66=0,$J$4,IFERROR(SUMIF(INDIRECT("'"&amp;$G$4&amp;"'!$C$37:$C$52"),W66,INDIRECT("'"&amp;$G$4&amp;"'!$E$37:$E$52")),0))))</f>
        <v>16274775.9761452</v>
      </c>
      <c r="AD66" s="135" t="n">
        <f aca="true">IF($G$5="",0,AD65+IF(W66&gt;'General Information'!$D$33,0,IF(W66=0,$J$5,IFERROR(SUMIF(INDIRECT("'"&amp;$G$5&amp;"'!$C$37:$C$52"),W66,INDIRECT("'"&amp;$G$5&amp;"'!$E$37:$E$52")),0))))</f>
        <v>14678223.4910415</v>
      </c>
      <c r="AE66" s="135" t="n">
        <f aca="true">IF($G$6="",0,AE65+IF(W66&gt;'General Information'!$D$33,0,IF(W66=0,$J$6,IFERROR(SUMIF(INDIRECT("'"&amp;$G$6&amp;"'!$C$37:$C$52"),W66,INDIRECT("'"&amp;$G$6&amp;"'!$E$37:$E$52")),0))))</f>
        <v>18573980.1761452</v>
      </c>
      <c r="AF66" s="135" t="n">
        <f aca="true">IF($G$7="",0,AF65+IF(W66&gt;'General Information'!$D$33,0,IF(W66=0,$J$7,IFERROR(SUMIF(INDIRECT("'"&amp;$G$7&amp;"'!$C$37:$C$52"),W66,INDIRECT("'"&amp;$G$7&amp;"'!$E$37:$E$52")),0))))</f>
        <v>15266461.1410415</v>
      </c>
      <c r="AG66" s="148" t="n">
        <f aca="true">IF($G$4="",0,IF(W66&gt;'General Information'!$D$33,0,IFERROR(SUMIFS(INDIRECT("'"&amp;$G$4&amp;"'!$D$37:$D$52"),INDIRECT("'"&amp;$G$4&amp;"'!$C$37:$C$52"),W66,INDIRECT("'"&amp;$G$4&amp;"'!$B$37:$B$52"),"*Indirect*")/INDIRECT("'"&amp;$G$4&amp;"'!$F$2"),0)))</f>
        <v>0</v>
      </c>
      <c r="AH66" s="148" t="n">
        <f aca="true">IF($G$5="",0,IF(W66&gt;'General Information'!$D$33,0,IFERROR(SUMIFS(INDIRECT("'"&amp;$G$5&amp;"'!$D$37:$D$52"),INDIRECT("'"&amp;$G$5&amp;"'!$C$37:$C$52"),W66,INDIRECT("'"&amp;$G$5&amp;"'!$B$37:$B$52"),"*Indirect*")/INDIRECT("'"&amp;$G$5&amp;"'!$F$2"),0)))</f>
        <v>0</v>
      </c>
      <c r="AI66" s="148" t="n">
        <f aca="true">IF($G$6="",0,IF(W66&gt;'General Information'!$D$33,0,IFERROR(SUMIFS(INDIRECT("'"&amp;$G$6&amp;"'!$D$37:$D$52"),INDIRECT("'"&amp;$G$6&amp;"'!$C$37:$C$52"),W66,INDIRECT("'"&amp;$G$6&amp;"'!$B$37:$B$52"),"*Indirect*")/INDIRECT("'"&amp;$G$6&amp;"'!$F$2"),0)))</f>
        <v>0</v>
      </c>
      <c r="AJ66" s="148" t="n">
        <f aca="true">IF($G$7="",0,IF(W66&gt;'General Information'!$D$33,0,IFERROR(SUMIFS(INDIRECT("'"&amp;$G$7&amp;"'!$D$37:$D$52"),INDIRECT("'"&amp;$G$7&amp;"'!$C$37:$C$52"),W66,INDIRECT("'"&amp;$G$7&amp;"'!$B$37:$B$52"),"*Indirect*")/INDIRECT("'"&amp;$G$7&amp;"'!$F$2"),0)))</f>
        <v>0</v>
      </c>
    </row>
    <row r="67" customFormat="false" ht="15" hidden="false" customHeight="false" outlineLevel="0" collapsed="false">
      <c r="W67" s="134" t="n">
        <v>26</v>
      </c>
      <c r="X67" s="134" t="n">
        <f aca="false">'General Information'!$D$25+W67</f>
        <v>2053</v>
      </c>
      <c r="Y67" s="135" t="n">
        <f aca="true">IF($G$4="",0,IF(W67&gt;'General Information'!$D$33,0,IF(W67=0,$J$4,IFERROR(SUMIF(INDIRECT("'"&amp;$G$4&amp;"'!$C$37:$C$52"),W67,INDIRECT("'"&amp;$G$4&amp;"'!$D$37:$D$52")),0))))</f>
        <v>0</v>
      </c>
      <c r="Z67" s="135" t="n">
        <f aca="true">IF($G$5="",0,IF(W67&gt;'General Information'!$D$33,0,IF(W67=0,$J$5,IFERROR(SUMIF(INDIRECT("'"&amp;$G$5&amp;"'!$C$37:$C$52"),W67,INDIRECT("'"&amp;$G$5&amp;"'!$D$37:$D$52")),0))))</f>
        <v>0</v>
      </c>
      <c r="AA67" s="135" t="n">
        <f aca="true">IF($G$6="",0,IF(W67&gt;'General Information'!$D$33,0,IF(W67=0,$J$6,IFERROR(SUMIF(INDIRECT("'"&amp;$G$6&amp;"'!$C$37:$C$52"),W67,INDIRECT("'"&amp;$G$6&amp;"'!$D$37:$D$52")),0))))</f>
        <v>0</v>
      </c>
      <c r="AB67" s="135" t="n">
        <f aca="true">IF($G$7="",0,IF(W67&gt;'General Information'!$D$33,0,IF(W67=0,$J$7,IFERROR(SUMIF(INDIRECT("'"&amp;$G$7&amp;"'!$C$37:$C$52"),W67,INDIRECT("'"&amp;$G$7&amp;"'!$D$37:$D$52")),0))))</f>
        <v>0</v>
      </c>
      <c r="AC67" s="135" t="n">
        <f aca="true">IF($G$4="",0,AC66+IF(W67&gt;'General Information'!$D$33,0,IF(W67=0,$J$4,IFERROR(SUMIF(INDIRECT("'"&amp;$G$4&amp;"'!$C$37:$C$52"),W67,INDIRECT("'"&amp;$G$4&amp;"'!$E$37:$E$52")),0))))</f>
        <v>16274775.9761452</v>
      </c>
      <c r="AD67" s="135" t="n">
        <f aca="true">IF($G$5="",0,AD66+IF(W67&gt;'General Information'!$D$33,0,IF(W67=0,$J$5,IFERROR(SUMIF(INDIRECT("'"&amp;$G$5&amp;"'!$C$37:$C$52"),W67,INDIRECT("'"&amp;$G$5&amp;"'!$E$37:$E$52")),0))))</f>
        <v>14678223.4910415</v>
      </c>
      <c r="AE67" s="135" t="n">
        <f aca="true">IF($G$6="",0,AE66+IF(W67&gt;'General Information'!$D$33,0,IF(W67=0,$J$6,IFERROR(SUMIF(INDIRECT("'"&amp;$G$6&amp;"'!$C$37:$C$52"),W67,INDIRECT("'"&amp;$G$6&amp;"'!$E$37:$E$52")),0))))</f>
        <v>18573980.1761452</v>
      </c>
      <c r="AF67" s="135" t="n">
        <f aca="true">IF($G$7="",0,AF66+IF(W67&gt;'General Information'!$D$33,0,IF(W67=0,$J$7,IFERROR(SUMIF(INDIRECT("'"&amp;$G$7&amp;"'!$C$37:$C$52"),W67,INDIRECT("'"&amp;$G$7&amp;"'!$E$37:$E$52")),0))))</f>
        <v>15266461.1410415</v>
      </c>
      <c r="AG67" s="148" t="n">
        <f aca="true">IF($G$4="",0,IF(W67&gt;'General Information'!$D$33,0,IFERROR(SUMIFS(INDIRECT("'"&amp;$G$4&amp;"'!$D$37:$D$52"),INDIRECT("'"&amp;$G$4&amp;"'!$C$37:$C$52"),W67,INDIRECT("'"&amp;$G$4&amp;"'!$B$37:$B$52"),"*Indirect*")/INDIRECT("'"&amp;$G$4&amp;"'!$F$2"),0)))</f>
        <v>0</v>
      </c>
      <c r="AH67" s="148" t="n">
        <f aca="true">IF($G$5="",0,IF(W67&gt;'General Information'!$D$33,0,IFERROR(SUMIFS(INDIRECT("'"&amp;$G$5&amp;"'!$D$37:$D$52"),INDIRECT("'"&amp;$G$5&amp;"'!$C$37:$C$52"),W67,INDIRECT("'"&amp;$G$5&amp;"'!$B$37:$B$52"),"*Indirect*")/INDIRECT("'"&amp;$G$5&amp;"'!$F$2"),0)))</f>
        <v>0</v>
      </c>
      <c r="AI67" s="148" t="n">
        <f aca="true">IF($G$6="",0,IF(W67&gt;'General Information'!$D$33,0,IFERROR(SUMIFS(INDIRECT("'"&amp;$G$6&amp;"'!$D$37:$D$52"),INDIRECT("'"&amp;$G$6&amp;"'!$C$37:$C$52"),W67,INDIRECT("'"&amp;$G$6&amp;"'!$B$37:$B$52"),"*Indirect*")/INDIRECT("'"&amp;$G$6&amp;"'!$F$2"),0)))</f>
        <v>0</v>
      </c>
      <c r="AJ67" s="148" t="n">
        <f aca="true">IF($G$7="",0,IF(W67&gt;'General Information'!$D$33,0,IFERROR(SUMIFS(INDIRECT("'"&amp;$G$7&amp;"'!$D$37:$D$52"),INDIRECT("'"&amp;$G$7&amp;"'!$C$37:$C$52"),W67,INDIRECT("'"&amp;$G$7&amp;"'!$B$37:$B$52"),"*Indirect*")/INDIRECT("'"&amp;$G$7&amp;"'!$F$2"),0)))</f>
        <v>0</v>
      </c>
    </row>
    <row r="68" customFormat="false" ht="15" hidden="false" customHeight="false" outlineLevel="0" collapsed="false">
      <c r="W68" s="134" t="n">
        <v>27</v>
      </c>
      <c r="X68" s="134" t="n">
        <f aca="false">'General Information'!$D$25+W68</f>
        <v>2054</v>
      </c>
      <c r="Y68" s="135" t="n">
        <f aca="true">IF($G$4="",0,IF(W68&gt;'General Information'!$D$33,0,IF(W68=0,$J$4,IFERROR(SUMIF(INDIRECT("'"&amp;$G$4&amp;"'!$C$37:$C$52"),W68,INDIRECT("'"&amp;$G$4&amp;"'!$D$37:$D$52")),0))))</f>
        <v>0</v>
      </c>
      <c r="Z68" s="135" t="n">
        <f aca="true">IF($G$5="",0,IF(W68&gt;'General Information'!$D$33,0,IF(W68=0,$J$5,IFERROR(SUMIF(INDIRECT("'"&amp;$G$5&amp;"'!$C$37:$C$52"),W68,INDIRECT("'"&amp;$G$5&amp;"'!$D$37:$D$52")),0))))</f>
        <v>1805591.7746</v>
      </c>
      <c r="AA68" s="135" t="n">
        <f aca="true">IF($G$6="",0,IF(W68&gt;'General Information'!$D$33,0,IF(W68=0,$J$6,IFERROR(SUMIF(INDIRECT("'"&amp;$G$6&amp;"'!$C$37:$C$52"),W68,INDIRECT("'"&amp;$G$6&amp;"'!$D$37:$D$52")),0))))</f>
        <v>0</v>
      </c>
      <c r="AB68" s="135" t="n">
        <f aca="true">IF($G$7="",0,IF(W68&gt;'General Information'!$D$33,0,IF(W68=0,$J$7,IFERROR(SUMIF(INDIRECT("'"&amp;$G$7&amp;"'!$C$37:$C$52"),W68,INDIRECT("'"&amp;$G$7&amp;"'!$D$37:$D$52")),0))))</f>
        <v>1805591.7746</v>
      </c>
      <c r="AC68" s="135" t="n">
        <f aca="true">IF($G$4="",0,AC67+IF(W68&gt;'General Information'!$D$33,0,IF(W68=0,$J$4,IFERROR(SUMIF(INDIRECT("'"&amp;$G$4&amp;"'!$C$37:$C$52"),W68,INDIRECT("'"&amp;$G$4&amp;"'!$E$37:$E$52")),0))))</f>
        <v>16274775.9761452</v>
      </c>
      <c r="AD68" s="135" t="n">
        <f aca="true">IF($G$5="",0,AD67+IF(W68&gt;'General Information'!$D$33,0,IF(W68=0,$J$5,IFERROR(SUMIF(INDIRECT("'"&amp;$G$5&amp;"'!$C$37:$C$52"),W68,INDIRECT("'"&amp;$G$5&amp;"'!$E$37:$E$52")),0))))</f>
        <v>15491081.1471467</v>
      </c>
      <c r="AE68" s="135" t="n">
        <f aca="true">IF($G$6="",0,AE67+IF(W68&gt;'General Information'!$D$33,0,IF(W68=0,$J$6,IFERROR(SUMIF(INDIRECT("'"&amp;$G$6&amp;"'!$C$37:$C$52"),W68,INDIRECT("'"&amp;$G$6&amp;"'!$E$37:$E$52")),0))))</f>
        <v>18573980.1761452</v>
      </c>
      <c r="AF68" s="135" t="n">
        <f aca="true">IF($G$7="",0,AF67+IF(W68&gt;'General Information'!$D$33,0,IF(W68=0,$J$7,IFERROR(SUMIF(INDIRECT("'"&amp;$G$7&amp;"'!$C$37:$C$52"),W68,INDIRECT("'"&amp;$G$7&amp;"'!$E$37:$E$52")),0))))</f>
        <v>16079318.7971467</v>
      </c>
      <c r="AG68" s="148" t="n">
        <f aca="true">IF($G$4="",0,IF(W68&gt;'General Information'!$D$33,0,IFERROR(SUMIFS(INDIRECT("'"&amp;$G$4&amp;"'!$D$37:$D$52"),INDIRECT("'"&amp;$G$4&amp;"'!$C$37:$C$52"),W68,INDIRECT("'"&amp;$G$4&amp;"'!$B$37:$B$52"),"*Indirect*")/INDIRECT("'"&amp;$G$4&amp;"'!$F$2"),0)))</f>
        <v>0</v>
      </c>
      <c r="AH68" s="148" t="n">
        <f aca="true">IF($G$5="",0,IF(W68&gt;'General Information'!$D$33,0,IFERROR(SUMIFS(INDIRECT("'"&amp;$G$5&amp;"'!$D$37:$D$52"),INDIRECT("'"&amp;$G$5&amp;"'!$C$37:$C$52"),W68,INDIRECT("'"&amp;$G$5&amp;"'!$B$37:$B$52"),"*Indirect*")/INDIRECT("'"&amp;$G$5&amp;"'!$F$2"),0)))</f>
        <v>23</v>
      </c>
      <c r="AI68" s="148" t="n">
        <f aca="true">IF($G$6="",0,IF(W68&gt;'General Information'!$D$33,0,IFERROR(SUMIFS(INDIRECT("'"&amp;$G$6&amp;"'!$D$37:$D$52"),INDIRECT("'"&amp;$G$6&amp;"'!$C$37:$C$52"),W68,INDIRECT("'"&amp;$G$6&amp;"'!$B$37:$B$52"),"*Indirect*")/INDIRECT("'"&amp;$G$6&amp;"'!$F$2"),0)))</f>
        <v>0</v>
      </c>
      <c r="AJ68" s="148" t="n">
        <f aca="true">IF($G$7="",0,IF(W68&gt;'General Information'!$D$33,0,IFERROR(SUMIFS(INDIRECT("'"&amp;$G$7&amp;"'!$D$37:$D$52"),INDIRECT("'"&amp;$G$7&amp;"'!$C$37:$C$52"),W68,INDIRECT("'"&amp;$G$7&amp;"'!$B$37:$B$52"),"*Indirect*")/INDIRECT("'"&amp;$G$7&amp;"'!$F$2"),0)))</f>
        <v>23</v>
      </c>
    </row>
    <row r="69" customFormat="false" ht="15" hidden="false" customHeight="false" outlineLevel="0" collapsed="false">
      <c r="W69" s="134" t="n">
        <v>28</v>
      </c>
      <c r="X69" s="134" t="n">
        <f aca="false">'General Information'!$D$25+W69</f>
        <v>2055</v>
      </c>
      <c r="Y69" s="135" t="n">
        <f aca="true">IF($G$4="",0,IF(W69&gt;'General Information'!$D$33,0,IF(W69=0,$J$4,IFERROR(SUMIF(INDIRECT("'"&amp;$G$4&amp;"'!$C$37:$C$52"),W69,INDIRECT("'"&amp;$G$4&amp;"'!$D$37:$D$52")),0))))</f>
        <v>879778.329840278</v>
      </c>
      <c r="Z69" s="135" t="n">
        <f aca="true">IF($G$5="",0,IF(W69&gt;'General Information'!$D$33,0,IF(W69=0,$J$5,IFERROR(SUMIF(INDIRECT("'"&amp;$G$5&amp;"'!$C$37:$C$52"),W69,INDIRECT("'"&amp;$G$5&amp;"'!$D$37:$D$52")),0))))</f>
        <v>0</v>
      </c>
      <c r="AA69" s="135" t="n">
        <f aca="true">IF($G$6="",0,IF(W69&gt;'General Information'!$D$33,0,IF(W69=0,$J$6,IFERROR(SUMIF(INDIRECT("'"&amp;$G$6&amp;"'!$C$37:$C$52"),W69,INDIRECT("'"&amp;$G$6&amp;"'!$D$37:$D$52")),0))))</f>
        <v>879778.329840278</v>
      </c>
      <c r="AB69" s="135" t="n">
        <f aca="true">IF($G$7="",0,IF(W69&gt;'General Information'!$D$33,0,IF(W69=0,$J$7,IFERROR(SUMIF(INDIRECT("'"&amp;$G$7&amp;"'!$C$37:$C$52"),W69,INDIRECT("'"&amp;$G$7&amp;"'!$D$37:$D$52")),0))))</f>
        <v>0</v>
      </c>
      <c r="AC69" s="135" t="n">
        <f aca="true">IF($G$4="",0,AC68+IF(W69&gt;'General Information'!$D$33,0,IF(W69=0,$J$4,IFERROR(SUMIF(INDIRECT("'"&amp;$G$4&amp;"'!$C$37:$C$52"),W69,INDIRECT("'"&amp;$G$4&amp;"'!$E$37:$E$52")),0))))</f>
        <v>16659306.6320615</v>
      </c>
      <c r="AD69" s="135" t="n">
        <f aca="true">IF($G$5="",0,AD68+IF(W69&gt;'General Information'!$D$33,0,IF(W69=0,$J$5,IFERROR(SUMIF(INDIRECT("'"&amp;$G$5&amp;"'!$C$37:$C$52"),W69,INDIRECT("'"&amp;$G$5&amp;"'!$E$37:$E$52")),0))))</f>
        <v>15491081.1471467</v>
      </c>
      <c r="AE69" s="135" t="n">
        <f aca="true">IF($G$6="",0,AE68+IF(W69&gt;'General Information'!$D$33,0,IF(W69=0,$J$6,IFERROR(SUMIF(INDIRECT("'"&amp;$G$6&amp;"'!$C$37:$C$52"),W69,INDIRECT("'"&amp;$G$6&amp;"'!$E$37:$E$52")),0))))</f>
        <v>18958510.8320615</v>
      </c>
      <c r="AF69" s="135" t="n">
        <f aca="true">IF($G$7="",0,AF68+IF(W69&gt;'General Information'!$D$33,0,IF(W69=0,$J$7,IFERROR(SUMIF(INDIRECT("'"&amp;$G$7&amp;"'!$C$37:$C$52"),W69,INDIRECT("'"&amp;$G$7&amp;"'!$E$37:$E$52")),0))))</f>
        <v>16079318.7971467</v>
      </c>
      <c r="AG69" s="148" t="n">
        <f aca="true">IF($G$4="",0,IF(W69&gt;'General Information'!$D$33,0,IFERROR(SUMIFS(INDIRECT("'"&amp;$G$4&amp;"'!$D$37:$D$52"),INDIRECT("'"&amp;$G$4&amp;"'!$C$37:$C$52"),W69,INDIRECT("'"&amp;$G$4&amp;"'!$B$37:$B$52"),"*Indirect*")/INDIRECT("'"&amp;$G$4&amp;"'!$F$2"),0)))</f>
        <v>12</v>
      </c>
      <c r="AH69" s="148" t="n">
        <f aca="true">IF($G$5="",0,IF(W69&gt;'General Information'!$D$33,0,IFERROR(SUMIFS(INDIRECT("'"&amp;$G$5&amp;"'!$D$37:$D$52"),INDIRECT("'"&amp;$G$5&amp;"'!$C$37:$C$52"),W69,INDIRECT("'"&amp;$G$5&amp;"'!$B$37:$B$52"),"*Indirect*")/INDIRECT("'"&amp;$G$5&amp;"'!$F$2"),0)))</f>
        <v>0</v>
      </c>
      <c r="AI69" s="148" t="n">
        <f aca="true">IF($G$6="",0,IF(W69&gt;'General Information'!$D$33,0,IFERROR(SUMIFS(INDIRECT("'"&amp;$G$6&amp;"'!$D$37:$D$52"),INDIRECT("'"&amp;$G$6&amp;"'!$C$37:$C$52"),W69,INDIRECT("'"&amp;$G$6&amp;"'!$B$37:$B$52"),"*Indirect*")/INDIRECT("'"&amp;$G$6&amp;"'!$F$2"),0)))</f>
        <v>12</v>
      </c>
      <c r="AJ69" s="148" t="n">
        <f aca="true">IF($G$7="",0,IF(W69&gt;'General Information'!$D$33,0,IFERROR(SUMIFS(INDIRECT("'"&amp;$G$7&amp;"'!$D$37:$D$52"),INDIRECT("'"&amp;$G$7&amp;"'!$C$37:$C$52"),W69,INDIRECT("'"&amp;$G$7&amp;"'!$B$37:$B$52"),"*Indirect*")/INDIRECT("'"&amp;$G$7&amp;"'!$F$2"),0)))</f>
        <v>0</v>
      </c>
    </row>
    <row r="70" customFormat="false" ht="15" hidden="false" customHeight="false" outlineLevel="0" collapsed="false">
      <c r="W70" s="134" t="n">
        <v>29</v>
      </c>
      <c r="X70" s="134" t="n">
        <f aca="false">'General Information'!$D$25+W70</f>
        <v>2056</v>
      </c>
      <c r="Y70" s="135" t="n">
        <f aca="true">IF($G$4="",0,IF(W70&gt;'General Information'!$D$33,0,IF(W70=0,$J$4,IFERROR(SUMIF(INDIRECT("'"&amp;$G$4&amp;"'!$C$37:$C$52"),W70,INDIRECT("'"&amp;$G$4&amp;"'!$D$37:$D$52")),0))))</f>
        <v>0</v>
      </c>
      <c r="Z70" s="135" t="n">
        <f aca="true">IF($G$5="",0,IF(W70&gt;'General Information'!$D$33,0,IF(W70=0,$J$5,IFERROR(SUMIF(INDIRECT("'"&amp;$G$5&amp;"'!$C$37:$C$52"),W70,INDIRECT("'"&amp;$G$5&amp;"'!$D$37:$D$52")),0))))</f>
        <v>0</v>
      </c>
      <c r="AA70" s="135" t="n">
        <f aca="true">IF($G$6="",0,IF(W70&gt;'General Information'!$D$33,0,IF(W70=0,$J$6,IFERROR(SUMIF(INDIRECT("'"&amp;$G$6&amp;"'!$C$37:$C$52"),W70,INDIRECT("'"&amp;$G$6&amp;"'!$D$37:$D$52")),0))))</f>
        <v>0</v>
      </c>
      <c r="AB70" s="135" t="n">
        <f aca="true">IF($G$7="",0,IF(W70&gt;'General Information'!$D$33,0,IF(W70=0,$J$7,IFERROR(SUMIF(INDIRECT("'"&amp;$G$7&amp;"'!$C$37:$C$52"),W70,INDIRECT("'"&amp;$G$7&amp;"'!$D$37:$D$52")),0))))</f>
        <v>0</v>
      </c>
      <c r="AC70" s="135" t="n">
        <f aca="true">IF($G$4="",0,AC69+IF(W70&gt;'General Information'!$D$33,0,IF(W70=0,$J$4,IFERROR(SUMIF(INDIRECT("'"&amp;$G$4&amp;"'!$C$37:$C$52"),W70,INDIRECT("'"&amp;$G$4&amp;"'!$E$37:$E$52")),0))))</f>
        <v>16659306.6320615</v>
      </c>
      <c r="AD70" s="135" t="n">
        <f aca="true">IF($G$5="",0,AD69+IF(W70&gt;'General Information'!$D$33,0,IF(W70=0,$J$5,IFERROR(SUMIF(INDIRECT("'"&amp;$G$5&amp;"'!$C$37:$C$52"),W70,INDIRECT("'"&amp;$G$5&amp;"'!$E$37:$E$52")),0))))</f>
        <v>15491081.1471467</v>
      </c>
      <c r="AE70" s="135" t="n">
        <f aca="true">IF($G$6="",0,AE69+IF(W70&gt;'General Information'!$D$33,0,IF(W70=0,$J$6,IFERROR(SUMIF(INDIRECT("'"&amp;$G$6&amp;"'!$C$37:$C$52"),W70,INDIRECT("'"&amp;$G$6&amp;"'!$E$37:$E$52")),0))))</f>
        <v>18958510.8320615</v>
      </c>
      <c r="AF70" s="135" t="n">
        <f aca="true">IF($G$7="",0,AF69+IF(W70&gt;'General Information'!$D$33,0,IF(W70=0,$J$7,IFERROR(SUMIF(INDIRECT("'"&amp;$G$7&amp;"'!$C$37:$C$52"),W70,INDIRECT("'"&amp;$G$7&amp;"'!$E$37:$E$52")),0))))</f>
        <v>16079318.7971467</v>
      </c>
      <c r="AG70" s="148" t="n">
        <f aca="true">IF($G$4="",0,IF(W70&gt;'General Information'!$D$33,0,IFERROR(SUMIFS(INDIRECT("'"&amp;$G$4&amp;"'!$D$37:$D$52"),INDIRECT("'"&amp;$G$4&amp;"'!$C$37:$C$52"),W70,INDIRECT("'"&amp;$G$4&amp;"'!$B$37:$B$52"),"*Indirect*")/INDIRECT("'"&amp;$G$4&amp;"'!$F$2"),0)))</f>
        <v>0</v>
      </c>
      <c r="AH70" s="148" t="n">
        <f aca="true">IF($G$5="",0,IF(W70&gt;'General Information'!$D$33,0,IFERROR(SUMIFS(INDIRECT("'"&amp;$G$5&amp;"'!$D$37:$D$52"),INDIRECT("'"&amp;$G$5&amp;"'!$C$37:$C$52"),W70,INDIRECT("'"&amp;$G$5&amp;"'!$B$37:$B$52"),"*Indirect*")/INDIRECT("'"&amp;$G$5&amp;"'!$F$2"),0)))</f>
        <v>0</v>
      </c>
      <c r="AI70" s="148" t="n">
        <f aca="true">IF($G$6="",0,IF(W70&gt;'General Information'!$D$33,0,IFERROR(SUMIFS(INDIRECT("'"&amp;$G$6&amp;"'!$D$37:$D$52"),INDIRECT("'"&amp;$G$6&amp;"'!$C$37:$C$52"),W70,INDIRECT("'"&amp;$G$6&amp;"'!$B$37:$B$52"),"*Indirect*")/INDIRECT("'"&amp;$G$6&amp;"'!$F$2"),0)))</f>
        <v>0</v>
      </c>
      <c r="AJ70" s="148" t="n">
        <f aca="true">IF($G$7="",0,IF(W70&gt;'General Information'!$D$33,0,IFERROR(SUMIFS(INDIRECT("'"&amp;$G$7&amp;"'!$D$37:$D$52"),INDIRECT("'"&amp;$G$7&amp;"'!$C$37:$C$52"),W70,INDIRECT("'"&amp;$G$7&amp;"'!$B$37:$B$52"),"*Indirect*")/INDIRECT("'"&amp;$G$7&amp;"'!$F$2"),0)))</f>
        <v>0</v>
      </c>
    </row>
    <row r="71" customFormat="false" ht="15" hidden="false" customHeight="false" outlineLevel="0" collapsed="false">
      <c r="W71" s="134" t="n">
        <v>30</v>
      </c>
      <c r="X71" s="134" t="n">
        <f aca="false">'General Information'!$D$25+W71</f>
        <v>2057</v>
      </c>
      <c r="Y71" s="135" t="n">
        <f aca="true">IF($G$4="",0,IF(W71&gt;'General Information'!$D$33,0,IF(W71=0,$J$4,IFERROR(SUMIF(INDIRECT("'"&amp;$G$4&amp;"'!$C$37:$C$52"),W71,INDIRECT("'"&amp;$G$4&amp;"'!$D$37:$D$52")),0))))</f>
        <v>-318512.680223958</v>
      </c>
      <c r="Z71" s="135" t="n">
        <f aca="true">IF($G$5="",0,IF(W71&gt;'General Information'!$D$33,0,IF(W71=0,$J$5,IFERROR(SUMIF(INDIRECT("'"&amp;$G$5&amp;"'!$C$37:$C$52"),W71,INDIRECT("'"&amp;$G$5&amp;"'!$D$37:$D$52")),0))))</f>
        <v>-3457666.37916667</v>
      </c>
      <c r="AA71" s="135" t="n">
        <f aca="true">IF($G$6="",0,IF(W71&gt;'General Information'!$D$33,0,IF(W71=0,$J$6,IFERROR(SUMIF(INDIRECT("'"&amp;$G$6&amp;"'!$C$37:$C$52"),W71,INDIRECT("'"&amp;$G$6&amp;"'!$D$37:$D$52")),0))))</f>
        <v>-318512.680223958</v>
      </c>
      <c r="AB71" s="135" t="n">
        <f aca="true">IF($G$7="",0,IF(W71&gt;'General Information'!$D$33,0,IF(W71=0,$J$7,IFERROR(SUMIF(INDIRECT("'"&amp;$G$7&amp;"'!$C$37:$C$52"),W71,INDIRECT("'"&amp;$G$7&amp;"'!$D$37:$D$52")),0))))</f>
        <v>-3604725.79166667</v>
      </c>
      <c r="AC71" s="135" t="n">
        <f aca="true">IF($G$4="",0,AC70+IF(W71&gt;'General Information'!$D$33,0,IF(W71=0,$J$4,IFERROR(SUMIF(INDIRECT("'"&amp;$G$4&amp;"'!$C$37:$C$52"),W71,INDIRECT("'"&amp;$G$4&amp;"'!$E$37:$E$52")),0))))</f>
        <v>16528083.6250713</v>
      </c>
      <c r="AD71" s="135" t="n">
        <f aca="true">IF($G$5="",0,AD70+IF(W71&gt;'General Information'!$D$33,0,IF(W71=0,$J$5,IFERROR(SUMIF(INDIRECT("'"&amp;$G$5&amp;"'!$C$37:$C$52"),W71,INDIRECT("'"&amp;$G$5&amp;"'!$E$37:$E$52")),0))))</f>
        <v>14066568.3801067</v>
      </c>
      <c r="AE71" s="135" t="n">
        <f aca="true">IF($G$6="",0,AE70+IF(W71&gt;'General Information'!$D$33,0,IF(W71=0,$J$6,IFERROR(SUMIF(INDIRECT("'"&amp;$G$6&amp;"'!$C$37:$C$52"),W71,INDIRECT("'"&amp;$G$6&amp;"'!$E$37:$E$52")),0))))</f>
        <v>18827287.8250713</v>
      </c>
      <c r="AF71" s="135" t="n">
        <f aca="true">IF($G$7="",0,AF70+IF(W71&gt;'General Information'!$D$33,0,IF(W71=0,$J$7,IFERROR(SUMIF(INDIRECT("'"&amp;$G$7&amp;"'!$C$37:$C$52"),W71,INDIRECT("'"&amp;$G$7&amp;"'!$E$37:$E$52")),0))))</f>
        <v>14594219.4992945</v>
      </c>
      <c r="AG71" s="148" t="n">
        <f aca="true">IF($G$4="",0,IF(W71&gt;'General Information'!$D$33,0,IFERROR(SUMIFS(INDIRECT("'"&amp;$G$4&amp;"'!$D$37:$D$52"),INDIRECT("'"&amp;$G$4&amp;"'!$C$37:$C$52"),W71,INDIRECT("'"&amp;$G$4&amp;"'!$B$37:$B$52"),"*Indirect*")/INDIRECT("'"&amp;$G$4&amp;"'!$F$2"),0)))</f>
        <v>0</v>
      </c>
      <c r="AH71" s="148" t="n">
        <f aca="true">IF($G$5="",0,IF(W71&gt;'General Information'!$D$33,0,IFERROR(SUMIFS(INDIRECT("'"&amp;$G$5&amp;"'!$D$37:$D$52"),INDIRECT("'"&amp;$G$5&amp;"'!$C$37:$C$52"),W71,INDIRECT("'"&amp;$G$5&amp;"'!$B$37:$B$52"),"*Indirect*")/INDIRECT("'"&amp;$G$5&amp;"'!$F$2"),0)))</f>
        <v>0</v>
      </c>
      <c r="AI71" s="148" t="n">
        <f aca="true">IF($G$6="",0,IF(W71&gt;'General Information'!$D$33,0,IFERROR(SUMIFS(INDIRECT("'"&amp;$G$6&amp;"'!$D$37:$D$52"),INDIRECT("'"&amp;$G$6&amp;"'!$C$37:$C$52"),W71,INDIRECT("'"&amp;$G$6&amp;"'!$B$37:$B$52"),"*Indirect*")/INDIRECT("'"&amp;$G$6&amp;"'!$F$2"),0)))</f>
        <v>0</v>
      </c>
      <c r="AJ71" s="148" t="n">
        <f aca="true">IF($G$7="",0,IF(W71&gt;'General Information'!$D$33,0,IFERROR(SUMIFS(INDIRECT("'"&amp;$G$7&amp;"'!$D$37:$D$52"),INDIRECT("'"&amp;$G$7&amp;"'!$C$37:$C$52"),W71,INDIRECT("'"&amp;$G$7&amp;"'!$B$37:$B$52"),"*Indirect*")/INDIRECT("'"&amp;$G$7&amp;"'!$F$2"),0)))</f>
        <v>0</v>
      </c>
    </row>
    <row r="74" customFormat="false" ht="15" hidden="false" customHeight="false" outlineLevel="0" collapsed="false">
      <c r="W74" s="127" t="s">
        <v>723</v>
      </c>
    </row>
    <row r="75" customFormat="false" ht="15" hidden="false" customHeight="false" outlineLevel="0" collapsed="false">
      <c r="W75" s="129" t="s">
        <v>724</v>
      </c>
      <c r="X75" s="129" t="str">
        <f aca="false">IF(X$4="","",X$4)</f>
        <v>Alternative 1</v>
      </c>
      <c r="Y75" s="129" t="str">
        <f aca="false">IF(Y$4="","",Y$4)</f>
        <v>Alternative 2</v>
      </c>
      <c r="Z75" s="129" t="str">
        <f aca="false">IF(Z$4="","",Z$4)</f>
        <v>Alternative 3</v>
      </c>
      <c r="AA75" s="129" t="str">
        <f aca="false">IF(AA$4="","",AA$4)</f>
        <v>Alternative 4</v>
      </c>
    </row>
    <row r="76" customFormat="false" ht="15" hidden="false" customHeight="false" outlineLevel="0" collapsed="false">
      <c r="W76" s="134" t="s">
        <v>725</v>
      </c>
      <c r="X76" s="149" t="n">
        <f aca="false">IF($G$4="",0,IFERROR(J83,0))</f>
        <v>8.0001199004826</v>
      </c>
      <c r="Y76" s="149" t="n">
        <f aca="false">IF($G$5="",0,IFERROR(J84,0))</f>
        <v>8.0001199004826</v>
      </c>
      <c r="Z76" s="149" t="n">
        <f aca="false">IF($G$6="",0,IFERROR(J85,0))</f>
        <v>0</v>
      </c>
      <c r="AA76" s="149" t="n">
        <f aca="false">IF($G$7="",0,IFERROR(J86,0))</f>
        <v>0</v>
      </c>
    </row>
    <row r="77" customFormat="false" ht="15" hidden="false" customHeight="false" outlineLevel="0" collapsed="false">
      <c r="G77" s="59" t="s">
        <v>726</v>
      </c>
      <c r="W77" s="134" t="s">
        <v>727</v>
      </c>
      <c r="X77" s="149" t="n">
        <f aca="false">IF($G$4="",0,IFERROR(I83,0))</f>
        <v>8.0001199004826</v>
      </c>
      <c r="Y77" s="149" t="n">
        <f aca="false">IF($G$5="",0,IFERROR(I84,0))</f>
        <v>8.0001199004826</v>
      </c>
      <c r="Z77" s="149" t="n">
        <f aca="false">IF($G$6="",0,IFERROR(I85,0))</f>
        <v>13.3334132669884</v>
      </c>
      <c r="AA77" s="149" t="n">
        <f aca="false">IF($G$7="",0,IFERROR(I86,0))</f>
        <v>8.0001199004826</v>
      </c>
    </row>
    <row r="78" customFormat="false" ht="15" hidden="false" customHeight="false" outlineLevel="0" collapsed="false">
      <c r="W78" s="134" t="s">
        <v>728</v>
      </c>
      <c r="X78" s="149" t="n">
        <f aca="true">IF($G$4="",0,IFERROR(IF(SUMIFS(INDIRECT("'"&amp;$G$4&amp;"'!$E$13:$E$22"),INDIRECT("'"&amp;$G$4&amp;"'!$D$13:$D$22"),"TON")&gt;0,H83,0),0))</f>
        <v>10.6666410742256</v>
      </c>
      <c r="Y78" s="149" t="n">
        <f aca="true">IF($G$5="",0,IFERROR(IF(SUMIFS(INDIRECT("'"&amp;$G$5&amp;"'!$E$13:$E$22"),INDIRECT("'"&amp;$G$5&amp;"'!$D$13:$D$22"),"TON")&gt;0,H84,0),0))</f>
        <v>0</v>
      </c>
      <c r="Z78" s="149" t="n">
        <f aca="true">IF($G$6="",0,IFERROR(IF(SUMIFS(INDIRECT("'"&amp;$G$6&amp;"'!$E$13:$E$22"),INDIRECT("'"&amp;$G$6&amp;"'!$D$13:$D$22"),"TON")&gt;0,H85,0),0))</f>
        <v>13.333301342782</v>
      </c>
      <c r="AA78" s="149" t="n">
        <f aca="true">IF($G$7="",0,IFERROR(IF(SUMIFS(INDIRECT("'"&amp;$G$7&amp;"'!$E$13:$E$22"),INDIRECT("'"&amp;$G$7&amp;"'!$D$13:$D$22"),"TON")&gt;0,H86,0),0))</f>
        <v>0</v>
      </c>
    </row>
    <row r="79" customFormat="false" ht="15" hidden="false" customHeight="false" outlineLevel="0" collapsed="false">
      <c r="W79" s="134" t="s">
        <v>729</v>
      </c>
      <c r="X79" s="149" t="n">
        <f aca="true">IF($G$4="",0,IFERROR(IF(SUMIFS(INDIRECT("'"&amp;$G$4&amp;"'!$E$13:$E$22"),INDIRECT("'"&amp;$G$4&amp;"'!$D$13:$D$22"),"TON")&gt;0,0,H83),0))</f>
        <v>0</v>
      </c>
      <c r="Y79" s="149" t="n">
        <f aca="true">IF($G$5="",0,IFERROR(IF(SUMIFS(INDIRECT("'"&amp;$G$5&amp;"'!$E$13:$E$22"),INDIRECT("'"&amp;$G$5&amp;"'!$D$13:$D$22"),"TON")&gt;0,0,H84),0))</f>
        <v>9</v>
      </c>
      <c r="Z79" s="149" t="n">
        <f aca="true">IF($G$6="",0,IFERROR(IF(SUMIFS(INDIRECT("'"&amp;$G$6&amp;"'!$E$13:$E$22"),INDIRECT("'"&amp;$G$6&amp;"'!$D$13:$D$22"),"TON")&gt;0,0,H85),0))</f>
        <v>0</v>
      </c>
      <c r="AA79" s="149" t="n">
        <f aca="true">IF($G$7="",0,IFERROR(IF(SUMIFS(INDIRECT("'"&amp;$G$7&amp;"'!$E$13:$E$22"),INDIRECT("'"&amp;$G$7&amp;"'!$D$13:$D$22"),"TON")&gt;0,0,H86),0))</f>
        <v>11</v>
      </c>
    </row>
    <row r="80" customFormat="false" ht="15" hidden="false" customHeight="false" outlineLevel="0" collapsed="false">
      <c r="G80" s="126" t="s">
        <v>730</v>
      </c>
    </row>
    <row r="81" customFormat="false" ht="15" hidden="false" customHeight="false" outlineLevel="0" collapsed="false">
      <c r="G81" s="127" t="s">
        <v>731</v>
      </c>
      <c r="J81" s="145" t="n">
        <v>145</v>
      </c>
      <c r="K81" s="59" t="s">
        <v>732</v>
      </c>
      <c r="W81" s="127" t="s">
        <v>733</v>
      </c>
    </row>
    <row r="82" customFormat="false" ht="27" hidden="false" customHeight="true" outlineLevel="0" collapsed="false">
      <c r="G82" s="129" t="s">
        <v>666</v>
      </c>
      <c r="H82" s="129" t="s">
        <v>734</v>
      </c>
      <c r="I82" s="129" t="s">
        <v>735</v>
      </c>
      <c r="J82" s="129" t="s">
        <v>736</v>
      </c>
      <c r="K82" s="129" t="s">
        <v>737</v>
      </c>
      <c r="L82" s="129" t="s">
        <v>738</v>
      </c>
      <c r="M82" s="129" t="s">
        <v>739</v>
      </c>
      <c r="N82" s="129" t="s">
        <v>740</v>
      </c>
      <c r="O82" s="129"/>
      <c r="P82" s="129" t="s">
        <v>741</v>
      </c>
      <c r="Q82" s="129" t="s">
        <v>742</v>
      </c>
      <c r="W82" s="129" t="s">
        <v>724</v>
      </c>
      <c r="X82" s="129" t="str">
        <f aca="false">X$4</f>
        <v>Alternative 1</v>
      </c>
      <c r="Y82" s="129" t="str">
        <f aca="false">Y$4</f>
        <v>Alternative 2</v>
      </c>
      <c r="Z82" s="129" t="str">
        <f aca="false">Z$4</f>
        <v>Alternative 3</v>
      </c>
      <c r="AA82" s="129" t="str">
        <f aca="false">AA$4</f>
        <v>Alternative 4</v>
      </c>
    </row>
    <row r="83" customFormat="false" ht="15" hidden="false" customHeight="false" outlineLevel="0" collapsed="false">
      <c r="G83" s="130" t="str">
        <f aca="false">IF($G$4="","",$H$4)</f>
        <v>Alternative 1</v>
      </c>
      <c r="H83" s="150"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10.6666410742256</v>
      </c>
      <c r="I83" s="150" t="n">
        <f aca="true">IF($G$4="","",36*(SUMIFS(INDIRECT("'"&amp;$G$4&amp;"'!$E$13:$E$22"),INDIRECT("'"&amp;$G$4&amp;"'!$D$13:$D$22"),"C.Y.",INDIRECT("'"&amp;$G$4&amp;"'!$B$13:$B$22"),"P-2*")+SUMIFS(INDIRECT("'"&amp;$G$4&amp;"'!$E$13:$E$22"),INDIRECT("'"&amp;$G$4&amp;"'!$D$13:$D$22"),"C.Y.",INDIRECT("'"&amp;$G$4&amp;"'!$B$13:$B$22"),"P-3*"))/'General Information'!$D$26)</f>
        <v>8.0001199004826</v>
      </c>
      <c r="J83" s="150" t="n">
        <f aca="true">IF($G$4="","",36*SUMIFS(INDIRECT("'"&amp;$G$4&amp;"'!$E$13:$E$22"),INDIRECT("'"&amp;$G$4&amp;"'!$D$13:$D$22"),"C.Y.",INDIRECT("'"&amp;$G$4&amp;"'!$B$13:$B$22"),"P-154*")/'General Information'!$D$26)</f>
        <v>8.0001199004826</v>
      </c>
      <c r="K83" s="150"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v>
      </c>
      <c r="L83" s="150" t="n">
        <f aca="false">IF($G$4="","",H83+I83+J83)</f>
        <v>26.6668808751908</v>
      </c>
      <c r="M83" s="150" t="n">
        <f aca="true">IF($G$4="","",36*SUMIFS(INDIRECT("'"&amp;$G$4&amp;"'!$E$13:$E$22"),INDIRECT("'"&amp;$G$4&amp;"'!$D$13:$D$22"),"C.Y.",INDIRECT("'"&amp;$G$4&amp;"'!$B$13:$B$22"),"P-152*")/'General Information'!$D$26)</f>
        <v>26.6668265339768</v>
      </c>
      <c r="N83" s="130" t="str">
        <f aca="false">IF($G$4="","",IF(M83=0,"no excavation item",IF(ABS(M83-L83)&lt;=0.5,"agrees","differs by "&amp;TEXT(M83-L83,"0.0")&amp;" in")))</f>
        <v>agrees</v>
      </c>
      <c r="P83" s="130"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11" P401 on 8" P209 on 8" P154</v>
      </c>
      <c r="Q83" s="130" t="str">
        <f aca="true">IF(OR($G$4="",'General Information'!$D$27=0),"",TEXT(IF(SUMIFS(INDIRECT("'"&amp;$G$4&amp;"'!$E$13:$E$22"),INDIRECT("'"&amp;$G$4&amp;"'!$D$13:$D$22"),"TON")&gt;0,H83*'General Information'!$D$26/('General Information'!$D$26+'General Information'!$D$27),H83),"0")&amp;""" "&amp;IF(SUMIFS(INDIRECT("'"&amp;$G$4&amp;"'!$E$13:$E$22"),INDIRECT("'"&amp;$G$4&amp;"'!$D$13:$D$22"),"TON")&gt;0,IFERROR(SUBSTITUTE(LEFT(INDEX(INDIRECT("'"&amp;$G$4&amp;"'!$B$13:$B$22"),MATCH("P-4*",INDIRECT("'"&amp;$G$4&amp;"'!$B$13:$B$22"),0)),5),"-",""),""),IFERROR(SUBSTITUTE(LEFT(INDEX(INDIRECT("'"&amp;$G$4&amp;"'!$B$13:$B$22"),MATCH("P-501*",INDIRECT("'"&amp;$G$4&amp;"'!$B$13:$B$22"),0)),5),"-",""),""))&amp;IF(I83&gt;0," on "&amp;TEXT(I83*'General Information'!$D$26/('General Information'!$D$26+'General Information'!$D$27),"0")&amp;""" "&amp;IFERROR(SUBSTITUTE(LEFT(INDEX(INDIRECT("'"&amp;$G$4&amp;"'!$B$13:$B$22"),MATCH("P-2*",INDIRECT("'"&amp;$G$4&amp;"'!$B$13:$B$22"),0)),5),"-",""),""),"")&amp;IF(J83&gt;0," on "&amp;TEXT(J83*'General Information'!$D$26/('General Information'!$D$26+'General Information'!$D$27),"0")&amp;""" P154",""))</f>
        <v>8" P401 on 6" P209 on 6" P154</v>
      </c>
      <c r="W83" s="134" t="s">
        <v>725</v>
      </c>
      <c r="X83" s="149" t="n">
        <f aca="false">IFERROR(X76*IF('General Information'!$D$27&gt;0,'General Information'!$D$26/('General Information'!$D$26+'General Information'!$D$27),0),0)</f>
        <v>6.00008992536195</v>
      </c>
      <c r="Y83" s="149" t="n">
        <f aca="false">IFERROR(Y76*IF('General Information'!$D$27&gt;0,'General Information'!$D$26/('General Information'!$D$26+'General Information'!$D$27),0),0)</f>
        <v>6.00008992536195</v>
      </c>
      <c r="Z83" s="149" t="n">
        <f aca="false">IFERROR(Z76*IF('General Information'!$D$27&gt;0,'General Information'!$D$26/('General Information'!$D$26+'General Information'!$D$27),0),0)</f>
        <v>0</v>
      </c>
      <c r="AA83" s="149" t="n">
        <f aca="false">IFERROR(AA76*IF('General Information'!$D$27&gt;0,'General Information'!$D$26/('General Information'!$D$26+'General Information'!$D$27),0),0)</f>
        <v>0</v>
      </c>
    </row>
    <row r="84" customFormat="false" ht="15" hidden="false" customHeight="false" outlineLevel="0" collapsed="false">
      <c r="G84" s="130" t="str">
        <f aca="false">IF($G$5="","",$H$5)</f>
        <v>Alternative 2</v>
      </c>
      <c r="H84" s="150"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50" t="n">
        <f aca="true">IF($G$5="","",36*(SUMIFS(INDIRECT("'"&amp;$G$5&amp;"'!$E$13:$E$22"),INDIRECT("'"&amp;$G$5&amp;"'!$D$13:$D$22"),"C.Y.",INDIRECT("'"&amp;$G$5&amp;"'!$B$13:$B$22"),"P-2*")+SUMIFS(INDIRECT("'"&amp;$G$5&amp;"'!$E$13:$E$22"),INDIRECT("'"&amp;$G$5&amp;"'!$D$13:$D$22"),"C.Y.",INDIRECT("'"&amp;$G$5&amp;"'!$B$13:$B$22"),"P-3*"))/'General Information'!$D$26)</f>
        <v>8.0001199004826</v>
      </c>
      <c r="J84" s="150" t="n">
        <f aca="true">IF($G$5="","",36*SUMIFS(INDIRECT("'"&amp;$G$5&amp;"'!$E$13:$E$22"),INDIRECT("'"&amp;$G$5&amp;"'!$D$13:$D$22"),"C.Y.",INDIRECT("'"&amp;$G$5&amp;"'!$B$13:$B$22"),"P-154*")/'General Information'!$D$26)</f>
        <v>8.0001199004826</v>
      </c>
      <c r="K84" s="150"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v>
      </c>
      <c r="L84" s="150" t="n">
        <f aca="false">IF($G$5="","",H84+I84+J84)</f>
        <v>25.0002398009652</v>
      </c>
      <c r="M84" s="150" t="n">
        <f aca="true">IF($G$5="","",36*SUMIFS(INDIRECT("'"&amp;$G$5&amp;"'!$E$13:$E$22"),INDIRECT("'"&amp;$G$5&amp;"'!$D$13:$D$22"),"C.Y.",INDIRECT("'"&amp;$G$5&amp;"'!$B$13:$B$22"),"P-152*")/'General Information'!$D$26)</f>
        <v>24.9999700248794</v>
      </c>
      <c r="N84" s="130" t="str">
        <f aca="false">IF($G$5="","",IF(M84=0,"no excavation item",IF(ABS(M84-L84)&lt;=0.5,"agrees","differs by "&amp;TEXT(M84-L84,"0.0")&amp;" in")))</f>
        <v>agrees</v>
      </c>
      <c r="P84" s="130"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8" P209 on 8" P154</v>
      </c>
      <c r="Q84" s="130" t="str">
        <f aca="true">IF(OR($G$5="",'General Information'!$D$27=0),"",TEXT(IF(SUMIFS(INDIRECT("'"&amp;$G$5&amp;"'!$E$13:$E$22"),INDIRECT("'"&amp;$G$5&amp;"'!$D$13:$D$22"),"TON")&gt;0,H84*'General Information'!$D$26/('General Information'!$D$26+'General Information'!$D$27),H84),"0")&amp;""" "&amp;IF(SUMIFS(INDIRECT("'"&amp;$G$5&amp;"'!$E$13:$E$22"),INDIRECT("'"&amp;$G$5&amp;"'!$D$13:$D$22"),"TON")&gt;0,IFERROR(SUBSTITUTE(LEFT(INDEX(INDIRECT("'"&amp;$G$5&amp;"'!$B$13:$B$22"),MATCH("P-4*",INDIRECT("'"&amp;$G$5&amp;"'!$B$13:$B$22"),0)),5),"-",""),""),IFERROR(SUBSTITUTE(LEFT(INDEX(INDIRECT("'"&amp;$G$5&amp;"'!$B$13:$B$22"),MATCH("P-501*",INDIRECT("'"&amp;$G$5&amp;"'!$B$13:$B$22"),0)),5),"-",""),""))&amp;IF(I84&gt;0," on "&amp;TEXT(I84*'General Information'!$D$26/('General Information'!$D$26+'General Information'!$D$27),"0")&amp;""" "&amp;IFERROR(SUBSTITUTE(LEFT(INDEX(INDIRECT("'"&amp;$G$5&amp;"'!$B$13:$B$22"),MATCH("P-2*",INDIRECT("'"&amp;$G$5&amp;"'!$B$13:$B$22"),0)),5),"-",""),""),"")&amp;IF(J84&gt;0," on "&amp;TEXT(J84*'General Information'!$D$26/('General Information'!$D$26+'General Information'!$D$27),"0")&amp;""" P154",""))</f>
        <v>9" P501 on 6" P209 on 6" P154</v>
      </c>
      <c r="W84" s="134" t="s">
        <v>727</v>
      </c>
      <c r="X84" s="149" t="n">
        <f aca="false">IFERROR(X77*IF('General Information'!$D$27&gt;0,'General Information'!$D$26/('General Information'!$D$26+'General Information'!$D$27),0),0)</f>
        <v>6.00008992536195</v>
      </c>
      <c r="Y84" s="149" t="n">
        <f aca="false">IFERROR(Y77*IF('General Information'!$D$27&gt;0,'General Information'!$D$26/('General Information'!$D$26+'General Information'!$D$27),0),0)</f>
        <v>6.00008992536195</v>
      </c>
      <c r="Z84" s="149" t="n">
        <f aca="false">IFERROR(Z77*IF('General Information'!$D$27&gt;0,'General Information'!$D$26/('General Information'!$D$26+'General Information'!$D$27),0),0)</f>
        <v>10.0000599502413</v>
      </c>
      <c r="AA84" s="149" t="n">
        <f aca="false">IFERROR(AA77*IF('General Information'!$D$27&gt;0,'General Information'!$D$26/('General Information'!$D$26+'General Information'!$D$27),0),0)</f>
        <v>6.00008992536195</v>
      </c>
    </row>
    <row r="85" customFormat="false" ht="15" hidden="false" customHeight="false" outlineLevel="0" collapsed="false">
      <c r="G85" s="130" t="str">
        <f aca="false">IF($G$6="","",$H$6)</f>
        <v>Alternative 3</v>
      </c>
      <c r="H85" s="150" t="n">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13.333301342782</v>
      </c>
      <c r="I85" s="150" t="n">
        <f aca="true">IF($G$6="","",36*(SUMIFS(INDIRECT("'"&amp;$G$6&amp;"'!$E$13:$E$22"),INDIRECT("'"&amp;$G$6&amp;"'!$D$13:$D$22"),"C.Y.",INDIRECT("'"&amp;$G$6&amp;"'!$B$13:$B$22"),"P-2*")+SUMIFS(INDIRECT("'"&amp;$G$6&amp;"'!$E$13:$E$22"),INDIRECT("'"&amp;$G$6&amp;"'!$D$13:$D$22"),"C.Y.",INDIRECT("'"&amp;$G$6&amp;"'!$B$13:$B$22"),"P-3*"))/'General Information'!$D$26)</f>
        <v>13.3334132669884</v>
      </c>
      <c r="J85" s="150" t="n">
        <f aca="true">IF($G$6="","",36*SUMIFS(INDIRECT("'"&amp;$G$6&amp;"'!$E$13:$E$22"),INDIRECT("'"&amp;$G$6&amp;"'!$D$13:$D$22"),"C.Y.",INDIRECT("'"&amp;$G$6&amp;"'!$B$13:$B$22"),"P-154*")/'General Information'!$D$26)</f>
        <v>0</v>
      </c>
      <c r="K85" s="150"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yes</v>
      </c>
      <c r="L85" s="150" t="n">
        <f aca="false">IF($G$6="","",H85+I85+J85)</f>
        <v>26.6667146097704</v>
      </c>
      <c r="M85" s="150" t="n">
        <f aca="true">IF($G$6="","",36*SUMIFS(INDIRECT("'"&amp;$G$6&amp;"'!$E$13:$E$22"),INDIRECT("'"&amp;$G$6&amp;"'!$D$13:$D$22"),"C.Y.",INDIRECT("'"&amp;$G$6&amp;"'!$B$13:$B$22"),"P-152*")/'General Information'!$D$26)</f>
        <v>0</v>
      </c>
      <c r="N85" s="130" t="str">
        <f aca="false">IF($G$6="","",IF(M85=0,"no excavation item",IF(ABS(M85-L85)&lt;=0.5,"agrees","differs by "&amp;TEXT(M85-L85,"0.0")&amp;" in")))</f>
        <v>no excavation item</v>
      </c>
      <c r="P85" s="130"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13" P401 on 13" P209</v>
      </c>
      <c r="Q85" s="130" t="str">
        <f aca="true">IF(OR($G$6="",'General Information'!$D$27=0),"",TEXT(IF(SUMIFS(INDIRECT("'"&amp;$G$6&amp;"'!$E$13:$E$22"),INDIRECT("'"&amp;$G$6&amp;"'!$D$13:$D$22"),"TON")&gt;0,H85*'General Information'!$D$26/('General Information'!$D$26+'General Information'!$D$27),H85),"0")&amp;""" "&amp;IF(SUMIFS(INDIRECT("'"&amp;$G$6&amp;"'!$E$13:$E$22"),INDIRECT("'"&amp;$G$6&amp;"'!$D$13:$D$22"),"TON")&gt;0,IFERROR(SUBSTITUTE(LEFT(INDEX(INDIRECT("'"&amp;$G$6&amp;"'!$B$13:$B$22"),MATCH("P-4*",INDIRECT("'"&amp;$G$6&amp;"'!$B$13:$B$22"),0)),5),"-",""),""),IFERROR(SUBSTITUTE(LEFT(INDEX(INDIRECT("'"&amp;$G$6&amp;"'!$B$13:$B$22"),MATCH("P-501*",INDIRECT("'"&amp;$G$6&amp;"'!$B$13:$B$22"),0)),5),"-",""),""))&amp;IF(I85&gt;0," on "&amp;TEXT(I85*'General Information'!$D$26/('General Information'!$D$26+'General Information'!$D$27),"0")&amp;""" "&amp;IFERROR(SUBSTITUTE(LEFT(INDEX(INDIRECT("'"&amp;$G$6&amp;"'!$B$13:$B$22"),MATCH("P-2*",INDIRECT("'"&amp;$G$6&amp;"'!$B$13:$B$22"),0)),5),"-",""),""),"")&amp;IF(J85&gt;0," on "&amp;TEXT(J85*'General Information'!$D$26/('General Information'!$D$26+'General Information'!$D$27),"0")&amp;""" P154",""))</f>
        <v>10" P401 on 10" P209</v>
      </c>
      <c r="W85" s="134" t="s">
        <v>728</v>
      </c>
      <c r="X85" s="149" t="n">
        <f aca="false">IFERROR(X78*IF('General Information'!$D$27&gt;0,'General Information'!$D$26/('General Information'!$D$26+'General Information'!$D$27),0),0)</f>
        <v>7.99998080566923</v>
      </c>
      <c r="Y85" s="149" t="n">
        <f aca="false">IFERROR(Y78*IF('General Information'!$D$27&gt;0,'General Information'!$D$26/('General Information'!$D$26+'General Information'!$D$27),0),0)</f>
        <v>0</v>
      </c>
      <c r="Z85" s="149" t="n">
        <f aca="false">IFERROR(Z78*IF('General Information'!$D$27&gt;0,'General Information'!$D$26/('General Information'!$D$26+'General Information'!$D$27),0),0)</f>
        <v>9.99997600708653</v>
      </c>
      <c r="AA85" s="149" t="n">
        <f aca="false">IFERROR(AA78*IF('General Information'!$D$27&gt;0,'General Information'!$D$26/('General Information'!$D$26+'General Information'!$D$27),0),0)</f>
        <v>0</v>
      </c>
    </row>
    <row r="86" customFormat="false" ht="15" hidden="false" customHeight="false" outlineLevel="0" collapsed="false">
      <c r="G86" s="130" t="str">
        <f aca="false">IF($G$7="","",$H$7)</f>
        <v>Alternative 4</v>
      </c>
      <c r="H86" s="150" t="n">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11</v>
      </c>
      <c r="I86" s="150" t="n">
        <f aca="true">IF($G$7="","",36*(SUMIFS(INDIRECT("'"&amp;$G$7&amp;"'!$E$13:$E$22"),INDIRECT("'"&amp;$G$7&amp;"'!$D$13:$D$22"),"C.Y.",INDIRECT("'"&amp;$G$7&amp;"'!$B$13:$B$22"),"P-2*")+SUMIFS(INDIRECT("'"&amp;$G$7&amp;"'!$E$13:$E$22"),INDIRECT("'"&amp;$G$7&amp;"'!$D$13:$D$22"),"C.Y.",INDIRECT("'"&amp;$G$7&amp;"'!$B$13:$B$22"),"P-3*"))/'General Information'!$D$26)</f>
        <v>8.0001199004826</v>
      </c>
      <c r="J86" s="150" t="n">
        <f aca="true">IF($G$7="","",36*SUMIFS(INDIRECT("'"&amp;$G$7&amp;"'!$E$13:$E$22"),INDIRECT("'"&amp;$G$7&amp;"'!$D$13:$D$22"),"C.Y.",INDIRECT("'"&amp;$G$7&amp;"'!$B$13:$B$22"),"P-154*")/'General Information'!$D$26)</f>
        <v>0</v>
      </c>
      <c r="K86" s="150"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yes</v>
      </c>
      <c r="L86" s="150" t="n">
        <f aca="false">IF($G$7="","",H86+I86+J86)</f>
        <v>19.0001199004826</v>
      </c>
      <c r="M86" s="150" t="n">
        <f aca="true">IF($G$7="","",36*SUMIFS(INDIRECT("'"&amp;$G$7&amp;"'!$E$13:$E$22"),INDIRECT("'"&amp;$G$7&amp;"'!$D$13:$D$22"),"C.Y.",INDIRECT("'"&amp;$G$7&amp;"'!$B$13:$B$22"),"P-152*")/'General Information'!$D$26)</f>
        <v>18.9997901741555</v>
      </c>
      <c r="N86" s="130" t="str">
        <f aca="false">IF($G$7="","",IF(M86=0,"no excavation item",IF(ABS(M86-L86)&lt;=0.5,"agrees","differs by "&amp;TEXT(M86-L86,"0.0")&amp;" in")))</f>
        <v>agrees</v>
      </c>
      <c r="P86" s="130"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11" P501 on 8" P209</v>
      </c>
      <c r="Q86" s="130" t="str">
        <f aca="true">IF(OR($G$7="",'General Information'!$D$27=0),"",TEXT(IF(SUMIFS(INDIRECT("'"&amp;$G$7&amp;"'!$E$13:$E$22"),INDIRECT("'"&amp;$G$7&amp;"'!$D$13:$D$22"),"TON")&gt;0,H86*'General Information'!$D$26/('General Information'!$D$26+'General Information'!$D$27),H86),"0")&amp;""" "&amp;IF(SUMIFS(INDIRECT("'"&amp;$G$7&amp;"'!$E$13:$E$22"),INDIRECT("'"&amp;$G$7&amp;"'!$D$13:$D$22"),"TON")&gt;0,IFERROR(SUBSTITUTE(LEFT(INDEX(INDIRECT("'"&amp;$G$7&amp;"'!$B$13:$B$22"),MATCH("P-4*",INDIRECT("'"&amp;$G$7&amp;"'!$B$13:$B$22"),0)),5),"-",""),""),IFERROR(SUBSTITUTE(LEFT(INDEX(INDIRECT("'"&amp;$G$7&amp;"'!$B$13:$B$22"),MATCH("P-501*",INDIRECT("'"&amp;$G$7&amp;"'!$B$13:$B$22"),0)),5),"-",""),""))&amp;IF(I86&gt;0," on "&amp;TEXT(I86*'General Information'!$D$26/('General Information'!$D$26+'General Information'!$D$27),"0")&amp;""" "&amp;IFERROR(SUBSTITUTE(LEFT(INDEX(INDIRECT("'"&amp;$G$7&amp;"'!$B$13:$B$22"),MATCH("P-2*",INDIRECT("'"&amp;$G$7&amp;"'!$B$13:$B$22"),0)),5),"-",""),""),"")&amp;IF(J86&gt;0," on "&amp;TEXT(J86*'General Information'!$D$26/('General Information'!$D$26+'General Information'!$D$27),"0")&amp;""" P154",""))</f>
        <v>11" P501 on 6" P209</v>
      </c>
      <c r="W86" s="134" t="s">
        <v>729</v>
      </c>
      <c r="X86" s="149" t="n">
        <f aca="false">IFERROR(X79*IF('General Information'!$D$27&gt;0,1,0),0)</f>
        <v>0</v>
      </c>
      <c r="Y86" s="149" t="n">
        <f aca="false">IFERROR(Y79*IF('General Information'!$D$27&gt;0,1,0),0)</f>
        <v>9</v>
      </c>
      <c r="Z86" s="149" t="n">
        <f aca="false">IFERROR(Z79*IF('General Information'!$D$27&gt;0,1,0),0)</f>
        <v>0</v>
      </c>
      <c r="AA86" s="149" t="n">
        <f aca="false">IFERROR(AA79*IF('General Information'!$D$27&gt;0,1,0),0)</f>
        <v>11</v>
      </c>
    </row>
    <row r="87" customFormat="false" ht="15" hidden="false" customHeight="false" outlineLevel="0" collapsed="false">
      <c r="G87" s="59" t="s">
        <v>743</v>
      </c>
    </row>
    <row r="108" customFormat="false" ht="15" hidden="false" customHeight="false" outlineLevel="0" collapsed="false">
      <c r="G108" s="59" t="s">
        <v>744</v>
      </c>
    </row>
    <row r="115" customFormat="false" ht="15" hidden="false" customHeight="false" outlineLevel="0" collapsed="false">
      <c r="W115" s="127" t="s">
        <v>745</v>
      </c>
    </row>
    <row r="116" customFormat="false" ht="23.85" hidden="false" customHeight="false" outlineLevel="0" collapsed="false">
      <c r="W116" s="129" t="s">
        <v>711</v>
      </c>
      <c r="X116" s="129" t="s">
        <v>639</v>
      </c>
      <c r="Y116" s="129" t="s">
        <v>746</v>
      </c>
      <c r="Z116" s="129" t="s">
        <v>747</v>
      </c>
      <c r="AA116" s="129" t="s">
        <v>57</v>
      </c>
      <c r="AB116" s="129" t="s">
        <v>748</v>
      </c>
      <c r="AC116" s="129"/>
      <c r="AD116" s="129" t="s">
        <v>749</v>
      </c>
      <c r="AE116" s="129" t="s">
        <v>747</v>
      </c>
      <c r="AF116" s="129" t="s">
        <v>750</v>
      </c>
      <c r="AG116" s="129"/>
      <c r="AH116" s="129" t="s">
        <v>751</v>
      </c>
      <c r="AI116" s="129" t="s">
        <v>752</v>
      </c>
    </row>
    <row r="117" customFormat="false" ht="15" hidden="false" customHeight="false" outlineLevel="0" collapsed="false">
      <c r="W117" s="134" t="s">
        <v>71</v>
      </c>
      <c r="X117" s="134" t="s">
        <v>72</v>
      </c>
      <c r="Y117" s="151"/>
      <c r="Z117" s="151"/>
      <c r="AA117" s="134" t="s">
        <v>75</v>
      </c>
      <c r="AB117" s="134"/>
      <c r="AD117" s="151" t="n">
        <f aca="false">IFERROR(IF(INDEX($Y$117:$Y$195,MATCH('General Information'!$D$10,$X$117:$X$195,0))="","",INDEX($Y$117:$Y$195,MATCH('General Information'!$D$10,$X$117:$X$195,0))),"")</f>
        <v>-88.91561</v>
      </c>
      <c r="AE117" s="151" t="n">
        <f aca="false">IFERROR(IF(INDEX($Z$117:$Z$195,MATCH('General Information'!$D$10,$X$117:$X$195,0))="","",INDEX($Z$117:$Z$195,MATCH('General Information'!$D$10,$X$117:$X$195,0))),"")</f>
        <v>35.59988</v>
      </c>
      <c r="AF117" s="134" t="str">
        <f aca="false">IF('General Information'!$D$9="","",'General Information'!$D$10)</f>
        <v>MKL</v>
      </c>
      <c r="AH117" s="151" t="n">
        <v>-89.425</v>
      </c>
      <c r="AI117" s="151" t="n">
        <v>36.49889</v>
      </c>
    </row>
    <row r="118" customFormat="false" ht="15" hidden="false" customHeight="false" outlineLevel="0" collapsed="false">
      <c r="W118" s="134" t="s">
        <v>78</v>
      </c>
      <c r="X118" s="134" t="s">
        <v>79</v>
      </c>
      <c r="Y118" s="151" t="n">
        <v>-88.19535</v>
      </c>
      <c r="Z118" s="151" t="n">
        <v>35.65636</v>
      </c>
      <c r="AA118" s="134" t="s">
        <v>75</v>
      </c>
      <c r="AB118" s="134" t="n">
        <v>488</v>
      </c>
      <c r="AH118" s="151" t="n">
        <v>-88.04278</v>
      </c>
      <c r="AI118" s="151" t="n">
        <v>36.49861</v>
      </c>
    </row>
    <row r="119" customFormat="false" ht="15" hidden="false" customHeight="false" outlineLevel="0" collapsed="false">
      <c r="W119" s="134" t="s">
        <v>84</v>
      </c>
      <c r="X119" s="134" t="s">
        <v>85</v>
      </c>
      <c r="Y119" s="151" t="n">
        <v>-88.12473</v>
      </c>
      <c r="Z119" s="151" t="n">
        <v>36.00954</v>
      </c>
      <c r="AA119" s="134" t="s">
        <v>75</v>
      </c>
      <c r="AB119" s="134" t="n">
        <v>468</v>
      </c>
      <c r="AH119" s="151" t="n">
        <v>-88.04</v>
      </c>
      <c r="AI119" s="151" t="n">
        <v>36.57389</v>
      </c>
    </row>
    <row r="120" customFormat="false" ht="15" hidden="false" customHeight="false" outlineLevel="0" collapsed="false">
      <c r="W120" s="134" t="s">
        <v>96</v>
      </c>
      <c r="X120" s="134" t="s">
        <v>97</v>
      </c>
      <c r="Y120" s="151" t="n">
        <v>-88.4633</v>
      </c>
      <c r="Z120" s="151" t="n">
        <v>36.0893</v>
      </c>
      <c r="AA120" s="134" t="s">
        <v>75</v>
      </c>
      <c r="AB120" s="134" t="n">
        <v>497</v>
      </c>
      <c r="AH120" s="151" t="n">
        <v>-88.07528</v>
      </c>
      <c r="AI120" s="151" t="n">
        <v>36.69055</v>
      </c>
    </row>
    <row r="121" customFormat="false" ht="15" hidden="false" customHeight="false" outlineLevel="0" collapsed="false">
      <c r="W121" s="134" t="s">
        <v>108</v>
      </c>
      <c r="X121" s="134" t="s">
        <v>109</v>
      </c>
      <c r="Y121" s="151" t="n">
        <v>-89.933</v>
      </c>
      <c r="Z121" s="151" t="n">
        <v>35.27848</v>
      </c>
      <c r="AA121" s="134" t="s">
        <v>75</v>
      </c>
      <c r="AB121" s="134" t="n">
        <v>247</v>
      </c>
      <c r="AH121" s="151" t="n">
        <v>-87.85833</v>
      </c>
      <c r="AI121" s="151" t="n">
        <v>36.67416</v>
      </c>
    </row>
    <row r="122" customFormat="false" ht="15" hidden="false" customHeight="false" outlineLevel="0" collapsed="false">
      <c r="W122" s="134" t="s">
        <v>135</v>
      </c>
      <c r="X122" s="134" t="s">
        <v>136</v>
      </c>
      <c r="Y122" s="151" t="n">
        <v>-89.58723</v>
      </c>
      <c r="Z122" s="151" t="n">
        <v>35.58336</v>
      </c>
      <c r="AA122" s="134" t="s">
        <v>75</v>
      </c>
      <c r="AB122" s="134" t="n">
        <v>280</v>
      </c>
      <c r="AH122" s="151" t="n">
        <v>-87.83972</v>
      </c>
      <c r="AI122" s="151" t="n">
        <v>36.63861</v>
      </c>
    </row>
    <row r="123" customFormat="false" ht="15" hidden="false" customHeight="false" outlineLevel="0" collapsed="false">
      <c r="W123" s="134" t="s">
        <v>159</v>
      </c>
      <c r="X123" s="134" t="s">
        <v>160</v>
      </c>
      <c r="Y123" s="151" t="n">
        <v>-89.40658</v>
      </c>
      <c r="Z123" s="151" t="n">
        <v>35.99797</v>
      </c>
      <c r="AA123" s="134" t="s">
        <v>75</v>
      </c>
      <c r="AB123" s="134" t="n">
        <v>338</v>
      </c>
      <c r="AH123" s="151" t="n">
        <v>-87.19056</v>
      </c>
      <c r="AI123" s="151" t="n">
        <v>36.65666</v>
      </c>
    </row>
    <row r="124" customFormat="false" ht="15" hidden="false" customHeight="false" outlineLevel="0" collapsed="false">
      <c r="W124" s="134" t="s">
        <v>176</v>
      </c>
      <c r="X124" s="134" t="s">
        <v>177</v>
      </c>
      <c r="Y124" s="151" t="n">
        <v>-88.9857</v>
      </c>
      <c r="Z124" s="151" t="n">
        <v>36.37974</v>
      </c>
      <c r="AA124" s="134" t="s">
        <v>75</v>
      </c>
      <c r="AB124" s="134" t="n">
        <v>346</v>
      </c>
      <c r="AH124" s="151" t="n">
        <v>-86.57972</v>
      </c>
      <c r="AI124" s="151" t="n">
        <v>36.65334</v>
      </c>
    </row>
    <row r="125" customFormat="false" ht="15" hidden="false" customHeight="false" outlineLevel="0" collapsed="false">
      <c r="W125" s="134" t="s">
        <v>180</v>
      </c>
      <c r="X125" s="134" t="s">
        <v>181</v>
      </c>
      <c r="Y125" s="151" t="n">
        <v>-89.39444</v>
      </c>
      <c r="Z125" s="151" t="n">
        <v>35.20769</v>
      </c>
      <c r="AA125" s="134" t="s">
        <v>75</v>
      </c>
      <c r="AB125" s="134" t="n">
        <v>436</v>
      </c>
      <c r="AH125" s="151" t="n">
        <v>-86.57167</v>
      </c>
      <c r="AI125" s="151" t="n">
        <v>36.64</v>
      </c>
    </row>
    <row r="126" customFormat="false" ht="15" hidden="false" customHeight="false" outlineLevel="0" collapsed="false">
      <c r="W126" s="134" t="s">
        <v>201</v>
      </c>
      <c r="X126" s="134" t="s">
        <v>202</v>
      </c>
      <c r="Y126" s="151" t="n">
        <v>-90.05397</v>
      </c>
      <c r="Z126" s="151" t="n">
        <v>35.20069</v>
      </c>
      <c r="AA126" s="134" t="s">
        <v>75</v>
      </c>
      <c r="AB126" s="134" t="n">
        <v>225</v>
      </c>
      <c r="AH126" s="151" t="n">
        <v>-86.52361</v>
      </c>
      <c r="AI126" s="151" t="n">
        <v>36.665</v>
      </c>
    </row>
    <row r="127" customFormat="false" ht="15" hidden="false" customHeight="false" outlineLevel="0" collapsed="false">
      <c r="W127" s="134" t="s">
        <v>206</v>
      </c>
      <c r="X127" s="134" t="s">
        <v>207</v>
      </c>
      <c r="Y127" s="151" t="n">
        <v>-88.84894</v>
      </c>
      <c r="Z127" s="151" t="n">
        <v>35.93245</v>
      </c>
      <c r="AA127" s="134" t="s">
        <v>75</v>
      </c>
      <c r="AB127" s="134" t="n">
        <v>358</v>
      </c>
      <c r="AH127" s="151" t="n">
        <v>-85.95944</v>
      </c>
      <c r="AI127" s="151" t="n">
        <v>36.63639</v>
      </c>
    </row>
    <row r="128" customFormat="false" ht="15" hidden="false" customHeight="false" outlineLevel="0" collapsed="false">
      <c r="W128" s="134" t="s">
        <v>230</v>
      </c>
      <c r="X128" s="134" t="s">
        <v>231</v>
      </c>
      <c r="Y128" s="151" t="n">
        <v>-88.38444</v>
      </c>
      <c r="Z128" s="151" t="n">
        <v>36.33595</v>
      </c>
      <c r="AA128" s="134" t="s">
        <v>75</v>
      </c>
      <c r="AB128" s="134" t="n">
        <v>580</v>
      </c>
      <c r="AH128" s="151" t="n">
        <v>-85.50945</v>
      </c>
      <c r="AI128" s="151" t="n">
        <v>36.62389</v>
      </c>
    </row>
    <row r="129" customFormat="false" ht="15" hidden="false" customHeight="false" outlineLevel="0" collapsed="false">
      <c r="W129" s="134" t="s">
        <v>239</v>
      </c>
      <c r="X129" s="134" t="s">
        <v>240</v>
      </c>
      <c r="Y129" s="151" t="n">
        <v>-88.87493</v>
      </c>
      <c r="Z129" s="151" t="n">
        <v>35.80218</v>
      </c>
      <c r="AA129" s="134" t="s">
        <v>75</v>
      </c>
      <c r="AB129" s="134" t="n">
        <v>421</v>
      </c>
      <c r="AH129" s="151" t="n">
        <v>-85.15472</v>
      </c>
      <c r="AI129" s="151" t="n">
        <v>36.63528</v>
      </c>
    </row>
    <row r="130" customFormat="false" ht="15" hidden="false" customHeight="false" outlineLevel="0" collapsed="false">
      <c r="W130" s="134" t="s">
        <v>61</v>
      </c>
      <c r="X130" s="134" t="s">
        <v>317</v>
      </c>
      <c r="Y130" s="151" t="n">
        <v>-88.91561</v>
      </c>
      <c r="Z130" s="151" t="n">
        <v>35.59988</v>
      </c>
      <c r="AA130" s="134" t="s">
        <v>75</v>
      </c>
      <c r="AB130" s="134" t="n">
        <v>435</v>
      </c>
      <c r="AH130" s="151" t="n">
        <v>-83.71222</v>
      </c>
      <c r="AI130" s="151" t="n">
        <v>36.5825</v>
      </c>
    </row>
    <row r="131" customFormat="false" ht="15" hidden="false" customHeight="false" outlineLevel="0" collapsed="false">
      <c r="W131" s="134" t="s">
        <v>323</v>
      </c>
      <c r="X131" s="134" t="s">
        <v>324</v>
      </c>
      <c r="Y131" s="151" t="n">
        <v>-89.97668</v>
      </c>
      <c r="Z131" s="151" t="n">
        <v>35.04241</v>
      </c>
      <c r="AA131" s="134" t="s">
        <v>75</v>
      </c>
      <c r="AB131" s="134" t="n">
        <v>341</v>
      </c>
      <c r="AH131" s="151" t="n">
        <v>-83.68111</v>
      </c>
      <c r="AI131" s="151" t="n">
        <v>36.60445</v>
      </c>
    </row>
    <row r="132" customFormat="false" ht="15" hidden="false" customHeight="false" outlineLevel="0" collapsed="false">
      <c r="W132" s="134" t="s">
        <v>325</v>
      </c>
      <c r="X132" s="134" t="s">
        <v>326</v>
      </c>
      <c r="Y132" s="151" t="n">
        <v>-89.87043</v>
      </c>
      <c r="Z132" s="151" t="n">
        <v>35.35664</v>
      </c>
      <c r="AA132" s="134" t="s">
        <v>75</v>
      </c>
      <c r="AB132" s="134" t="n">
        <v>322</v>
      </c>
      <c r="AH132" s="151" t="n">
        <v>-81.9525</v>
      </c>
      <c r="AI132" s="151" t="n">
        <v>36.59694</v>
      </c>
    </row>
    <row r="133" customFormat="false" ht="15" hidden="false" customHeight="false" outlineLevel="0" collapsed="false">
      <c r="W133" s="134" t="s">
        <v>359</v>
      </c>
      <c r="X133" s="134" t="s">
        <v>360</v>
      </c>
      <c r="Y133" s="151" t="n">
        <v>-89.34631</v>
      </c>
      <c r="Z133" s="151" t="n">
        <v>36.47533</v>
      </c>
      <c r="AA133" s="134" t="s">
        <v>75</v>
      </c>
      <c r="AB133" s="134" t="n">
        <v>289</v>
      </c>
      <c r="AH133" s="151" t="n">
        <v>-81.92278</v>
      </c>
      <c r="AI133" s="151" t="n">
        <v>36.61806</v>
      </c>
    </row>
    <row r="134" customFormat="false" ht="15" hidden="false" customHeight="false" outlineLevel="0" collapsed="false">
      <c r="W134" s="134" t="s">
        <v>363</v>
      </c>
      <c r="X134" s="134" t="s">
        <v>364</v>
      </c>
      <c r="Y134" s="151" t="n">
        <v>-88.49836</v>
      </c>
      <c r="Z134" s="151" t="n">
        <v>35.20294</v>
      </c>
      <c r="AA134" s="134" t="s">
        <v>75</v>
      </c>
      <c r="AB134" s="134" t="n">
        <v>610</v>
      </c>
      <c r="AH134" s="151" t="n">
        <v>-81.65722</v>
      </c>
      <c r="AI134" s="151" t="n">
        <v>36.61139</v>
      </c>
    </row>
    <row r="135" customFormat="false" ht="15" hidden="false" customHeight="false" outlineLevel="0" collapsed="false">
      <c r="W135" s="134" t="s">
        <v>371</v>
      </c>
      <c r="X135" s="134" t="s">
        <v>372</v>
      </c>
      <c r="Y135" s="151" t="n">
        <v>-88.21673</v>
      </c>
      <c r="Z135" s="151" t="n">
        <v>35.17025</v>
      </c>
      <c r="AA135" s="134" t="s">
        <v>75</v>
      </c>
      <c r="AB135" s="134" t="n">
        <v>473</v>
      </c>
      <c r="AH135" s="151" t="n">
        <v>-81.65083</v>
      </c>
      <c r="AI135" s="151" t="n">
        <v>36.59444</v>
      </c>
    </row>
    <row r="136" customFormat="false" ht="15" hidden="false" customHeight="false" outlineLevel="0" collapsed="false">
      <c r="W136" s="134" t="s">
        <v>406</v>
      </c>
      <c r="X136" s="134" t="s">
        <v>407</v>
      </c>
      <c r="Y136" s="151" t="n">
        <v>-89.04325</v>
      </c>
      <c r="Z136" s="151" t="n">
        <v>35.21514</v>
      </c>
      <c r="AA136" s="134" t="s">
        <v>75</v>
      </c>
      <c r="AB136" s="134" t="n">
        <v>499</v>
      </c>
      <c r="AH136" s="151" t="n">
        <v>-81.6109</v>
      </c>
      <c r="AI136" s="151" t="n">
        <v>36.59208</v>
      </c>
    </row>
    <row r="137" customFormat="false" ht="15" hidden="false" customHeight="false" outlineLevel="0" collapsed="false">
      <c r="W137" s="134" t="s">
        <v>413</v>
      </c>
      <c r="X137" s="134" t="s">
        <v>414</v>
      </c>
      <c r="Y137" s="151"/>
      <c r="Z137" s="151"/>
      <c r="AA137" s="134" t="s">
        <v>75</v>
      </c>
      <c r="AB137" s="134"/>
    </row>
    <row r="138" customFormat="false" ht="15" hidden="false" customHeight="false" outlineLevel="0" collapsed="false">
      <c r="W138" s="134" t="s">
        <v>64</v>
      </c>
      <c r="X138" s="134" t="s">
        <v>65</v>
      </c>
      <c r="Y138" s="151" t="n">
        <v>-87.05706</v>
      </c>
      <c r="Z138" s="151" t="n">
        <v>35.15408</v>
      </c>
      <c r="AA138" s="134" t="s">
        <v>68</v>
      </c>
      <c r="AB138" s="134" t="n">
        <v>689</v>
      </c>
      <c r="AH138" s="151" t="n">
        <v>-89.175</v>
      </c>
      <c r="AI138" s="151" t="n">
        <v>36.66888</v>
      </c>
    </row>
    <row r="139" customFormat="false" ht="15" hidden="false" customHeight="false" outlineLevel="0" collapsed="false">
      <c r="W139" s="134" t="s">
        <v>90</v>
      </c>
      <c r="X139" s="134" t="s">
        <v>91</v>
      </c>
      <c r="Y139" s="151" t="n">
        <v>-86.44247</v>
      </c>
      <c r="Z139" s="151" t="n">
        <v>35.5594</v>
      </c>
      <c r="AA139" s="134" t="s">
        <v>68</v>
      </c>
      <c r="AB139" s="134" t="n">
        <v>800</v>
      </c>
      <c r="AH139" s="151" t="n">
        <v>-89.22278</v>
      </c>
      <c r="AI139" s="151" t="n">
        <v>36.57667</v>
      </c>
    </row>
    <row r="140" customFormat="false" ht="15" hidden="false" customHeight="false" outlineLevel="0" collapsed="false">
      <c r="W140" s="134" t="s">
        <v>103</v>
      </c>
      <c r="X140" s="134" t="s">
        <v>104</v>
      </c>
      <c r="Y140" s="151" t="n">
        <v>-87.44538</v>
      </c>
      <c r="Z140" s="151" t="n">
        <v>35.83742</v>
      </c>
      <c r="AA140" s="134" t="s">
        <v>68</v>
      </c>
      <c r="AB140" s="134" t="n">
        <v>765</v>
      </c>
      <c r="AH140" s="151" t="n">
        <v>-89.27</v>
      </c>
      <c r="AI140" s="151" t="n">
        <v>36.56861</v>
      </c>
    </row>
    <row r="141" customFormat="false" ht="15" hidden="false" customHeight="false" outlineLevel="0" collapsed="false">
      <c r="W141" s="134" t="s">
        <v>153</v>
      </c>
      <c r="X141" s="134" t="s">
        <v>154</v>
      </c>
      <c r="Y141" s="151" t="n">
        <v>-87.42984</v>
      </c>
      <c r="Z141" s="151" t="n">
        <v>36.12796</v>
      </c>
      <c r="AA141" s="134" t="s">
        <v>68</v>
      </c>
      <c r="AB141" s="134" t="n">
        <v>892</v>
      </c>
      <c r="AH141" s="151" t="n">
        <v>-89.33889</v>
      </c>
      <c r="AI141" s="151" t="n">
        <v>36.62556</v>
      </c>
    </row>
    <row r="142" customFormat="false" ht="15" hidden="false" customHeight="false" outlineLevel="0" collapsed="false">
      <c r="W142" s="134" t="s">
        <v>171</v>
      </c>
      <c r="X142" s="134" t="s">
        <v>172</v>
      </c>
      <c r="Y142" s="151" t="n">
        <v>-86.80389</v>
      </c>
      <c r="Z142" s="151" t="n">
        <v>35.50697</v>
      </c>
      <c r="AA142" s="134" t="s">
        <v>68</v>
      </c>
      <c r="AB142" s="134" t="n">
        <v>718</v>
      </c>
      <c r="AH142" s="151" t="n">
        <v>-89.37222</v>
      </c>
      <c r="AI142" s="151" t="n">
        <v>36.62778</v>
      </c>
    </row>
    <row r="143" customFormat="false" ht="15" hidden="false" customHeight="false" outlineLevel="0" collapsed="false">
      <c r="W143" s="134" t="s">
        <v>184</v>
      </c>
      <c r="X143" s="134" t="s">
        <v>185</v>
      </c>
      <c r="Y143" s="151" t="n">
        <v>-86.564</v>
      </c>
      <c r="Z143" s="151" t="n">
        <v>35.05969</v>
      </c>
      <c r="AA143" s="134" t="s">
        <v>68</v>
      </c>
      <c r="AB143" s="134" t="n">
        <v>984</v>
      </c>
      <c r="AH143" s="151" t="n">
        <v>-89.42639</v>
      </c>
      <c r="AI143" s="151" t="n">
        <v>36.49695</v>
      </c>
    </row>
    <row r="144" customFormat="false" ht="15" hidden="false" customHeight="false" outlineLevel="0" collapsed="false">
      <c r="W144" s="134" t="s">
        <v>189</v>
      </c>
      <c r="X144" s="134" t="s">
        <v>190</v>
      </c>
      <c r="Y144" s="151" t="n">
        <v>-85.89815</v>
      </c>
      <c r="Z144" s="151" t="n">
        <v>35.20515</v>
      </c>
      <c r="AA144" s="134" t="s">
        <v>68</v>
      </c>
      <c r="AB144" s="134" t="n">
        <v>1953</v>
      </c>
      <c r="AH144" s="151" t="n">
        <v>-89.48583</v>
      </c>
      <c r="AI144" s="151" t="n">
        <v>36.44833</v>
      </c>
    </row>
    <row r="145" customFormat="false" ht="15" hidden="false" customHeight="false" outlineLevel="0" collapsed="false">
      <c r="W145" s="134" t="s">
        <v>218</v>
      </c>
      <c r="X145" s="134" t="s">
        <v>219</v>
      </c>
      <c r="Y145" s="151" t="n">
        <v>-87.96827</v>
      </c>
      <c r="Z145" s="151" t="n">
        <v>35.38303</v>
      </c>
      <c r="AA145" s="134" t="s">
        <v>68</v>
      </c>
      <c r="AB145" s="134" t="n">
        <v>407</v>
      </c>
      <c r="AH145" s="151" t="n">
        <v>-89.50777</v>
      </c>
      <c r="AI145" s="151" t="n">
        <v>36.45639</v>
      </c>
    </row>
    <row r="146" customFormat="false" ht="15" hidden="false" customHeight="false" outlineLevel="0" collapsed="false">
      <c r="W146" s="134" t="s">
        <v>234</v>
      </c>
      <c r="X146" s="134" t="s">
        <v>235</v>
      </c>
      <c r="Y146" s="151" t="n">
        <v>-87.9167</v>
      </c>
      <c r="Z146" s="151" t="n">
        <v>36.31672</v>
      </c>
      <c r="AA146" s="134" t="s">
        <v>68</v>
      </c>
      <c r="AB146" s="134" t="n">
        <v>370</v>
      </c>
      <c r="AH146" s="151" t="n">
        <v>-89.48889</v>
      </c>
      <c r="AI146" s="151" t="n">
        <v>36.51889</v>
      </c>
    </row>
    <row r="147" customFormat="false" ht="15" hidden="false" customHeight="false" outlineLevel="0" collapsed="false">
      <c r="W147" s="134" t="s">
        <v>242</v>
      </c>
      <c r="X147" s="134" t="s">
        <v>243</v>
      </c>
      <c r="Y147" s="151" t="n">
        <v>-87.73817</v>
      </c>
      <c r="Z147" s="151" t="n">
        <v>36.11661</v>
      </c>
      <c r="AA147" s="134" t="s">
        <v>68</v>
      </c>
      <c r="AB147" s="134" t="n">
        <v>756</v>
      </c>
      <c r="AH147" s="151" t="n">
        <v>-89.50417</v>
      </c>
      <c r="AI147" s="151" t="n">
        <v>36.55667</v>
      </c>
    </row>
    <row r="148" customFormat="false" ht="15" hidden="false" customHeight="false" outlineLevel="0" collapsed="false">
      <c r="W148" s="134" t="s">
        <v>246</v>
      </c>
      <c r="X148" s="134" t="s">
        <v>247</v>
      </c>
      <c r="Y148" s="151" t="n">
        <v>-85.64132</v>
      </c>
      <c r="Z148" s="151" t="n">
        <v>36.39682</v>
      </c>
      <c r="AA148" s="134" t="s">
        <v>68</v>
      </c>
      <c r="AB148" s="134" t="n">
        <v>517</v>
      </c>
      <c r="AH148" s="151" t="n">
        <v>-89.54611</v>
      </c>
      <c r="AI148" s="151" t="n">
        <v>36.56639</v>
      </c>
    </row>
    <row r="149" customFormat="false" ht="15" hidden="false" customHeight="false" outlineLevel="0" collapsed="false">
      <c r="W149" s="134" t="s">
        <v>251</v>
      </c>
      <c r="X149" s="134" t="s">
        <v>252</v>
      </c>
      <c r="Y149" s="151" t="n">
        <v>-87.87663</v>
      </c>
      <c r="Z149" s="151" t="n">
        <v>35.59484</v>
      </c>
      <c r="AA149" s="134" t="s">
        <v>68</v>
      </c>
      <c r="AB149" s="134" t="n">
        <v>740</v>
      </c>
      <c r="AH149" s="151" t="n">
        <v>-89.57528</v>
      </c>
      <c r="AI149" s="151" t="n">
        <v>36.54445</v>
      </c>
    </row>
    <row r="150" customFormat="false" ht="15" hidden="false" customHeight="false" outlineLevel="0" collapsed="false">
      <c r="W150" s="134" t="s">
        <v>255</v>
      </c>
      <c r="X150" s="134" t="s">
        <v>256</v>
      </c>
      <c r="Y150" s="151" t="n">
        <v>-84.94665</v>
      </c>
      <c r="Z150" s="151" t="n">
        <v>36.3497</v>
      </c>
      <c r="AA150" s="134" t="s">
        <v>68</v>
      </c>
      <c r="AB150" s="134" t="n">
        <v>1694</v>
      </c>
      <c r="AH150" s="151" t="n">
        <v>-89.57611</v>
      </c>
      <c r="AI150" s="151" t="n">
        <v>36.51778</v>
      </c>
    </row>
    <row r="151" customFormat="false" ht="15" hidden="false" customHeight="false" outlineLevel="0" collapsed="false">
      <c r="W151" s="134" t="s">
        <v>260</v>
      </c>
      <c r="X151" s="134" t="s">
        <v>261</v>
      </c>
      <c r="Y151" s="151" t="n">
        <v>-87.59732</v>
      </c>
      <c r="Z151" s="151" t="n">
        <v>35.54597</v>
      </c>
      <c r="AA151" s="134" t="s">
        <v>68</v>
      </c>
      <c r="AB151" s="134" t="n">
        <v>972</v>
      </c>
      <c r="AH151" s="151" t="n">
        <v>-89.54361</v>
      </c>
      <c r="AI151" s="151" t="n">
        <v>36.47945</v>
      </c>
    </row>
    <row r="152" customFormat="false" ht="15" hidden="false" customHeight="false" outlineLevel="0" collapsed="false">
      <c r="W152" s="134" t="s">
        <v>264</v>
      </c>
      <c r="X152" s="134" t="s">
        <v>265</v>
      </c>
      <c r="Y152" s="151" t="n">
        <v>-86.88649</v>
      </c>
      <c r="Z152" s="151" t="n">
        <v>36.18302</v>
      </c>
      <c r="AA152" s="134" t="s">
        <v>68</v>
      </c>
      <c r="AB152" s="134" t="n">
        <v>501</v>
      </c>
      <c r="AH152" s="151" t="n">
        <v>-89.55695</v>
      </c>
      <c r="AI152" s="151" t="n">
        <v>36.45167</v>
      </c>
    </row>
    <row r="153" customFormat="false" ht="15" hidden="false" customHeight="false" outlineLevel="0" collapsed="false">
      <c r="W153" s="134" t="s">
        <v>281</v>
      </c>
      <c r="X153" s="134" t="s">
        <v>282</v>
      </c>
      <c r="Y153" s="151" t="n">
        <v>-86.05806</v>
      </c>
      <c r="Z153" s="151" t="n">
        <v>36.52003</v>
      </c>
      <c r="AA153" s="134" t="s">
        <v>68</v>
      </c>
      <c r="AB153" s="134" t="n">
        <v>969</v>
      </c>
      <c r="AH153" s="151" t="n">
        <v>-89.52778</v>
      </c>
      <c r="AI153" s="151" t="n">
        <v>36.37527</v>
      </c>
    </row>
    <row r="154" customFormat="false" ht="15" hidden="false" customHeight="false" outlineLevel="0" collapsed="false">
      <c r="W154" s="134" t="s">
        <v>285</v>
      </c>
      <c r="X154" s="134" t="s">
        <v>286</v>
      </c>
      <c r="Y154" s="151" t="n">
        <v>-87.25794</v>
      </c>
      <c r="Z154" s="151" t="n">
        <v>35.2343</v>
      </c>
      <c r="AA154" s="134" t="s">
        <v>68</v>
      </c>
      <c r="AB154" s="134" t="n">
        <v>936</v>
      </c>
      <c r="AH154" s="151" t="n">
        <v>-89.55417</v>
      </c>
      <c r="AI154" s="151" t="n">
        <v>36.34889</v>
      </c>
    </row>
    <row r="155" customFormat="false" ht="15" hidden="false" customHeight="false" outlineLevel="0" collapsed="false">
      <c r="W155" s="134" t="s">
        <v>289</v>
      </c>
      <c r="X155" s="134" t="s">
        <v>290</v>
      </c>
      <c r="Y155" s="151" t="n">
        <v>-86.31569</v>
      </c>
      <c r="Z155" s="151" t="n">
        <v>36.19041</v>
      </c>
      <c r="AA155" s="134" t="s">
        <v>68</v>
      </c>
      <c r="AB155" s="134" t="n">
        <v>588</v>
      </c>
      <c r="AH155" s="151" t="n">
        <v>-89.61583</v>
      </c>
      <c r="AI155" s="151" t="n">
        <v>36.34473</v>
      </c>
    </row>
    <row r="156" customFormat="false" ht="15" hidden="false" customHeight="false" outlineLevel="0" collapsed="false">
      <c r="W156" s="134" t="s">
        <v>293</v>
      </c>
      <c r="X156" s="134" t="s">
        <v>294</v>
      </c>
      <c r="Y156" s="151" t="n">
        <v>-85.31046</v>
      </c>
      <c r="Z156" s="151" t="n">
        <v>36.4135</v>
      </c>
      <c r="AA156" s="134" t="s">
        <v>68</v>
      </c>
      <c r="AB156" s="134" t="n">
        <v>1372</v>
      </c>
      <c r="AH156" s="151" t="n">
        <v>-89.62917</v>
      </c>
      <c r="AI156" s="151" t="n">
        <v>36.31694</v>
      </c>
    </row>
    <row r="157" customFormat="false" ht="15" hidden="false" customHeight="false" outlineLevel="0" collapsed="false">
      <c r="W157" s="134" t="s">
        <v>310</v>
      </c>
      <c r="X157" s="134" t="s">
        <v>311</v>
      </c>
      <c r="Y157" s="151" t="n">
        <v>-87.17914</v>
      </c>
      <c r="Z157" s="151" t="n">
        <v>35.55434</v>
      </c>
      <c r="AA157" s="134" t="s">
        <v>68</v>
      </c>
      <c r="AB157" s="134" t="n">
        <v>681</v>
      </c>
      <c r="AH157" s="151" t="n">
        <v>-89.55889</v>
      </c>
      <c r="AI157" s="151" t="n">
        <v>36.26584</v>
      </c>
    </row>
    <row r="158" customFormat="false" ht="15" hidden="false" customHeight="false" outlineLevel="0" collapsed="false">
      <c r="W158" s="134" t="s">
        <v>335</v>
      </c>
      <c r="X158" s="134" t="s">
        <v>336</v>
      </c>
      <c r="Y158" s="151" t="n">
        <v>-86.37747</v>
      </c>
      <c r="Z158" s="151" t="n">
        <v>35.87865</v>
      </c>
      <c r="AA158" s="134" t="s">
        <v>68</v>
      </c>
      <c r="AB158" s="134" t="n">
        <v>614</v>
      </c>
      <c r="AH158" s="151" t="n">
        <v>-89.58334</v>
      </c>
      <c r="AI158" s="151" t="n">
        <v>36.25</v>
      </c>
    </row>
    <row r="159" customFormat="false" ht="15" hidden="false" customHeight="false" outlineLevel="0" collapsed="false">
      <c r="W159" s="134" t="s">
        <v>339</v>
      </c>
      <c r="X159" s="134" t="s">
        <v>340</v>
      </c>
      <c r="Y159" s="151" t="n">
        <v>-86.40841</v>
      </c>
      <c r="Z159" s="151" t="n">
        <v>36.37508</v>
      </c>
      <c r="AA159" s="134" t="s">
        <v>68</v>
      </c>
      <c r="AB159" s="134" t="n">
        <v>583</v>
      </c>
      <c r="AH159" s="151" t="n">
        <v>-89.69111</v>
      </c>
      <c r="AI159" s="151" t="n">
        <v>36.24111</v>
      </c>
    </row>
    <row r="160" customFormat="false" ht="15" hidden="false" customHeight="false" outlineLevel="0" collapsed="false">
      <c r="W160" s="134" t="s">
        <v>343</v>
      </c>
      <c r="X160" s="134" t="s">
        <v>344</v>
      </c>
      <c r="Y160" s="151" t="n">
        <v>-86.67818</v>
      </c>
      <c r="Z160" s="151" t="n">
        <v>36.12447</v>
      </c>
      <c r="AA160" s="134" t="s">
        <v>68</v>
      </c>
      <c r="AB160" s="134" t="n">
        <v>599</v>
      </c>
      <c r="AH160" s="151" t="n">
        <v>-89.60722</v>
      </c>
      <c r="AI160" s="151" t="n">
        <v>36.13306</v>
      </c>
    </row>
    <row r="161" customFormat="false" ht="15" hidden="false" customHeight="false" outlineLevel="0" collapsed="false">
      <c r="W161" s="134" t="s">
        <v>349</v>
      </c>
      <c r="X161" s="134" t="s">
        <v>350</v>
      </c>
      <c r="Y161" s="151" t="n">
        <v>-87.41495</v>
      </c>
      <c r="Z161" s="151" t="n">
        <v>36.62186</v>
      </c>
      <c r="AA161" s="134" t="s">
        <v>68</v>
      </c>
      <c r="AB161" s="134" t="n">
        <v>550</v>
      </c>
      <c r="AH161" s="151" t="n">
        <v>-89.67416</v>
      </c>
      <c r="AI161" s="151" t="n">
        <v>36.09583</v>
      </c>
    </row>
    <row r="162" customFormat="false" ht="15" hidden="false" customHeight="false" outlineLevel="0" collapsed="false">
      <c r="W162" s="134" t="s">
        <v>353</v>
      </c>
      <c r="X162" s="134" t="s">
        <v>354</v>
      </c>
      <c r="Y162" s="151" t="n">
        <v>-86.47691</v>
      </c>
      <c r="Z162" s="151" t="n">
        <v>36.59287</v>
      </c>
      <c r="AA162" s="134" t="s">
        <v>68</v>
      </c>
      <c r="AB162" s="134" t="n">
        <v>818</v>
      </c>
      <c r="AH162" s="151" t="n">
        <v>-89.73083</v>
      </c>
      <c r="AI162" s="151" t="n">
        <v>36.00222</v>
      </c>
    </row>
    <row r="163" customFormat="false" ht="15" hidden="false" customHeight="false" outlineLevel="0" collapsed="false">
      <c r="W163" s="134" t="s">
        <v>356</v>
      </c>
      <c r="X163" s="134" t="s">
        <v>357</v>
      </c>
      <c r="Y163" s="151"/>
      <c r="Z163" s="151"/>
      <c r="AA163" s="134" t="s">
        <v>68</v>
      </c>
      <c r="AB163" s="134"/>
      <c r="AH163" s="151" t="n">
        <v>-89.66444</v>
      </c>
      <c r="AI163" s="151" t="n">
        <v>35.89778</v>
      </c>
    </row>
    <row r="164" customFormat="false" ht="15" hidden="false" customHeight="false" outlineLevel="0" collapsed="false">
      <c r="W164" s="134" t="s">
        <v>379</v>
      </c>
      <c r="X164" s="134" t="s">
        <v>380</v>
      </c>
      <c r="Y164" s="151" t="n">
        <v>-85.80911</v>
      </c>
      <c r="Z164" s="151" t="n">
        <v>35.98544</v>
      </c>
      <c r="AA164" s="134" t="s">
        <v>68</v>
      </c>
      <c r="AB164" s="134" t="n">
        <v>1084</v>
      </c>
      <c r="AH164" s="151" t="n">
        <v>-89.74889</v>
      </c>
      <c r="AI164" s="151" t="n">
        <v>35.91055</v>
      </c>
    </row>
    <row r="165" customFormat="false" ht="15" hidden="false" customHeight="false" outlineLevel="0" collapsed="false">
      <c r="W165" s="134" t="s">
        <v>383</v>
      </c>
      <c r="X165" s="134" t="s">
        <v>384</v>
      </c>
      <c r="Y165" s="151" t="n">
        <v>-86.52009</v>
      </c>
      <c r="Z165" s="151" t="n">
        <v>36.00897</v>
      </c>
      <c r="AA165" s="134" t="s">
        <v>68</v>
      </c>
      <c r="AB165" s="134" t="n">
        <v>543</v>
      </c>
      <c r="AH165" s="151" t="n">
        <v>-89.78111</v>
      </c>
      <c r="AI165" s="151" t="n">
        <v>35.87917</v>
      </c>
    </row>
    <row r="166" customFormat="false" ht="15" hidden="false" customHeight="false" outlineLevel="0" collapsed="false">
      <c r="W166" s="134" t="s">
        <v>386</v>
      </c>
      <c r="X166" s="134" t="s">
        <v>387</v>
      </c>
      <c r="Y166" s="151" t="n">
        <v>-86.92117</v>
      </c>
      <c r="Z166" s="151" t="n">
        <v>36.53669</v>
      </c>
      <c r="AA166" s="134" t="s">
        <v>68</v>
      </c>
      <c r="AB166" s="134" t="n">
        <v>706</v>
      </c>
      <c r="AH166" s="151" t="n">
        <v>-89.72639</v>
      </c>
      <c r="AI166" s="151" t="n">
        <v>35.85056</v>
      </c>
    </row>
    <row r="167" customFormat="false" ht="15" hidden="false" customHeight="false" outlineLevel="0" collapsed="false">
      <c r="W167" s="134" t="s">
        <v>394</v>
      </c>
      <c r="X167" s="134" t="s">
        <v>395</v>
      </c>
      <c r="Y167" s="151" t="n">
        <v>-86.24678</v>
      </c>
      <c r="Z167" s="151" t="n">
        <v>35.38012</v>
      </c>
      <c r="AA167" s="134" t="s">
        <v>68</v>
      </c>
      <c r="AB167" s="134" t="n">
        <v>1084</v>
      </c>
      <c r="AH167" s="151" t="n">
        <v>-89.72916</v>
      </c>
      <c r="AI167" s="151" t="n">
        <v>35.82278</v>
      </c>
    </row>
    <row r="168" customFormat="false" ht="15" hidden="false" customHeight="false" outlineLevel="0" collapsed="false">
      <c r="W168" s="134" t="s">
        <v>398</v>
      </c>
      <c r="X168" s="134" t="s">
        <v>399</v>
      </c>
      <c r="Y168" s="151" t="n">
        <v>-85.53011</v>
      </c>
      <c r="Z168" s="151" t="n">
        <v>36.05674</v>
      </c>
      <c r="AA168" s="134" t="s">
        <v>68</v>
      </c>
      <c r="AB168" s="134" t="n">
        <v>1025</v>
      </c>
      <c r="AH168" s="151" t="n">
        <v>-89.79528</v>
      </c>
      <c r="AI168" s="151" t="n">
        <v>35.81055</v>
      </c>
    </row>
    <row r="169" customFormat="false" ht="15" hidden="false" customHeight="false" outlineLevel="0" collapsed="false">
      <c r="W169" s="134" t="s">
        <v>402</v>
      </c>
      <c r="X169" s="134" t="s">
        <v>403</v>
      </c>
      <c r="Y169" s="151" t="n">
        <v>-85.84382</v>
      </c>
      <c r="Z169" s="151" t="n">
        <v>35.6987</v>
      </c>
      <c r="AA169" s="134" t="s">
        <v>68</v>
      </c>
      <c r="AB169" s="134" t="n">
        <v>1032</v>
      </c>
      <c r="AH169" s="151" t="n">
        <v>-89.80944</v>
      </c>
      <c r="AI169" s="151" t="n">
        <v>35.77417</v>
      </c>
    </row>
    <row r="170" customFormat="false" ht="15" hidden="false" customHeight="false" outlineLevel="0" collapsed="false">
      <c r="W170" s="134" t="s">
        <v>410</v>
      </c>
      <c r="X170" s="134" t="s">
        <v>411</v>
      </c>
      <c r="Y170" s="151" t="n">
        <v>-86.06617</v>
      </c>
      <c r="Z170" s="151" t="n">
        <v>35.17753</v>
      </c>
      <c r="AA170" s="134" t="s">
        <v>68</v>
      </c>
      <c r="AB170" s="134" t="n">
        <v>979</v>
      </c>
      <c r="AH170" s="151" t="n">
        <v>-89.83694</v>
      </c>
      <c r="AI170" s="151" t="n">
        <v>35.75999</v>
      </c>
    </row>
    <row r="171" customFormat="false" ht="15" hidden="false" customHeight="false" outlineLevel="0" collapsed="false">
      <c r="W171" s="134" t="s">
        <v>113</v>
      </c>
      <c r="X171" s="134" t="s">
        <v>114</v>
      </c>
      <c r="Y171" s="151"/>
      <c r="Z171" s="151"/>
      <c r="AA171" s="134" t="s">
        <v>116</v>
      </c>
      <c r="AB171" s="134"/>
      <c r="AH171" s="151" t="n">
        <v>-89.95944</v>
      </c>
      <c r="AI171" s="151" t="n">
        <v>35.73833</v>
      </c>
    </row>
    <row r="172" customFormat="false" ht="15" hidden="false" customHeight="false" outlineLevel="0" collapsed="false">
      <c r="W172" s="134" t="s">
        <v>118</v>
      </c>
      <c r="X172" s="134" t="s">
        <v>119</v>
      </c>
      <c r="Y172" s="151" t="n">
        <v>-84.7992</v>
      </c>
      <c r="Z172" s="151" t="n">
        <v>35.21234</v>
      </c>
      <c r="AA172" s="134" t="s">
        <v>116</v>
      </c>
      <c r="AB172" s="134" t="n">
        <v>866</v>
      </c>
      <c r="AH172" s="151" t="n">
        <v>-89.96111</v>
      </c>
      <c r="AI172" s="151" t="n">
        <v>35.71389</v>
      </c>
    </row>
    <row r="173" customFormat="false" ht="15" hidden="false" customHeight="false" outlineLevel="0" collapsed="false">
      <c r="W173" s="134" t="s">
        <v>123</v>
      </c>
      <c r="X173" s="134" t="s">
        <v>124</v>
      </c>
      <c r="Y173" s="151" t="n">
        <v>-85.02007</v>
      </c>
      <c r="Z173" s="151" t="n">
        <v>35.04442</v>
      </c>
      <c r="AA173" s="134" t="s">
        <v>116</v>
      </c>
      <c r="AB173" s="134" t="n">
        <v>860</v>
      </c>
      <c r="AH173" s="151" t="n">
        <v>-89.91639</v>
      </c>
      <c r="AI173" s="151" t="n">
        <v>35.65944</v>
      </c>
    </row>
    <row r="174" customFormat="false" ht="15" hidden="false" customHeight="false" outlineLevel="0" collapsed="false">
      <c r="W174" s="134" t="s">
        <v>128</v>
      </c>
      <c r="X174" s="134" t="s">
        <v>129</v>
      </c>
      <c r="Y174" s="151" t="n">
        <v>-84.16296</v>
      </c>
      <c r="Z174" s="151" t="n">
        <v>36.33409</v>
      </c>
      <c r="AA174" s="134" t="s">
        <v>116</v>
      </c>
      <c r="AB174" s="134" t="n">
        <v>1180</v>
      </c>
      <c r="AH174" s="151" t="n">
        <v>-89.87361</v>
      </c>
      <c r="AI174" s="151" t="n">
        <v>35.67166</v>
      </c>
    </row>
    <row r="175" customFormat="false" ht="15" hidden="false" customHeight="false" outlineLevel="0" collapsed="false">
      <c r="W175" s="134" t="s">
        <v>141</v>
      </c>
      <c r="X175" s="134" t="s">
        <v>142</v>
      </c>
      <c r="Y175" s="151" t="n">
        <v>-85.08498</v>
      </c>
      <c r="Z175" s="151" t="n">
        <v>35.95129</v>
      </c>
      <c r="AA175" s="134" t="s">
        <v>116</v>
      </c>
      <c r="AB175" s="134" t="n">
        <v>1882</v>
      </c>
      <c r="AH175" s="151" t="n">
        <v>-89.85583</v>
      </c>
      <c r="AI175" s="151" t="n">
        <v>35.65167</v>
      </c>
    </row>
    <row r="176" customFormat="false" ht="15" hidden="false" customHeight="false" outlineLevel="0" collapsed="false">
      <c r="W176" s="134" t="s">
        <v>148</v>
      </c>
      <c r="X176" s="134" t="s">
        <v>149</v>
      </c>
      <c r="Y176" s="151"/>
      <c r="Z176" s="151"/>
      <c r="AA176" s="134" t="s">
        <v>116</v>
      </c>
      <c r="AB176" s="134"/>
      <c r="AH176" s="151" t="n">
        <v>-89.95</v>
      </c>
      <c r="AI176" s="151" t="n">
        <v>35.60472</v>
      </c>
    </row>
    <row r="177" customFormat="false" ht="15" hidden="false" customHeight="false" outlineLevel="0" collapsed="false">
      <c r="W177" s="134" t="s">
        <v>165</v>
      </c>
      <c r="X177" s="134" t="s">
        <v>166</v>
      </c>
      <c r="Y177" s="151" t="n">
        <v>-82.17272</v>
      </c>
      <c r="Z177" s="151" t="n">
        <v>36.37156</v>
      </c>
      <c r="AA177" s="134" t="s">
        <v>116</v>
      </c>
      <c r="AB177" s="134" t="n">
        <v>1592</v>
      </c>
      <c r="AH177" s="151" t="n">
        <v>-89.95861</v>
      </c>
      <c r="AI177" s="151" t="n">
        <v>35.58305</v>
      </c>
    </row>
    <row r="178" customFormat="false" ht="15" hidden="false" customHeight="false" outlineLevel="0" collapsed="false">
      <c r="W178" s="134" t="s">
        <v>195</v>
      </c>
      <c r="X178" s="134" t="s">
        <v>196</v>
      </c>
      <c r="Y178" s="151" t="n">
        <v>-83.5287</v>
      </c>
      <c r="Z178" s="151" t="n">
        <v>35.85776</v>
      </c>
      <c r="AA178" s="134" t="s">
        <v>116</v>
      </c>
      <c r="AB178" s="134" t="n">
        <v>1014</v>
      </c>
      <c r="AH178" s="151" t="n">
        <v>-89.93889</v>
      </c>
      <c r="AI178" s="151" t="n">
        <v>35.53889</v>
      </c>
    </row>
    <row r="179" customFormat="false" ht="15" hidden="false" customHeight="false" outlineLevel="0" collapsed="false">
      <c r="W179" s="134" t="s">
        <v>212</v>
      </c>
      <c r="X179" s="134" t="s">
        <v>213</v>
      </c>
      <c r="Y179" s="151" t="n">
        <v>-82.81137</v>
      </c>
      <c r="Z179" s="151" t="n">
        <v>36.19573</v>
      </c>
      <c r="AA179" s="134" t="s">
        <v>116</v>
      </c>
      <c r="AB179" s="134" t="n">
        <v>1608</v>
      </c>
      <c r="AH179" s="151" t="n">
        <v>-90.01639</v>
      </c>
      <c r="AI179" s="151" t="n">
        <v>35.56111</v>
      </c>
    </row>
    <row r="180" customFormat="false" ht="15" hidden="false" customHeight="false" outlineLevel="0" collapsed="false">
      <c r="W180" s="134" t="s">
        <v>225</v>
      </c>
      <c r="X180" s="134" t="s">
        <v>226</v>
      </c>
      <c r="Y180" s="151" t="n">
        <v>-82.88503</v>
      </c>
      <c r="Z180" s="151" t="n">
        <v>36.45758</v>
      </c>
      <c r="AA180" s="134" t="s">
        <v>116</v>
      </c>
      <c r="AB180" s="134" t="n">
        <v>1255</v>
      </c>
      <c r="AH180" s="151" t="n">
        <v>-90.04417</v>
      </c>
      <c r="AI180" s="151" t="n">
        <v>35.54972</v>
      </c>
    </row>
    <row r="181" customFormat="false" ht="15" hidden="false" customHeight="false" outlineLevel="0" collapsed="false">
      <c r="W181" s="134" t="s">
        <v>269</v>
      </c>
      <c r="X181" s="134" t="s">
        <v>270</v>
      </c>
      <c r="Y181" s="151" t="n">
        <v>-82.30903</v>
      </c>
      <c r="Z181" s="151" t="n">
        <v>36.36372</v>
      </c>
      <c r="AA181" s="134" t="s">
        <v>116</v>
      </c>
      <c r="AB181" s="134" t="n">
        <v>1550</v>
      </c>
      <c r="AH181" s="151" t="n">
        <v>-90.05139</v>
      </c>
      <c r="AI181" s="151" t="n">
        <v>35.5175</v>
      </c>
    </row>
    <row r="182" customFormat="false" ht="15" hidden="false" customHeight="false" outlineLevel="0" collapsed="false">
      <c r="W182" s="134" t="s">
        <v>273</v>
      </c>
      <c r="X182" s="134" t="s">
        <v>274</v>
      </c>
      <c r="Y182" s="151" t="n">
        <v>-81.82513</v>
      </c>
      <c r="Z182" s="151" t="n">
        <v>36.41784</v>
      </c>
      <c r="AA182" s="134" t="s">
        <v>116</v>
      </c>
      <c r="AB182" s="134" t="n">
        <v>2241</v>
      </c>
      <c r="AH182" s="151" t="n">
        <v>-90.00694</v>
      </c>
      <c r="AI182" s="151" t="n">
        <v>35.45639</v>
      </c>
    </row>
    <row r="183" customFormat="false" ht="15" hidden="false" customHeight="false" outlineLevel="0" collapsed="false">
      <c r="W183" s="134" t="s">
        <v>277</v>
      </c>
      <c r="X183" s="134" t="s">
        <v>278</v>
      </c>
      <c r="Y183" s="151" t="n">
        <v>-83.87367</v>
      </c>
      <c r="Z183" s="151" t="n">
        <v>35.96383</v>
      </c>
      <c r="AA183" s="134" t="s">
        <v>116</v>
      </c>
      <c r="AB183" s="134" t="n">
        <v>833</v>
      </c>
      <c r="AH183" s="151" t="n">
        <v>-90.01334</v>
      </c>
      <c r="AI183" s="151" t="n">
        <v>35.43361</v>
      </c>
    </row>
    <row r="184" customFormat="false" ht="15" hidden="false" customHeight="false" outlineLevel="0" collapsed="false">
      <c r="W184" s="134" t="s">
        <v>297</v>
      </c>
      <c r="X184" s="134" t="s">
        <v>298</v>
      </c>
      <c r="Y184" s="151" t="n">
        <v>-85.20356</v>
      </c>
      <c r="Z184" s="151" t="n">
        <v>35.03519</v>
      </c>
      <c r="AA184" s="134" t="s">
        <v>116</v>
      </c>
      <c r="AB184" s="134" t="n">
        <v>682</v>
      </c>
      <c r="AH184" s="151" t="n">
        <v>-90.05278</v>
      </c>
      <c r="AI184" s="151" t="n">
        <v>35.42194</v>
      </c>
    </row>
    <row r="185" customFormat="false" ht="15" hidden="false" customHeight="false" outlineLevel="0" collapsed="false">
      <c r="W185" s="134" t="s">
        <v>299</v>
      </c>
      <c r="X185" s="134" t="s">
        <v>300</v>
      </c>
      <c r="Y185" s="151" t="n">
        <v>-85.58531</v>
      </c>
      <c r="Z185" s="151" t="n">
        <v>35.06067</v>
      </c>
      <c r="AA185" s="134" t="s">
        <v>116</v>
      </c>
      <c r="AB185" s="134" t="n">
        <v>641</v>
      </c>
      <c r="AH185" s="151" t="n">
        <v>-90.07806</v>
      </c>
      <c r="AI185" s="151" t="n">
        <v>35.47194</v>
      </c>
    </row>
    <row r="186" customFormat="false" ht="15" hidden="false" customHeight="false" outlineLevel="0" collapsed="false">
      <c r="W186" s="134" t="s">
        <v>303</v>
      </c>
      <c r="X186" s="134" t="s">
        <v>304</v>
      </c>
      <c r="Y186" s="151" t="n">
        <v>-84.93108</v>
      </c>
      <c r="Z186" s="151" t="n">
        <v>35.48625</v>
      </c>
      <c r="AA186" s="134" t="s">
        <v>116</v>
      </c>
      <c r="AB186" s="134" t="n">
        <v>718</v>
      </c>
      <c r="AH186" s="151" t="n">
        <v>-90.10639</v>
      </c>
      <c r="AI186" s="151" t="n">
        <v>35.48334</v>
      </c>
    </row>
    <row r="187" customFormat="false" ht="15" hidden="false" customHeight="false" outlineLevel="0" collapsed="false">
      <c r="W187" s="134" t="s">
        <v>307</v>
      </c>
      <c r="X187" s="134" t="s">
        <v>308</v>
      </c>
      <c r="Y187" s="151" t="n">
        <v>-84.34683</v>
      </c>
      <c r="Z187" s="151" t="n">
        <v>35.01582</v>
      </c>
      <c r="AA187" s="134" t="s">
        <v>116</v>
      </c>
      <c r="AB187" s="134" t="n">
        <v>1789</v>
      </c>
      <c r="AH187" s="151" t="n">
        <v>-90.17889</v>
      </c>
      <c r="AI187" s="151" t="n">
        <v>35.42416</v>
      </c>
    </row>
    <row r="188" customFormat="false" ht="15" hidden="false" customHeight="false" outlineLevel="0" collapsed="false">
      <c r="W188" s="134" t="s">
        <v>314</v>
      </c>
      <c r="X188" s="134" t="s">
        <v>315</v>
      </c>
      <c r="Y188" s="151" t="n">
        <v>-83.99407</v>
      </c>
      <c r="Z188" s="151" t="n">
        <v>35.81109</v>
      </c>
      <c r="AA188" s="134" t="s">
        <v>116</v>
      </c>
      <c r="AB188" s="134" t="n">
        <v>986</v>
      </c>
      <c r="AH188" s="151" t="n">
        <v>-90.17861</v>
      </c>
      <c r="AI188" s="151" t="n">
        <v>35.38055</v>
      </c>
    </row>
    <row r="189" customFormat="false" ht="15" hidden="false" customHeight="false" outlineLevel="0" collapsed="false">
      <c r="W189" s="134" t="s">
        <v>319</v>
      </c>
      <c r="X189" s="134" t="s">
        <v>320</v>
      </c>
      <c r="Y189" s="151" t="n">
        <v>-84.56178</v>
      </c>
      <c r="Z189" s="151" t="n">
        <v>35.39919</v>
      </c>
      <c r="AA189" s="134" t="s">
        <v>116</v>
      </c>
      <c r="AB189" s="134" t="n">
        <v>874</v>
      </c>
      <c r="AH189" s="151" t="n">
        <v>-90.13306</v>
      </c>
      <c r="AI189" s="151" t="n">
        <v>35.40944</v>
      </c>
    </row>
    <row r="190" customFormat="false" ht="15" hidden="false" customHeight="false" outlineLevel="0" collapsed="false">
      <c r="W190" s="134" t="s">
        <v>327</v>
      </c>
      <c r="X190" s="134" t="s">
        <v>328</v>
      </c>
      <c r="Y190" s="151" t="n">
        <v>-84.3804</v>
      </c>
      <c r="Z190" s="151" t="n">
        <v>35.54523</v>
      </c>
      <c r="AA190" s="134" t="s">
        <v>116</v>
      </c>
      <c r="AB190" s="134" t="n">
        <v>1031</v>
      </c>
      <c r="AH190" s="151" t="n">
        <v>-90.09417</v>
      </c>
      <c r="AI190" s="151" t="n">
        <v>35.38972</v>
      </c>
    </row>
    <row r="191" customFormat="false" ht="15" hidden="false" customHeight="false" outlineLevel="0" collapsed="false">
      <c r="W191" s="134" t="s">
        <v>331</v>
      </c>
      <c r="X191" s="134" t="s">
        <v>332</v>
      </c>
      <c r="Y191" s="151" t="n">
        <v>-83.37545</v>
      </c>
      <c r="Z191" s="151" t="n">
        <v>36.17938</v>
      </c>
      <c r="AA191" s="134" t="s">
        <v>116</v>
      </c>
      <c r="AB191" s="134" t="n">
        <v>1313</v>
      </c>
      <c r="AH191" s="151" t="n">
        <v>-90.11361</v>
      </c>
      <c r="AI191" s="151" t="n">
        <v>35.35777</v>
      </c>
    </row>
    <row r="192" customFormat="false" ht="15" hidden="false" customHeight="false" outlineLevel="0" collapsed="false">
      <c r="W192" s="134" t="s">
        <v>345</v>
      </c>
      <c r="X192" s="134" t="s">
        <v>346</v>
      </c>
      <c r="Y192" s="151" t="n">
        <v>-83.55719</v>
      </c>
      <c r="Z192" s="151" t="n">
        <v>36.4089</v>
      </c>
      <c r="AA192" s="134" t="s">
        <v>116</v>
      </c>
      <c r="AB192" s="134" t="n">
        <v>1179</v>
      </c>
      <c r="AH192" s="151" t="n">
        <v>-90.10833</v>
      </c>
      <c r="AI192" s="151" t="n">
        <v>35.32389</v>
      </c>
    </row>
    <row r="193" customFormat="false" ht="15" hidden="false" customHeight="false" outlineLevel="0" collapsed="false">
      <c r="W193" s="134" t="s">
        <v>367</v>
      </c>
      <c r="X193" s="134" t="s">
        <v>368</v>
      </c>
      <c r="Y193" s="151" t="n">
        <v>-84.68978</v>
      </c>
      <c r="Z193" s="151" t="n">
        <v>35.92233</v>
      </c>
      <c r="AA193" s="134" t="s">
        <v>116</v>
      </c>
      <c r="AB193" s="134" t="n">
        <v>1664</v>
      </c>
      <c r="AH193" s="151" t="n">
        <v>-90.17555</v>
      </c>
      <c r="AI193" s="151" t="n">
        <v>35.285</v>
      </c>
    </row>
    <row r="194" customFormat="false" ht="15" hidden="false" customHeight="false" outlineLevel="0" collapsed="false">
      <c r="W194" s="134" t="s">
        <v>375</v>
      </c>
      <c r="X194" s="134" t="s">
        <v>376</v>
      </c>
      <c r="Y194" s="151" t="n">
        <v>-84.58575</v>
      </c>
      <c r="Z194" s="151" t="n">
        <v>36.45569</v>
      </c>
      <c r="AA194" s="134" t="s">
        <v>116</v>
      </c>
      <c r="AB194" s="134" t="n">
        <v>1545</v>
      </c>
      <c r="AH194" s="151" t="n">
        <v>-90.08389</v>
      </c>
      <c r="AI194" s="151" t="n">
        <v>35.23083</v>
      </c>
    </row>
    <row r="195" customFormat="false" ht="15" hidden="false" customHeight="false" outlineLevel="0" collapsed="false">
      <c r="W195" s="134" t="s">
        <v>390</v>
      </c>
      <c r="X195" s="134" t="s">
        <v>391</v>
      </c>
      <c r="Y195" s="151" t="n">
        <v>-82.40742</v>
      </c>
      <c r="Z195" s="151" t="n">
        <v>36.47521</v>
      </c>
      <c r="AA195" s="134" t="s">
        <v>116</v>
      </c>
      <c r="AB195" s="134" t="n">
        <v>1519</v>
      </c>
      <c r="AH195" s="151" t="n">
        <v>-90.09167</v>
      </c>
      <c r="AI195" s="151" t="n">
        <v>35.2</v>
      </c>
    </row>
    <row r="196" customFormat="false" ht="15" hidden="false" customHeight="false" outlineLevel="0" collapsed="false">
      <c r="AH196" s="151" t="n">
        <v>-90.07778</v>
      </c>
      <c r="AI196" s="151" t="n">
        <v>35.17361</v>
      </c>
    </row>
    <row r="197" customFormat="false" ht="15" hidden="false" customHeight="false" outlineLevel="0" collapsed="false">
      <c r="AH197" s="151" t="n">
        <v>-90.09222</v>
      </c>
      <c r="AI197" s="151" t="n">
        <v>35.13499</v>
      </c>
    </row>
    <row r="198" customFormat="false" ht="15" hidden="false" customHeight="false" outlineLevel="0" collapsed="false">
      <c r="AH198" s="151" t="n">
        <v>-90.17944</v>
      </c>
      <c r="AI198" s="151" t="n">
        <v>35.12305</v>
      </c>
    </row>
    <row r="199" customFormat="false" ht="15" hidden="false" customHeight="false" outlineLevel="0" collapsed="false">
      <c r="AH199" s="151" t="n">
        <v>-90.21416</v>
      </c>
      <c r="AI199" s="151" t="n">
        <v>35.05139</v>
      </c>
    </row>
    <row r="200" customFormat="false" ht="15" hidden="false" customHeight="false" outlineLevel="0" collapsed="false">
      <c r="AH200" s="151" t="n">
        <v>-90.30139</v>
      </c>
      <c r="AI200" s="151" t="n">
        <v>35.04361</v>
      </c>
    </row>
    <row r="201" customFormat="false" ht="15" hidden="false" customHeight="false" outlineLevel="0" collapsed="false">
      <c r="AH201" s="151" t="n">
        <v>-90.31306</v>
      </c>
      <c r="AI201" s="151" t="n">
        <v>35.00833</v>
      </c>
    </row>
    <row r="202" customFormat="false" ht="15" hidden="false" customHeight="false" outlineLevel="0" collapsed="false">
      <c r="AH202" s="151" t="n">
        <v>-90.26833</v>
      </c>
      <c r="AI202" s="151" t="n">
        <v>34.965</v>
      </c>
    </row>
    <row r="204" customFormat="false" ht="15" hidden="false" customHeight="false" outlineLevel="0" collapsed="false">
      <c r="AH204" s="151" t="n">
        <v>-81.65639</v>
      </c>
      <c r="AI204" s="151" t="n">
        <v>36.61056</v>
      </c>
    </row>
    <row r="205" customFormat="false" ht="15" hidden="false" customHeight="false" outlineLevel="0" collapsed="false">
      <c r="AH205" s="151" t="n">
        <v>-81.71528</v>
      </c>
      <c r="AI205" s="151" t="n">
        <v>36.53583</v>
      </c>
    </row>
    <row r="206" customFormat="false" ht="15" hidden="false" customHeight="false" outlineLevel="0" collapsed="false">
      <c r="AH206" s="151" t="n">
        <v>-81.69417</v>
      </c>
      <c r="AI206" s="151" t="n">
        <v>36.49167</v>
      </c>
    </row>
    <row r="207" customFormat="false" ht="15" hidden="false" customHeight="false" outlineLevel="0" collapsed="false">
      <c r="AH207" s="151" t="n">
        <v>-81.74583</v>
      </c>
      <c r="AI207" s="151" t="n">
        <v>36.40388</v>
      </c>
    </row>
    <row r="208" customFormat="false" ht="15" hidden="false" customHeight="false" outlineLevel="0" collapsed="false">
      <c r="AH208" s="151" t="n">
        <v>-81.71167</v>
      </c>
      <c r="AI208" s="151" t="n">
        <v>36.34473</v>
      </c>
    </row>
    <row r="209" customFormat="false" ht="15" hidden="false" customHeight="false" outlineLevel="0" collapsed="false">
      <c r="AH209" s="151" t="n">
        <v>-81.80944</v>
      </c>
      <c r="AI209" s="151" t="n">
        <v>36.36166</v>
      </c>
    </row>
    <row r="210" customFormat="false" ht="15" hidden="false" customHeight="false" outlineLevel="0" collapsed="false">
      <c r="AH210" s="151" t="n">
        <v>-81.90722</v>
      </c>
      <c r="AI210" s="151" t="n">
        <v>36.30806</v>
      </c>
    </row>
    <row r="211" customFormat="false" ht="15" hidden="false" customHeight="false" outlineLevel="0" collapsed="false">
      <c r="AH211" s="151" t="n">
        <v>-82.03194</v>
      </c>
      <c r="AI211" s="151" t="n">
        <v>36.12695</v>
      </c>
    </row>
    <row r="212" customFormat="false" ht="15" hidden="false" customHeight="false" outlineLevel="0" collapsed="false">
      <c r="AH212" s="151" t="n">
        <v>-82.05639</v>
      </c>
      <c r="AI212" s="151" t="n">
        <v>36.12666</v>
      </c>
    </row>
    <row r="213" customFormat="false" ht="15" hidden="false" customHeight="false" outlineLevel="0" collapsed="false">
      <c r="AH213" s="151" t="n">
        <v>-82.07417</v>
      </c>
      <c r="AI213" s="151" t="n">
        <v>36.10306</v>
      </c>
    </row>
    <row r="214" customFormat="false" ht="15" hidden="false" customHeight="false" outlineLevel="0" collapsed="false">
      <c r="AH214" s="151" t="n">
        <v>-82.12417</v>
      </c>
      <c r="AI214" s="151" t="n">
        <v>36.10695</v>
      </c>
    </row>
    <row r="215" customFormat="false" ht="15" hidden="false" customHeight="false" outlineLevel="0" collapsed="false">
      <c r="AH215" s="151" t="n">
        <v>-82.14694</v>
      </c>
      <c r="AI215" s="151" t="n">
        <v>36.14389</v>
      </c>
    </row>
    <row r="216" customFormat="false" ht="15" hidden="false" customHeight="false" outlineLevel="0" collapsed="false">
      <c r="AH216" s="151" t="n">
        <v>-82.20556</v>
      </c>
      <c r="AI216" s="151" t="n">
        <v>36.16111</v>
      </c>
    </row>
    <row r="217" customFormat="false" ht="15" hidden="false" customHeight="false" outlineLevel="0" collapsed="false">
      <c r="AH217" s="151" t="n">
        <v>-82.26</v>
      </c>
      <c r="AI217" s="151" t="n">
        <v>36.13389</v>
      </c>
    </row>
    <row r="218" customFormat="false" ht="15" hidden="false" customHeight="false" outlineLevel="0" collapsed="false">
      <c r="AH218" s="151" t="n">
        <v>-82.29305</v>
      </c>
      <c r="AI218" s="151" t="n">
        <v>36.1375</v>
      </c>
    </row>
    <row r="219" customFormat="false" ht="15" hidden="false" customHeight="false" outlineLevel="0" collapsed="false">
      <c r="AH219" s="151" t="n">
        <v>-82.38223</v>
      </c>
      <c r="AI219" s="151" t="n">
        <v>36.105</v>
      </c>
    </row>
    <row r="220" customFormat="false" ht="15" hidden="false" customHeight="false" outlineLevel="0" collapsed="false">
      <c r="AH220" s="151" t="n">
        <v>-82.48</v>
      </c>
      <c r="AI220" s="151" t="n">
        <v>35.99917</v>
      </c>
    </row>
    <row r="221" customFormat="false" ht="15" hidden="false" customHeight="false" outlineLevel="0" collapsed="false">
      <c r="AH221" s="151" t="n">
        <v>-82.55917</v>
      </c>
      <c r="AI221" s="151" t="n">
        <v>35.96111</v>
      </c>
    </row>
    <row r="222" customFormat="false" ht="15" hidden="false" customHeight="false" outlineLevel="0" collapsed="false">
      <c r="AH222" s="151" t="n">
        <v>-82.59472</v>
      </c>
      <c r="AI222" s="151" t="n">
        <v>35.98028</v>
      </c>
    </row>
    <row r="223" customFormat="false" ht="15" hidden="false" customHeight="false" outlineLevel="0" collapsed="false">
      <c r="AH223" s="151" t="n">
        <v>-82.59</v>
      </c>
      <c r="AI223" s="151" t="n">
        <v>36.03278</v>
      </c>
    </row>
    <row r="224" customFormat="false" ht="15" hidden="false" customHeight="false" outlineLevel="0" collapsed="false">
      <c r="AH224" s="151" t="n">
        <v>-82.63028</v>
      </c>
      <c r="AI224" s="151" t="n">
        <v>36.06306</v>
      </c>
    </row>
    <row r="225" customFormat="false" ht="15" hidden="false" customHeight="false" outlineLevel="0" collapsed="false">
      <c r="AH225" s="151" t="n">
        <v>-82.77084</v>
      </c>
      <c r="AI225" s="151" t="n">
        <v>36</v>
      </c>
    </row>
    <row r="226" customFormat="false" ht="15" hidden="false" customHeight="false" outlineLevel="0" collapsed="false">
      <c r="AH226" s="151" t="n">
        <v>-82.80417</v>
      </c>
      <c r="AI226" s="151" t="n">
        <v>35.93278</v>
      </c>
    </row>
    <row r="227" customFormat="false" ht="15" hidden="false" customHeight="false" outlineLevel="0" collapsed="false">
      <c r="AH227" s="151" t="n">
        <v>-82.86555</v>
      </c>
      <c r="AI227" s="151" t="n">
        <v>35.95639</v>
      </c>
    </row>
    <row r="228" customFormat="false" ht="15" hidden="false" customHeight="false" outlineLevel="0" collapsed="false">
      <c r="AH228" s="151" t="n">
        <v>-82.90417</v>
      </c>
      <c r="AI228" s="151" t="n">
        <v>35.95028</v>
      </c>
    </row>
    <row r="229" customFormat="false" ht="15" hidden="false" customHeight="false" outlineLevel="0" collapsed="false">
      <c r="AH229" s="151" t="n">
        <v>-82.91778</v>
      </c>
      <c r="AI229" s="151" t="n">
        <v>35.92027</v>
      </c>
    </row>
    <row r="230" customFormat="false" ht="15" hidden="false" customHeight="false" outlineLevel="0" collapsed="false">
      <c r="AH230" s="151" t="n">
        <v>-82.90472</v>
      </c>
      <c r="AI230" s="151" t="n">
        <v>35.88389</v>
      </c>
    </row>
    <row r="231" customFormat="false" ht="15" hidden="false" customHeight="false" outlineLevel="0" collapsed="false">
      <c r="AH231" s="151" t="n">
        <v>-82.98722</v>
      </c>
      <c r="AI231" s="151" t="n">
        <v>35.78166</v>
      </c>
    </row>
    <row r="232" customFormat="false" ht="15" hidden="false" customHeight="false" outlineLevel="0" collapsed="false">
      <c r="AH232" s="151" t="n">
        <v>-83.075</v>
      </c>
      <c r="AI232" s="151" t="n">
        <v>35.79167</v>
      </c>
    </row>
    <row r="233" customFormat="false" ht="15" hidden="false" customHeight="false" outlineLevel="0" collapsed="false">
      <c r="AH233" s="151" t="n">
        <v>-83.16278</v>
      </c>
      <c r="AI233" s="151" t="n">
        <v>35.76139</v>
      </c>
    </row>
    <row r="234" customFormat="false" ht="15" hidden="false" customHeight="false" outlineLevel="0" collapsed="false">
      <c r="AH234" s="151" t="n">
        <v>-83.24639</v>
      </c>
      <c r="AI234" s="151" t="n">
        <v>35.71667</v>
      </c>
    </row>
    <row r="235" customFormat="false" ht="15" hidden="false" customHeight="false" outlineLevel="0" collapsed="false">
      <c r="AH235" s="151" t="n">
        <v>-83.29305</v>
      </c>
      <c r="AI235" s="151" t="n">
        <v>35.66583</v>
      </c>
    </row>
    <row r="236" customFormat="false" ht="15" hidden="false" customHeight="false" outlineLevel="0" collapsed="false">
      <c r="AH236" s="151" t="n">
        <v>-83.3375</v>
      </c>
      <c r="AI236" s="151" t="n">
        <v>35.66806</v>
      </c>
    </row>
    <row r="237" customFormat="false" ht="15" hidden="false" customHeight="false" outlineLevel="0" collapsed="false">
      <c r="AH237" s="151" t="n">
        <v>-83.37417</v>
      </c>
      <c r="AI237" s="151" t="n">
        <v>35.63722</v>
      </c>
    </row>
    <row r="238" customFormat="false" ht="15" hidden="false" customHeight="false" outlineLevel="0" collapsed="false">
      <c r="AH238" s="151" t="n">
        <v>-83.44611</v>
      </c>
      <c r="AI238" s="151" t="n">
        <v>35.61222</v>
      </c>
    </row>
    <row r="239" customFormat="false" ht="15" hidden="false" customHeight="false" outlineLevel="0" collapsed="false">
      <c r="AH239" s="151" t="n">
        <v>-83.49223</v>
      </c>
      <c r="AI239" s="151" t="n">
        <v>35.57111</v>
      </c>
    </row>
    <row r="240" customFormat="false" ht="15" hidden="false" customHeight="false" outlineLevel="0" collapsed="false">
      <c r="AH240" s="151" t="n">
        <v>-83.57222</v>
      </c>
      <c r="AI240" s="151" t="n">
        <v>35.55888</v>
      </c>
    </row>
    <row r="241" customFormat="false" ht="15" hidden="false" customHeight="false" outlineLevel="0" collapsed="false">
      <c r="AH241" s="151" t="n">
        <v>-83.60722</v>
      </c>
      <c r="AI241" s="151" t="n">
        <v>35.58112</v>
      </c>
    </row>
    <row r="242" customFormat="false" ht="15" hidden="false" customHeight="false" outlineLevel="0" collapsed="false">
      <c r="AH242" s="151" t="n">
        <v>-83.63722</v>
      </c>
      <c r="AI242" s="151" t="n">
        <v>35.56528</v>
      </c>
    </row>
    <row r="243" customFormat="false" ht="15" hidden="false" customHeight="false" outlineLevel="0" collapsed="false">
      <c r="AH243" s="151" t="n">
        <v>-83.74111</v>
      </c>
      <c r="AI243" s="151" t="n">
        <v>35.56583</v>
      </c>
    </row>
    <row r="244" customFormat="false" ht="15" hidden="false" customHeight="false" outlineLevel="0" collapsed="false">
      <c r="AH244" s="151" t="n">
        <v>-83.88695</v>
      </c>
      <c r="AI244" s="151" t="n">
        <v>35.51556</v>
      </c>
    </row>
    <row r="245" customFormat="false" ht="15" hidden="false" customHeight="false" outlineLevel="0" collapsed="false">
      <c r="AH245" s="151" t="n">
        <v>-83.925</v>
      </c>
      <c r="AI245" s="151" t="n">
        <v>35.46611</v>
      </c>
    </row>
    <row r="246" customFormat="false" ht="15" hidden="false" customHeight="false" outlineLevel="0" collapsed="false">
      <c r="AH246" s="151" t="n">
        <v>-83.97945</v>
      </c>
      <c r="AI246" s="151" t="n">
        <v>35.45222</v>
      </c>
    </row>
    <row r="247" customFormat="false" ht="15" hidden="false" customHeight="false" outlineLevel="0" collapsed="false">
      <c r="AH247" s="151" t="n">
        <v>-84.01195</v>
      </c>
      <c r="AI247" s="151" t="n">
        <v>35.425</v>
      </c>
    </row>
    <row r="248" customFormat="false" ht="15" hidden="false" customHeight="false" outlineLevel="0" collapsed="false">
      <c r="AH248" s="151" t="n">
        <v>-84.05083</v>
      </c>
      <c r="AI248" s="151" t="n">
        <v>35.28583</v>
      </c>
    </row>
    <row r="249" customFormat="false" ht="15" hidden="false" customHeight="false" outlineLevel="0" collapsed="false">
      <c r="AH249" s="151" t="n">
        <v>-84.07917</v>
      </c>
      <c r="AI249" s="151" t="n">
        <v>35.265</v>
      </c>
    </row>
    <row r="250" customFormat="false" ht="15" hidden="false" customHeight="false" outlineLevel="0" collapsed="false">
      <c r="AH250" s="151" t="n">
        <v>-84.19305</v>
      </c>
      <c r="AI250" s="151" t="n">
        <v>35.25195</v>
      </c>
    </row>
    <row r="251" customFormat="false" ht="15" hidden="false" customHeight="false" outlineLevel="0" collapsed="false">
      <c r="AH251" s="151" t="n">
        <v>-84.23833</v>
      </c>
      <c r="AI251" s="151" t="n">
        <v>35.27</v>
      </c>
    </row>
    <row r="252" customFormat="false" ht="15" hidden="false" customHeight="false" outlineLevel="0" collapsed="false">
      <c r="AH252" s="151" t="n">
        <v>-84.29111</v>
      </c>
      <c r="AI252" s="151" t="n">
        <v>35.23</v>
      </c>
    </row>
    <row r="253" customFormat="false" ht="15" hidden="false" customHeight="false" outlineLevel="0" collapsed="false">
      <c r="AH253" s="151" t="n">
        <v>-84.32417</v>
      </c>
      <c r="AI253" s="151" t="n">
        <v>34.98611</v>
      </c>
    </row>
    <row r="255" customFormat="false" ht="15" hidden="false" customHeight="false" outlineLevel="0" collapsed="false">
      <c r="AH255" s="151" t="n">
        <v>-86.83361</v>
      </c>
      <c r="AI255" s="151" t="n">
        <v>34.99944</v>
      </c>
    </row>
    <row r="256" customFormat="false" ht="15" hidden="false" customHeight="false" outlineLevel="0" collapsed="false">
      <c r="AH256" s="151" t="n">
        <v>-84.58417</v>
      </c>
      <c r="AI256" s="151" t="n">
        <v>35</v>
      </c>
    </row>
    <row r="258" customFormat="false" ht="15" hidden="false" customHeight="false" outlineLevel="0" collapsed="false">
      <c r="AH258" s="151" t="n">
        <v>-90.30083</v>
      </c>
      <c r="AI258" s="151" t="n">
        <v>35.00166</v>
      </c>
    </row>
    <row r="259" customFormat="false" ht="15" hidden="false" customHeight="false" outlineLevel="0" collapsed="false">
      <c r="AH259" s="151" t="n">
        <v>-88.19083</v>
      </c>
      <c r="AI259" s="151" t="n">
        <v>35.0025</v>
      </c>
    </row>
    <row r="261" customFormat="false" ht="15" hidden="false" customHeight="false" outlineLevel="0" collapsed="false">
      <c r="AH261" s="151" t="n">
        <v>-83.09778</v>
      </c>
      <c r="AI261" s="151" t="n">
        <v>35.00027</v>
      </c>
    </row>
    <row r="262" customFormat="false" ht="15" hidden="false" customHeight="false" outlineLevel="0" collapsed="false">
      <c r="AH262" s="151" t="n">
        <v>-82.7775</v>
      </c>
      <c r="AI262" s="151" t="n">
        <v>35.09138</v>
      </c>
    </row>
    <row r="263" customFormat="false" ht="15" hidden="false" customHeight="false" outlineLevel="0" collapsed="false">
      <c r="AH263" s="151" t="n">
        <v>-82.75444</v>
      </c>
      <c r="AI263" s="151" t="n">
        <v>35.07028</v>
      </c>
    </row>
    <row r="264" customFormat="false" ht="15" hidden="false" customHeight="false" outlineLevel="0" collapsed="false">
      <c r="AH264" s="151" t="n">
        <v>-82.69667</v>
      </c>
      <c r="AI264" s="151" t="n">
        <v>35.0975</v>
      </c>
    </row>
    <row r="265" customFormat="false" ht="15" hidden="false" customHeight="false" outlineLevel="0" collapsed="false">
      <c r="AH265" s="151" t="n">
        <v>-82.67722</v>
      </c>
      <c r="AI265" s="151" t="n">
        <v>35.13083</v>
      </c>
    </row>
    <row r="266" customFormat="false" ht="15" hidden="false" customHeight="false" outlineLevel="0" collapsed="false">
      <c r="AH266" s="151" t="n">
        <v>-82.65222</v>
      </c>
      <c r="AI266" s="151" t="n">
        <v>35.125</v>
      </c>
    </row>
    <row r="267" customFormat="false" ht="15" hidden="false" customHeight="false" outlineLevel="0" collapsed="false">
      <c r="AH267" s="151" t="n">
        <v>-82.48389</v>
      </c>
      <c r="AI267" s="151" t="n">
        <v>35.17667</v>
      </c>
    </row>
    <row r="268" customFormat="false" ht="15" hidden="false" customHeight="false" outlineLevel="0" collapsed="false">
      <c r="AH268" s="151" t="n">
        <v>-82.43555</v>
      </c>
      <c r="AI268" s="151" t="n">
        <v>35.17472</v>
      </c>
    </row>
    <row r="269" customFormat="false" ht="15" hidden="false" customHeight="false" outlineLevel="0" collapsed="false">
      <c r="AH269" s="151" t="n">
        <v>-82.39139</v>
      </c>
      <c r="AI269" s="151" t="n">
        <v>35.22083</v>
      </c>
    </row>
    <row r="270" customFormat="false" ht="15" hidden="false" customHeight="false" outlineLevel="0" collapsed="false">
      <c r="AH270" s="151" t="n">
        <v>-82.36806</v>
      </c>
      <c r="AI270" s="151" t="n">
        <v>35.20056</v>
      </c>
    </row>
    <row r="271" customFormat="false" ht="15" hidden="false" customHeight="false" outlineLevel="0" collapsed="false">
      <c r="AH271" s="151" t="n">
        <v>-82.325</v>
      </c>
      <c r="AI271" s="151" t="n">
        <v>35.19611</v>
      </c>
    </row>
    <row r="272" customFormat="false" ht="15" hidden="false" customHeight="false" outlineLevel="0" collapsed="false">
      <c r="AH272" s="151" t="n">
        <v>-82.29056</v>
      </c>
      <c r="AI272" s="151" t="n">
        <v>35.20694</v>
      </c>
    </row>
    <row r="273" customFormat="false" ht="15" hidden="false" customHeight="false" outlineLevel="0" collapsed="false">
      <c r="AH273" s="151" t="n">
        <v>-81.61104</v>
      </c>
      <c r="AI273" s="151" t="n">
        <v>35.18138</v>
      </c>
    </row>
    <row r="275" customFormat="false" ht="15" hidden="false" customHeight="false" outlineLevel="0" collapsed="false">
      <c r="AH275" s="151" t="n">
        <v>-83.09778</v>
      </c>
      <c r="AI275" s="151" t="n">
        <v>35.00027</v>
      </c>
    </row>
    <row r="276" customFormat="false" ht="15" hidden="false" customHeight="false" outlineLevel="0" collapsed="false">
      <c r="AH276" s="151" t="n">
        <v>-82.77722</v>
      </c>
      <c r="AI276" s="151" t="n">
        <v>35.09138</v>
      </c>
    </row>
    <row r="277" customFormat="false" ht="15" hidden="false" customHeight="false" outlineLevel="0" collapsed="false">
      <c r="AH277" s="151" t="n">
        <v>-82.75444</v>
      </c>
      <c r="AI277" s="151" t="n">
        <v>35.07028</v>
      </c>
    </row>
    <row r="278" customFormat="false" ht="15" hidden="false" customHeight="false" outlineLevel="0" collapsed="false">
      <c r="AH278" s="151" t="n">
        <v>-82.69667</v>
      </c>
      <c r="AI278" s="151" t="n">
        <v>35.0975</v>
      </c>
    </row>
    <row r="279" customFormat="false" ht="15" hidden="false" customHeight="false" outlineLevel="0" collapsed="false">
      <c r="AH279" s="151" t="n">
        <v>-82.67722</v>
      </c>
      <c r="AI279" s="151" t="n">
        <v>35.13083</v>
      </c>
    </row>
    <row r="280" customFormat="false" ht="15" hidden="false" customHeight="false" outlineLevel="0" collapsed="false">
      <c r="AH280" s="151" t="n">
        <v>-82.65222</v>
      </c>
      <c r="AI280" s="151" t="n">
        <v>35.125</v>
      </c>
    </row>
    <row r="281" customFormat="false" ht="15" hidden="false" customHeight="false" outlineLevel="0" collapsed="false">
      <c r="AH281" s="151" t="n">
        <v>-82.48389</v>
      </c>
      <c r="AI281" s="151" t="n">
        <v>35.17667</v>
      </c>
    </row>
    <row r="282" customFormat="false" ht="15" hidden="false" customHeight="false" outlineLevel="0" collapsed="false">
      <c r="AH282" s="151" t="n">
        <v>-82.43555</v>
      </c>
      <c r="AI282" s="151" t="n">
        <v>35.17472</v>
      </c>
    </row>
    <row r="283" customFormat="false" ht="15" hidden="false" customHeight="false" outlineLevel="0" collapsed="false">
      <c r="AH283" s="151" t="n">
        <v>-82.39139</v>
      </c>
      <c r="AI283" s="151" t="n">
        <v>35.22083</v>
      </c>
    </row>
    <row r="284" customFormat="false" ht="15" hidden="false" customHeight="false" outlineLevel="0" collapsed="false">
      <c r="AH284" s="151" t="n">
        <v>-82.36777</v>
      </c>
      <c r="AI284" s="151" t="n">
        <v>35.20056</v>
      </c>
    </row>
    <row r="285" customFormat="false" ht="15" hidden="false" customHeight="false" outlineLevel="0" collapsed="false">
      <c r="AH285" s="151" t="n">
        <v>-82.325</v>
      </c>
      <c r="AI285" s="151" t="n">
        <v>35.19611</v>
      </c>
    </row>
    <row r="286" customFormat="false" ht="15" hidden="false" customHeight="false" outlineLevel="0" collapsed="false">
      <c r="AH286" s="151" t="n">
        <v>-82.28222</v>
      </c>
      <c r="AI286" s="151" t="n">
        <v>35.20639</v>
      </c>
    </row>
    <row r="287" customFormat="false" ht="15" hidden="false" customHeight="false" outlineLevel="0" collapsed="false">
      <c r="AH287" s="151" t="n">
        <v>-81.60269</v>
      </c>
      <c r="AI287" s="151" t="n">
        <v>35.181</v>
      </c>
    </row>
    <row r="289" customFormat="false" ht="15" hidden="false" customHeight="false" outlineLevel="0" collapsed="false">
      <c r="AH289" s="151" t="n">
        <v>-84.57972</v>
      </c>
      <c r="AI289" s="151" t="n">
        <v>34.99722</v>
      </c>
    </row>
    <row r="290" customFormat="false" ht="15" hidden="false" customHeight="false" outlineLevel="0" collapsed="false">
      <c r="AH290" s="151" t="n">
        <v>-84.315</v>
      </c>
      <c r="AI290" s="151" t="n">
        <v>34.98611</v>
      </c>
    </row>
    <row r="291" customFormat="false" ht="15" hidden="false" customHeight="false" outlineLevel="0" collapsed="false">
      <c r="AH291" s="151" t="n">
        <v>-83.09639</v>
      </c>
      <c r="AI291" s="151" t="n">
        <v>35</v>
      </c>
    </row>
    <row r="293" customFormat="false" ht="15" hidden="false" customHeight="false" outlineLevel="0" collapsed="false">
      <c r="AH293" s="151" t="n">
        <v>-86.8325</v>
      </c>
      <c r="AI293" s="151" t="n">
        <v>35.00222</v>
      </c>
    </row>
    <row r="294" customFormat="false" ht="15" hidden="false" customHeight="false" outlineLevel="0" collapsed="false">
      <c r="AH294" s="151" t="n">
        <v>-88.19639</v>
      </c>
      <c r="AI294" s="151" t="n">
        <v>35.02361</v>
      </c>
    </row>
    <row r="296" customFormat="false" ht="15" hidden="false" customHeight="false" outlineLevel="0" collapsed="false">
      <c r="AH296" s="151" t="n">
        <v>-90.3775</v>
      </c>
      <c r="AI296" s="151" t="n">
        <v>36.49976</v>
      </c>
    </row>
    <row r="297" customFormat="false" ht="15" hidden="false" customHeight="false" outlineLevel="0" collapsed="false">
      <c r="AH297" s="151" t="n">
        <v>-90.16222</v>
      </c>
      <c r="AI297" s="151" t="n">
        <v>36.49973</v>
      </c>
    </row>
    <row r="298" customFormat="false" ht="15" hidden="false" customHeight="false" outlineLevel="0" collapsed="false">
      <c r="AH298" s="151" t="n">
        <v>-90.12695</v>
      </c>
      <c r="AI298" s="151" t="n">
        <v>36.45361</v>
      </c>
    </row>
    <row r="299" customFormat="false" ht="15" hidden="false" customHeight="false" outlineLevel="0" collapsed="false">
      <c r="AH299" s="151" t="n">
        <v>-90.12028</v>
      </c>
      <c r="AI299" s="151" t="n">
        <v>36.41361</v>
      </c>
    </row>
    <row r="300" customFormat="false" ht="15" hidden="false" customHeight="false" outlineLevel="0" collapsed="false">
      <c r="AH300" s="151" t="n">
        <v>-90.06416</v>
      </c>
      <c r="AI300" s="151" t="n">
        <v>36.37473</v>
      </c>
    </row>
    <row r="301" customFormat="false" ht="15" hidden="false" customHeight="false" outlineLevel="0" collapsed="false">
      <c r="AH301" s="151" t="n">
        <v>-90.06944</v>
      </c>
      <c r="AI301" s="151" t="n">
        <v>36.28194</v>
      </c>
    </row>
    <row r="302" customFormat="false" ht="15" hidden="false" customHeight="false" outlineLevel="0" collapsed="false">
      <c r="AH302" s="151" t="n">
        <v>-90.12139</v>
      </c>
      <c r="AI302" s="151" t="n">
        <v>36.25694</v>
      </c>
    </row>
    <row r="303" customFormat="false" ht="15" hidden="false" customHeight="false" outlineLevel="0" collapsed="false">
      <c r="AH303" s="151" t="n">
        <v>-90.13805</v>
      </c>
      <c r="AI303" s="151" t="n">
        <v>36.21389</v>
      </c>
    </row>
    <row r="304" customFormat="false" ht="15" hidden="false" customHeight="false" outlineLevel="0" collapsed="false">
      <c r="AH304" s="151" t="n">
        <v>-90.22583</v>
      </c>
      <c r="AI304" s="151" t="n">
        <v>36.17944</v>
      </c>
    </row>
    <row r="305" customFormat="false" ht="15" hidden="false" customHeight="false" outlineLevel="0" collapsed="false">
      <c r="AH305" s="151" t="n">
        <v>-90.24834</v>
      </c>
      <c r="AI305" s="151" t="n">
        <v>36.13194</v>
      </c>
    </row>
    <row r="306" customFormat="false" ht="15" hidden="false" customHeight="false" outlineLevel="0" collapsed="false">
      <c r="AH306" s="151" t="n">
        <v>-90.29861</v>
      </c>
      <c r="AI306" s="151" t="n">
        <v>36.11361</v>
      </c>
    </row>
    <row r="307" customFormat="false" ht="15" hidden="false" customHeight="false" outlineLevel="0" collapsed="false">
      <c r="AH307" s="151" t="n">
        <v>-90.38277</v>
      </c>
      <c r="AI307" s="151" t="n">
        <v>35.98556</v>
      </c>
    </row>
    <row r="308" customFormat="false" ht="15" hidden="false" customHeight="false" outlineLevel="0" collapsed="false">
      <c r="AH308" s="151" t="n">
        <v>-89.72916</v>
      </c>
      <c r="AI308" s="151" t="n">
        <v>36</v>
      </c>
    </row>
    <row r="310" customFormat="false" ht="15" hidden="false" customHeight="false" outlineLevel="0" collapsed="false">
      <c r="AH310" s="151" t="n">
        <v>-83.35639</v>
      </c>
      <c r="AI310" s="151" t="n">
        <v>36.70639</v>
      </c>
    </row>
    <row r="311" customFormat="false" ht="15" hidden="false" customHeight="false" outlineLevel="0" collapsed="false">
      <c r="AH311" s="151" t="n">
        <v>-83.41222</v>
      </c>
      <c r="AI311" s="151" t="n">
        <v>36.67416</v>
      </c>
    </row>
    <row r="312" customFormat="false" ht="15" hidden="false" customHeight="false" outlineLevel="0" collapsed="false">
      <c r="AH312" s="151" t="n">
        <v>-83.50889</v>
      </c>
      <c r="AI312" s="151" t="n">
        <v>36.66888</v>
      </c>
    </row>
    <row r="313" customFormat="false" ht="15" hidden="false" customHeight="false" outlineLevel="0" collapsed="false">
      <c r="AH313" s="151" t="n">
        <v>-83.6175</v>
      </c>
      <c r="AI313" s="151" t="n">
        <v>36.64056</v>
      </c>
    </row>
    <row r="314" customFormat="false" ht="15" hidden="false" customHeight="false" outlineLevel="0" collapsed="false">
      <c r="AH314" s="151" t="n">
        <v>-83.67278</v>
      </c>
      <c r="AI314" s="151" t="n">
        <v>36.6025</v>
      </c>
    </row>
    <row r="316" customFormat="false" ht="15" hidden="false" customHeight="false" outlineLevel="0" collapsed="false">
      <c r="AH316" s="151" t="n">
        <v>-85.61707</v>
      </c>
      <c r="AI316" s="151" t="n">
        <v>34.97196</v>
      </c>
    </row>
    <row r="317" customFormat="false" ht="15" hidden="false" customHeight="false" outlineLevel="0" collapsed="false">
      <c r="AH317" s="151" t="n">
        <v>-85.62334</v>
      </c>
      <c r="AI317" s="151" t="n">
        <v>34.99917</v>
      </c>
    </row>
    <row r="319" customFormat="false" ht="15" hidden="false" customHeight="false" outlineLevel="0" collapsed="false">
      <c r="AH319" s="151" t="n">
        <v>-89.56389</v>
      </c>
      <c r="AI319" s="151" t="n">
        <v>36.50083</v>
      </c>
    </row>
    <row r="320" customFormat="false" ht="15" hidden="false" customHeight="false" outlineLevel="0" collapsed="false">
      <c r="AH320" s="151" t="n">
        <v>-89.49223</v>
      </c>
      <c r="AI320" s="151" t="n">
        <v>36.50139</v>
      </c>
    </row>
  </sheetData>
  <mergeCells count="3">
    <mergeCell ref="S28:V28"/>
    <mergeCell ref="S29:V29"/>
    <mergeCell ref="S30:V30"/>
  </mergeCells>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753</v>
      </c>
    </row>
    <row r="3" customFormat="false" ht="15" hidden="false" customHeight="false" outlineLevel="0" collapsed="false">
      <c r="A3" s="126" t="s">
        <v>754</v>
      </c>
    </row>
    <row r="4" customFormat="false" ht="30" hidden="false" customHeight="true" outlineLevel="0" collapsed="false">
      <c r="A4" s="147" t="s">
        <v>755</v>
      </c>
      <c r="B4" s="147"/>
      <c r="C4" s="147"/>
      <c r="D4" s="147"/>
      <c r="E4" s="147"/>
      <c r="F4" s="147"/>
      <c r="G4" s="147"/>
    </row>
    <row r="6" customFormat="false" ht="15" hidden="false" customHeight="false" outlineLevel="0" collapsed="false">
      <c r="A6" s="136" t="s">
        <v>756</v>
      </c>
      <c r="B6" s="137"/>
      <c r="C6" s="137"/>
      <c r="D6" s="137"/>
      <c r="E6" s="137"/>
      <c r="F6" s="137"/>
      <c r="G6" s="137"/>
    </row>
    <row r="7" customFormat="false" ht="15" hidden="false" customHeight="false" outlineLevel="0" collapsed="false">
      <c r="A7" s="129" t="s">
        <v>30</v>
      </c>
      <c r="B7" s="129" t="s">
        <v>757</v>
      </c>
      <c r="C7" s="129" t="s">
        <v>20</v>
      </c>
      <c r="D7" s="129" t="s">
        <v>35</v>
      </c>
      <c r="E7" s="129"/>
      <c r="F7" s="129"/>
      <c r="G7" s="129" t="s">
        <v>758</v>
      </c>
    </row>
    <row r="8" customFormat="false" ht="22.35" hidden="false" customHeight="false" outlineLevel="0" collapsed="false">
      <c r="A8" s="152" t="s">
        <v>759</v>
      </c>
      <c r="B8" s="153" t="n">
        <v>78</v>
      </c>
      <c r="C8" s="152" t="s">
        <v>760</v>
      </c>
      <c r="D8" s="154" t="n">
        <v>2021</v>
      </c>
      <c r="E8" s="152"/>
      <c r="F8" s="152"/>
      <c r="G8" s="155" t="s">
        <v>761</v>
      </c>
    </row>
    <row r="9" customFormat="false" ht="22.35" hidden="false" customHeight="false" outlineLevel="0" collapsed="false">
      <c r="A9" s="152" t="s">
        <v>762</v>
      </c>
      <c r="B9" s="152" t="s">
        <v>763</v>
      </c>
      <c r="C9" s="152" t="s">
        <v>760</v>
      </c>
      <c r="D9" s="154" t="n">
        <v>2021</v>
      </c>
      <c r="E9" s="152"/>
      <c r="F9" s="152"/>
      <c r="G9" s="155" t="s">
        <v>761</v>
      </c>
    </row>
    <row r="10" customFormat="false" ht="22.35" hidden="false" customHeight="false" outlineLevel="0" collapsed="false">
      <c r="A10" s="152" t="s">
        <v>764</v>
      </c>
      <c r="B10" s="153" t="n">
        <v>69</v>
      </c>
      <c r="C10" s="152" t="s">
        <v>760</v>
      </c>
      <c r="D10" s="154" t="n">
        <v>2021</v>
      </c>
      <c r="E10" s="152"/>
      <c r="F10" s="152"/>
      <c r="G10" s="155" t="s">
        <v>765</v>
      </c>
    </row>
    <row r="11" customFormat="false" ht="23.85" hidden="false" customHeight="false" outlineLevel="0" collapsed="false">
      <c r="A11" s="152" t="s">
        <v>766</v>
      </c>
      <c r="B11" s="152" t="s">
        <v>767</v>
      </c>
      <c r="C11" s="152" t="s">
        <v>760</v>
      </c>
      <c r="D11" s="154" t="n">
        <v>2022</v>
      </c>
      <c r="E11" s="152"/>
      <c r="F11" s="152"/>
      <c r="G11" s="155" t="s">
        <v>768</v>
      </c>
    </row>
    <row r="12" customFormat="false" ht="22.35" hidden="false" customHeight="false" outlineLevel="0" collapsed="false">
      <c r="A12" s="152" t="s">
        <v>769</v>
      </c>
      <c r="B12" s="152" t="s">
        <v>770</v>
      </c>
      <c r="C12" s="152" t="s">
        <v>771</v>
      </c>
      <c r="D12" s="154" t="n">
        <v>2021</v>
      </c>
      <c r="E12" s="152"/>
      <c r="F12" s="152"/>
      <c r="G12" s="155" t="s">
        <v>772</v>
      </c>
    </row>
    <row r="13" customFormat="false" ht="23.85" hidden="false" customHeight="false" outlineLevel="0" collapsed="false">
      <c r="A13" s="152" t="s">
        <v>773</v>
      </c>
      <c r="B13" s="153" t="n">
        <v>70865874</v>
      </c>
      <c r="C13" s="152" t="s">
        <v>774</v>
      </c>
      <c r="D13" s="154" t="n">
        <v>2021</v>
      </c>
      <c r="E13" s="152"/>
      <c r="F13" s="152"/>
      <c r="G13" s="155" t="s">
        <v>775</v>
      </c>
    </row>
    <row r="14" customFormat="false" ht="23.85" hidden="false" customHeight="false" outlineLevel="0" collapsed="false">
      <c r="A14" s="152" t="s">
        <v>776</v>
      </c>
      <c r="B14" s="153" t="n">
        <v>173117648</v>
      </c>
      <c r="C14" s="152" t="s">
        <v>774</v>
      </c>
      <c r="D14" s="154" t="n">
        <v>2021</v>
      </c>
      <c r="E14" s="152"/>
      <c r="F14" s="152"/>
      <c r="G14" s="155" t="s">
        <v>775</v>
      </c>
    </row>
    <row r="15" customFormat="false" ht="23.85" hidden="false" customHeight="false" outlineLevel="0" collapsed="false">
      <c r="A15" s="152" t="s">
        <v>777</v>
      </c>
      <c r="B15" s="152" t="s">
        <v>778</v>
      </c>
      <c r="C15" s="152"/>
      <c r="D15" s="154" t="n">
        <v>2023</v>
      </c>
      <c r="E15" s="152"/>
      <c r="F15" s="152"/>
      <c r="G15" s="155" t="s">
        <v>779</v>
      </c>
    </row>
    <row r="16" customFormat="false" ht="23.85" hidden="false" customHeight="false" outlineLevel="0" collapsed="false">
      <c r="A16" s="152" t="s">
        <v>780</v>
      </c>
      <c r="B16" s="152" t="s">
        <v>781</v>
      </c>
      <c r="C16" s="152"/>
      <c r="D16" s="154" t="n">
        <v>2024</v>
      </c>
      <c r="E16" s="152"/>
      <c r="F16" s="152"/>
      <c r="G16" s="155" t="s">
        <v>782</v>
      </c>
    </row>
    <row r="17" customFormat="false" ht="22.35" hidden="false" customHeight="false" outlineLevel="0" collapsed="false">
      <c r="A17" s="152" t="s">
        <v>783</v>
      </c>
      <c r="B17" s="152" t="s">
        <v>784</v>
      </c>
      <c r="C17" s="152"/>
      <c r="D17" s="154" t="n">
        <v>2022</v>
      </c>
      <c r="E17" s="152"/>
      <c r="F17" s="152"/>
      <c r="G17" s="155" t="s">
        <v>785</v>
      </c>
    </row>
    <row r="18" customFormat="false" ht="23.85" hidden="false" customHeight="false" outlineLevel="0" collapsed="false">
      <c r="A18" s="152" t="s">
        <v>786</v>
      </c>
      <c r="B18" s="152" t="s">
        <v>787</v>
      </c>
      <c r="C18" s="152"/>
      <c r="D18" s="154" t="n">
        <v>2024</v>
      </c>
      <c r="E18" s="152"/>
      <c r="F18" s="152"/>
      <c r="G18" s="155" t="s">
        <v>788</v>
      </c>
    </row>
    <row r="19" customFormat="false" ht="25.5" hidden="false" customHeight="true" outlineLevel="0" collapsed="false">
      <c r="A19" s="147" t="s">
        <v>789</v>
      </c>
      <c r="B19" s="147"/>
      <c r="C19" s="147"/>
      <c r="D19" s="147"/>
      <c r="E19" s="147"/>
      <c r="F19" s="147"/>
      <c r="G19" s="147"/>
    </row>
    <row r="21" customFormat="false" ht="15" hidden="false" customHeight="false" outlineLevel="0" collapsed="false">
      <c r="A21" s="136" t="s">
        <v>790</v>
      </c>
      <c r="B21" s="137"/>
      <c r="C21" s="137"/>
      <c r="D21" s="137"/>
      <c r="E21" s="137"/>
      <c r="F21" s="137"/>
      <c r="G21" s="137"/>
    </row>
    <row r="22" customFormat="false" ht="15" hidden="false" customHeight="false" outlineLevel="0" collapsed="false">
      <c r="A22" s="129" t="s">
        <v>711</v>
      </c>
      <c r="B22" s="129" t="s">
        <v>69</v>
      </c>
      <c r="C22" s="129" t="s">
        <v>791</v>
      </c>
      <c r="D22" s="129" t="s">
        <v>792</v>
      </c>
      <c r="E22" s="129" t="s">
        <v>793</v>
      </c>
      <c r="F22" s="129" t="s">
        <v>794</v>
      </c>
      <c r="G22" s="129" t="s">
        <v>758</v>
      </c>
    </row>
    <row r="23" customFormat="false" ht="15" hidden="false" customHeight="false" outlineLevel="0" collapsed="false">
      <c r="A23" s="152" t="s">
        <v>795</v>
      </c>
      <c r="B23" s="152" t="s">
        <v>796</v>
      </c>
      <c r="C23" s="152" t="s">
        <v>797</v>
      </c>
      <c r="D23" s="153" t="n">
        <v>52811</v>
      </c>
      <c r="E23" s="152" t="s">
        <v>798</v>
      </c>
      <c r="F23" s="152" t="s">
        <v>799</v>
      </c>
      <c r="G23" s="155" t="s">
        <v>800</v>
      </c>
    </row>
    <row r="24" customFormat="false" ht="15" hidden="false" customHeight="false" outlineLevel="0" collapsed="false">
      <c r="A24" s="152" t="s">
        <v>801</v>
      </c>
      <c r="B24" s="152" t="s">
        <v>796</v>
      </c>
      <c r="C24" s="152" t="s">
        <v>802</v>
      </c>
      <c r="D24" s="153" t="n">
        <v>61144</v>
      </c>
      <c r="E24" s="152" t="s">
        <v>798</v>
      </c>
      <c r="F24" s="152"/>
      <c r="G24" s="155" t="s">
        <v>803</v>
      </c>
    </row>
    <row r="25" customFormat="false" ht="15" hidden="false" customHeight="false" outlineLevel="0" collapsed="false">
      <c r="A25" s="152" t="s">
        <v>804</v>
      </c>
      <c r="B25" s="152" t="s">
        <v>805</v>
      </c>
      <c r="C25" s="152" t="s">
        <v>806</v>
      </c>
      <c r="D25" s="153" t="n">
        <v>45883</v>
      </c>
      <c r="E25" s="152" t="s">
        <v>807</v>
      </c>
      <c r="F25" s="152" t="s">
        <v>808</v>
      </c>
      <c r="G25" s="155" t="s">
        <v>809</v>
      </c>
    </row>
    <row r="26" customFormat="false" ht="22.35" hidden="false" customHeight="false" outlineLevel="0" collapsed="false">
      <c r="A26" s="152" t="s">
        <v>810</v>
      </c>
      <c r="B26" s="152" t="s">
        <v>811</v>
      </c>
      <c r="C26" s="152" t="s">
        <v>812</v>
      </c>
      <c r="D26" s="153" t="n">
        <v>66656</v>
      </c>
      <c r="E26" s="152" t="s">
        <v>798</v>
      </c>
      <c r="F26" s="152" t="s">
        <v>813</v>
      </c>
      <c r="G26" s="155" t="s">
        <v>814</v>
      </c>
    </row>
    <row r="27" customFormat="false" ht="22.35" hidden="false" customHeight="false" outlineLevel="0" collapsed="false">
      <c r="A27" s="152" t="s">
        <v>815</v>
      </c>
      <c r="B27" s="152" t="s">
        <v>816</v>
      </c>
      <c r="C27" s="152" t="s">
        <v>817</v>
      </c>
      <c r="D27" s="153" t="n">
        <v>100083</v>
      </c>
      <c r="E27" s="152" t="s">
        <v>818</v>
      </c>
      <c r="F27" s="152" t="s">
        <v>819</v>
      </c>
      <c r="G27" s="155" t="s">
        <v>820</v>
      </c>
    </row>
    <row r="28" customFormat="false" ht="15" hidden="false" customHeight="false" outlineLevel="0" collapsed="false">
      <c r="A28" s="152" t="s">
        <v>821</v>
      </c>
      <c r="B28" s="152" t="s">
        <v>822</v>
      </c>
      <c r="C28" s="152" t="s">
        <v>823</v>
      </c>
      <c r="D28" s="153" t="n">
        <v>61622</v>
      </c>
      <c r="E28" s="152" t="s">
        <v>798</v>
      </c>
      <c r="F28" s="152" t="s">
        <v>824</v>
      </c>
      <c r="G28" s="155" t="s">
        <v>825</v>
      </c>
    </row>
    <row r="29" customFormat="false" ht="15" hidden="false" customHeight="false" outlineLevel="0" collapsed="false">
      <c r="A29" s="152" t="s">
        <v>821</v>
      </c>
      <c r="B29" s="152" t="s">
        <v>826</v>
      </c>
      <c r="C29" s="152" t="s">
        <v>827</v>
      </c>
      <c r="D29" s="153" t="n">
        <v>133967</v>
      </c>
      <c r="E29" s="152" t="s">
        <v>798</v>
      </c>
      <c r="F29" s="152" t="s">
        <v>828</v>
      </c>
      <c r="G29" s="155" t="s">
        <v>829</v>
      </c>
    </row>
    <row r="30" customFormat="false" ht="22.35" hidden="false" customHeight="false" outlineLevel="0" collapsed="false">
      <c r="A30" s="152" t="s">
        <v>830</v>
      </c>
      <c r="B30" s="152"/>
      <c r="C30" s="152" t="s">
        <v>831</v>
      </c>
      <c r="D30" s="152" t="s">
        <v>832</v>
      </c>
      <c r="E30" s="152"/>
      <c r="F30" s="152" t="s">
        <v>833</v>
      </c>
      <c r="G30" s="155" t="s">
        <v>765</v>
      </c>
    </row>
    <row r="31" customFormat="false" ht="46.25" hidden="false" customHeight="false" outlineLevel="0" collapsed="false">
      <c r="A31" s="152" t="s">
        <v>834</v>
      </c>
      <c r="B31" s="152"/>
      <c r="C31" s="152"/>
      <c r="D31" s="152"/>
      <c r="E31" s="152"/>
      <c r="F31" s="152" t="s">
        <v>835</v>
      </c>
      <c r="G31" s="152" t="s">
        <v>836</v>
      </c>
    </row>
    <row r="32" customFormat="false" ht="25.5" hidden="false" customHeight="true" outlineLevel="0" collapsed="false">
      <c r="A32" s="147" t="s">
        <v>837</v>
      </c>
      <c r="B32" s="147"/>
      <c r="C32" s="147"/>
      <c r="D32" s="147"/>
      <c r="E32" s="147"/>
      <c r="F32" s="147"/>
      <c r="G32" s="147"/>
    </row>
    <row r="34" customFormat="false" ht="15" hidden="false" customHeight="false" outlineLevel="0" collapsed="false">
      <c r="A34" s="136" t="s">
        <v>838</v>
      </c>
      <c r="B34" s="137"/>
      <c r="C34" s="137"/>
      <c r="D34" s="137"/>
      <c r="E34" s="137"/>
      <c r="F34" s="137"/>
      <c r="G34" s="137"/>
    </row>
    <row r="35" customFormat="false" ht="15" hidden="false" customHeight="false" outlineLevel="0" collapsed="false">
      <c r="A35" s="129" t="s">
        <v>839</v>
      </c>
      <c r="B35" s="129" t="s">
        <v>840</v>
      </c>
      <c r="C35" s="129" t="s">
        <v>20</v>
      </c>
      <c r="D35" s="129" t="s">
        <v>841</v>
      </c>
      <c r="E35" s="129" t="s">
        <v>35</v>
      </c>
      <c r="F35" s="129" t="s">
        <v>842</v>
      </c>
      <c r="G35" s="129" t="s">
        <v>758</v>
      </c>
    </row>
    <row r="36" customFormat="false" ht="23.85" hidden="false" customHeight="false" outlineLevel="0" collapsed="false">
      <c r="A36" s="152" t="s">
        <v>843</v>
      </c>
      <c r="B36" s="156" t="n">
        <f aca="false">IFERROR(VLOOKUP("Asphalt Surface Course",Pay_Items!$D:$F,3,0),"")</f>
        <v>130</v>
      </c>
      <c r="C36" s="152" t="s">
        <v>844</v>
      </c>
      <c r="D36" s="152" t="s">
        <v>845</v>
      </c>
      <c r="E36" s="153" t="n">
        <v>2025</v>
      </c>
      <c r="F36" s="152" t="s">
        <v>846</v>
      </c>
      <c r="G36" s="155" t="s">
        <v>847</v>
      </c>
    </row>
    <row r="37" customFormat="false" ht="23.85" hidden="false" customHeight="false" outlineLevel="0" collapsed="false">
      <c r="A37" s="152" t="s">
        <v>848</v>
      </c>
      <c r="B37" s="156" t="n">
        <f aca="false">IFERROR(VLOOKUP("Asphalt Base Course",Pay_Items!$D:$F,3,0),"")</f>
        <v>120</v>
      </c>
      <c r="C37" s="152" t="s">
        <v>844</v>
      </c>
      <c r="D37" s="152" t="s">
        <v>849</v>
      </c>
      <c r="E37" s="152"/>
      <c r="F37" s="152"/>
      <c r="G37" s="155" t="s">
        <v>850</v>
      </c>
    </row>
    <row r="38" customFormat="false" ht="23.85" hidden="false" customHeight="false" outlineLevel="0" collapsed="false">
      <c r="A38" s="152" t="s">
        <v>851</v>
      </c>
      <c r="B38" s="156" t="n">
        <f aca="false">IFERROR(VLOOKUP("Concrete Pavement, 9-inch",Pay_Items!$D:$F,3,0),"")</f>
        <v>85</v>
      </c>
      <c r="C38" s="152" t="s">
        <v>852</v>
      </c>
      <c r="D38" s="152" t="s">
        <v>853</v>
      </c>
      <c r="E38" s="153" t="n">
        <v>2023</v>
      </c>
      <c r="F38" s="152" t="s">
        <v>854</v>
      </c>
      <c r="G38" s="155" t="s">
        <v>855</v>
      </c>
    </row>
    <row r="39" customFormat="false" ht="23.85" hidden="false" customHeight="false" outlineLevel="0" collapsed="false">
      <c r="A39" s="152" t="s">
        <v>856</v>
      </c>
      <c r="B39" s="156" t="n">
        <f aca="false">IFERROR(VLOOKUP("Crushed Aggregate Base Course",Pay_Items!$D:$F,3,0),"")</f>
        <v>65</v>
      </c>
      <c r="C39" s="152" t="s">
        <v>857</v>
      </c>
      <c r="D39" s="152" t="s">
        <v>858</v>
      </c>
      <c r="E39" s="152"/>
      <c r="F39" s="152"/>
      <c r="G39" s="155" t="s">
        <v>850</v>
      </c>
    </row>
    <row r="40" customFormat="false" ht="23.85" hidden="false" customHeight="false" outlineLevel="0" collapsed="false">
      <c r="A40" s="152" t="s">
        <v>859</v>
      </c>
      <c r="B40" s="156" t="n">
        <f aca="false">IFERROR(VLOOKUP("Subbase Course",Pay_Items!$D:$F,3,0),"")</f>
        <v>55</v>
      </c>
      <c r="C40" s="152" t="s">
        <v>857</v>
      </c>
      <c r="D40" s="152" t="s">
        <v>858</v>
      </c>
      <c r="E40" s="152"/>
      <c r="F40" s="152"/>
      <c r="G40" s="155" t="s">
        <v>850</v>
      </c>
    </row>
    <row r="41" customFormat="false" ht="23.85" hidden="false" customHeight="false" outlineLevel="0" collapsed="false">
      <c r="A41" s="152" t="s">
        <v>860</v>
      </c>
      <c r="B41" s="156" t="n">
        <f aca="false">IFERROR(VLOOKUP("Cold Milling",Pay_Items!$D:$F,3,0),"")</f>
        <v>5</v>
      </c>
      <c r="C41" s="152" t="s">
        <v>852</v>
      </c>
      <c r="D41" s="152" t="s">
        <v>861</v>
      </c>
      <c r="E41" s="153" t="n">
        <v>2025</v>
      </c>
      <c r="F41" s="152"/>
      <c r="G41" s="155" t="s">
        <v>847</v>
      </c>
    </row>
    <row r="42" customFormat="false" ht="23.85" hidden="false" customHeight="false" outlineLevel="0" collapsed="false">
      <c r="A42" s="152" t="s">
        <v>862</v>
      </c>
      <c r="B42" s="156" t="n">
        <f aca="false">IFERROR(VLOOKUP("Emulsified Asphalt Surface Treatment",Pay_Items!$D:$F,3,0),"")</f>
        <v>4</v>
      </c>
      <c r="C42" s="152" t="s">
        <v>852</v>
      </c>
      <c r="D42" s="152" t="s">
        <v>863</v>
      </c>
      <c r="E42" s="153" t="n">
        <v>2022</v>
      </c>
      <c r="F42" s="152" t="s">
        <v>864</v>
      </c>
      <c r="G42" s="155" t="s">
        <v>782</v>
      </c>
    </row>
    <row r="43" customFormat="false" ht="15" hidden="false" customHeight="false" outlineLevel="0" collapsed="false">
      <c r="A43" s="152" t="s">
        <v>865</v>
      </c>
      <c r="B43" s="156" t="n">
        <f aca="false">IFERROR(VLOOKUP("Markings (prep, markings, reflective media)",Pay_Items!$D:$F,3,0),"")</f>
        <v>0.666666666666667</v>
      </c>
      <c r="C43" s="152" t="s">
        <v>866</v>
      </c>
      <c r="D43" s="152" t="s">
        <v>863</v>
      </c>
      <c r="E43" s="153" t="n">
        <v>2022</v>
      </c>
      <c r="F43" s="152"/>
      <c r="G43" s="155" t="s">
        <v>782</v>
      </c>
    </row>
    <row r="44" customFormat="false" ht="23.85" hidden="false" customHeight="false" outlineLevel="0" collapsed="false">
      <c r="A44" s="152" t="s">
        <v>867</v>
      </c>
      <c r="B44" s="152"/>
      <c r="C44" s="152" t="s">
        <v>852</v>
      </c>
      <c r="D44" s="152" t="s">
        <v>868</v>
      </c>
      <c r="E44" s="153" t="n">
        <v>2025</v>
      </c>
      <c r="F44" s="152" t="s">
        <v>869</v>
      </c>
      <c r="G44" s="155" t="s">
        <v>825</v>
      </c>
    </row>
    <row r="45" customFormat="false" ht="23.85" hidden="false" customHeight="false" outlineLevel="0" collapsed="false">
      <c r="A45" s="152" t="s">
        <v>870</v>
      </c>
      <c r="B45" s="153" t="n">
        <v>820000</v>
      </c>
      <c r="C45" s="152" t="s">
        <v>774</v>
      </c>
      <c r="D45" s="152"/>
      <c r="E45" s="153" t="n">
        <v>2023</v>
      </c>
      <c r="F45" s="152" t="s">
        <v>871</v>
      </c>
      <c r="G45" s="155" t="s">
        <v>872</v>
      </c>
    </row>
    <row r="46" customFormat="false" ht="25.5" hidden="false" customHeight="true" outlineLevel="0" collapsed="false">
      <c r="A46" s="147" t="s">
        <v>873</v>
      </c>
      <c r="B46" s="147"/>
      <c r="C46" s="147"/>
      <c r="D46" s="147"/>
      <c r="E46" s="147"/>
      <c r="F46" s="147"/>
      <c r="G46" s="147"/>
    </row>
    <row r="48" customFormat="false" ht="15" hidden="false" customHeight="false" outlineLevel="0" collapsed="false">
      <c r="A48" s="136" t="s">
        <v>874</v>
      </c>
      <c r="B48" s="137"/>
      <c r="C48" s="137"/>
      <c r="D48" s="137"/>
      <c r="E48" s="137"/>
      <c r="F48" s="137"/>
      <c r="G48" s="137"/>
    </row>
    <row r="49" customFormat="false" ht="35.05" hidden="false" customHeight="false" outlineLevel="0" collapsed="false">
      <c r="A49" s="129" t="s">
        <v>875</v>
      </c>
      <c r="B49" s="129" t="s">
        <v>876</v>
      </c>
      <c r="C49" s="129" t="s">
        <v>877</v>
      </c>
      <c r="D49" s="129" t="s">
        <v>878</v>
      </c>
      <c r="E49" s="129" t="s">
        <v>794</v>
      </c>
      <c r="F49" s="129"/>
      <c r="G49" s="129" t="s">
        <v>758</v>
      </c>
    </row>
    <row r="50" customFormat="false" ht="35.05" hidden="false" customHeight="false" outlineLevel="0" collapsed="false">
      <c r="A50" s="152" t="s">
        <v>879</v>
      </c>
      <c r="B50" s="152" t="s">
        <v>880</v>
      </c>
      <c r="C50" s="152" t="n">
        <f aca="false">ROUNDUP(66667/15000,0)</f>
        <v>5</v>
      </c>
      <c r="D50" s="152" t="s">
        <v>881</v>
      </c>
      <c r="E50" s="152" t="s">
        <v>882</v>
      </c>
      <c r="F50" s="152"/>
      <c r="G50" s="152" t="s">
        <v>883</v>
      </c>
    </row>
    <row r="51" customFormat="false" ht="23.85" hidden="false" customHeight="false" outlineLevel="0" collapsed="false">
      <c r="A51" s="152" t="s">
        <v>884</v>
      </c>
      <c r="B51" s="152" t="s">
        <v>885</v>
      </c>
      <c r="C51" s="152" t="n">
        <f aca="false">ROUNDUP(15000/20000,0)+ROUNDUP(15000/50000,0)</f>
        <v>2</v>
      </c>
      <c r="D51" s="152" t="s">
        <v>886</v>
      </c>
      <c r="E51" s="152"/>
      <c r="F51" s="152"/>
      <c r="G51" s="152" t="s">
        <v>887</v>
      </c>
    </row>
    <row r="52" customFormat="false" ht="35.05" hidden="false" customHeight="false" outlineLevel="0" collapsed="false">
      <c r="A52" s="152" t="s">
        <v>888</v>
      </c>
      <c r="B52" s="152" t="s">
        <v>889</v>
      </c>
      <c r="C52" s="152" t="n">
        <f aca="false">ROUNDUP(66667*0.0075/10000,0)</f>
        <v>1</v>
      </c>
      <c r="D52" s="152" t="s">
        <v>890</v>
      </c>
      <c r="E52" s="152"/>
      <c r="F52" s="152"/>
      <c r="G52" s="152" t="s">
        <v>887</v>
      </c>
    </row>
    <row r="53" customFormat="false" ht="35.05" hidden="false" customHeight="false" outlineLevel="0" collapsed="false">
      <c r="A53" s="152" t="s">
        <v>891</v>
      </c>
      <c r="B53" s="152" t="s">
        <v>892</v>
      </c>
      <c r="C53" s="152" t="n">
        <f aca="false">ROUNDUP(66667*0.0325/5000,0)</f>
        <v>1</v>
      </c>
      <c r="D53" s="152" t="s">
        <v>890</v>
      </c>
      <c r="E53" s="152"/>
      <c r="F53" s="152"/>
      <c r="G53" s="152" t="s">
        <v>887</v>
      </c>
    </row>
    <row r="54" customFormat="false" ht="23.85" hidden="false" customHeight="false" outlineLevel="0" collapsed="false">
      <c r="A54" s="152" t="s">
        <v>893</v>
      </c>
      <c r="B54" s="152" t="s">
        <v>894</v>
      </c>
      <c r="C54" s="152" t="n">
        <f aca="false">ROUNDUP(66667/3800,0)+ROUNDUP(15000/50000,0)</f>
        <v>19</v>
      </c>
      <c r="D54" s="152" t="s">
        <v>895</v>
      </c>
      <c r="E54" s="152" t="s">
        <v>896</v>
      </c>
      <c r="F54" s="152"/>
      <c r="G54" s="152" t="s">
        <v>887</v>
      </c>
    </row>
    <row r="55" customFormat="false" ht="23.85" hidden="false" customHeight="false" outlineLevel="0" collapsed="false">
      <c r="A55" s="152" t="s">
        <v>897</v>
      </c>
      <c r="B55" s="152" t="s">
        <v>898</v>
      </c>
      <c r="C55" s="152" t="n">
        <f aca="false">ROUNDUP(66667*550/(50*100/9)/10000,0)</f>
        <v>7</v>
      </c>
      <c r="D55" s="152" t="s">
        <v>899</v>
      </c>
      <c r="E55" s="152"/>
      <c r="F55" s="152"/>
      <c r="G55" s="152" t="s">
        <v>887</v>
      </c>
    </row>
    <row r="56" customFormat="false" ht="23.85" hidden="false" customHeight="false" outlineLevel="0" collapsed="false">
      <c r="A56" s="152" t="s">
        <v>900</v>
      </c>
      <c r="B56" s="152" t="s">
        <v>901</v>
      </c>
      <c r="C56" s="152" t="n">
        <f aca="false">ROUNDUP(66667*0.003/10000,0)+ROUNDUP(66667*0.0013/5000,0)+ROUNDUP(66667*0.0025/5000,0)</f>
        <v>3</v>
      </c>
      <c r="D56" s="152" t="s">
        <v>902</v>
      </c>
      <c r="E56" s="152"/>
      <c r="F56" s="152"/>
      <c r="G56" s="152" t="s">
        <v>887</v>
      </c>
    </row>
    <row r="57" customFormat="false" ht="23.85" hidden="false" customHeight="false" outlineLevel="0" collapsed="false">
      <c r="A57" s="152" t="s">
        <v>903</v>
      </c>
      <c r="B57" s="152" t="s">
        <v>904</v>
      </c>
      <c r="C57" s="152" t="n">
        <f aca="false">ROUNDUP(66667*0.02/1000,0)+7</f>
        <v>9</v>
      </c>
      <c r="D57" s="152" t="s">
        <v>905</v>
      </c>
      <c r="E57" s="152" t="s">
        <v>906</v>
      </c>
      <c r="F57" s="152"/>
      <c r="G57" s="152" t="s">
        <v>887</v>
      </c>
    </row>
    <row r="58" customFormat="false" ht="35.05" hidden="false" customHeight="false" outlineLevel="0" collapsed="false">
      <c r="A58" s="152" t="s">
        <v>907</v>
      </c>
      <c r="B58" s="152"/>
      <c r="C58" s="152" t="s">
        <v>908</v>
      </c>
      <c r="D58" s="152" t="s">
        <v>909</v>
      </c>
      <c r="E58" s="152" t="s">
        <v>910</v>
      </c>
      <c r="F58" s="152"/>
      <c r="G58" s="152" t="s">
        <v>887</v>
      </c>
    </row>
    <row r="59" customFormat="false" ht="25.5" hidden="false" customHeight="true" outlineLevel="0" collapsed="false">
      <c r="A59" s="147" t="s">
        <v>911</v>
      </c>
      <c r="B59" s="147"/>
      <c r="C59" s="147"/>
      <c r="D59" s="147"/>
      <c r="E59" s="147"/>
      <c r="F59" s="147"/>
      <c r="G59" s="147"/>
    </row>
    <row r="61" customFormat="false" ht="15" hidden="false" customHeight="false" outlineLevel="0" collapsed="false">
      <c r="A61" s="136" t="s">
        <v>912</v>
      </c>
      <c r="B61" s="137"/>
      <c r="C61" s="137"/>
      <c r="D61" s="137"/>
      <c r="E61" s="137"/>
      <c r="F61" s="137"/>
      <c r="G61" s="137"/>
    </row>
    <row r="62" customFormat="false" ht="15" hidden="false" customHeight="false" outlineLevel="0" collapsed="false">
      <c r="A62" s="129" t="s">
        <v>913</v>
      </c>
      <c r="B62" s="129" t="s">
        <v>757</v>
      </c>
      <c r="C62" s="129" t="s">
        <v>914</v>
      </c>
      <c r="D62" s="129" t="s">
        <v>35</v>
      </c>
      <c r="E62" s="129"/>
      <c r="F62" s="129" t="s">
        <v>842</v>
      </c>
      <c r="G62" s="129" t="s">
        <v>758</v>
      </c>
    </row>
    <row r="63" customFormat="false" ht="15" hidden="false" customHeight="false" outlineLevel="0" collapsed="false">
      <c r="A63" s="152" t="s">
        <v>915</v>
      </c>
      <c r="B63" s="156" t="n">
        <f aca="false">'General Information'!$D$34</f>
        <v>3</v>
      </c>
      <c r="C63" s="152" t="s">
        <v>916</v>
      </c>
      <c r="D63" s="152"/>
      <c r="E63" s="152"/>
      <c r="F63" s="152" t="s">
        <v>917</v>
      </c>
      <c r="G63" s="152" t="s">
        <v>887</v>
      </c>
    </row>
    <row r="64" customFormat="false" ht="15" hidden="false" customHeight="false" outlineLevel="0" collapsed="false">
      <c r="A64" s="152" t="s">
        <v>918</v>
      </c>
      <c r="B64" s="156" t="n">
        <f aca="false">'General Information'!$D$33</f>
        <v>30</v>
      </c>
      <c r="C64" s="152" t="s">
        <v>919</v>
      </c>
      <c r="D64" s="152"/>
      <c r="E64" s="152"/>
      <c r="F64" s="152" t="s">
        <v>920</v>
      </c>
      <c r="G64" s="152" t="s">
        <v>887</v>
      </c>
    </row>
    <row r="65" customFormat="false" ht="35.05" hidden="false" customHeight="false" outlineLevel="0" collapsed="false">
      <c r="A65" s="152" t="s">
        <v>921</v>
      </c>
      <c r="B65" s="152" t="s">
        <v>922</v>
      </c>
      <c r="C65" s="152" t="s">
        <v>916</v>
      </c>
      <c r="D65" s="154" t="n">
        <v>2022</v>
      </c>
      <c r="E65" s="152"/>
      <c r="F65" s="152" t="s">
        <v>923</v>
      </c>
      <c r="G65" s="155" t="s">
        <v>924</v>
      </c>
    </row>
    <row r="66" customFormat="false" ht="23.85" hidden="false" customHeight="false" outlineLevel="0" collapsed="false">
      <c r="A66" s="152" t="s">
        <v>925</v>
      </c>
      <c r="B66" s="153" t="n">
        <v>2</v>
      </c>
      <c r="C66" s="152" t="s">
        <v>916</v>
      </c>
      <c r="D66" s="154" t="n">
        <v>2026</v>
      </c>
      <c r="E66" s="152"/>
      <c r="F66" s="152" t="s">
        <v>926</v>
      </c>
      <c r="G66" s="155" t="s">
        <v>927</v>
      </c>
    </row>
    <row r="67" customFormat="false" ht="35.05" hidden="false" customHeight="false" outlineLevel="0" collapsed="false">
      <c r="A67" s="152" t="s">
        <v>928</v>
      </c>
      <c r="B67" s="152" t="s">
        <v>929</v>
      </c>
      <c r="C67" s="152"/>
      <c r="D67" s="154" t="n">
        <v>2014</v>
      </c>
      <c r="E67" s="152"/>
      <c r="F67" s="152" t="s">
        <v>930</v>
      </c>
      <c r="G67" s="155" t="s">
        <v>931</v>
      </c>
    </row>
    <row r="68" customFormat="false" ht="23.85" hidden="false" customHeight="false" outlineLevel="0" collapsed="false">
      <c r="A68" s="152" t="s">
        <v>932</v>
      </c>
      <c r="B68" s="152" t="s">
        <v>933</v>
      </c>
      <c r="C68" s="152"/>
      <c r="D68" s="154" t="n">
        <v>2009</v>
      </c>
      <c r="E68" s="152"/>
      <c r="F68" s="152" t="s">
        <v>934</v>
      </c>
      <c r="G68" s="155" t="s">
        <v>935</v>
      </c>
    </row>
    <row r="69" customFormat="false" ht="35.05" hidden="false" customHeight="false" outlineLevel="0" collapsed="false">
      <c r="A69" s="152" t="s">
        <v>936</v>
      </c>
      <c r="B69" s="152" t="s">
        <v>937</v>
      </c>
      <c r="C69" s="152"/>
      <c r="D69" s="154" t="n">
        <v>2011</v>
      </c>
      <c r="E69" s="152"/>
      <c r="F69" s="152" t="s">
        <v>938</v>
      </c>
      <c r="G69" s="155" t="s">
        <v>939</v>
      </c>
    </row>
    <row r="70" customFormat="false" ht="35.05" hidden="false" customHeight="false" outlineLevel="0" collapsed="false">
      <c r="A70" s="152" t="s">
        <v>940</v>
      </c>
      <c r="B70" s="152" t="s">
        <v>941</v>
      </c>
      <c r="C70" s="152"/>
      <c r="D70" s="154" t="n">
        <v>2013</v>
      </c>
      <c r="E70" s="152"/>
      <c r="F70" s="152" t="s">
        <v>942</v>
      </c>
      <c r="G70" s="155" t="s">
        <v>943</v>
      </c>
    </row>
    <row r="71" customFormat="false" ht="22.35" hidden="false" customHeight="false" outlineLevel="0" collapsed="false">
      <c r="A71" s="152" t="s">
        <v>944</v>
      </c>
      <c r="B71" s="153" t="n">
        <v>20</v>
      </c>
      <c r="C71" s="152" t="s">
        <v>919</v>
      </c>
      <c r="D71" s="154" t="n">
        <v>2021</v>
      </c>
      <c r="E71" s="152"/>
      <c r="F71" s="152" t="s">
        <v>945</v>
      </c>
      <c r="G71" s="155" t="s">
        <v>946</v>
      </c>
    </row>
    <row r="72" customFormat="false" ht="23.85" hidden="false" customHeight="false" outlineLevel="0" collapsed="false">
      <c r="A72" s="152" t="s">
        <v>947</v>
      </c>
      <c r="B72" s="156" t="n">
        <f aca="false">'Maintenance Policies'!$D$32</f>
        <v>0.125</v>
      </c>
      <c r="C72" s="152" t="s">
        <v>948</v>
      </c>
      <c r="D72" s="152"/>
      <c r="E72" s="152"/>
      <c r="F72" s="152" t="s">
        <v>949</v>
      </c>
      <c r="G72" s="152" t="s">
        <v>887</v>
      </c>
    </row>
    <row r="73" customFormat="false" ht="23.85" hidden="false" customHeight="false" outlineLevel="0" collapsed="false">
      <c r="A73" s="152" t="s">
        <v>950</v>
      </c>
      <c r="B73" s="156" t="n">
        <f aca="false">'Maintenance Policies'!$D$46</f>
        <v>0.25</v>
      </c>
      <c r="C73" s="152" t="s">
        <v>951</v>
      </c>
      <c r="D73" s="152"/>
      <c r="E73" s="152"/>
      <c r="F73" s="152" t="s">
        <v>952</v>
      </c>
      <c r="G73" s="152" t="s">
        <v>887</v>
      </c>
    </row>
    <row r="74" customFormat="false" ht="35.05" hidden="false" customHeight="false" outlineLevel="0" collapsed="false">
      <c r="A74" s="152" t="s">
        <v>953</v>
      </c>
      <c r="B74" s="152" t="s">
        <v>954</v>
      </c>
      <c r="C74" s="152"/>
      <c r="D74" s="154" t="n">
        <v>2011</v>
      </c>
      <c r="E74" s="152"/>
      <c r="F74" s="152" t="s">
        <v>955</v>
      </c>
      <c r="G74" s="155" t="s">
        <v>939</v>
      </c>
    </row>
    <row r="75" customFormat="false" ht="25.5" hidden="false" customHeight="true" outlineLevel="0" collapsed="false">
      <c r="A75" s="147" t="s">
        <v>956</v>
      </c>
      <c r="B75" s="147"/>
      <c r="C75" s="147"/>
      <c r="D75" s="147"/>
      <c r="E75" s="147"/>
      <c r="F75" s="147"/>
      <c r="G75" s="147"/>
    </row>
    <row r="77" customFormat="false" ht="15" hidden="false" customHeight="false" outlineLevel="0" collapsed="false">
      <c r="A77" s="136" t="s">
        <v>957</v>
      </c>
      <c r="B77" s="137"/>
      <c r="C77" s="137"/>
      <c r="D77" s="137"/>
      <c r="E77" s="137"/>
      <c r="F77" s="137"/>
      <c r="G77" s="137"/>
    </row>
    <row r="78" customFormat="false" ht="15" hidden="false" customHeight="false" outlineLevel="0" collapsed="false">
      <c r="A78" s="129" t="s">
        <v>30</v>
      </c>
      <c r="B78" s="129" t="s">
        <v>958</v>
      </c>
      <c r="C78" s="129" t="s">
        <v>959</v>
      </c>
      <c r="D78" s="129" t="s">
        <v>35</v>
      </c>
      <c r="E78" s="129"/>
      <c r="F78" s="129" t="s">
        <v>842</v>
      </c>
      <c r="G78" s="129" t="s">
        <v>758</v>
      </c>
    </row>
    <row r="79" customFormat="false" ht="46.25" hidden="false" customHeight="false" outlineLevel="0" collapsed="false">
      <c r="A79" s="152" t="s">
        <v>960</v>
      </c>
      <c r="B79" s="156" t="str">
        <f aca="false">"years "&amp;'Maintenance Policies'!$E$10&amp;", "&amp;'Maintenance Policies'!$E$12&amp;", "&amp;'Maintenance Policies'!$E$26</f>
        <v>years 4, 8, 24</v>
      </c>
      <c r="C79" s="152" t="s">
        <v>961</v>
      </c>
      <c r="D79" s="154" t="n">
        <v>2014</v>
      </c>
      <c r="E79" s="152"/>
      <c r="F79" s="152" t="s">
        <v>962</v>
      </c>
      <c r="G79" s="155" t="s">
        <v>963</v>
      </c>
    </row>
    <row r="80" customFormat="false" ht="23.85" hidden="false" customHeight="false" outlineLevel="0" collapsed="false">
      <c r="A80" s="152" t="s">
        <v>964</v>
      </c>
      <c r="B80" s="156" t="str">
        <f aca="false">"years "&amp;'Maintenance Policies'!$E$14&amp;", "&amp;'Maintenance Policies'!$E$18&amp;", "&amp;'Maintenance Policies'!$E$28</f>
        <v>years 12, 16, 28</v>
      </c>
      <c r="C80" s="152" t="s">
        <v>965</v>
      </c>
      <c r="D80" s="154" t="n">
        <v>2014</v>
      </c>
      <c r="E80" s="152"/>
      <c r="F80" s="152"/>
      <c r="G80" s="155" t="s">
        <v>966</v>
      </c>
    </row>
    <row r="81" customFormat="false" ht="35.05" hidden="false" customHeight="false" outlineLevel="0" collapsed="false">
      <c r="A81" s="152" t="s">
        <v>658</v>
      </c>
      <c r="B81" s="156" t="str">
        <f aca="false">"year "&amp;'Maintenance Policies'!$E$22</f>
        <v>year 20</v>
      </c>
      <c r="C81" s="152" t="s">
        <v>967</v>
      </c>
      <c r="D81" s="154" t="n">
        <v>2014</v>
      </c>
      <c r="E81" s="152"/>
      <c r="F81" s="152" t="s">
        <v>968</v>
      </c>
      <c r="G81" s="155" t="s">
        <v>969</v>
      </c>
    </row>
    <row r="82" customFormat="false" ht="35.05" hidden="false" customHeight="false" outlineLevel="0" collapsed="false">
      <c r="A82" s="152" t="s">
        <v>970</v>
      </c>
      <c r="B82" s="156" t="str">
        <f aca="false">"year "&amp;'Maintenance Policies'!$E$37</f>
        <v>year 19</v>
      </c>
      <c r="C82" s="152" t="s">
        <v>971</v>
      </c>
      <c r="D82" s="152"/>
      <c r="E82" s="152"/>
      <c r="F82" s="152" t="s">
        <v>972</v>
      </c>
      <c r="G82" s="155" t="s">
        <v>973</v>
      </c>
    </row>
    <row r="83" customFormat="false" ht="23.85" hidden="false" customHeight="false" outlineLevel="0" collapsed="false">
      <c r="A83" s="152" t="s">
        <v>974</v>
      </c>
      <c r="B83" s="156" t="str">
        <f aca="false">"year "&amp;'Maintenance Policies'!$E$41</f>
        <v>year 27</v>
      </c>
      <c r="C83" s="152" t="s">
        <v>975</v>
      </c>
      <c r="D83" s="154" t="n">
        <v>2014</v>
      </c>
      <c r="E83" s="152"/>
      <c r="F83" s="152"/>
      <c r="G83" s="155" t="s">
        <v>969</v>
      </c>
    </row>
    <row r="84" customFormat="false" ht="35.05" hidden="false" customHeight="false" outlineLevel="0" collapsed="false">
      <c r="A84" s="152" t="s">
        <v>976</v>
      </c>
      <c r="B84" s="152" t="s">
        <v>977</v>
      </c>
      <c r="C84" s="152" t="s">
        <v>978</v>
      </c>
      <c r="D84" s="154" t="n">
        <v>2024</v>
      </c>
      <c r="E84" s="152"/>
      <c r="F84" s="152"/>
      <c r="G84" s="155" t="s">
        <v>979</v>
      </c>
    </row>
    <row r="85" customFormat="false" ht="35.05" hidden="false" customHeight="false" outlineLevel="0" collapsed="false">
      <c r="A85" s="152" t="s">
        <v>980</v>
      </c>
      <c r="B85" s="152"/>
      <c r="C85" s="152" t="s">
        <v>981</v>
      </c>
      <c r="D85" s="154" t="n">
        <v>2016</v>
      </c>
      <c r="E85" s="152"/>
      <c r="F85" s="152" t="s">
        <v>982</v>
      </c>
      <c r="G85" s="155" t="s">
        <v>983</v>
      </c>
    </row>
    <row r="86" customFormat="false" ht="35.05" hidden="false" customHeight="false" outlineLevel="0" collapsed="false">
      <c r="A86" s="152" t="s">
        <v>984</v>
      </c>
      <c r="B86" s="152"/>
      <c r="C86" s="152" t="s">
        <v>985</v>
      </c>
      <c r="D86" s="154" t="n">
        <v>2021</v>
      </c>
      <c r="E86" s="152"/>
      <c r="F86" s="152" t="s">
        <v>986</v>
      </c>
      <c r="G86" s="155" t="s">
        <v>946</v>
      </c>
    </row>
    <row r="87" customFormat="false" ht="25.5" hidden="false" customHeight="true" outlineLevel="0" collapsed="false">
      <c r="A87" s="147" t="s">
        <v>987</v>
      </c>
      <c r="B87" s="147"/>
      <c r="C87" s="147"/>
      <c r="D87" s="147"/>
      <c r="E87" s="147"/>
      <c r="F87" s="147"/>
      <c r="G87" s="147"/>
    </row>
    <row r="89" customFormat="false" ht="15" hidden="false" customHeight="false" outlineLevel="0" collapsed="false">
      <c r="A89" s="136" t="s">
        <v>988</v>
      </c>
      <c r="B89" s="137"/>
      <c r="C89" s="137"/>
      <c r="D89" s="137"/>
      <c r="E89" s="137"/>
      <c r="F89" s="137"/>
      <c r="G89" s="137"/>
    </row>
    <row r="90" customFormat="false" ht="23.85" hidden="false" customHeight="false" outlineLevel="0" collapsed="false">
      <c r="A90" s="129" t="s">
        <v>989</v>
      </c>
      <c r="B90" s="129" t="s">
        <v>990</v>
      </c>
      <c r="C90" s="129" t="s">
        <v>991</v>
      </c>
      <c r="D90" s="129" t="s">
        <v>992</v>
      </c>
      <c r="E90" s="129" t="s">
        <v>993</v>
      </c>
      <c r="F90" s="129"/>
      <c r="G90" s="129" t="s">
        <v>758</v>
      </c>
    </row>
    <row r="91" customFormat="false" ht="15" hidden="false" customHeight="false" outlineLevel="0" collapsed="false">
      <c r="A91" s="152" t="str">
        <f aca="false">IF(RevenueData!A2="","",RevenueData!A2)</f>
        <v>MKL</v>
      </c>
      <c r="B91" s="15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2" t="n">
        <f aca="false">IF(A91="","",B91*7)</f>
        <v>59541.58</v>
      </c>
      <c r="D91" s="152" t="n">
        <f aca="false">IF(A91="","",B91*19)</f>
        <v>161612.86</v>
      </c>
      <c r="E91" s="152" t="str">
        <f aca="false">IF(A91="","",TRIM(IF(ISNUMBER(RevenueData!B2),"","100LL ")&amp;IF(ISNUMBER(RevenueData!C2),"","Jet-A ")&amp;IF(ISNUMBER(RevenueData!G2),"","tenant ")&amp;IF(ISNUMBER(RevenueData!H2),"","other")))</f>
        <v>other</v>
      </c>
      <c r="F91" s="152"/>
      <c r="G91" s="152" t="s">
        <v>994</v>
      </c>
    </row>
    <row r="92" customFormat="false" ht="15" hidden="false" customHeight="false" outlineLevel="0" collapsed="false">
      <c r="A92" s="152" t="str">
        <f aca="false">IF(RevenueData!A3="","",RevenueData!A3)</f>
        <v>SRB</v>
      </c>
      <c r="B92" s="15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2" t="n">
        <f aca="false">IF(A92="","",B92*7)</f>
        <v>30408.84</v>
      </c>
      <c r="D92" s="152" t="n">
        <f aca="false">IF(A92="","",B92*19)</f>
        <v>82538.28</v>
      </c>
      <c r="E92" s="152" t="str">
        <f aca="false">IF(A92="","",TRIM(IF(ISNUMBER(RevenueData!B3),"","100LL ")&amp;IF(ISNUMBER(RevenueData!C3),"","Jet-A ")&amp;IF(ISNUMBER(RevenueData!G3),"","tenant ")&amp;IF(ISNUMBER(RevenueData!H3),"","other")))</f>
        <v>other</v>
      </c>
      <c r="F92" s="152"/>
      <c r="G92" s="152" t="s">
        <v>994</v>
      </c>
    </row>
    <row r="93" customFormat="false" ht="15" hidden="false" customHeight="false" outlineLevel="0" collapsed="false">
      <c r="A93" s="152" t="str">
        <f aca="false">IF(RevenueData!A4="","",RevenueData!A4)</f>
        <v>MBT</v>
      </c>
      <c r="B93" s="15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2" t="n">
        <f aca="false">IF(A93="","",B93*7)</f>
        <v>61889.66</v>
      </c>
      <c r="D93" s="152" t="n">
        <f aca="false">IF(A93="","",B93*19)</f>
        <v>167986.22</v>
      </c>
      <c r="E93" s="152" t="str">
        <f aca="false">IF(A93="","",TRIM(IF(ISNUMBER(RevenueData!B4),"","100LL ")&amp;IF(ISNUMBER(RevenueData!C4),"","Jet-A ")&amp;IF(ISNUMBER(RevenueData!G4),"","tenant ")&amp;IF(ISNUMBER(RevenueData!H4),"","other")))</f>
        <v>other</v>
      </c>
      <c r="F93" s="152"/>
      <c r="G93" s="152" t="s">
        <v>994</v>
      </c>
    </row>
    <row r="94" customFormat="false" ht="15" hidden="false" customHeight="false" outlineLevel="0" collapsed="false">
      <c r="A94" s="152" t="str">
        <f aca="false">IF(RevenueData!A5="","",RevenueData!A5)</f>
        <v>NQA</v>
      </c>
      <c r="B94" s="156" t="n">
        <f aca="false">IF(A94="","",SUMIF(RevenueData!$A:$A,A94,RevenueData!$B:$B)+SUMIF(RevenueData!$A:$A,A94,RevenueData!$C:$C)+SUMIF(RevenueData!$A:$A,A94,RevenueData!$D:$D)+SUMIF(RevenueData!$A:$A,A94,RevenueData!$E:$E)+SUMIF(RevenueData!$A:$A,A94,RevenueData!$F:$F)+SUMIF(RevenueData!$A:$A,A94,RevenueData!$G:$G)+SUMIF(RevenueData!$A:$A,A94,RevenueData!$H:$H))</f>
        <v>6291</v>
      </c>
      <c r="C94" s="152" t="n">
        <f aca="false">IF(A94="","",B94*7)</f>
        <v>44037</v>
      </c>
      <c r="D94" s="152" t="n">
        <f aca="false">IF(A94="","",B94*19)</f>
        <v>119529</v>
      </c>
      <c r="E94" s="152" t="str">
        <f aca="false">IF(A94="","",TRIM(IF(ISNUMBER(RevenueData!B5),"","100LL ")&amp;IF(ISNUMBER(RevenueData!C5),"","Jet-A ")&amp;IF(ISNUMBER(RevenueData!G5),"","tenant ")&amp;IF(ISNUMBER(RevenueData!H5),"","other")))</f>
        <v/>
      </c>
      <c r="F94" s="152"/>
      <c r="G94" s="152" t="s">
        <v>994</v>
      </c>
    </row>
    <row r="95" customFormat="false" ht="15" hidden="false" customHeight="false" outlineLevel="0" collapsed="false">
      <c r="A95" s="152" t="str">
        <f aca="false">IF(RevenueData!A6="","",RevenueData!A6)</f>
        <v>DKX</v>
      </c>
      <c r="B95" s="156" t="n">
        <f aca="false">IF(A95="","",SUMIF(RevenueData!$A:$A,A95,RevenueData!$B:$B)+SUMIF(RevenueData!$A:$A,A95,RevenueData!$C:$C)+SUMIF(RevenueData!$A:$A,A95,RevenueData!$D:$D)+SUMIF(RevenueData!$A:$A,A95,RevenueData!$E:$E)+SUMIF(RevenueData!$A:$A,A95,RevenueData!$F:$F)+SUMIF(RevenueData!$A:$A,A95,RevenueData!$G:$G)+SUMIF(RevenueData!$A:$A,A95,RevenueData!$H:$H))</f>
        <v>6703</v>
      </c>
      <c r="C95" s="152" t="n">
        <f aca="false">IF(A95="","",B95*7)</f>
        <v>46921</v>
      </c>
      <c r="D95" s="152" t="n">
        <f aca="false">IF(A95="","",B95*19)</f>
        <v>127357</v>
      </c>
      <c r="E95" s="152" t="str">
        <f aca="false">IF(A95="","",TRIM(IF(ISNUMBER(RevenueData!B6),"","100LL ")&amp;IF(ISNUMBER(RevenueData!C6),"","Jet-A ")&amp;IF(ISNUMBER(RevenueData!G6),"","tenant ")&amp;IF(ISNUMBER(RevenueData!H6),"","other")))</f>
        <v/>
      </c>
      <c r="F95" s="152"/>
      <c r="G95" s="152" t="s">
        <v>994</v>
      </c>
    </row>
    <row r="96" customFormat="false" ht="15" hidden="false" customHeight="false" outlineLevel="0" collapsed="false">
      <c r="A96" s="152" t="str">
        <f aca="false">IF(RevenueData!A7="","",RevenueData!A7)</f>
        <v>SYI</v>
      </c>
      <c r="B96" s="15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2" t="n">
        <f aca="false">IF(A96="","",B96*7)</f>
        <v>215716.48</v>
      </c>
      <c r="D96" s="152" t="n">
        <f aca="false">IF(A96="","",B96*19)</f>
        <v>585516.16</v>
      </c>
      <c r="E96" s="152" t="str">
        <f aca="false">IF(A96="","",TRIM(IF(ISNUMBER(RevenueData!B7),"","100LL ")&amp;IF(ISNUMBER(RevenueData!C7),"","Jet-A ")&amp;IF(ISNUMBER(RevenueData!G7),"","tenant ")&amp;IF(ISNUMBER(RevenueData!H7),"","other")))</f>
        <v/>
      </c>
      <c r="F96" s="152"/>
      <c r="G96" s="152" t="s">
        <v>994</v>
      </c>
    </row>
    <row r="97" customFormat="false" ht="15" hidden="false" customHeight="false" outlineLevel="0" collapsed="false">
      <c r="A97" s="152" t="str">
        <f aca="false">IF(RevenueData!A8="","",RevenueData!A8)</f>
        <v>GCY</v>
      </c>
      <c r="B97" s="156" t="n">
        <f aca="false">IF(A97="","",SUMIF(RevenueData!$A:$A,A97,RevenueData!$B:$B)+SUMIF(RevenueData!$A:$A,A97,RevenueData!$C:$C)+SUMIF(RevenueData!$A:$A,A97,RevenueData!$D:$D)+SUMIF(RevenueData!$A:$A,A97,RevenueData!$E:$E)+SUMIF(RevenueData!$A:$A,A97,RevenueData!$F:$F)+SUMIF(RevenueData!$A:$A,A97,RevenueData!$G:$G)+SUMIF(RevenueData!$A:$A,A97,RevenueData!$H:$H))</f>
        <v>1800</v>
      </c>
      <c r="C97" s="152" t="n">
        <f aca="false">IF(A97="","",B97*7)</f>
        <v>12600</v>
      </c>
      <c r="D97" s="152" t="n">
        <f aca="false">IF(A97="","",B97*19)</f>
        <v>34200</v>
      </c>
      <c r="E97" s="152" t="str">
        <f aca="false">IF(A97="","",TRIM(IF(ISNUMBER(RevenueData!B8),"","100LL ")&amp;IF(ISNUMBER(RevenueData!C8),"","Jet-A ")&amp;IF(ISNUMBER(RevenueData!G8),"","tenant ")&amp;IF(ISNUMBER(RevenueData!H8),"","other")))</f>
        <v>tenant</v>
      </c>
      <c r="F97" s="152"/>
      <c r="G97" s="152" t="s">
        <v>994</v>
      </c>
    </row>
    <row r="98" customFormat="false" ht="15" hidden="false" customHeight="false" outlineLevel="0" collapsed="false">
      <c r="A98" s="152" t="str">
        <f aca="false">IF(RevenueData!A9="","",RevenueData!A9)</f>
        <v>THA</v>
      </c>
      <c r="B98" s="156" t="n">
        <f aca="false">IF(A98="","",SUMIF(RevenueData!$A:$A,A98,RevenueData!$B:$B)+SUMIF(RevenueData!$A:$A,A98,RevenueData!$C:$C)+SUMIF(RevenueData!$A:$A,A98,RevenueData!$D:$D)+SUMIF(RevenueData!$A:$A,A98,RevenueData!$E:$E)+SUMIF(RevenueData!$A:$A,A98,RevenueData!$F:$F)+SUMIF(RevenueData!$A:$A,A98,RevenueData!$G:$G)+SUMIF(RevenueData!$A:$A,A98,RevenueData!$H:$H))</f>
        <v>939.26</v>
      </c>
      <c r="C98" s="152" t="n">
        <f aca="false">IF(A98="","",B98*7)</f>
        <v>6574.82</v>
      </c>
      <c r="D98" s="152" t="n">
        <f aca="false">IF(A98="","",B98*19)</f>
        <v>17845.94</v>
      </c>
      <c r="E98" s="152" t="str">
        <f aca="false">IF(A98="","",TRIM(IF(ISNUMBER(RevenueData!B9),"","100LL ")&amp;IF(ISNUMBER(RevenueData!C9),"","Jet-A ")&amp;IF(ISNUMBER(RevenueData!G9),"","tenant ")&amp;IF(ISNUMBER(RevenueData!H9),"","other")))</f>
        <v>tenant</v>
      </c>
      <c r="F98" s="152"/>
      <c r="G98" s="152" t="s">
        <v>994</v>
      </c>
    </row>
    <row r="99" customFormat="false" ht="15" hidden="false" customHeight="false" outlineLevel="0" collapsed="false">
      <c r="A99" s="152" t="str">
        <f aca="false">IF(RevenueData!A10="","",RevenueData!A10)</f>
        <v>GKT</v>
      </c>
      <c r="B99" s="15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2" t="n">
        <f aca="false">IF(A99="","",B99*7)</f>
        <v>38088.19</v>
      </c>
      <c r="D99" s="152" t="n">
        <f aca="false">IF(A99="","",B99*19)</f>
        <v>103382.23</v>
      </c>
      <c r="E99" s="152" t="str">
        <f aca="false">IF(A99="","",TRIM(IF(ISNUMBER(RevenueData!B10),"","100LL ")&amp;IF(ISNUMBER(RevenueData!C10),"","Jet-A ")&amp;IF(ISNUMBER(RevenueData!G10),"","tenant ")&amp;IF(ISNUMBER(RevenueData!H10),"","other")))</f>
        <v>tenant other</v>
      </c>
      <c r="F99" s="152"/>
      <c r="G99" s="152" t="s">
        <v>994</v>
      </c>
    </row>
    <row r="100" customFormat="false" ht="15" hidden="false" customHeight="false" outlineLevel="0" collapsed="false">
      <c r="A100" s="152" t="str">
        <f aca="false">IF(RevenueData!A11="","",RevenueData!A11)</f>
        <v>JWN</v>
      </c>
      <c r="B100" s="15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2" t="n">
        <f aca="false">IF(A100="","",B100*7)</f>
        <v>624680</v>
      </c>
      <c r="D100" s="152" t="n">
        <f aca="false">IF(A100="","",B100*19)</f>
        <v>1695560</v>
      </c>
      <c r="E100" s="152" t="str">
        <f aca="false">IF(A100="","",TRIM(IF(ISNUMBER(RevenueData!B11),"","100LL ")&amp;IF(ISNUMBER(RevenueData!C11),"","Jet-A ")&amp;IF(ISNUMBER(RevenueData!G11),"","tenant ")&amp;IF(ISNUMBER(RevenueData!H11),"","other")))</f>
        <v>tenant</v>
      </c>
      <c r="F100" s="152"/>
      <c r="G100" s="152" t="s">
        <v>994</v>
      </c>
    </row>
    <row r="101" customFormat="false" ht="15" hidden="false" customHeight="false" outlineLevel="0" collapsed="false">
      <c r="A101" s="152" t="str">
        <f aca="false">IF(RevenueData!A12="","",RevenueData!A12)</f>
        <v>MOR</v>
      </c>
      <c r="B101" s="15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2" t="n">
        <f aca="false">IF(A101="","",B101*7)</f>
        <v>61609.8</v>
      </c>
      <c r="D101" s="152" t="n">
        <f aca="false">IF(A101="","",B101*19)</f>
        <v>167226.6</v>
      </c>
      <c r="E101" s="152" t="str">
        <f aca="false">IF(A101="","",TRIM(IF(ISNUMBER(RevenueData!B12),"","100LL ")&amp;IF(ISNUMBER(RevenueData!C12),"","Jet-A ")&amp;IF(ISNUMBER(RevenueData!G12),"","tenant ")&amp;IF(ISNUMBER(RevenueData!H12),"","other")))</f>
        <v>tenant other</v>
      </c>
      <c r="F101" s="152"/>
      <c r="G101" s="152" t="s">
        <v>994</v>
      </c>
    </row>
    <row r="102" customFormat="false" ht="15" hidden="false" customHeight="false" outlineLevel="0" collapsed="false">
      <c r="A102" s="152" t="str">
        <f aca="false">IF(RevenueData!A13="","",RevenueData!A13)</f>
        <v>MQY</v>
      </c>
      <c r="B102" s="15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2" t="n">
        <f aca="false">IF(A102="","",B102*7)</f>
        <v>61889.66</v>
      </c>
      <c r="D102" s="152" t="n">
        <f aca="false">IF(A102="","",B102*19)</f>
        <v>167986.22</v>
      </c>
      <c r="E102" s="152" t="str">
        <f aca="false">IF(A102="","",TRIM(IF(ISNUMBER(RevenueData!B13),"","100LL ")&amp;IF(ISNUMBER(RevenueData!C13),"","Jet-A ")&amp;IF(ISNUMBER(RevenueData!G13),"","tenant ")&amp;IF(ISNUMBER(RevenueData!H13),"","other")))</f>
        <v>other</v>
      </c>
      <c r="F102" s="152"/>
      <c r="G102" s="152" t="s">
        <v>994</v>
      </c>
    </row>
    <row r="103" customFormat="false" ht="15" hidden="false" customHeight="false" outlineLevel="0" collapsed="false">
      <c r="A103" s="152" t="str">
        <f aca="false">IF(RevenueData!A14="","",RevenueData!A14)</f>
        <v>RZR</v>
      </c>
      <c r="B103" s="15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2" t="n">
        <f aca="false">IF(A103="","",B103*7)</f>
        <v>28700</v>
      </c>
      <c r="D103" s="152" t="n">
        <f aca="false">IF(A103="","",B103*19)</f>
        <v>77900</v>
      </c>
      <c r="E103" s="152" t="str">
        <f aca="false">IF(A103="","",TRIM(IF(ISNUMBER(RevenueData!B14),"","100LL ")&amp;IF(ISNUMBER(RevenueData!C14),"","Jet-A ")&amp;IF(ISNUMBER(RevenueData!G14),"","tenant ")&amp;IF(ISNUMBER(RevenueData!H14),"","other")))</f>
        <v/>
      </c>
      <c r="F103" s="152"/>
      <c r="G103" s="152" t="s">
        <v>994</v>
      </c>
    </row>
    <row r="104" customFormat="false" ht="15" hidden="false" customHeight="false" outlineLevel="0" collapsed="false">
      <c r="A104" s="152" t="str">
        <f aca="false">IF(RevenueData!A15="","",RevenueData!A15)</f>
        <v>XNX</v>
      </c>
      <c r="B104" s="15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2" t="n">
        <f aca="false">IF(A104="","",B104*7)</f>
        <v>573.79</v>
      </c>
      <c r="D104" s="152" t="n">
        <f aca="false">IF(A104="","",B104*19)</f>
        <v>1557.43</v>
      </c>
      <c r="E104" s="152" t="str">
        <f aca="false">IF(A104="","",TRIM(IF(ISNUMBER(RevenueData!B15),"","100LL ")&amp;IF(ISNUMBER(RevenueData!C15),"","Jet-A ")&amp;IF(ISNUMBER(RevenueData!G15),"","tenant ")&amp;IF(ISNUMBER(RevenueData!H15),"","other")))</f>
        <v>tenant other</v>
      </c>
      <c r="F104" s="152"/>
      <c r="G104" s="152" t="s">
        <v>994</v>
      </c>
    </row>
    <row r="105" customFormat="false" ht="15" hidden="false" customHeight="false" outlineLevel="0" collapsed="false">
      <c r="A105" s="152" t="str">
        <f aca="false">IF(RevenueData!A16="","",RevenueData!A16)</f>
        <v>M91</v>
      </c>
      <c r="B105" s="15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2" t="n">
        <f aca="false">IF(A105="","",B105*7)</f>
        <v>14406</v>
      </c>
      <c r="D105" s="152" t="n">
        <f aca="false">IF(A105="","",B105*19)</f>
        <v>39102</v>
      </c>
      <c r="E105" s="152" t="str">
        <f aca="false">IF(A105="","",TRIM(IF(ISNUMBER(RevenueData!B16),"","100LL ")&amp;IF(ISNUMBER(RevenueData!C16),"","Jet-A ")&amp;IF(ISNUMBER(RevenueData!G16),"","tenant ")&amp;IF(ISNUMBER(RevenueData!H16),"","other")))</f>
        <v/>
      </c>
      <c r="F105" s="152"/>
      <c r="G105" s="152" t="s">
        <v>994</v>
      </c>
    </row>
    <row r="106" customFormat="false" ht="15" hidden="false" customHeight="false" outlineLevel="0" collapsed="false">
      <c r="A106" s="152" t="str">
        <f aca="false">IF(RevenueData!A17="","",RevenueData!A17)</f>
        <v>CKV</v>
      </c>
      <c r="B106" s="15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2" t="n">
        <f aca="false">IF(A106="","",B106*7)</f>
        <v>22675.73</v>
      </c>
      <c r="D106" s="152" t="n">
        <f aca="false">IF(A106="","",B106*19)</f>
        <v>61548.41</v>
      </c>
      <c r="E106" s="152" t="str">
        <f aca="false">IF(A106="","",TRIM(IF(ISNUMBER(RevenueData!B17),"","100LL ")&amp;IF(ISNUMBER(RevenueData!C17),"","Jet-A ")&amp;IF(ISNUMBER(RevenueData!G17),"","tenant ")&amp;IF(ISNUMBER(RevenueData!H17),"","other")))</f>
        <v>tenant other</v>
      </c>
      <c r="F106" s="152"/>
      <c r="G106" s="152" t="s">
        <v>994</v>
      </c>
    </row>
    <row r="107" customFormat="false" ht="15" hidden="false" customHeight="false" outlineLevel="0" collapsed="false">
      <c r="A107" s="152" t="str">
        <f aca="false">IF(RevenueData!A18="","",RevenueData!A18)</f>
        <v>M54</v>
      </c>
      <c r="B107" s="15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2" t="n">
        <f aca="false">IF(A107="","",B107*7)</f>
        <v>7194.67</v>
      </c>
      <c r="D107" s="152" t="n">
        <f aca="false">IF(A107="","",B107*19)</f>
        <v>19528.39</v>
      </c>
      <c r="E107" s="152" t="str">
        <f aca="false">IF(A107="","",TRIM(IF(ISNUMBER(RevenueData!B18),"","100LL ")&amp;IF(ISNUMBER(RevenueData!C18),"","Jet-A ")&amp;IF(ISNUMBER(RevenueData!G18),"","tenant ")&amp;IF(ISNUMBER(RevenueData!H18),"","other")))</f>
        <v>100LL Jet-A</v>
      </c>
      <c r="F107" s="152"/>
      <c r="G107" s="152" t="s">
        <v>994</v>
      </c>
    </row>
    <row r="108" customFormat="false" ht="25.5" hidden="false" customHeight="true" outlineLevel="0" collapsed="false">
      <c r="A108" s="147" t="s">
        <v>995</v>
      </c>
      <c r="B108" s="147"/>
      <c r="C108" s="147"/>
      <c r="D108" s="147"/>
      <c r="E108" s="147"/>
      <c r="F108" s="147"/>
      <c r="G108" s="147"/>
    </row>
    <row r="110" customFormat="false" ht="15" hidden="false" customHeight="false" outlineLevel="0" collapsed="false">
      <c r="A110" s="136" t="s">
        <v>996</v>
      </c>
      <c r="B110" s="137"/>
      <c r="C110" s="137"/>
      <c r="D110" s="137"/>
      <c r="E110" s="137"/>
      <c r="F110" s="137"/>
      <c r="G110" s="137"/>
    </row>
    <row r="111" customFormat="false" ht="15" hidden="false" customHeight="false" outlineLevel="0" collapsed="false">
      <c r="A111" s="129" t="s">
        <v>30</v>
      </c>
      <c r="B111" s="129" t="s">
        <v>757</v>
      </c>
      <c r="C111" s="129"/>
      <c r="D111" s="129"/>
      <c r="E111" s="129"/>
      <c r="F111" s="129"/>
      <c r="G111" s="129" t="s">
        <v>758</v>
      </c>
    </row>
    <row r="112" customFormat="false" ht="15" hidden="false" customHeight="false" outlineLevel="0" collapsed="false">
      <c r="A112" s="152" t="s">
        <v>997</v>
      </c>
      <c r="B112" s="156" t="n">
        <f aca="false">COUNTA('General Information'!$L$10:$L$88)</f>
        <v>79</v>
      </c>
      <c r="C112" s="152"/>
      <c r="D112" s="152"/>
      <c r="E112" s="152"/>
      <c r="F112" s="152"/>
      <c r="G112" s="152" t="s">
        <v>998</v>
      </c>
    </row>
    <row r="113" customFormat="false" ht="15" hidden="false" customHeight="false" outlineLevel="0" collapsed="false">
      <c r="A113" s="152" t="s">
        <v>999</v>
      </c>
      <c r="B113" s="156" t="n">
        <f aca="false">COUNTA(RevenueData!$A$2:$A$60)</f>
        <v>17</v>
      </c>
      <c r="C113" s="152"/>
      <c r="D113" s="152"/>
      <c r="E113" s="152"/>
      <c r="F113" s="152"/>
      <c r="G113" s="152" t="s">
        <v>1000</v>
      </c>
    </row>
    <row r="114" customFormat="false" ht="15" hidden="false" customHeight="false" outlineLevel="0" collapsed="false">
      <c r="A114" s="152" t="s">
        <v>1001</v>
      </c>
      <c r="B114" s="156" t="str">
        <f aca="false">COUNTIF('General Information'!$P$10:$P$88,"Middle")&amp;" / "&amp;COUNTIF('General Information'!$P$10:$P$88,"West")&amp;" / "&amp;COUNTIF('General Information'!$P$10:$P$88,"East")</f>
        <v>33 / 21 / 25</v>
      </c>
      <c r="C114" s="152"/>
      <c r="D114" s="152"/>
      <c r="E114" s="152"/>
      <c r="F114" s="152"/>
      <c r="G114" s="152" t="s">
        <v>998</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753</v>
      </c>
    </row>
    <row r="3" customFormat="false" ht="15" hidden="false" customHeight="false" outlineLevel="0" collapsed="false">
      <c r="A3" s="126" t="s">
        <v>1002</v>
      </c>
    </row>
    <row r="4" customFormat="false" ht="42" hidden="false" customHeight="true" outlineLevel="0" collapsed="false">
      <c r="A4" s="147" t="s">
        <v>1003</v>
      </c>
      <c r="B4" s="147"/>
      <c r="C4" s="147"/>
      <c r="D4" s="147"/>
      <c r="E4" s="147"/>
    </row>
    <row r="6" customFormat="false" ht="15" hidden="false" customHeight="false" outlineLevel="0" collapsed="false">
      <c r="A6" s="136" t="s">
        <v>1004</v>
      </c>
      <c r="B6" s="137"/>
      <c r="C6" s="137"/>
      <c r="D6" s="137"/>
      <c r="E6" s="137"/>
    </row>
    <row r="7" customFormat="false" ht="15" hidden="false" customHeight="false" outlineLevel="0" collapsed="false">
      <c r="A7" s="129" t="s">
        <v>1005</v>
      </c>
      <c r="B7" s="129" t="s">
        <v>1006</v>
      </c>
      <c r="C7" s="129" t="s">
        <v>1007</v>
      </c>
      <c r="D7" s="129" t="s">
        <v>1008</v>
      </c>
      <c r="E7" s="129" t="s">
        <v>1009</v>
      </c>
    </row>
    <row r="8" customFormat="false" ht="35.05" hidden="false" customHeight="false" outlineLevel="0" collapsed="false">
      <c r="A8" s="152" t="s">
        <v>1010</v>
      </c>
      <c r="B8" s="152" t="s">
        <v>1011</v>
      </c>
      <c r="C8" s="157" t="s">
        <v>1012</v>
      </c>
      <c r="D8" s="152" t="s">
        <v>1013</v>
      </c>
      <c r="E8" s="152" t="s">
        <v>1014</v>
      </c>
    </row>
    <row r="9" customFormat="false" ht="23.85" hidden="false" customHeight="false" outlineLevel="0" collapsed="false">
      <c r="A9" s="152" t="s">
        <v>1015</v>
      </c>
      <c r="B9" s="152" t="s">
        <v>1016</v>
      </c>
      <c r="C9" s="157" t="s">
        <v>1017</v>
      </c>
      <c r="D9" s="152" t="s">
        <v>1018</v>
      </c>
      <c r="E9" s="152" t="s">
        <v>1019</v>
      </c>
    </row>
    <row r="10" customFormat="false" ht="23.85" hidden="false" customHeight="false" outlineLevel="0" collapsed="false">
      <c r="A10" s="152" t="s">
        <v>1020</v>
      </c>
      <c r="B10" s="152" t="s">
        <v>1021</v>
      </c>
      <c r="C10" s="157"/>
      <c r="D10" s="152" t="s">
        <v>1022</v>
      </c>
      <c r="E10" s="152" t="s">
        <v>1019</v>
      </c>
    </row>
    <row r="11" customFormat="false" ht="25.5" hidden="false" customHeight="true" outlineLevel="0" collapsed="false">
      <c r="A11" s="147" t="s">
        <v>1023</v>
      </c>
      <c r="B11" s="147"/>
      <c r="C11" s="147"/>
      <c r="D11" s="147"/>
      <c r="E11" s="147"/>
    </row>
    <row r="13" customFormat="false" ht="15" hidden="false" customHeight="false" outlineLevel="0" collapsed="false">
      <c r="A13" s="136" t="s">
        <v>1024</v>
      </c>
      <c r="B13" s="137"/>
      <c r="C13" s="137"/>
      <c r="D13" s="137"/>
      <c r="E13" s="137"/>
    </row>
    <row r="14" customFormat="false" ht="15" hidden="false" customHeight="false" outlineLevel="0" collapsed="false">
      <c r="A14" s="129" t="s">
        <v>1005</v>
      </c>
      <c r="B14" s="129" t="s">
        <v>1006</v>
      </c>
      <c r="C14" s="129" t="s">
        <v>1007</v>
      </c>
      <c r="D14" s="129" t="s">
        <v>1008</v>
      </c>
      <c r="E14" s="129" t="s">
        <v>1009</v>
      </c>
    </row>
    <row r="15" customFormat="false" ht="23.85" hidden="false" customHeight="false" outlineLevel="0" collapsed="false">
      <c r="A15" s="152" t="s">
        <v>1025</v>
      </c>
      <c r="B15" s="152" t="s">
        <v>1026</v>
      </c>
      <c r="C15" s="157" t="s">
        <v>1027</v>
      </c>
      <c r="D15" s="152" t="s">
        <v>1028</v>
      </c>
      <c r="E15" s="152" t="s">
        <v>1029</v>
      </c>
    </row>
    <row r="16" customFormat="false" ht="35.05" hidden="false" customHeight="false" outlineLevel="0" collapsed="false">
      <c r="A16" s="152" t="s">
        <v>1030</v>
      </c>
      <c r="B16" s="152" t="s">
        <v>1031</v>
      </c>
      <c r="C16" s="157" t="s">
        <v>1032</v>
      </c>
      <c r="D16" s="152" t="s">
        <v>1033</v>
      </c>
      <c r="E16" s="152" t="s">
        <v>1034</v>
      </c>
    </row>
    <row r="17" customFormat="false" ht="15" hidden="false" customHeight="false" outlineLevel="0" collapsed="false">
      <c r="A17" s="152" t="s">
        <v>1035</v>
      </c>
      <c r="B17" s="152" t="s">
        <v>1036</v>
      </c>
      <c r="C17" s="157" t="s">
        <v>1037</v>
      </c>
      <c r="D17" s="152" t="s">
        <v>1038</v>
      </c>
      <c r="E17" s="152" t="s">
        <v>1039</v>
      </c>
    </row>
    <row r="18" customFormat="false" ht="15" hidden="false" customHeight="false" outlineLevel="0" collapsed="false">
      <c r="A18" s="152" t="s">
        <v>25</v>
      </c>
      <c r="B18" s="152" t="s">
        <v>1040</v>
      </c>
      <c r="C18" s="157" t="s">
        <v>1041</v>
      </c>
      <c r="D18" s="152" t="s">
        <v>1042</v>
      </c>
      <c r="E18" s="152" t="s">
        <v>1043</v>
      </c>
    </row>
    <row r="19" customFormat="false" ht="23.85" hidden="false" customHeight="false" outlineLevel="0" collapsed="false">
      <c r="A19" s="152" t="s">
        <v>26</v>
      </c>
      <c r="B19" s="152" t="s">
        <v>1044</v>
      </c>
      <c r="C19" s="157" t="s">
        <v>1045</v>
      </c>
      <c r="D19" s="152" t="s">
        <v>1046</v>
      </c>
      <c r="E19" s="152" t="s">
        <v>1047</v>
      </c>
    </row>
    <row r="20" customFormat="false" ht="23.85" hidden="false" customHeight="false" outlineLevel="0" collapsed="false">
      <c r="A20" s="152" t="s">
        <v>1048</v>
      </c>
      <c r="B20" s="152" t="s">
        <v>1049</v>
      </c>
      <c r="C20" s="157" t="s">
        <v>1050</v>
      </c>
      <c r="D20" s="152" t="s">
        <v>1051</v>
      </c>
      <c r="E20" s="152" t="s">
        <v>1029</v>
      </c>
    </row>
    <row r="22" customFormat="false" ht="15" hidden="false" customHeight="false" outlineLevel="0" collapsed="false">
      <c r="A22" s="136" t="s">
        <v>1052</v>
      </c>
      <c r="B22" s="137"/>
      <c r="C22" s="137"/>
      <c r="D22" s="137"/>
      <c r="E22" s="137"/>
    </row>
    <row r="23" customFormat="false" ht="15" hidden="false" customHeight="false" outlineLevel="0" collapsed="false">
      <c r="A23" s="129" t="s">
        <v>1005</v>
      </c>
      <c r="B23" s="129" t="s">
        <v>1006</v>
      </c>
      <c r="C23" s="129" t="s">
        <v>1007</v>
      </c>
      <c r="D23" s="129" t="s">
        <v>1008</v>
      </c>
      <c r="E23" s="129" t="s">
        <v>1009</v>
      </c>
    </row>
    <row r="24" customFormat="false" ht="35.05" hidden="false" customHeight="false" outlineLevel="0" collapsed="false">
      <c r="A24" s="152" t="s">
        <v>1053</v>
      </c>
      <c r="B24" s="152" t="s">
        <v>1054</v>
      </c>
      <c r="C24" s="157" t="s">
        <v>1055</v>
      </c>
      <c r="D24" s="152" t="s">
        <v>1056</v>
      </c>
      <c r="E24" s="152" t="s">
        <v>1057</v>
      </c>
    </row>
    <row r="25" customFormat="false" ht="23.85" hidden="false" customHeight="false" outlineLevel="0" collapsed="false">
      <c r="A25" s="152" t="s">
        <v>1058</v>
      </c>
      <c r="B25" s="152" t="s">
        <v>1059</v>
      </c>
      <c r="C25" s="157"/>
      <c r="D25" s="152" t="s">
        <v>1060</v>
      </c>
      <c r="E25" s="152" t="s">
        <v>1029</v>
      </c>
    </row>
    <row r="26" customFormat="false" ht="35.05" hidden="false" customHeight="false" outlineLevel="0" collapsed="false">
      <c r="A26" s="152" t="s">
        <v>1061</v>
      </c>
      <c r="B26" s="152" t="s">
        <v>1062</v>
      </c>
      <c r="C26" s="157" t="s">
        <v>1063</v>
      </c>
      <c r="D26" s="152" t="s">
        <v>1064</v>
      </c>
      <c r="E26" s="152" t="s">
        <v>1065</v>
      </c>
    </row>
    <row r="27" customFormat="false" ht="25.5" hidden="false" customHeight="true" outlineLevel="0" collapsed="false">
      <c r="A27" s="147" t="s">
        <v>1066</v>
      </c>
      <c r="B27" s="147"/>
      <c r="C27" s="147"/>
      <c r="D27" s="147"/>
      <c r="E27" s="147"/>
    </row>
    <row r="29" customFormat="false" ht="15" hidden="false" customHeight="false" outlineLevel="0" collapsed="false">
      <c r="A29" s="136" t="s">
        <v>1067</v>
      </c>
      <c r="B29" s="137"/>
      <c r="C29" s="137"/>
      <c r="D29" s="137"/>
      <c r="E29" s="137"/>
    </row>
    <row r="30" customFormat="false" ht="15" hidden="false" customHeight="false" outlineLevel="0" collapsed="false">
      <c r="A30" s="129" t="s">
        <v>1005</v>
      </c>
      <c r="B30" s="129" t="s">
        <v>1006</v>
      </c>
      <c r="C30" s="129" t="s">
        <v>1007</v>
      </c>
      <c r="D30" s="129" t="s">
        <v>1008</v>
      </c>
      <c r="E30" s="129" t="s">
        <v>1009</v>
      </c>
    </row>
    <row r="31" customFormat="false" ht="23.85" hidden="false" customHeight="false" outlineLevel="0" collapsed="false">
      <c r="A31" s="152" t="s">
        <v>1068</v>
      </c>
      <c r="B31" s="152" t="s">
        <v>1069</v>
      </c>
      <c r="C31" s="157" t="s">
        <v>1070</v>
      </c>
      <c r="D31" s="152" t="s">
        <v>1071</v>
      </c>
      <c r="E31" s="152" t="s">
        <v>1072</v>
      </c>
    </row>
    <row r="32" customFormat="false" ht="23.85" hidden="false" customHeight="false" outlineLevel="0" collapsed="false">
      <c r="A32" s="152" t="s">
        <v>1073</v>
      </c>
      <c r="B32" s="152" t="s">
        <v>1074</v>
      </c>
      <c r="C32" s="157" t="s">
        <v>1075</v>
      </c>
      <c r="D32" s="152" t="s">
        <v>1076</v>
      </c>
      <c r="E32" s="152" t="s">
        <v>1077</v>
      </c>
    </row>
    <row r="33" customFormat="false" ht="23.85" hidden="false" customHeight="false" outlineLevel="0" collapsed="false">
      <c r="A33" s="152" t="s">
        <v>1078</v>
      </c>
      <c r="B33" s="152" t="s">
        <v>1079</v>
      </c>
      <c r="C33" s="157" t="s">
        <v>1080</v>
      </c>
      <c r="D33" s="152" t="s">
        <v>1081</v>
      </c>
      <c r="E33" s="152" t="s">
        <v>1082</v>
      </c>
    </row>
    <row r="34" customFormat="false" ht="23.85" hidden="false" customHeight="false" outlineLevel="0" collapsed="false">
      <c r="A34" s="152" t="s">
        <v>1083</v>
      </c>
      <c r="B34" s="152" t="s">
        <v>1084</v>
      </c>
      <c r="C34" s="157" t="s">
        <v>1085</v>
      </c>
      <c r="D34" s="152" t="s">
        <v>1086</v>
      </c>
      <c r="E34" s="152" t="s">
        <v>1087</v>
      </c>
    </row>
    <row r="35" customFormat="false" ht="23.85" hidden="false" customHeight="false" outlineLevel="0" collapsed="false">
      <c r="A35" s="152" t="s">
        <v>1088</v>
      </c>
      <c r="B35" s="152" t="s">
        <v>1089</v>
      </c>
      <c r="C35" s="157" t="s">
        <v>1090</v>
      </c>
      <c r="D35" s="152" t="s">
        <v>1091</v>
      </c>
      <c r="E35" s="152" t="s">
        <v>1092</v>
      </c>
    </row>
    <row r="36" customFormat="false" ht="23.85" hidden="false" customHeight="false" outlineLevel="0" collapsed="false">
      <c r="A36" s="152" t="s">
        <v>1093</v>
      </c>
      <c r="B36" s="152" t="s">
        <v>1094</v>
      </c>
      <c r="C36" s="157" t="s">
        <v>1095</v>
      </c>
      <c r="D36" s="152" t="s">
        <v>1096</v>
      </c>
      <c r="E36" s="152" t="s">
        <v>1097</v>
      </c>
    </row>
    <row r="37" customFormat="false" ht="23.85" hidden="false" customHeight="false" outlineLevel="0" collapsed="false">
      <c r="A37" s="152" t="s">
        <v>1098</v>
      </c>
      <c r="B37" s="152" t="s">
        <v>1099</v>
      </c>
      <c r="C37" s="157" t="s">
        <v>1100</v>
      </c>
      <c r="D37" s="152" t="s">
        <v>1101</v>
      </c>
      <c r="E37" s="152" t="s">
        <v>1102</v>
      </c>
    </row>
    <row r="38" customFormat="false" ht="25.5" hidden="false" customHeight="true" outlineLevel="0" collapsed="false">
      <c r="A38" s="147" t="s">
        <v>1103</v>
      </c>
      <c r="B38" s="147"/>
      <c r="C38" s="147"/>
      <c r="D38" s="147"/>
      <c r="E38" s="147"/>
    </row>
    <row r="40" customFormat="false" ht="15" hidden="false" customHeight="false" outlineLevel="0" collapsed="false">
      <c r="A40" s="136" t="s">
        <v>1104</v>
      </c>
      <c r="B40" s="137"/>
      <c r="C40" s="137"/>
      <c r="D40" s="137"/>
      <c r="E40" s="137"/>
    </row>
    <row r="41" customFormat="false" ht="15" hidden="false" customHeight="false" outlineLevel="0" collapsed="false">
      <c r="A41" s="129" t="s">
        <v>1005</v>
      </c>
      <c r="B41" s="129" t="s">
        <v>1006</v>
      </c>
      <c r="C41" s="129" t="s">
        <v>1007</v>
      </c>
      <c r="D41" s="129" t="s">
        <v>1008</v>
      </c>
      <c r="E41" s="129" t="s">
        <v>1009</v>
      </c>
    </row>
    <row r="42" customFormat="false" ht="23.85" hidden="false" customHeight="false" outlineLevel="0" collapsed="false">
      <c r="A42" s="152" t="s">
        <v>1105</v>
      </c>
      <c r="B42" s="152" t="s">
        <v>1106</v>
      </c>
      <c r="C42" s="157" t="s">
        <v>1107</v>
      </c>
      <c r="D42" s="152" t="s">
        <v>1108</v>
      </c>
      <c r="E42" s="152" t="s">
        <v>1109</v>
      </c>
    </row>
    <row r="43" customFormat="false" ht="23.85" hidden="false" customHeight="false" outlineLevel="0" collapsed="false">
      <c r="A43" s="152" t="s">
        <v>1110</v>
      </c>
      <c r="B43" s="152" t="s">
        <v>1111</v>
      </c>
      <c r="C43" s="157" t="s">
        <v>1112</v>
      </c>
      <c r="D43" s="152" t="s">
        <v>1113</v>
      </c>
      <c r="E43" s="152" t="s">
        <v>1114</v>
      </c>
    </row>
    <row r="44" customFormat="false" ht="15" hidden="false" customHeight="false" outlineLevel="0" collapsed="false">
      <c r="A44" s="152" t="s">
        <v>1115</v>
      </c>
      <c r="B44" s="152" t="s">
        <v>1116</v>
      </c>
      <c r="C44" s="157" t="s">
        <v>1117</v>
      </c>
      <c r="D44" s="152" t="s">
        <v>1118</v>
      </c>
      <c r="E44" s="152" t="s">
        <v>1114</v>
      </c>
    </row>
    <row r="45" customFormat="false" ht="23.85" hidden="false" customHeight="false" outlineLevel="0" collapsed="false">
      <c r="A45" s="152" t="s">
        <v>1119</v>
      </c>
      <c r="B45" s="152" t="s">
        <v>1120</v>
      </c>
      <c r="C45" s="157" t="s">
        <v>1121</v>
      </c>
      <c r="D45" s="152" t="s">
        <v>1122</v>
      </c>
      <c r="E45" s="152" t="s">
        <v>1114</v>
      </c>
    </row>
    <row r="46" customFormat="false" ht="23.85" hidden="false" customHeight="false" outlineLevel="0" collapsed="false">
      <c r="A46" s="152" t="s">
        <v>1123</v>
      </c>
      <c r="B46" s="152" t="s">
        <v>1124</v>
      </c>
      <c r="C46" s="157"/>
      <c r="D46" s="152" t="s">
        <v>1125</v>
      </c>
      <c r="E46" s="152" t="s">
        <v>1029</v>
      </c>
    </row>
    <row r="47" customFormat="false" ht="25.5" hidden="false" customHeight="true" outlineLevel="0" collapsed="false">
      <c r="A47" s="147" t="s">
        <v>1126</v>
      </c>
      <c r="B47" s="147"/>
      <c r="C47" s="147"/>
      <c r="D47" s="147"/>
      <c r="E47" s="147"/>
    </row>
    <row r="49" customFormat="false" ht="15" hidden="false" customHeight="false" outlineLevel="0" collapsed="false">
      <c r="A49" s="136" t="s">
        <v>1127</v>
      </c>
      <c r="B49" s="137"/>
      <c r="C49" s="137"/>
      <c r="D49" s="137"/>
      <c r="E49" s="137"/>
    </row>
    <row r="50" customFormat="false" ht="15" hidden="false" customHeight="false" outlineLevel="0" collapsed="false">
      <c r="A50" s="129" t="s">
        <v>1005</v>
      </c>
      <c r="B50" s="129" t="s">
        <v>1006</v>
      </c>
      <c r="C50" s="129" t="s">
        <v>1007</v>
      </c>
      <c r="D50" s="129" t="s">
        <v>1008</v>
      </c>
      <c r="E50" s="129" t="s">
        <v>1009</v>
      </c>
    </row>
    <row r="51" customFormat="false" ht="23.85" hidden="false" customHeight="false" outlineLevel="0" collapsed="false">
      <c r="A51" s="152" t="s">
        <v>1128</v>
      </c>
      <c r="B51" s="152" t="s">
        <v>1129</v>
      </c>
      <c r="C51" s="157"/>
      <c r="D51" s="152" t="s">
        <v>1130</v>
      </c>
      <c r="E51" s="152" t="s">
        <v>1129</v>
      </c>
    </row>
    <row r="52" customFormat="false" ht="23.85" hidden="false" customHeight="false" outlineLevel="0" collapsed="false">
      <c r="A52" s="152" t="s">
        <v>1131</v>
      </c>
      <c r="B52" s="152" t="s">
        <v>1132</v>
      </c>
      <c r="C52" s="157" t="s">
        <v>1133</v>
      </c>
      <c r="D52" s="152" t="s">
        <v>1134</v>
      </c>
      <c r="E52" s="152" t="s">
        <v>1135</v>
      </c>
    </row>
    <row r="53" customFormat="false" ht="23.85" hidden="false" customHeight="false" outlineLevel="0" collapsed="false">
      <c r="A53" s="152" t="s">
        <v>1136</v>
      </c>
      <c r="B53" s="152" t="s">
        <v>1137</v>
      </c>
      <c r="C53" s="157" t="s">
        <v>1138</v>
      </c>
      <c r="D53" s="152" t="s">
        <v>1139</v>
      </c>
      <c r="E53" s="152" t="s">
        <v>1140</v>
      </c>
    </row>
    <row r="54" customFormat="false" ht="23.85" hidden="false" customHeight="false" outlineLevel="0" collapsed="false">
      <c r="A54" s="152" t="s">
        <v>1141</v>
      </c>
      <c r="B54" s="152" t="s">
        <v>1142</v>
      </c>
      <c r="C54" s="157" t="s">
        <v>1143</v>
      </c>
      <c r="D54" s="152" t="s">
        <v>1144</v>
      </c>
      <c r="E54" s="152" t="s">
        <v>1029</v>
      </c>
    </row>
    <row r="55" customFormat="false" ht="25.5" hidden="false" customHeight="true" outlineLevel="0" collapsed="false">
      <c r="A55" s="147" t="s">
        <v>1145</v>
      </c>
      <c r="B55" s="147"/>
      <c r="C55" s="147"/>
      <c r="D55" s="147"/>
      <c r="E55" s="147"/>
    </row>
    <row r="57" customFormat="false" ht="15" hidden="false" customHeight="false" outlineLevel="0" collapsed="false">
      <c r="A57" s="136" t="s">
        <v>1146</v>
      </c>
      <c r="B57" s="137"/>
      <c r="C57" s="137"/>
      <c r="D57" s="137"/>
      <c r="E57" s="137"/>
    </row>
    <row r="58" customFormat="false" ht="15" hidden="false" customHeight="false" outlineLevel="0" collapsed="false">
      <c r="A58" s="129" t="s">
        <v>1005</v>
      </c>
      <c r="B58" s="129" t="s">
        <v>1006</v>
      </c>
      <c r="C58" s="129" t="s">
        <v>1007</v>
      </c>
      <c r="D58" s="129" t="s">
        <v>1008</v>
      </c>
      <c r="E58" s="129" t="s">
        <v>1009</v>
      </c>
    </row>
    <row r="59" customFormat="false" ht="23.85" hidden="false" customHeight="false" outlineLevel="0" collapsed="false">
      <c r="A59" s="152" t="s">
        <v>566</v>
      </c>
      <c r="B59" s="152" t="s">
        <v>1147</v>
      </c>
      <c r="C59" s="157" t="s">
        <v>1148</v>
      </c>
      <c r="D59" s="152" t="s">
        <v>1149</v>
      </c>
      <c r="E59" s="152" t="s">
        <v>1150</v>
      </c>
    </row>
    <row r="60" customFormat="false" ht="23.85" hidden="false" customHeight="false" outlineLevel="0" collapsed="false">
      <c r="A60" s="152" t="s">
        <v>7</v>
      </c>
      <c r="B60" s="152" t="s">
        <v>1151</v>
      </c>
      <c r="C60" s="157" t="s">
        <v>1152</v>
      </c>
      <c r="D60" s="152" t="s">
        <v>1153</v>
      </c>
      <c r="E60" s="152" t="s">
        <v>1154</v>
      </c>
    </row>
    <row r="61" customFormat="false" ht="15" hidden="false" customHeight="false" outlineLevel="0" collapsed="false">
      <c r="A61" s="152" t="s">
        <v>1155</v>
      </c>
      <c r="B61" s="152" t="s">
        <v>1156</v>
      </c>
      <c r="C61" s="157" t="s">
        <v>1157</v>
      </c>
      <c r="D61" s="152" t="s">
        <v>1158</v>
      </c>
      <c r="E61" s="152" t="s">
        <v>1159</v>
      </c>
    </row>
    <row r="62" customFormat="false" ht="25.5" hidden="false" customHeight="true" outlineLevel="0" collapsed="false">
      <c r="A62" s="147" t="s">
        <v>1160</v>
      </c>
      <c r="B62" s="147"/>
      <c r="C62" s="147"/>
      <c r="D62" s="147"/>
      <c r="E62" s="147"/>
    </row>
    <row r="64" customFormat="false" ht="15" hidden="false" customHeight="false" outlineLevel="0" collapsed="false">
      <c r="A64" s="136" t="s">
        <v>1161</v>
      </c>
      <c r="B64" s="137"/>
      <c r="C64" s="137"/>
      <c r="D64" s="137"/>
      <c r="E64" s="137"/>
    </row>
    <row r="65" customFormat="false" ht="15" hidden="false" customHeight="false" outlineLevel="0" collapsed="false">
      <c r="A65" s="129" t="s">
        <v>1005</v>
      </c>
      <c r="B65" s="129" t="s">
        <v>1006</v>
      </c>
      <c r="C65" s="129" t="s">
        <v>1007</v>
      </c>
      <c r="D65" s="129" t="s">
        <v>1008</v>
      </c>
      <c r="E65" s="129" t="s">
        <v>1009</v>
      </c>
    </row>
    <row r="66" customFormat="false" ht="23.85" hidden="false" customHeight="false" outlineLevel="0" collapsed="false">
      <c r="A66" s="152" t="s">
        <v>1162</v>
      </c>
      <c r="B66" s="152" t="s">
        <v>1062</v>
      </c>
      <c r="C66" s="157" t="s">
        <v>1163</v>
      </c>
      <c r="D66" s="152" t="s">
        <v>1164</v>
      </c>
      <c r="E66" s="152" t="s">
        <v>1165</v>
      </c>
    </row>
    <row r="67" customFormat="false" ht="35.05" hidden="false" customHeight="false" outlineLevel="0" collapsed="false">
      <c r="A67" s="152" t="s">
        <v>1166</v>
      </c>
      <c r="B67" s="152" t="s">
        <v>1167</v>
      </c>
      <c r="C67" s="157"/>
      <c r="D67" s="152" t="s">
        <v>1168</v>
      </c>
      <c r="E67" s="152" t="s">
        <v>1169</v>
      </c>
    </row>
    <row r="68" customFormat="false" ht="23.85" hidden="false" customHeight="false" outlineLevel="0" collapsed="false">
      <c r="A68" s="152" t="s">
        <v>1170</v>
      </c>
      <c r="B68" s="152" t="s">
        <v>1159</v>
      </c>
      <c r="C68" s="157"/>
      <c r="D68" s="152" t="s">
        <v>1171</v>
      </c>
      <c r="E68" s="152" t="s">
        <v>1172</v>
      </c>
    </row>
    <row r="69" customFormat="false" ht="15" hidden="false" customHeight="false" outlineLevel="0" collapsed="false">
      <c r="A69" s="152" t="s">
        <v>675</v>
      </c>
      <c r="B69" s="152" t="s">
        <v>1011</v>
      </c>
      <c r="C69" s="157" t="s">
        <v>1012</v>
      </c>
      <c r="D69" s="152" t="s">
        <v>1173</v>
      </c>
      <c r="E69" s="152" t="s">
        <v>1029</v>
      </c>
    </row>
    <row r="71" customFormat="false" ht="15" hidden="false" customHeight="false" outlineLevel="0" collapsed="false">
      <c r="A71" s="136" t="s">
        <v>1174</v>
      </c>
      <c r="B71" s="137"/>
      <c r="C71" s="137"/>
      <c r="D71" s="137"/>
      <c r="E71" s="137"/>
    </row>
    <row r="72" customFormat="false" ht="15" hidden="false" customHeight="false" outlineLevel="0" collapsed="false">
      <c r="A72" s="129" t="s">
        <v>1005</v>
      </c>
      <c r="B72" s="129" t="s">
        <v>1006</v>
      </c>
      <c r="C72" s="129" t="s">
        <v>1007</v>
      </c>
      <c r="D72" s="129" t="s">
        <v>1008</v>
      </c>
      <c r="E72" s="129" t="s">
        <v>1009</v>
      </c>
    </row>
    <row r="73" customFormat="false" ht="35.05" hidden="false" customHeight="false" outlineLevel="0" collapsed="false">
      <c r="A73" s="152" t="s">
        <v>1175</v>
      </c>
      <c r="B73" s="152" t="s">
        <v>1176</v>
      </c>
      <c r="C73" s="157" t="s">
        <v>1177</v>
      </c>
      <c r="D73" s="152" t="s">
        <v>1178</v>
      </c>
      <c r="E73" s="152" t="s">
        <v>1019</v>
      </c>
    </row>
    <row r="74" customFormat="false" ht="35.05" hidden="false" customHeight="false" outlineLevel="0" collapsed="false">
      <c r="A74" s="152" t="s">
        <v>1179</v>
      </c>
      <c r="B74" s="152" t="s">
        <v>1180</v>
      </c>
      <c r="C74" s="157" t="s">
        <v>1181</v>
      </c>
      <c r="D74" s="152" t="s">
        <v>1182</v>
      </c>
      <c r="E74" s="152" t="s">
        <v>1183</v>
      </c>
    </row>
    <row r="75" customFormat="false" ht="23.85" hidden="false" customHeight="false" outlineLevel="0" collapsed="false">
      <c r="A75" s="152" t="s">
        <v>1184</v>
      </c>
      <c r="B75" s="152" t="s">
        <v>1185</v>
      </c>
      <c r="C75" s="157"/>
      <c r="D75" s="152" t="s">
        <v>1186</v>
      </c>
      <c r="E75" s="152" t="s">
        <v>1019</v>
      </c>
    </row>
    <row r="76" customFormat="false" ht="32.8" hidden="false" customHeight="false" outlineLevel="0" collapsed="false">
      <c r="A76" s="152" t="s">
        <v>1187</v>
      </c>
      <c r="B76" s="152" t="s">
        <v>1188</v>
      </c>
      <c r="C76" s="157" t="s">
        <v>1189</v>
      </c>
      <c r="D76" s="152" t="s">
        <v>1190</v>
      </c>
      <c r="E76" s="152" t="s">
        <v>1191</v>
      </c>
    </row>
    <row r="77" customFormat="false" ht="15" hidden="false" customHeight="false" outlineLevel="0" collapsed="false">
      <c r="A77" s="152" t="s">
        <v>1192</v>
      </c>
      <c r="B77" s="152" t="s">
        <v>1193</v>
      </c>
      <c r="C77" s="157" t="s">
        <v>1194</v>
      </c>
      <c r="D77" s="152" t="s">
        <v>1195</v>
      </c>
      <c r="E77" s="152" t="s">
        <v>1019</v>
      </c>
    </row>
    <row r="78" customFormat="false" ht="23.85" hidden="false" customHeight="false" outlineLevel="0" collapsed="false">
      <c r="A78" s="152" t="s">
        <v>1196</v>
      </c>
      <c r="B78" s="152" t="s">
        <v>1197</v>
      </c>
      <c r="C78" s="157" t="s">
        <v>1198</v>
      </c>
      <c r="D78" s="152" t="s">
        <v>1199</v>
      </c>
      <c r="E78" s="152" t="s">
        <v>1019</v>
      </c>
    </row>
    <row r="79" customFormat="false" ht="35.05" hidden="false" customHeight="false" outlineLevel="0" collapsed="false">
      <c r="A79" s="152" t="s">
        <v>1200</v>
      </c>
      <c r="B79" s="152" t="s">
        <v>1201</v>
      </c>
      <c r="C79" s="157" t="s">
        <v>1202</v>
      </c>
      <c r="D79" s="152" t="s">
        <v>1203</v>
      </c>
      <c r="E79" s="152" t="s">
        <v>1019</v>
      </c>
    </row>
    <row r="81" customFormat="false" ht="15" hidden="false" customHeight="false" outlineLevel="0" collapsed="false">
      <c r="A81" s="136" t="s">
        <v>1204</v>
      </c>
      <c r="B81" s="137"/>
      <c r="C81" s="137"/>
      <c r="D81" s="137"/>
      <c r="E81" s="137"/>
    </row>
    <row r="82" customFormat="false" ht="15" hidden="false" customHeight="false" outlineLevel="0" collapsed="false">
      <c r="A82" s="129" t="s">
        <v>1005</v>
      </c>
      <c r="B82" s="129" t="s">
        <v>1006</v>
      </c>
      <c r="C82" s="129" t="s">
        <v>1007</v>
      </c>
      <c r="D82" s="129" t="s">
        <v>1008</v>
      </c>
      <c r="E82" s="129" t="s">
        <v>1009</v>
      </c>
    </row>
    <row r="83" customFormat="false" ht="15" hidden="false" customHeight="false" outlineLevel="0" collapsed="false">
      <c r="A83" s="152" t="s">
        <v>1205</v>
      </c>
      <c r="B83" s="152" t="s">
        <v>1159</v>
      </c>
      <c r="C83" s="158" t="n">
        <f aca="false">'General Information'!$D$33</f>
        <v>30</v>
      </c>
      <c r="D83" s="152" t="s">
        <v>1206</v>
      </c>
      <c r="E83" s="152"/>
    </row>
    <row r="84" customFormat="false" ht="15" hidden="false" customHeight="false" outlineLevel="0" collapsed="false">
      <c r="A84" s="152" t="s">
        <v>1207</v>
      </c>
      <c r="B84" s="152" t="s">
        <v>1167</v>
      </c>
      <c r="C84" s="159" t="n">
        <f aca="false">'General Information'!$D$34</f>
        <v>3</v>
      </c>
      <c r="D84" s="152" t="s">
        <v>1208</v>
      </c>
      <c r="E84" s="152"/>
    </row>
    <row r="85" customFormat="false" ht="15" hidden="false" customHeight="false" outlineLevel="0" collapsed="false">
      <c r="A85" s="152" t="s">
        <v>1209</v>
      </c>
      <c r="B85" s="152" t="s">
        <v>1210</v>
      </c>
      <c r="C85" s="160" t="n">
        <f aca="false">IF('General Information'!$D$34=0,0,('General Information'!$D$34/100)*(1+'General Information'!$D$34/100)^'General Information'!$D$33/((1+'General Information'!$D$34/100)^'General Information'!$D$33-1))</f>
        <v>0.0510192593202526</v>
      </c>
      <c r="D85" s="152" t="s">
        <v>1211</v>
      </c>
      <c r="E85" s="152"/>
    </row>
    <row r="86" customFormat="false" ht="15" hidden="false" customHeight="false" outlineLevel="0" collapsed="false">
      <c r="A86" s="152" t="s">
        <v>1212</v>
      </c>
      <c r="B86" s="152" t="s">
        <v>1210</v>
      </c>
      <c r="C86" s="160" t="n">
        <f aca="false">1/(1+'General Information'!$D$34/100)^20</f>
        <v>0.553675754186335</v>
      </c>
      <c r="D86" s="152" t="s">
        <v>1213</v>
      </c>
      <c r="E86" s="152"/>
    </row>
    <row r="87" customFormat="false" ht="15" hidden="false" customHeight="false" outlineLevel="0" collapsed="false">
      <c r="A87" s="152" t="s">
        <v>1214</v>
      </c>
      <c r="B87" s="152" t="s">
        <v>1129</v>
      </c>
      <c r="C87" s="157" t="str">
        <f aca="false">'General Information'!$D$38</f>
        <v>Yes</v>
      </c>
      <c r="D87" s="152" t="s">
        <v>1215</v>
      </c>
      <c r="E87" s="152"/>
    </row>
    <row r="88" customFormat="false" ht="15" hidden="false" customHeight="false" outlineLevel="0" collapsed="false">
      <c r="A88" s="152" t="s">
        <v>1216</v>
      </c>
      <c r="B88" s="152" t="s">
        <v>1217</v>
      </c>
      <c r="C88" s="158" t="n">
        <f aca="false">COUNTA(Database!$A$4:$A$7)</f>
        <v>4</v>
      </c>
      <c r="D88" s="152" t="s">
        <v>1218</v>
      </c>
      <c r="E88" s="152"/>
    </row>
    <row r="89" customFormat="false" ht="25.5" hidden="false" customHeight="true" outlineLevel="0" collapsed="false">
      <c r="A89" s="147" t="s">
        <v>1219</v>
      </c>
      <c r="B89" s="147"/>
      <c r="C89" s="147"/>
      <c r="D89" s="147"/>
      <c r="E89" s="147"/>
    </row>
    <row r="91" customFormat="false" ht="15" hidden="false" customHeight="false" outlineLevel="0" collapsed="false">
      <c r="A91" s="136" t="s">
        <v>1220</v>
      </c>
      <c r="B91" s="137"/>
      <c r="C91" s="137"/>
      <c r="D91" s="137"/>
      <c r="E91" s="137"/>
    </row>
    <row r="92" customFormat="false" ht="15" hidden="false" customHeight="false" outlineLevel="0" collapsed="false">
      <c r="A92" s="129" t="s">
        <v>1005</v>
      </c>
      <c r="B92" s="129" t="s">
        <v>1006</v>
      </c>
      <c r="C92" s="129" t="s">
        <v>1007</v>
      </c>
      <c r="D92" s="129" t="s">
        <v>1008</v>
      </c>
      <c r="E92" s="129" t="s">
        <v>1009</v>
      </c>
    </row>
    <row r="93" customFormat="false" ht="35.05" hidden="false" customHeight="false" outlineLevel="0" collapsed="false">
      <c r="A93" s="161" t="s">
        <v>1221</v>
      </c>
      <c r="B93" s="152" t="s">
        <v>1044</v>
      </c>
      <c r="C93" s="157"/>
      <c r="D93" s="152" t="s">
        <v>1222</v>
      </c>
      <c r="E93" s="152" t="s">
        <v>1223</v>
      </c>
    </row>
    <row r="94" customFormat="false" ht="46.25" hidden="false" customHeight="false" outlineLevel="0" collapsed="false">
      <c r="A94" s="161" t="s">
        <v>1224</v>
      </c>
      <c r="B94" s="152" t="s">
        <v>1225</v>
      </c>
      <c r="C94" s="157"/>
      <c r="D94" s="152" t="s">
        <v>1226</v>
      </c>
      <c r="E94" s="152" t="s">
        <v>1227</v>
      </c>
    </row>
    <row r="95" customFormat="false" ht="23.85" hidden="false" customHeight="false" outlineLevel="0" collapsed="false">
      <c r="A95" s="161" t="s">
        <v>1228</v>
      </c>
      <c r="B95" s="152" t="s">
        <v>1229</v>
      </c>
      <c r="C95" s="157"/>
      <c r="D95" s="152" t="s">
        <v>1230</v>
      </c>
      <c r="E95" s="152" t="s">
        <v>1231</v>
      </c>
    </row>
    <row r="96" customFormat="false" ht="35.05" hidden="false" customHeight="false" outlineLevel="0" collapsed="false">
      <c r="A96" s="161" t="s">
        <v>1232</v>
      </c>
      <c r="B96" s="152" t="s">
        <v>1233</v>
      </c>
      <c r="C96" s="157"/>
      <c r="D96" s="152" t="s">
        <v>1234</v>
      </c>
      <c r="E96" s="152" t="s">
        <v>1235</v>
      </c>
    </row>
    <row r="97" customFormat="false" ht="23.85" hidden="false" customHeight="false" outlineLevel="0" collapsed="false">
      <c r="A97" s="161" t="s">
        <v>1236</v>
      </c>
      <c r="B97" s="152" t="s">
        <v>1124</v>
      </c>
      <c r="C97" s="157"/>
      <c r="D97" s="152" t="s">
        <v>1237</v>
      </c>
      <c r="E97" s="152" t="s">
        <v>1114</v>
      </c>
    </row>
    <row r="98" customFormat="false" ht="23.85" hidden="false" customHeight="false" outlineLevel="0" collapsed="false">
      <c r="A98" s="161" t="s">
        <v>1238</v>
      </c>
      <c r="B98" s="152" t="s">
        <v>1239</v>
      </c>
      <c r="C98" s="157"/>
      <c r="D98" s="152" t="s">
        <v>1240</v>
      </c>
      <c r="E98" s="152" t="s">
        <v>1019</v>
      </c>
    </row>
    <row r="99" customFormat="false" ht="46.25" hidden="false" customHeight="false" outlineLevel="0" collapsed="false">
      <c r="A99" s="161" t="s">
        <v>1241</v>
      </c>
      <c r="B99" s="152" t="s">
        <v>1242</v>
      </c>
      <c r="C99" s="157"/>
      <c r="D99" s="152" t="s">
        <v>1243</v>
      </c>
      <c r="E99" s="152" t="s">
        <v>1235</v>
      </c>
    </row>
    <row r="100" customFormat="false" ht="23.85" hidden="false" customHeight="false" outlineLevel="0" collapsed="false">
      <c r="A100" s="161" t="s">
        <v>1244</v>
      </c>
      <c r="B100" s="152" t="s">
        <v>1245</v>
      </c>
      <c r="C100" s="157"/>
      <c r="D100" s="152" t="s">
        <v>1246</v>
      </c>
      <c r="E100" s="152" t="s">
        <v>1247</v>
      </c>
    </row>
    <row r="101" customFormat="false" ht="23.85" hidden="false" customHeight="false" outlineLevel="0" collapsed="false">
      <c r="A101" s="161" t="s">
        <v>1248</v>
      </c>
      <c r="B101" s="152" t="s">
        <v>1249</v>
      </c>
      <c r="C101" s="157"/>
      <c r="D101" s="152" t="s">
        <v>1250</v>
      </c>
      <c r="E101" s="152" t="s">
        <v>1251</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0"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0"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106" t="n">
        <v>74136</v>
      </c>
      <c r="F13" s="23" t="n">
        <f aca="false">IF(C13="","N/A",VLOOKUP(C13,CHOOSE({1,2},Table2[Pay Item Description],Table2[Unit Cost]),2,0))</f>
        <v>12</v>
      </c>
      <c r="G13" s="24" t="n">
        <f aca="false">IF(B13&lt;&gt;0,F13*E13,0)</f>
        <v>889632</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22241</v>
      </c>
      <c r="F14" s="23" t="n">
        <f aca="false">IF(C14="","N/A",VLOOKUP(C14,CHOOSE({1,2},Table2[Pay Item Description],Table2[Unit Cost]),2,0))</f>
        <v>55</v>
      </c>
      <c r="G14" s="24" t="n">
        <f aca="false">IF(B14&lt;&gt;0,F14*E14,0)</f>
        <v>1223255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22241</v>
      </c>
      <c r="F15" s="23" t="n">
        <f aca="false">IF(C15="","N/A",VLOOKUP(C15,CHOOSE({1,2},Table2[Pay Item Description],Table2[Unit Cost]),2,0))</f>
        <v>65</v>
      </c>
      <c r="G15" s="24" t="n">
        <f aca="false">IF(B15&lt;&gt;0,F15*E15,0)</f>
        <v>1445665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36280</v>
      </c>
      <c r="F16" s="23" t="n">
        <f aca="false">IF(C16="","N/A",VLOOKUP(C16,CHOOSE({1,2},Table2[Pay Item Description],Table2[Unit Cost]),2,0))</f>
        <v>120</v>
      </c>
      <c r="G16" s="24" t="n">
        <f aca="false">IF(B16&lt;&gt;0,F16*E16,0)</f>
        <v>4353600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21768</v>
      </c>
      <c r="F17" s="23" t="n">
        <f aca="false">IF(C17="","N/A",VLOOKUP(C17,CHOOSE({1,2},Table2[Pay Item Description],Table2[Unit Cost]),2,0))</f>
        <v>130</v>
      </c>
      <c r="G17" s="24" t="n">
        <f aca="false">IF(B17&lt;&gt;0,F17*E17,0)</f>
        <v>2829840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25000</v>
      </c>
      <c r="F18" s="23" t="n">
        <f aca="false">IF(C18="","N/A",VLOOKUP(C18,CHOOSE({1,2},Table2[Pay Item Description],Table2[Unit Cost]),2,0))</f>
        <v>0.666666666666667</v>
      </c>
      <c r="G18" s="24" t="n">
        <f aca="false">IF(B18&lt;&gt;0,F18*E18,0)</f>
        <v>16666.6666666667</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10758658.6666667</v>
      </c>
    </row>
    <row r="25" customFormat="false" ht="15" hidden="false" customHeight="false" outlineLevel="0" collapsed="false">
      <c r="B25" s="0" t="s">
        <v>25</v>
      </c>
      <c r="G25" s="30" t="n">
        <f aca="false">('General Information'!$D$36/100)*G24</f>
        <v>1075865.86666667</v>
      </c>
    </row>
    <row r="26" customFormat="false" ht="15" hidden="false" customHeight="false" outlineLevel="0" collapsed="false">
      <c r="B26" s="0" t="s">
        <v>26</v>
      </c>
      <c r="G26" s="30" t="n">
        <f aca="false">('General Information'!$D$37/100)*G24</f>
        <v>537932.933333333</v>
      </c>
    </row>
    <row r="27" customFormat="false" ht="15" hidden="false" customHeight="false" outlineLevel="0" collapsed="false">
      <c r="A27" s="7" t="s">
        <v>27</v>
      </c>
      <c r="G27" s="116" t="n">
        <f aca="false">SUM(G24:G26)</f>
        <v>12372457.4666667</v>
      </c>
    </row>
    <row r="32" customFormat="false" ht="15" hidden="false" customHeight="false" outlineLevel="0" collapsed="false">
      <c r="A32" s="7" t="s">
        <v>28</v>
      </c>
    </row>
    <row r="33" customFormat="false" ht="15" hidden="false" customHeight="false" outlineLevel="0" collapsed="false">
      <c r="A33" s="7" t="s">
        <v>633</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12372457.4666667</v>
      </c>
      <c r="E36" s="39" t="n">
        <f aca="false">D36</f>
        <v>12372457.4666667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12372457.4666667</v>
      </c>
      <c r="M37" s="118" t="n">
        <f aca="false">IF(K37-$C$6&gt;'General Information'!$D$33,0,SUMIFS($D$37:$D$51,$C$37:$C$51,K37-$C$6,$B$37:$B$51,"*Indirect*"))</f>
        <v>0</v>
      </c>
      <c r="N37" s="118" t="n">
        <f aca="false">IF(K37-$C$6&gt;'General Information'!$D$33,0,IF(K37=$C$6,$E$36,0)+SUMIF($C$37:$C$51,K37-$C$6,$E$37:$E$51))</f>
        <v>12372457.4666667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16528083.6250713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69502</v>
      </c>
      <c r="F13" s="23" t="n">
        <f aca="false">IF(C13="","N/A",VLOOKUP(C13,CHOOSE({1,2},Table2[Pay Item Description],Table2[Unit Cost]),2,0))</f>
        <v>12</v>
      </c>
      <c r="G13" s="24" t="n">
        <f aca="false">IF(B13&lt;&gt;0,F13*E13,0)</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22241</v>
      </c>
      <c r="F14" s="23" t="n">
        <f aca="false">IF(C14="","N/A",VLOOKUP(C14,CHOOSE({1,2},Table2[Pay Item Description],Table2[Unit Cost]),2,0))</f>
        <v>55</v>
      </c>
      <c r="G14" s="24" t="n">
        <f aca="false">IF(B14&lt;&gt;0,F14*E14,0)</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100083</v>
      </c>
      <c r="F16" s="23" t="n">
        <f aca="false">IF(C16="","N/A",VLOOKUP(C16,CHOOSE({1,2},Table2[Pay Item Description],Table2[Unit Cost]),2,0))</f>
        <v>85</v>
      </c>
      <c r="G16" s="24" t="n">
        <f aca="false">IF(B16&lt;&gt;0,F16*E16,0)</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12026665.6666667</v>
      </c>
    </row>
    <row r="25" customFormat="false" ht="15" hidden="false" customHeight="false" outlineLevel="0" collapsed="false">
      <c r="B25" s="0" t="s">
        <v>25</v>
      </c>
      <c r="G25" s="24" t="n">
        <f aca="false">('General Information'!$D$36/100)*G24</f>
        <v>1202666.56666667</v>
      </c>
    </row>
    <row r="26" customFormat="false" ht="15" hidden="false" customHeight="false" outlineLevel="0" collapsed="false">
      <c r="B26" s="0" t="s">
        <v>26</v>
      </c>
      <c r="G26" s="24" t="n">
        <f aca="false">('General Information'!$D$37/100)*G24</f>
        <v>601333.283333333</v>
      </c>
    </row>
    <row r="27" customFormat="false" ht="15" hidden="false" customHeight="false" outlineLevel="0" collapsed="false">
      <c r="A27" s="7" t="s">
        <v>27</v>
      </c>
      <c r="B27" s="7"/>
      <c r="C27" s="7"/>
      <c r="D27" s="7"/>
      <c r="E27" s="7"/>
      <c r="F27" s="7"/>
      <c r="G27" s="31" t="n">
        <f aca="false">SUM(G24:G26)</f>
        <v>13830665.5166667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13830665.5166667</v>
      </c>
      <c r="E37" s="39" t="n">
        <f aca="false">D37</f>
        <v>13830665.5166667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-3457666.37916667</v>
      </c>
      <c r="E42" s="43"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0"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0"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106" t="n">
        <v>133444</v>
      </c>
      <c r="F13" s="23" t="n">
        <f aca="false">IF(C13="","N/A",VLOOKUP(C13,CHOOSE({1,2},Table2[Pay Item Description],Table2[Unit Cost]),2,0))</f>
        <v>10</v>
      </c>
      <c r="G13" s="24" t="n">
        <f aca="false">IF(B13&lt;&gt;0,F13*E13,0)</f>
        <v>1334440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P-209-5.1</v>
      </c>
      <c r="C14" s="20" t="s">
        <v>482</v>
      </c>
      <c r="D14" s="21" t="str">
        <f aca="false">IF(C14="","N/A",VLOOKUP(C14,CHOOSE({1,2},Table2[Pay Item Description],Table2[Units]),2,0))</f>
        <v>C.Y.</v>
      </c>
      <c r="E14" s="106" t="n">
        <v>37068</v>
      </c>
      <c r="F14" s="23" t="n">
        <f aca="false">IF(C14="","N/A",VLOOKUP(C14,CHOOSE({1,2},Table2[Pay Item Description],Table2[Unit Cost]),2,0))</f>
        <v>65</v>
      </c>
      <c r="G14" s="24" t="n">
        <f aca="false">IF(B14&lt;&gt;0,F14*E14,0)</f>
        <v>2409420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P-401-8.1b</v>
      </c>
      <c r="C15" s="20" t="s">
        <v>506</v>
      </c>
      <c r="D15" s="21" t="str">
        <f aca="false">IF(C15="","N/A",VLOOKUP(C15,CHOOSE({1,2},Table2[Pay Item Description],Table2[Units]),2,0))</f>
        <v>TON</v>
      </c>
      <c r="E15" s="106" t="n">
        <v>43536</v>
      </c>
      <c r="F15" s="23" t="n">
        <f aca="false">IF(C15="","N/A",VLOOKUP(C15,CHOOSE({1,2},Table2[Pay Item Description],Table2[Unit Cost]),2,0))</f>
        <v>120</v>
      </c>
      <c r="G15" s="24" t="n">
        <f aca="false">IF(B15&lt;&gt;0,F15*E15,0)</f>
        <v>5224320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P-401-8.1a</v>
      </c>
      <c r="C16" s="20" t="s">
        <v>503</v>
      </c>
      <c r="D16" s="21" t="str">
        <f aca="false">IF(C16="","N/A",VLOOKUP(C16,CHOOSE({1,2},Table2[Pay Item Description],Table2[Units]),2,0))</f>
        <v>TON</v>
      </c>
      <c r="E16" s="106" t="n">
        <v>29024</v>
      </c>
      <c r="F16" s="23" t="n">
        <f aca="false">IF(C16="","N/A",VLOOKUP(C16,CHOOSE({1,2},Table2[Pay Item Description],Table2[Unit Cost]),2,0))</f>
        <v>130</v>
      </c>
      <c r="G16" s="24" t="n">
        <f aca="false">IF(B16&lt;&gt;0,F16*E16,0)</f>
        <v>3773120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106" t="n">
        <v>25000</v>
      </c>
      <c r="F17" s="23" t="n">
        <f aca="false">IF(C17="","N/A",VLOOKUP(C17,CHOOSE({1,2},Table2[Pay Item Description],Table2[Unit Cost]),2,0))</f>
        <v>0.666666666666667</v>
      </c>
      <c r="G17" s="24" t="n">
        <f aca="false">IF(B17&lt;&gt;0,F17*E17,0)</f>
        <v>16666.6666666667</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12757966.6666667</v>
      </c>
    </row>
    <row r="25" customFormat="false" ht="15" hidden="false" customHeight="false" outlineLevel="0" collapsed="false">
      <c r="B25" s="0" t="s">
        <v>25</v>
      </c>
      <c r="G25" s="30" t="n">
        <f aca="false">('General Information'!$D$36/100)*G24</f>
        <v>1275796.66666667</v>
      </c>
    </row>
    <row r="26" customFormat="false" ht="15" hidden="false" customHeight="false" outlineLevel="0" collapsed="false">
      <c r="B26" s="0" t="s">
        <v>26</v>
      </c>
      <c r="G26" s="30" t="n">
        <f aca="false">('General Information'!$D$37/100)*G24</f>
        <v>637898.333333333</v>
      </c>
    </row>
    <row r="27" customFormat="false" ht="15" hidden="false" customHeight="false" outlineLevel="0" collapsed="false">
      <c r="A27" s="7" t="s">
        <v>27</v>
      </c>
      <c r="G27" s="116" t="n">
        <f aca="false">SUM(G24:G26)</f>
        <v>14671661.6666667</v>
      </c>
    </row>
    <row r="32" customFormat="false" ht="15" hidden="false" customHeight="false" outlineLevel="0" collapsed="false">
      <c r="A32" s="7" t="s">
        <v>28</v>
      </c>
    </row>
    <row r="33" customFormat="false" ht="15" hidden="false" customHeight="false" outlineLevel="0" collapsed="false">
      <c r="A33" s="7" t="s">
        <v>633</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14671661.6666667</v>
      </c>
      <c r="E36" s="39" t="n">
        <f aca="false">D36</f>
        <v>14671661.6666667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14671661.6666667</v>
      </c>
      <c r="M37" s="118" t="n">
        <f aca="false">IF(K37-$C$6&gt;'General Information'!$D$33,0,SUMIFS($D$37:$D$51,$C$37:$C$51,K37-$C$6,$B$37:$B$51,"*Indirect*"))</f>
        <v>0</v>
      </c>
      <c r="N37" s="118" t="n">
        <f aca="false">IF(K37-$C$6&gt;'General Information'!$D$33,0,IF(K37=$C$6,$E$36,0)+SUMIF($C$37:$C$51,K37-$C$6,$E$37:$E$51))</f>
        <v>14671661.6666667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18827287.8250713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52821</v>
      </c>
      <c r="F13" s="23" t="n">
        <f aca="false">IF(C13="","N/A",VLOOKUP(C13,CHOOSE({1,2},Table2[Pay Item Description],Table2[Unit Cost]),2,0))</f>
        <v>12</v>
      </c>
      <c r="G13" s="24" t="n">
        <f aca="false">IF(B13&lt;&gt;0,F13*E13,0)</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P-155-8.1</v>
      </c>
      <c r="C14" s="20" t="s">
        <v>464</v>
      </c>
      <c r="D14" s="21" t="str">
        <f aca="false">IF(C14="","N/A",VLOOKUP(C14,CHOOSE({1,2},Table2[Pay Item Description],Table2[Units]),2,0))</f>
        <v>S.Y.</v>
      </c>
      <c r="E14" s="22" t="n">
        <v>133444</v>
      </c>
      <c r="F14" s="23" t="n">
        <f aca="false">IF(C14="","N/A",VLOOKUP(C14,CHOOSE({1,2},Table2[Pay Item Description],Table2[Unit Cost]),2,0))</f>
        <v>10</v>
      </c>
      <c r="G14" s="24" t="n">
        <f aca="false">IF(B14&lt;&gt;0,F14*E14,0)</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P-501-8.1d</v>
      </c>
      <c r="C16" s="20" t="s">
        <v>526</v>
      </c>
      <c r="D16" s="21" t="str">
        <f aca="false">IF(C16="","N/A",VLOOKUP(C16,CHOOSE({1,2},Table2[Pay Item Description],Table2[Units]),2,0))</f>
        <v>S.Y.</v>
      </c>
      <c r="E16" s="22" t="n">
        <v>100083</v>
      </c>
      <c r="F16" s="23" t="n">
        <f aca="false">IF(C16="","N/A",VLOOKUP(C16,CHOOSE({1,2},Table2[Pay Item Description],Table2[Unit Cost]),2,0))</f>
        <v>91</v>
      </c>
      <c r="G16" s="24" t="n">
        <f aca="false">IF(B16&lt;&gt;0,F16*E16,0)</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12538176.6666667</v>
      </c>
    </row>
    <row r="25" customFormat="false" ht="15" hidden="false" customHeight="false" outlineLevel="0" collapsed="false">
      <c r="B25" s="0" t="s">
        <v>25</v>
      </c>
      <c r="G25" s="24" t="n">
        <f aca="false">('General Information'!$D$36/100)*G24</f>
        <v>1253817.66666667</v>
      </c>
    </row>
    <row r="26" customFormat="false" ht="15" hidden="false" customHeight="false" outlineLevel="0" collapsed="false">
      <c r="B26" s="0" t="s">
        <v>26</v>
      </c>
      <c r="G26" s="24" t="n">
        <f aca="false">('General Information'!$D$37/100)*G24</f>
        <v>626908.833333333</v>
      </c>
    </row>
    <row r="27" customFormat="false" ht="15" hidden="false" customHeight="false" outlineLevel="0" collapsed="false">
      <c r="A27" s="7" t="s">
        <v>27</v>
      </c>
      <c r="B27" s="7"/>
      <c r="C27" s="7"/>
      <c r="D27" s="7"/>
      <c r="E27" s="7"/>
      <c r="F27" s="7"/>
      <c r="G27" s="31" t="n">
        <f aca="false">SUM(G24:G26)</f>
        <v>14418903.1666667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14418903.1666667</v>
      </c>
      <c r="E37" s="39" t="n">
        <f aca="false">D37</f>
        <v>14418903.1666667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-3604725.79166667</v>
      </c>
      <c r="E42" s="43"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2026-09-13T05:18:04Z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
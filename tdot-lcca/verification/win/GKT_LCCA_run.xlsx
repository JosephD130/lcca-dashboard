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4.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11.xml.rels" ContentType="application/vnd.openxmlformats-package.relationships+xml"/>
  <Override PartName="/xl/worksheets/_rels/sheet5.xml.rels" ContentType="application/vnd.openxmlformats-package.relationships+xml"/>
  <Override PartName="/xl/worksheets/_rels/sheet10.xml.rels" ContentType="application/vnd.openxmlformats-package.relationships+xml"/>
  <Override PartName="/xl/worksheets/_rels/sheet4.xml.rels" ContentType="application/vnd.openxmlformats-package.relationships+xml"/>
  <Override PartName="/xl/worksheets/_rels/sheet19.xml.rels" ContentType="application/vnd.openxmlformats-package.relationships+xml"/>
  <Override PartName="/xl/worksheets/_rels/sheet18.xml.rels" ContentType="application/vnd.openxmlformats-package.relationships+xml"/>
  <Override PartName="/xl/worksheets/_rels/sheet17.xml.rels" ContentType="application/vnd.openxmlformats-package.relationships+xml"/>
  <Override PartName="/xl/worksheets/_rels/sheet16.xml.rels" ContentType="application/vnd.openxmlformats-package.relationships+xml"/>
  <Override PartName="/xl/worksheets/_rels/sheet15.xml.rels" ContentType="application/vnd.openxmlformats-package.relationships+xml"/>
  <Override PartName="/xl/worksheets/_rels/sheet1.xml.rels" ContentType="application/vnd.openxmlformats-package.relationships+xml"/>
  <Override PartName="/xl/worksheets/_rels/sheet2.xml.rels" ContentType="application/vnd.openxmlformats-package.relationships+xml"/>
  <Override PartName="/xl/worksheets/_rels/sheet3.xml.rels" ContentType="application/vnd.openxmlformats-package.relationships+xml"/>
  <Override PartName="/xl/worksheets/_rels/sheet12.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9.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ctrlProps/ctrlProps5.xml" ContentType="application/vnd.ms-excel.controlproperties+xml"/>
  <Override PartName="/xl/drawings/drawing13.xml" ContentType="application/vnd.openxmlformats-officedocument.drawing+xml"/>
  <Override PartName="/xl/drawings/drawing4.xml" ContentType="application/vnd.openxmlformats-officedocument.drawing+xml"/>
  <Override PartName="/xl/drawings/drawing9.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6.xml" ContentType="application/vnd.openxmlformats-officedocument.drawing+xml"/>
  <Override PartName="/xl/drawings/drawing10.xml" ContentType="application/vnd.openxmlformats-officedocument.drawing+xml"/>
  <Override PartName="/xl/drawings/drawing1.xml" ContentType="application/vnd.openxmlformats-officedocument.drawing+xml"/>
  <Override PartName="/xl/drawings/drawing16.xml" ContentType="application/vnd.openxmlformats-officedocument.drawing+xml"/>
  <Override PartName="/xl/drawings/drawing7.xml" ContentType="application/vnd.openxmlformats-officedocument.drawing+xml"/>
  <Override PartName="/xl/drawings/vmlDrawing1.vml" ContentType="application/vnd.openxmlformats-officedocument.vmlDrawing"/>
  <Override PartName="/xl/drawings/drawing11.xml" ContentType="application/vnd.openxmlformats-officedocument.drawing+xml"/>
  <Override PartName="/xl/drawings/drawing2.xml" ContentType="application/vnd.openxmlformats-officedocument.drawing+xml"/>
  <Override PartName="/xl/drawings/drawing17.xml" ContentType="application/vnd.openxmlformats-officedocument.drawing+xml"/>
  <Override PartName="/xl/drawings/drawing8.xml" ContentType="application/vnd.openxmlformats-officedocument.drawing+xml"/>
  <Override PartName="/xl/drawings/_rels/drawing3.xml.rels" ContentType="application/vnd.openxmlformats-package.relationships+xml"/>
  <Override PartName="/xl/drawings/_rels/drawing8.xml.rels" ContentType="application/vnd.openxmlformats-package.relationships+xml"/>
  <Override PartName="/xl/drawings/_rels/drawing17.xml.rels" ContentType="application/vnd.openxmlformats-package.relationships+xml"/>
  <Override PartName="/xl/drawings/_rels/drawing13.xml.rels" ContentType="application/vnd.openxmlformats-package.relationships+xml"/>
  <Override PartName="/xl/drawings/_rels/drawing4.xml.rels" ContentType="application/vnd.openxmlformats-package.relationships+xml"/>
  <Override PartName="/xl/drawings/_rels/drawing9.xml.rels" ContentType="application/vnd.openxmlformats-package.relationships+xml"/>
  <Override PartName="/xl/drawings/_rels/drawing14.xml.rels" ContentType="application/vnd.openxmlformats-package.relationships+xml"/>
  <Override PartName="/xl/drawings/_rels/drawing15.xml.rels" ContentType="application/vnd.openxmlformats-package.relationships+xml"/>
  <Override PartName="/xl/drawings/_rels/drawing6.xml.rels" ContentType="application/vnd.openxmlformats-package.relationships+xml"/>
  <Override PartName="/xl/drawings/_rels/drawing11.xml.rels" ContentType="application/vnd.openxmlformats-package.relationships+xml"/>
  <Override PartName="/xl/drawings/_rels/drawing1.xml.rels" ContentType="application/vnd.openxmlformats-package.relationships+xml"/>
  <Override PartName="/xl/drawings/_rels/drawing10.xml.rels" ContentType="application/vnd.openxmlformats-package.relationships+xml"/>
  <Override PartName="/xl/drawings/_rels/drawing16.xml.rels" ContentType="application/vnd.openxmlformats-package.relationships+xml"/>
  <Override PartName="/xl/drawings/_rels/drawing7.xml.rels" ContentType="application/vnd.openxmlformats-package.relationships+xml"/>
  <Override PartName="/xl/drawings/_rels/drawing12.xml.rels" ContentType="application/vnd.openxmlformats-package.relationships+xml"/>
  <Override PartName="/xl/drawings/_rels/drawing2.xml.rels" ContentType="application/vnd.openxmlformats-package.relationships+xml"/>
  <Override PartName="/xl/drawings/drawing12.xml" ContentType="application/vnd.openxmlformats-officedocument.drawing+xml"/>
  <Override PartName="/xl/drawings/drawing3.xml" ContentType="application/vnd.openxmlformats-officedocument.drawing+xml"/>
  <Override PartName="/xl/charts/chart9.xml" ContentType="application/vnd.openxmlformats-officedocument.drawingml.chart+xml"/>
  <Override PartName="/xl/charts/chart13.xml" ContentType="application/vnd.openxmlformats-officedocument.drawingml.chart+xml"/>
  <Override PartName="/xl/charts/chart8.xml" ContentType="application/vnd.openxmlformats-officedocument.drawingml.chart+xml"/>
  <Override PartName="/xl/charts/chart12.xml" ContentType="application/vnd.openxmlformats-officedocument.drawingml.chart+xml"/>
  <Override PartName="/xl/charts/chart7.xml" ContentType="application/vnd.openxmlformats-officedocument.drawingml.chart+xml"/>
  <Override PartName="/xl/charts/chart18.xml" ContentType="application/vnd.openxmlformats-officedocument.drawingml.chart+xml"/>
  <Override PartName="/xl/charts/chart17.xml" ContentType="application/vnd.openxmlformats-officedocument.drawingml.chart+xml"/>
  <Override PartName="/xl/charts/chart16.xml" ContentType="application/vnd.openxmlformats-officedocument.drawingml.chart+xml"/>
  <Override PartName="/xl/charts/chart15.xml" ContentType="application/vnd.openxmlformats-officedocument.drawingml.chart+xml"/>
  <Override PartName="/xl/charts/chart14.xml" ContentType="application/vnd.openxmlformats-officedocument.drawingml.char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10.xml" ContentType="application/vnd.openxmlformats-officedocument.drawingml.chart+xml"/>
  <Override PartName="/xl/charts/chart6.xml" ContentType="application/vnd.openxmlformats-officedocument.drawingml.chart+xml"/>
  <Override PartName="/xl/charts/chart11.xml" ContentType="application/vnd.openxmlformats-officedocument.drawingml.chart+xml"/>
  <Override PartName="/xl/_rels/workbook.xml.rels" ContentType="application/vnd.openxmlformats-package.relationships+xml"/>
  <Override PartName="/xl/media/image1.png" ContentType="image/png"/>
  <Override PartName="/xl/comments4.xml" ContentType="application/vnd.openxmlformats-officedocument.spreadsheetml.comments+xml"/>
  <Override PartName="/xl/tables/table1.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2.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727" firstSheet="1" activeTab="3"/>
  </bookViews>
  <sheets>
    <sheet name="TMP(NewPCC)_IndirectCost" sheetId="1" state="hidden" r:id="rId3"/>
    <sheet name="Overview" sheetId="2" state="visible" r:id="rId4"/>
    <sheet name="Instructions" sheetId="3" state="visible" r:id="rId5"/>
    <sheet name="General Information" sheetId="4" state="visible" r:id="rId6"/>
    <sheet name="Pay_Items" sheetId="5" state="visible" r:id="rId7"/>
    <sheet name="Database" sheetId="6" state="hidden" r:id="rId8"/>
    <sheet name="Maintenance Policies" sheetId="7" state="visible" r:id="rId9"/>
    <sheet name="TMP(NewHMA)_IndirectCost" sheetId="8" state="hidden" r:id="rId10"/>
    <sheet name="RevenueData" sheetId="9" state="hidden" r:id="rId11"/>
    <sheet name="TMP(NewHMA)" sheetId="10" state="hidden" r:id="rId12"/>
    <sheet name="TMP(NewPCC)" sheetId="11" state="hidden" r:id="rId13"/>
    <sheet name="TMP(HMARehab)" sheetId="12" state="hidden" r:id="rId14"/>
    <sheet name="TMP(PCCRehab)" sheetId="13" state="hidden" r:id="rId15"/>
    <sheet name="Summary" sheetId="14" state="visible" r:id="rId16"/>
    <sheet name="Typical Values" sheetId="15" state="visible" r:id="rId17"/>
    <sheet name="Method" sheetId="16" state="visible" r:id="rId18"/>
    <sheet name="Alt 1 (New HMA)" sheetId="17" state="visible" r:id="rId19"/>
    <sheet name="Alt 2 (New PCC)" sheetId="18" state="visible" r:id="rId20"/>
    <sheet name="Alt 3 (New PCC)" sheetId="19" state="visible" r:id="rId21"/>
  </sheets>
  <definedNames>
    <definedName function="false" hidden="false" localSheetId="16" name="_xlnm.Print_Area" vbProcedure="false">'Alt 1 (New HMA)'!$A$1:$G$56</definedName>
    <definedName function="false" hidden="false" localSheetId="16" name="_xlnm.Print_Titles" vbProcedure="false">'Alt 1 (New HMA)'!$1:$1</definedName>
    <definedName function="false" hidden="false" localSheetId="17" name="_xlnm.Print_Area" vbProcedure="false">'Alt 2 (New PCC)'!$A$1:$G$56</definedName>
    <definedName function="false" hidden="false" localSheetId="17" name="_xlnm.Print_Titles" vbProcedure="false">'Alt 2 (New PCC)'!$1:$1</definedName>
    <definedName function="false" hidden="false" localSheetId="18" name="_xlnm.Print_Area" vbProcedure="false">'Alt 3 (New PCC)'!$A$1:$G$56</definedName>
    <definedName function="false" hidden="false" localSheetId="18" name="_xlnm.Print_Titles" vbProcedure="false">'Alt 3 (New PCC)'!$1:$1</definedName>
    <definedName function="false" hidden="false" localSheetId="3" name="_xlnm.Print_Area" vbProcedure="false">'General Information'!$A$1:$J$52</definedName>
    <definedName function="false" hidden="false" localSheetId="3" name="_xlnm.Print_Titles" vbProcedure="false">'General Information'!$1:$1</definedName>
    <definedName function="false" hidden="false" localSheetId="2" name="_xlnm.Print_Titles" vbProcedure="false">Instructions!$1:$1</definedName>
    <definedName function="false" hidden="false" localSheetId="6" name="_xlnm.Print_Titles" vbProcedure="false">'Maintenance Policies'!$1:$1</definedName>
    <definedName function="false" hidden="false" localSheetId="15" name="_xlnm.Print_Titles" vbProcedure="false">Method!$1:$1</definedName>
    <definedName function="false" hidden="false" localSheetId="1" name="_xlnm.Print_Titles" vbProcedure="false">Overview!$1:$1</definedName>
    <definedName function="false" hidden="false" localSheetId="4" name="_xlnm.Print_Titles" vbProcedure="false">Pay_Items!$1:$2</definedName>
    <definedName function="false" hidden="false" localSheetId="13" name="_xlnm.Print_Area" vbProcedure="false">Summary!$A$1:$R$118</definedName>
    <definedName function="false" hidden="false" localSheetId="13" name="_xlnm.Print_Titles" vbProcedure="false">Summary!$1:$1</definedName>
    <definedName function="false" hidden="false" localSheetId="11" name="_xlnm.Print_Area" vbProcedure="false">'TMP(HMARehab)'!$A$1:$G$56</definedName>
    <definedName function="false" hidden="false" localSheetId="11" name="_xlnm.Print_Titles" vbProcedure="false">'TMP(HMARehab)'!$1:$1</definedName>
    <definedName function="false" hidden="false" localSheetId="9" name="_xlnm.Print_Area" vbProcedure="false">'TMP(NewHMA)'!$A$1:$G$56</definedName>
    <definedName function="false" hidden="false" localSheetId="9" name="_xlnm.Print_Titles" vbProcedure="false">'TMP(NewHMA)'!$1:$1</definedName>
    <definedName function="false" hidden="false" localSheetId="7" name="_xlnm.Print_Area" vbProcedure="false">'TMP(NewHMA)_IndirectCost'!$A$1:$G$56</definedName>
    <definedName function="false" hidden="false" localSheetId="7" name="_xlnm.Print_Titles" vbProcedure="false">'TMP(NewHMA)_IndirectCost'!$1:$1</definedName>
    <definedName function="false" hidden="false" localSheetId="10" name="_xlnm.Print_Area" vbProcedure="false">'TMP(NewPCC)'!$A$1:$G$56</definedName>
    <definedName function="false" hidden="false" localSheetId="10" name="_xlnm.Print_Titles" vbProcedure="false">'TMP(NewPCC)'!$1:$1</definedName>
    <definedName function="false" hidden="false" localSheetId="0" name="_xlnm.Print_Area" vbProcedure="false">'TMP(NewPCC)_IndirectCost'!$A$1:$G$56</definedName>
    <definedName function="false" hidden="false" localSheetId="0" name="_xlnm.Print_Titles" vbProcedure="false">'TMP(NewPCC)_IndirectCost'!$1:$1</definedName>
    <definedName function="false" hidden="false" localSheetId="14" name="_xlnm.Print_Titles" vbProcedure="false">'Typical Values'!$1:$1</definedName>
    <definedName function="false" hidden="false" name="Airport_Name" vbProcedure="false">'General Information'!$D$9</definedName>
    <definedName function="false" hidden="false" name="PayItemKeys" vbProcedure="false">Table2[Pay Item Description]</definedName>
    <definedName function="false" hidden="false" name="Pay_Items" vbProcedure="false">Pay_Items!$C$3:$D$59</definedName>
    <definedName function="false" hidden="false" name="Pay_Item_List" vbProcedure="false">Pay_Items!$B$2:$C$4</definedName>
    <definedName function="false" hidden="false" name="Pay_Item_List2" vbProcedure="false">Pay_Items!$A$2:$C$4</definedName>
    <definedName function="false" hidden="false" name="Pay_Item_List_Desc" vbProcedure="false">Pay_Items!$D$3:$D$4</definedName>
    <definedName function="false" hidden="false" name="Pay_Item_List_No" vbProcedure="false">Pay_Items!$C$3:$C$4</definedName>
    <definedName function="false" hidden="false" name="PriceSources" vbProcedure="false">{"Regular","Middle","West","East"}</definedName>
    <definedName function="false" hidden="false" name="UnitCostGrid" vbProcedure="false">Table2[[Unit Cost]:[East]]</definedName>
    <definedName function="false" hidden="true" name="_xleta.INDIRECT" vbProcedure="false">#NAME?</definedName>
    <definedName function="false" hidden="true" name="_xleta.XLOOKUP" vbProcedure="false">#NAME?</definedName>
  </definedNames>
  <calcPr iterateCount="100" refMode="A1" iterate="false" iterateDelta="0.0001"/>
  <extLst>
    <ext xmlns:loext="http://schemas.libreoffice.org/" uri="{7626C862-2A13-11E5-B345-FEFF819CDC9F}">
      <loext:extCalcPr stringRefSyntax="ExcelA1"/>
    </ext>
  </extLst>
</workbook>
</file>

<file path=xl/comments4.xml><?xml version="1.0" encoding="utf-8"?>
<comments xmlns="http://schemas.openxmlformats.org/spreadsheetml/2006/main" xmlns:xdr="http://schemas.openxmlformats.org/drawingml/2006/spreadsheetDrawing">
  <authors>
    <author>Unknown Author</author>
  </authors>
  <commentList>
    <comment ref="D26" authorId="0">
      <text>
        <r>
          <rPr>
            <sz val="10"/>
            <rFont val="Arial"/>
            <family val="2"/>
          </rPr>
          <t xml:space="preserve">ARA:
</t>
        </r>
        <r>
          <rPr>
            <sz val="9"/>
            <color rgb="FF000000"/>
            <rFont val="Tahoma"/>
            <family val="0"/>
            <charset val="1"/>
          </rPr>
          <t xml:space="preserve">Enter the Mainline work area.</t>
        </r>
      </text>
    </comment>
    <comment ref="D39" authorId="0">
      <text>
        <r>
          <rPr>
            <sz val="10"/>
            <rFont val="Arial"/>
            <family val="2"/>
          </rPr>
          <t xml:space="preserve">ARA
</t>
        </r>
        <r>
          <rPr>
            <sz val="9"/>
            <color rgb="FF000000"/>
            <rFont val="Tahoma"/>
            <family val="2"/>
            <charset val="1"/>
          </rPr>
          <t xml:space="preserve">Daily revenue for selected airport</t>
        </r>
      </text>
    </comment>
  </commentList>
</comments>
</file>

<file path=xl/sharedStrings.xml><?xml version="1.0" encoding="utf-8"?>
<sst xmlns="http://schemas.openxmlformats.org/spreadsheetml/2006/main" count="2963" uniqueCount="1373">
  <si>
    <t xml:space="preserve">Hidden</t>
  </si>
  <si>
    <t xml:space="preserve">Initial Construction Costs:</t>
  </si>
  <si>
    <t xml:space="preserve">Average Daily Revenue:  </t>
  </si>
  <si>
    <t xml:space="preserve">Maintenance 1</t>
  </si>
  <si>
    <t xml:space="preserve">Rehabilitation 1</t>
  </si>
  <si>
    <t xml:space="preserve">STEP 4 of 5   ·   The quantities for this alternative. Grey cells are yours: C4 to C7 project data (filled from General Information), F4 and F5 closure days, C13 to C22 pay items and E13 to E22 quantities. Everything else calculates. Unit costs come from Pay_Items, and C11 picks which division they are priced from.</t>
  </si>
  <si>
    <t xml:space="preserve">Pavement Type:</t>
  </si>
  <si>
    <t xml:space="preserve">New PCC</t>
  </si>
  <si>
    <t xml:space="preserve">Maintenance 1 Duration (Days)</t>
  </si>
  <si>
    <t xml:space="preserve">Mainline Pavement Area:</t>
  </si>
  <si>
    <t xml:space="preserve">S.Y.</t>
  </si>
  <si>
    <t xml:space="preserve">Rehabilitation 1 Duration (Days)</t>
  </si>
  <si>
    <t xml:space="preserve">Initial Construction Year:</t>
  </si>
  <si>
    <t xml:space="preserve">Markings Area:</t>
  </si>
  <si>
    <t xml:space="preserve">S.F.</t>
  </si>
  <si>
    <t xml:space="preserve">No. of Slabs:</t>
  </si>
  <si>
    <t xml:space="preserve">Joint length:</t>
  </si>
  <si>
    <t xml:space="preserve">Price column: 1 Regular, 2 Middle, 3 West, 4 East</t>
  </si>
  <si>
    <t xml:space="preserve">Price from:</t>
  </si>
  <si>
    <t xml:space="preserve">Regular</t>
  </si>
  <si>
    <t xml:space="preserve">Item No.</t>
  </si>
  <si>
    <t xml:space="preserve">Pay Item</t>
  </si>
  <si>
    <t xml:space="preserve">Description</t>
  </si>
  <si>
    <t xml:space="preserve">Unit</t>
  </si>
  <si>
    <t xml:space="preserve">Qty</t>
  </si>
  <si>
    <t xml:space="preserve">Unit Cost</t>
  </si>
  <si>
    <t xml:space="preserve">Item Cost</t>
  </si>
  <si>
    <t xml:space="preserve">Subtotal</t>
  </si>
  <si>
    <t xml:space="preserve">Mobilization</t>
  </si>
  <si>
    <t xml:space="preserve">Engineering</t>
  </si>
  <si>
    <t xml:space="preserve">Total</t>
  </si>
  <si>
    <t xml:space="preserve">Net Present Worth</t>
  </si>
  <si>
    <t xml:space="preserve">PCC Reconstruction - Alternative 2</t>
  </si>
  <si>
    <t xml:space="preserve">Item</t>
  </si>
  <si>
    <t xml:space="preserve">Year Applied</t>
  </si>
  <si>
    <t xml:space="preserve">Actual Cost</t>
  </si>
  <si>
    <t xml:space="preserve">Discounted Cost</t>
  </si>
  <si>
    <t xml:space="preserve">Initial Construction</t>
  </si>
  <si>
    <t xml:space="preserve">Year</t>
  </si>
  <si>
    <t xml:space="preserve">Direct Cost</t>
  </si>
  <si>
    <t xml:space="preserve">Indirect Cost</t>
  </si>
  <si>
    <t xml:space="preserve">Total Discounted Cost</t>
  </si>
  <si>
    <t xml:space="preserve">Maintenance 1 Indirect Cost</t>
  </si>
  <si>
    <t xml:space="preserve">Rehabilitation 1 Indirect Cost</t>
  </si>
  <si>
    <t xml:space="preserve">Salvage</t>
  </si>
  <si>
    <t xml:space="preserve">Overview</t>
  </si>
  <si>
    <t xml:space="preserve">STEP 1 of 5   ·   What the framework does and the rules behind it. Read this and Instructions, then go to General Information.</t>
  </si>
  <si>
    <t xml:space="preserve">A life-cycle cost analysis compares alternatives over their whole life, not their first bill.</t>
  </si>
  <si>
    <t xml:space="preserve">You describe two or more ways to build the same runway. The workbook prices each one from the TDOT pay-item list, adds the maintenance and rehabilitation each will need over the analysis period, discounts it all to today’s money, and reports which costs least in present worth.</t>
  </si>
  <si>
    <t xml:space="preserve">What you provide</t>
  </si>
  <si>
    <t xml:space="preserve">What the workbook adds</t>
  </si>
  <si>
    <t xml:space="preserve">What you get</t>
  </si>
  <si>
    <t xml:space="preserve">•  The airport and the runway</t>
  </si>
  <si>
    <t xml:space="preserve">•  Unit costs by division</t>
  </si>
  <si>
    <t xml:space="preserve">•  Net present worth per option</t>
  </si>
  <si>
    <t xml:space="preserve">•  Pavement areas and markings</t>
  </si>
  <si>
    <t xml:space="preserve">•  Maintenance and rehabilitation timing</t>
  </si>
  <si>
    <t xml:space="preserve">•  Equivalent annual cost</t>
  </si>
  <si>
    <t xml:space="preserve">•  Two or more alternatives</t>
  </si>
  <si>
    <t xml:space="preserve">•  Salvage on remaining life</t>
  </si>
  <si>
    <t xml:space="preserve">•  Sensitivity to the discount rate</t>
  </si>
  <si>
    <t xml:space="preserve">•  Quantities per pay item</t>
  </si>
  <si>
    <t xml:space="preserve">•  Lost revenue during closures</t>
  </si>
  <si>
    <t xml:space="preserve">•  Eight charts and a comparison</t>
  </si>
  <si>
    <t xml:space="preserve">THE RULES BEHIND IT</t>
  </si>
  <si>
    <t xml:space="preserve">Remaining life</t>
  </si>
  <si>
    <t xml:space="preserve">analysis period, live from General Information D33</t>
  </si>
  <si>
    <t xml:space="preserve">discount rate, D34; FAA follows OMB Circular A-94</t>
  </si>
  <si>
    <t xml:space="preserve">mobilization and engineering, D36 and D37</t>
  </si>
  <si>
    <t xml:space="preserve">salvage basis: remaining life over expected life (AAPTP, FAA)</t>
  </si>
  <si>
    <t xml:space="preserve">HOW A STUDY RUNS</t>
  </si>
  <si>
    <t xml:space="preserve">TDOT Aeronautics Division</t>
  </si>
  <si>
    <t xml:space="preserve">Before you start</t>
  </si>
  <si>
    <t xml:space="preserve">7335 Centennial Boulevard</t>
  </si>
  <si>
    <t xml:space="preserve">Enable macros and ActiveX when Excel asks. The Alternative Setup form and the pay-item pickers need them. If the yellow bar does not appear, check Trust Center › ActiveX Settings and restart Excel.</t>
  </si>
  <si>
    <t xml:space="preserve">Nashville, Tennessee 37209</t>
  </si>
  <si>
    <t xml:space="preserve">615-741-3208</t>
  </si>
  <si>
    <t xml:space="preserve">tn.gov/tdot/aeronautics.html</t>
  </si>
  <si>
    <t xml:space="preserve">BACKGROUND</t>
  </si>
  <si>
    <t xml:space="preserve">Instructions</t>
  </si>
  <si>
    <t xml:space="preserve">STEP 1 of 5   ·   How to run an analysis, start to finish. When you are ready, go to General Information and fill in the grey cells.</t>
  </si>
  <si>
    <t xml:space="preserve">First, enable content.</t>
  </si>
  <si>
    <t xml:space="preserve">Macros and ActiveX must be on, or the Alternative Setup form and the pay-item pickers will not run. Trust Center › ActiveX Settings, then restart Excel.</t>
  </si>
  <si>
    <t xml:space="preserve">Set the study up</t>
  </si>
  <si>
    <t xml:space="preserve">Run it</t>
  </si>
  <si>
    <t xml:space="preserve">1</t>
  </si>
  <si>
    <t xml:space="preserve">Fill in General Information</t>
  </si>
  <si>
    <t xml:space="preserve">4</t>
  </si>
  <si>
    <t xml:space="preserve">Add each alternative</t>
  </si>
  <si>
    <t xml:space="preserve">Pick the airport from the dropdown and the ID, city, county and region fill themselves. Then the runway areas and the LCCA parameters, D9 to D39. The amber banner lists whatever is still missing.</t>
  </si>
  <si>
    <t xml:space="preserve">Back on General Information, click Alternative Setup. Name it, choose the pavement type, and the form builds a worksheet for it. Enter quantities against the pay items there.</t>
  </si>
  <si>
    <t xml:space="preserve">2</t>
  </si>
  <si>
    <t xml:space="preserve">Check the unit costs on Pay_Items</t>
  </si>
  <si>
    <t xml:space="preserve">5</t>
  </si>
  <si>
    <t xml:space="preserve">Read the Summary</t>
  </si>
  <si>
    <t xml:space="preserve">Every alternative is priced from that sheet, and the grey Unit Cost column is the one to edit. An item that ships with no cost prices at zero.</t>
  </si>
  <si>
    <t xml:space="preserve">It updates by itself. The banner names the lowest present worth; the two key plots show why it wins and whether it still wins at other discount rates.</t>
  </si>
  <si>
    <t xml:space="preserve">3</t>
  </si>
  <si>
    <t xml:space="preserve">Review the maintenance policies</t>
  </si>
  <si>
    <t xml:space="preserve">6</t>
  </si>
  <si>
    <t xml:space="preserve">Start the next study</t>
  </si>
  <si>
    <t xml:space="preserve">Four tables set what each pavement type gets done to it and in which year. They are live: a rate or a year changed there moves every alternative of that type.</t>
  </si>
  <si>
    <t xml:space="preserve">The + New Study button saves a cleared copy wherever you choose, with every input blank and every alternative removed. The study you have open is untouched.</t>
  </si>
  <si>
    <t xml:space="preserve">Grey means yours</t>
  </si>
  <si>
    <t xml:space="preserve">Where to look things up</t>
  </si>
  <si>
    <t xml:space="preserve">If a number looks wrong</t>
  </si>
  <si>
    <t xml:space="preserve">A grey cell is one you type in.</t>
  </si>
  <si>
    <t xml:space="preserve">Typical Values: the usual ranges, with sources.</t>
  </si>
  <si>
    <t xml:space="preserve">Check the Unit Cost column first, then the year a policy is applied.</t>
  </si>
  <si>
    <t xml:space="preserve">Everything else calculates: leave it alone.</t>
  </si>
  <si>
    <t xml:space="preserve">Method: every formula as it stands in the sheet.</t>
  </si>
  <si>
    <t xml:space="preserve">Both feed every alternative of that pavement type at once.</t>
  </si>
  <si>
    <t xml:space="preserve">THE ORIGINAL STEP-BY-STEP NOTES</t>
  </si>
  <si>
    <t xml:space="preserve">General Information</t>
  </si>
  <si>
    <t xml:space="preserve">STEP 2 of 5   ·   fill in the grey cells, D9 to D39.</t>
  </si>
  <si>
    <t xml:space="preserve">Saves a fresh copy for the next study. This file stays as is.</t>
  </si>
  <si>
    <t xml:space="preserve">HOW TO USE THIS WORKBOOK</t>
  </si>
  <si>
    <t xml:space="preserve">1.   Overview and Instructions: what the framework does and the rules behind it.
2.   General Information (this sheet): fill in the grey cells, D9 to D39.
3.   Pay_Items: check the unit costs your alternatives will be priced from.
4.   Alternative Setup: add each alternative, then enter its quantities on the sheet it creates.
5.   Summary: read the comparison. It updates by itself.
Grey cells are yours; white cells calculate. Typical Values has the usual ranges, Method every formula.</t>
  </si>
  <si>
    <t xml:space="preserve">1 Overview  ›  2 General Information  ›  3 Pay Items  ›  4 Alternatives  ›  5 Summary</t>
  </si>
  <si>
    <t xml:space="preserve">Airport information</t>
  </si>
  <si>
    <t xml:space="preserve">Name</t>
  </si>
  <si>
    <t xml:space="preserve">ID</t>
  </si>
  <si>
    <t xml:space="preserve">City</t>
  </si>
  <si>
    <t xml:space="preserve">County</t>
  </si>
  <si>
    <t xml:space="preserve">Region</t>
  </si>
  <si>
    <t xml:space="preserve">Owner</t>
  </si>
  <si>
    <t xml:space="preserve">Branch Use</t>
  </si>
  <si>
    <t xml:space="preserve">Airport Name:</t>
  </si>
  <si>
    <t xml:space="preserve">Gatlinburg-Pigeon Forge Airport</t>
  </si>
  <si>
    <t xml:space="preserve">N/A</t>
  </si>
  <si>
    <t xml:space="preserve">Airport ID:</t>
  </si>
  <si>
    <t xml:space="preserve">Abernathy Field</t>
  </si>
  <si>
    <t xml:space="preserve">GZS</t>
  </si>
  <si>
    <t xml:space="preserve">Pulaski</t>
  </si>
  <si>
    <t xml:space="preserve">Giles</t>
  </si>
  <si>
    <t xml:space="preserve">Middle</t>
  </si>
  <si>
    <t xml:space="preserve">Runway</t>
  </si>
  <si>
    <t xml:space="preserve">City:</t>
  </si>
  <si>
    <t xml:space="preserve">Arnold Field</t>
  </si>
  <si>
    <t xml:space="preserve">M31</t>
  </si>
  <si>
    <t xml:space="preserve">Halls</t>
  </si>
  <si>
    <t xml:space="preserve">Lauderdale</t>
  </si>
  <si>
    <t xml:space="preserve">West</t>
  </si>
  <si>
    <t xml:space="preserve">Taxiway</t>
  </si>
  <si>
    <t xml:space="preserve">County:</t>
  </si>
  <si>
    <t xml:space="preserve">Beech River Regional Airport</t>
  </si>
  <si>
    <t xml:space="preserve">PVE</t>
  </si>
  <si>
    <t xml:space="preserve">Lexington/Parsons</t>
  </si>
  <si>
    <t xml:space="preserve">Henderson</t>
  </si>
  <si>
    <t xml:space="preserve">Apron</t>
  </si>
  <si>
    <t xml:space="preserve">State Region:</t>
  </si>
  <si>
    <t xml:space="preserve">Benton County Airport</t>
  </si>
  <si>
    <t xml:space="preserve">0M4</t>
  </si>
  <si>
    <t xml:space="preserve">Camden</t>
  </si>
  <si>
    <t xml:space="preserve">Benton</t>
  </si>
  <si>
    <t xml:space="preserve">Design Consultant:</t>
  </si>
  <si>
    <t xml:space="preserve">ARA</t>
  </si>
  <si>
    <t xml:space="preserve">Bomar Field-Shelbyville Municipal Airport</t>
  </si>
  <si>
    <t xml:space="preserve">SYI</t>
  </si>
  <si>
    <t xml:space="preserve">Shelbyville</t>
  </si>
  <si>
    <t xml:space="preserve">Bedford</t>
  </si>
  <si>
    <t xml:space="preserve">Project Number:</t>
  </si>
  <si>
    <t xml:space="preserve">6101</t>
  </si>
  <si>
    <t xml:space="preserve">Carroll County Airport</t>
  </si>
  <si>
    <t xml:space="preserve">HZD</t>
  </si>
  <si>
    <t xml:space="preserve">Huntingdon</t>
  </si>
  <si>
    <t xml:space="preserve">Carroll</t>
  </si>
  <si>
    <t xml:space="preserve">Markings Type</t>
  </si>
  <si>
    <t xml:space="preserve">Project Name:</t>
  </si>
  <si>
    <t xml:space="preserve">Runway 10-28 Reconstruction</t>
  </si>
  <si>
    <t xml:space="preserve">Centerville Municipal Airport</t>
  </si>
  <si>
    <t xml:space="preserve">GHM</t>
  </si>
  <si>
    <t xml:space="preserve">Centerville</t>
  </si>
  <si>
    <t xml:space="preserve">Hickman</t>
  </si>
  <si>
    <t xml:space="preserve">Date of LCCA:</t>
  </si>
  <si>
    <t xml:space="preserve">Charles W. Baker Field</t>
  </si>
  <si>
    <t xml:space="preserve">2M8</t>
  </si>
  <si>
    <t xml:space="preserve">Millington</t>
  </si>
  <si>
    <t xml:space="preserve">Shelby</t>
  </si>
  <si>
    <t xml:space="preserve">Reflective</t>
  </si>
  <si>
    <t xml:space="preserve">Chilhowee Gliderport</t>
  </si>
  <si>
    <t xml:space="preserve">92A</t>
  </si>
  <si>
    <t xml:space="preserve">Polk</t>
  </si>
  <si>
    <t xml:space="preserve">East</t>
  </si>
  <si>
    <t xml:space="preserve">Non-Reflective</t>
  </si>
  <si>
    <t xml:space="preserve">Cleveland Regional Jetport</t>
  </si>
  <si>
    <t xml:space="preserve">RZR</t>
  </si>
  <si>
    <t xml:space="preserve">Cleveland</t>
  </si>
  <si>
    <t xml:space="preserve">Bradley</t>
  </si>
  <si>
    <t xml:space="preserve">Project and pavement</t>
  </si>
  <si>
    <t xml:space="preserve">Collegedale Municipal Airport</t>
  </si>
  <si>
    <t xml:space="preserve">FGU</t>
  </si>
  <si>
    <t xml:space="preserve">Collegedale</t>
  </si>
  <si>
    <t xml:space="preserve">Hamilton</t>
  </si>
  <si>
    <t xml:space="preserve">Branch Type:</t>
  </si>
  <si>
    <t xml:space="preserve">Colonel Tommy C. Stiner-Campbell County Airport</t>
  </si>
  <si>
    <t xml:space="preserve">JAU</t>
  </si>
  <si>
    <t xml:space="preserve">Jacksboro</t>
  </si>
  <si>
    <t xml:space="preserve">Campbell</t>
  </si>
  <si>
    <t xml:space="preserve">Weight Category</t>
  </si>
  <si>
    <t xml:space="preserve">Branch Name:</t>
  </si>
  <si>
    <t xml:space="preserve">Runway 10-28</t>
  </si>
  <si>
    <t xml:space="preserve">Covington Municipal Airport</t>
  </si>
  <si>
    <t xml:space="preserve">M04</t>
  </si>
  <si>
    <t xml:space="preserve">Covington</t>
  </si>
  <si>
    <t xml:space="preserve">Tipton</t>
  </si>
  <si>
    <t xml:space="preserve">Project Type:</t>
  </si>
  <si>
    <t xml:space="preserve">Reconstruction</t>
  </si>
  <si>
    <t xml:space="preserve">Crossville Memorial Airport/Whitson Field</t>
  </si>
  <si>
    <t xml:space="preserve">CSV</t>
  </si>
  <si>
    <t xml:space="preserve">Crossville</t>
  </si>
  <si>
    <t xml:space="preserve">Cumberland</t>
  </si>
  <si>
    <t xml:space="preserve">&lt; 60,000 lbs</t>
  </si>
  <si>
    <t xml:space="preserve">Project Description:</t>
  </si>
  <si>
    <t xml:space="preserve">Full-depth reconstruction, 5,506 x 75 ft, no paved shoulders</t>
  </si>
  <si>
    <t xml:space="preserve">Dallas Bay Skypark Airport</t>
  </si>
  <si>
    <t xml:space="preserve">1A0</t>
  </si>
  <si>
    <t xml:space="preserve">Chattanooga</t>
  </si>
  <si>
    <t xml:space="preserve">&gt; 60,000 to &lt; 100,000 lbs</t>
  </si>
  <si>
    <t xml:space="preserve">Construction year; the analysis period starts here.</t>
  </si>
  <si>
    <t xml:space="preserve">Dickson Municipal Airport</t>
  </si>
  <si>
    <t xml:space="preserve">M02</t>
  </si>
  <si>
    <t xml:space="preserve">Dickson</t>
  </si>
  <si>
    <t xml:space="preserve">&gt; 100,000 lbs</t>
  </si>
  <si>
    <t xml:space="preserve">Mainline Area, S.Y.:</t>
  </si>
  <si>
    <t xml:space="preserve">Length x width / 9. TN GA: 4,000-6,000 ft x 75-100 ft wide.</t>
  </si>
  <si>
    <t xml:space="preserve">Dyersburg Municipal Airport</t>
  </si>
  <si>
    <t xml:space="preserve">DYR</t>
  </si>
  <si>
    <t xml:space="preserve">Dyersburg</t>
  </si>
  <si>
    <t xml:space="preserve">Dyer</t>
  </si>
  <si>
    <t xml:space="preserve">Shoulder Area, S.Y.:</t>
  </si>
  <si>
    <t xml:space="preserve">Paved shoulders only; usually 0 at TN GA airports.</t>
  </si>
  <si>
    <t xml:space="preserve">Elizabethton Municipal Airport</t>
  </si>
  <si>
    <t xml:space="preserve">0A9</t>
  </si>
  <si>
    <t xml:space="preserve">Elizabethton</t>
  </si>
  <si>
    <t xml:space="preserve">Carter</t>
  </si>
  <si>
    <t xml:space="preserve">Markings, S.F.:</t>
  </si>
  <si>
    <t xml:space="preserve">About 2,000-3,000 SF per 1,000 ft of runway.</t>
  </si>
  <si>
    <t xml:space="preserve">Ellington Airport</t>
  </si>
  <si>
    <t xml:space="preserve">LUG</t>
  </si>
  <si>
    <t xml:space="preserve">Lewisburg</t>
  </si>
  <si>
    <t xml:space="preserve">Marshall</t>
  </si>
  <si>
    <t xml:space="preserve">Markings, Type:</t>
  </si>
  <si>
    <t xml:space="preserve">Everett-Stewart Airport</t>
  </si>
  <si>
    <t xml:space="preserve">UCY</t>
  </si>
  <si>
    <t xml:space="preserve">Union City</t>
  </si>
  <si>
    <t xml:space="preserve">Obion</t>
  </si>
  <si>
    <t xml:space="preserve">Fayette County Airport</t>
  </si>
  <si>
    <t xml:space="preserve">FYE</t>
  </si>
  <si>
    <t xml:space="preserve">Somerville</t>
  </si>
  <si>
    <t xml:space="preserve">Fayette</t>
  </si>
  <si>
    <t xml:space="preserve">Fayetteville Municipal Airport</t>
  </si>
  <si>
    <t xml:space="preserve">FYM</t>
  </si>
  <si>
    <t xml:space="preserve">Fayetteville</t>
  </si>
  <si>
    <t xml:space="preserve">Lincoln</t>
  </si>
  <si>
    <t xml:space="preserve">LCCA parameters</t>
  </si>
  <si>
    <t xml:space="preserve">Franklin County Airport</t>
  </si>
  <si>
    <t xml:space="preserve">UOS</t>
  </si>
  <si>
    <t xml:space="preserve">Sewanee</t>
  </si>
  <si>
    <t xml:space="preserve">Franklin</t>
  </si>
  <si>
    <t xml:space="preserve">Analysis Period, years:</t>
  </si>
  <si>
    <t xml:space="preserve">TDOT policy 30 years; FAA leaves the period to the engineer.</t>
  </si>
  <si>
    <t xml:space="preserve">GKT</t>
  </si>
  <si>
    <t xml:space="preserve">Sevierville</t>
  </si>
  <si>
    <t xml:space="preserve">Sevier</t>
  </si>
  <si>
    <t xml:space="preserve">Discount Rate, percent:</t>
  </si>
  <si>
    <t xml:space="preserve">TDOT 3%. FAA uses the OMB A-94 real rate, 2.0% in 2026.</t>
  </si>
  <si>
    <t xml:space="preserve">General Dewitt Spain Airport</t>
  </si>
  <si>
    <t xml:space="preserve">M01</t>
  </si>
  <si>
    <t xml:space="preserve">Memphis</t>
  </si>
  <si>
    <t xml:space="preserve">Salvage Value, $:</t>
  </si>
  <si>
    <t xml:space="preserve">Remaining service life at the end of the analysis period; computed on Maintenance Policies.</t>
  </si>
  <si>
    <t xml:space="preserve">Gibson County Airport</t>
  </si>
  <si>
    <t xml:space="preserve">TGC</t>
  </si>
  <si>
    <t xml:space="preserve">Trenton</t>
  </si>
  <si>
    <t xml:space="preserve">Gibson</t>
  </si>
  <si>
    <t xml:space="preserve">Mobilization, percent:</t>
  </si>
  <si>
    <t xml:space="preserve">Percent of pay items; workbook default 10.</t>
  </si>
  <si>
    <t xml:space="preserve">Greeneville-Green County Municipal Airport</t>
  </si>
  <si>
    <t xml:space="preserve">GCY</t>
  </si>
  <si>
    <t xml:space="preserve">Greeneville</t>
  </si>
  <si>
    <t xml:space="preserve">Greene</t>
  </si>
  <si>
    <t xml:space="preserve">Engineering, percent:</t>
  </si>
  <si>
    <t xml:space="preserve">Percent of pay items; now applied to initial construction too.</t>
  </si>
  <si>
    <t xml:space="preserve">Hassell-Carroll Field</t>
  </si>
  <si>
    <t xml:space="preserve">M29</t>
  </si>
  <si>
    <t xml:space="preserve">Clifton</t>
  </si>
  <si>
    <t xml:space="preserve">Wayne</t>
  </si>
  <si>
    <t xml:space="preserve">Account Indirect Cost (Yes/No)</t>
  </si>
  <si>
    <t xml:space="preserve">Yes</t>
  </si>
  <si>
    <t xml:space="preserve">Yes counts lost revenue during closures (17 airports have data).</t>
  </si>
  <si>
    <t xml:space="preserve">Hawkins County Airport</t>
  </si>
  <si>
    <t xml:space="preserve">RVN</t>
  </si>
  <si>
    <t xml:space="preserve">Rogersville</t>
  </si>
  <si>
    <t xml:space="preserve">Hawkins</t>
  </si>
  <si>
    <t xml:space="preserve">Airport Daily Revenue</t>
  </si>
  <si>
    <t xml:space="preserve">Henry County Airport</t>
  </si>
  <si>
    <t xml:space="preserve">PHT</t>
  </si>
  <si>
    <t xml:space="preserve">Paris</t>
  </si>
  <si>
    <t xml:space="preserve">Henry</t>
  </si>
  <si>
    <t xml:space="preserve">Houston County Airport</t>
  </si>
  <si>
    <t xml:space="preserve">M93</t>
  </si>
  <si>
    <t xml:space="preserve">McKinnon</t>
  </si>
  <si>
    <t xml:space="preserve">Houston</t>
  </si>
  <si>
    <t xml:space="preserve">Alternative Setup</t>
  </si>
  <si>
    <t xml:space="preserve">Humboldt Municipal Airport</t>
  </si>
  <si>
    <t xml:space="preserve">M53</t>
  </si>
  <si>
    <t xml:space="preserve">Humboldt</t>
  </si>
  <si>
    <t xml:space="preserve">Humphreys County Airport</t>
  </si>
  <si>
    <t xml:space="preserve">0M5</t>
  </si>
  <si>
    <t xml:space="preserve">Waverly</t>
  </si>
  <si>
    <t xml:space="preserve">Humphreys</t>
  </si>
  <si>
    <t xml:space="preserve">Where to go next</t>
  </si>
  <si>
    <t xml:space="preserve">Jackson County Airport</t>
  </si>
  <si>
    <t xml:space="preserve">1A7</t>
  </si>
  <si>
    <t xml:space="preserve">Gainesboro</t>
  </si>
  <si>
    <t xml:space="preserve">Jackson</t>
  </si>
  <si>
    <t xml:space="preserve">LCCA Summary:</t>
  </si>
  <si>
    <t xml:space="preserve">James Tucker-Perry County Airport</t>
  </si>
  <si>
    <t xml:space="preserve">M15</t>
  </si>
  <si>
    <t xml:space="preserve">Linden</t>
  </si>
  <si>
    <t xml:space="preserve">Perry</t>
  </si>
  <si>
    <t xml:space="preserve">Typical input values:</t>
  </si>
  <si>
    <t xml:space="preserve">Jamestown Municipal Airport</t>
  </si>
  <si>
    <t xml:space="preserve">2A1</t>
  </si>
  <si>
    <t xml:space="preserve">Jamestown</t>
  </si>
  <si>
    <t xml:space="preserve">Fentress</t>
  </si>
  <si>
    <t xml:space="preserve">How it is calculated:</t>
  </si>
  <si>
    <t xml:space="preserve">John A. Baker Field</t>
  </si>
  <si>
    <t xml:space="preserve">0M3</t>
  </si>
  <si>
    <t xml:space="preserve">Hohenwald</t>
  </si>
  <si>
    <t xml:space="preserve">Lewis</t>
  </si>
  <si>
    <t xml:space="preserve">Unit costs:</t>
  </si>
  <si>
    <t xml:space="preserve">John C. Tune Airport</t>
  </si>
  <si>
    <t xml:space="preserve">JWN</t>
  </si>
  <si>
    <t xml:space="preserve">Nashville</t>
  </si>
  <si>
    <t xml:space="preserve">Davidson</t>
  </si>
  <si>
    <t xml:space="preserve">Maintenance policies:</t>
  </si>
  <si>
    <t xml:space="preserve">Johnson City Airport</t>
  </si>
  <si>
    <t xml:space="preserve">0A4</t>
  </si>
  <si>
    <t xml:space="preserve">Johnson City</t>
  </si>
  <si>
    <t xml:space="preserve">Washington</t>
  </si>
  <si>
    <t xml:space="preserve">Johnson County Airport</t>
  </si>
  <si>
    <t xml:space="preserve">6A4</t>
  </si>
  <si>
    <t xml:space="preserve">Mountain City</t>
  </si>
  <si>
    <t xml:space="preserve">Johnson</t>
  </si>
  <si>
    <t xml:space="preserve">Knoxville Downtown Island Airport</t>
  </si>
  <si>
    <t xml:space="preserve">DKX</t>
  </si>
  <si>
    <t xml:space="preserve">Knoxville</t>
  </si>
  <si>
    <t xml:space="preserve">Knox</t>
  </si>
  <si>
    <t xml:space="preserve">Lafayette Municipal Airport</t>
  </si>
  <si>
    <t xml:space="preserve">3M7</t>
  </si>
  <si>
    <t xml:space="preserve">Lafayette</t>
  </si>
  <si>
    <t xml:space="preserve">Macon</t>
  </si>
  <si>
    <t xml:space="preserve">Lawrenceburg-Lawrence County Airport</t>
  </si>
  <si>
    <t xml:space="preserve">2M2</t>
  </si>
  <si>
    <t xml:space="preserve">Lawrenceburg</t>
  </si>
  <si>
    <t xml:space="preserve">Lawrence</t>
  </si>
  <si>
    <t xml:space="preserve">Lebanon Municipal Airport</t>
  </si>
  <si>
    <t xml:space="preserve">M54</t>
  </si>
  <si>
    <t xml:space="preserve">Lebanon</t>
  </si>
  <si>
    <t xml:space="preserve">Wilson</t>
  </si>
  <si>
    <t xml:space="preserve">Livingston Municipal Airport</t>
  </si>
  <si>
    <t xml:space="preserve">8A3</t>
  </si>
  <si>
    <t xml:space="preserve">Livingston</t>
  </si>
  <si>
    <t xml:space="preserve">Overton</t>
  </si>
  <si>
    <t xml:space="preserve">Lovell Field</t>
  </si>
  <si>
    <t xml:space="preserve">CHA</t>
  </si>
  <si>
    <t xml:space="preserve">Marion County Airport-Brown Field</t>
  </si>
  <si>
    <t xml:space="preserve">APT</t>
  </si>
  <si>
    <t xml:space="preserve">Jasper</t>
  </si>
  <si>
    <t xml:space="preserve">Marion</t>
  </si>
  <si>
    <t xml:space="preserve">Mark Anton Airport</t>
  </si>
  <si>
    <t xml:space="preserve">2A0</t>
  </si>
  <si>
    <t xml:space="preserve">Dayton</t>
  </si>
  <si>
    <t xml:space="preserve">Rhea</t>
  </si>
  <si>
    <t xml:space="preserve">Martin Campbell Field</t>
  </si>
  <si>
    <t xml:space="preserve">1A3</t>
  </si>
  <si>
    <t xml:space="preserve">Copperhill</t>
  </si>
  <si>
    <t xml:space="preserve">Maury County Airport</t>
  </si>
  <si>
    <t xml:space="preserve">MRC</t>
  </si>
  <si>
    <t xml:space="preserve">Columbia</t>
  </si>
  <si>
    <t xml:space="preserve">Maury</t>
  </si>
  <si>
    <t xml:space="preserve">McGhee Tyson Airport</t>
  </si>
  <si>
    <t xml:space="preserve">TYS</t>
  </si>
  <si>
    <t xml:space="preserve">Blount</t>
  </si>
  <si>
    <t xml:space="preserve">McKellar-Sipes Regional Airport</t>
  </si>
  <si>
    <t xml:space="preserve">MKL</t>
  </si>
  <si>
    <t xml:space="preserve">Madison</t>
  </si>
  <si>
    <t xml:space="preserve">McMinn County Airport</t>
  </si>
  <si>
    <t xml:space="preserve">MMI</t>
  </si>
  <si>
    <t xml:space="preserve">Athens</t>
  </si>
  <si>
    <t xml:space="preserve">Mcminn</t>
  </si>
  <si>
    <t xml:space="preserve">Memphis International Airport</t>
  </si>
  <si>
    <t xml:space="preserve">MEM</t>
  </si>
  <si>
    <t xml:space="preserve">Millington Regional Jetport</t>
  </si>
  <si>
    <t xml:space="preserve">NQA</t>
  </si>
  <si>
    <t xml:space="preserve">Monroe County Airport</t>
  </si>
  <si>
    <t xml:space="preserve">MNV</t>
  </si>
  <si>
    <t xml:space="preserve">Madisonville</t>
  </si>
  <si>
    <t xml:space="preserve">Monroe</t>
  </si>
  <si>
    <t xml:space="preserve">Moore-Murrell Field</t>
  </si>
  <si>
    <t xml:space="preserve">MOR</t>
  </si>
  <si>
    <t xml:space="preserve">Morristown</t>
  </si>
  <si>
    <t xml:space="preserve">Hamblen</t>
  </si>
  <si>
    <t xml:space="preserve">Murfreesboro Municipal Airport</t>
  </si>
  <si>
    <t xml:space="preserve">MBT</t>
  </si>
  <si>
    <t xml:space="preserve">Murfreesboro</t>
  </si>
  <si>
    <t xml:space="preserve">Rutherford</t>
  </si>
  <si>
    <t xml:space="preserve">Music City Executive Airport</t>
  </si>
  <si>
    <t xml:space="preserve">XNX</t>
  </si>
  <si>
    <t xml:space="preserve">Gallatin</t>
  </si>
  <si>
    <t xml:space="preserve">Sumner</t>
  </si>
  <si>
    <t xml:space="preserve">Nashville International Airport</t>
  </si>
  <si>
    <t xml:space="preserve">BNA</t>
  </si>
  <si>
    <t xml:space="preserve">New Tazewell Municipal Airport</t>
  </si>
  <si>
    <t xml:space="preserve">3A2</t>
  </si>
  <si>
    <t xml:space="preserve">Tazewell</t>
  </si>
  <si>
    <t xml:space="preserve">Claiborne</t>
  </si>
  <si>
    <t xml:space="preserve">Outlaw Field</t>
  </si>
  <si>
    <t xml:space="preserve">CKV</t>
  </si>
  <si>
    <t xml:space="preserve">Clarksville</t>
  </si>
  <si>
    <t xml:space="preserve">Montgomery</t>
  </si>
  <si>
    <t xml:space="preserve">Portland Municipal Airport</t>
  </si>
  <si>
    <t xml:space="preserve">1M5</t>
  </si>
  <si>
    <t xml:space="preserve">Portland</t>
  </si>
  <si>
    <t xml:space="preserve">Puckett Airport</t>
  </si>
  <si>
    <t xml:space="preserve">50M</t>
  </si>
  <si>
    <t xml:space="preserve">Eagleville</t>
  </si>
  <si>
    <t xml:space="preserve">Reelfoot Lake Airport</t>
  </si>
  <si>
    <t xml:space="preserve">0M2</t>
  </si>
  <si>
    <t xml:space="preserve">Tiptonville</t>
  </si>
  <si>
    <t xml:space="preserve">Lake</t>
  </si>
  <si>
    <t xml:space="preserve">Robert Sibley Airport</t>
  </si>
  <si>
    <t xml:space="preserve">SZY</t>
  </si>
  <si>
    <t xml:space="preserve">Selmer</t>
  </si>
  <si>
    <t xml:space="preserve">Mcnairy</t>
  </si>
  <si>
    <t xml:space="preserve">Rockwood Municipal Airport</t>
  </si>
  <si>
    <t xml:space="preserve">RKW</t>
  </si>
  <si>
    <t xml:space="preserve">Rockwood</t>
  </si>
  <si>
    <t xml:space="preserve">Morgan</t>
  </si>
  <si>
    <t xml:space="preserve">Savannah-Hardin County Airport</t>
  </si>
  <si>
    <t xml:space="preserve">SNH</t>
  </si>
  <si>
    <t xml:space="preserve">Savannah</t>
  </si>
  <si>
    <t xml:space="preserve">Hardin</t>
  </si>
  <si>
    <t xml:space="preserve">Scott Municipal Airport</t>
  </si>
  <si>
    <t xml:space="preserve">SCX</t>
  </si>
  <si>
    <t xml:space="preserve">Oneida</t>
  </si>
  <si>
    <t xml:space="preserve">Scott</t>
  </si>
  <si>
    <t xml:space="preserve">Smithville Municipal Airport</t>
  </si>
  <si>
    <t xml:space="preserve">0A3</t>
  </si>
  <si>
    <t xml:space="preserve">Smithville</t>
  </si>
  <si>
    <t xml:space="preserve">Dekalb</t>
  </si>
  <si>
    <t xml:space="preserve">Smyrna Airport</t>
  </si>
  <si>
    <t xml:space="preserve">MQY</t>
  </si>
  <si>
    <t xml:space="preserve">Smyrna</t>
  </si>
  <si>
    <t xml:space="preserve">Springfield-Robertson County Airport</t>
  </si>
  <si>
    <t xml:space="preserve">M91</t>
  </si>
  <si>
    <t xml:space="preserve">Springfield</t>
  </si>
  <si>
    <t xml:space="preserve">Robertson</t>
  </si>
  <si>
    <t xml:space="preserve">Tri-Cities Airport</t>
  </si>
  <si>
    <t xml:space="preserve">TRI</t>
  </si>
  <si>
    <t xml:space="preserve">Bristol/Johnson/Kingsport</t>
  </si>
  <si>
    <t xml:space="preserve">Sullivan</t>
  </si>
  <si>
    <t xml:space="preserve">Tullahoma Regional Airport/Northern Field</t>
  </si>
  <si>
    <t xml:space="preserve">THA</t>
  </si>
  <si>
    <t xml:space="preserve">Tullahoma</t>
  </si>
  <si>
    <t xml:space="preserve">Coffee</t>
  </si>
  <si>
    <t xml:space="preserve">Upper Cumberland Regional Airport</t>
  </si>
  <si>
    <t xml:space="preserve">SRB</t>
  </si>
  <si>
    <t xml:space="preserve">Sparta</t>
  </si>
  <si>
    <t xml:space="preserve">White</t>
  </si>
  <si>
    <t xml:space="preserve">Warren County Memorial Airport</t>
  </si>
  <si>
    <t xml:space="preserve">RNC</t>
  </si>
  <si>
    <t xml:space="preserve">McMinnville</t>
  </si>
  <si>
    <t xml:space="preserve">Warren</t>
  </si>
  <si>
    <t xml:space="preserve">William L. Whitehurst Field</t>
  </si>
  <si>
    <t xml:space="preserve">M08</t>
  </si>
  <si>
    <t xml:space="preserve">Bolivar</t>
  </si>
  <si>
    <t xml:space="preserve">Hardeman</t>
  </si>
  <si>
    <t xml:space="preserve">Winchester Municipal Airport</t>
  </si>
  <si>
    <t xml:space="preserve">BGF</t>
  </si>
  <si>
    <t xml:space="preserve">Winchester</t>
  </si>
  <si>
    <t xml:space="preserve">Wolf River</t>
  </si>
  <si>
    <t xml:space="preserve">54M</t>
  </si>
  <si>
    <t xml:space="preserve">Rossville</t>
  </si>
  <si>
    <t xml:space="preserve">Pay Items</t>
  </si>
  <si>
    <t xml:space="preserve">STEP 3 of 5</t>
  </si>
  <si>
    <t xml:space="preserve">Average Pay Item Unit Cost</t>
  </si>
  <si>
    <t xml:space="preserve">Division</t>
  </si>
  <si>
    <t xml:space="preserve">Division Type</t>
  </si>
  <si>
    <t xml:space="preserve">Pay Item No.</t>
  </si>
  <si>
    <t xml:space="preserve">Pay Item Description</t>
  </si>
  <si>
    <t xml:space="preserve">Units</t>
  </si>
  <si>
    <t xml:space="preserve">Notes</t>
  </si>
  <si>
    <t xml:space="preserve">Default</t>
  </si>
  <si>
    <t xml:space="preserve">Part 3 – Sitework</t>
  </si>
  <si>
    <t xml:space="preserve">Sitework</t>
  </si>
  <si>
    <t xml:space="preserve">P-101-5.1a</t>
  </si>
  <si>
    <t xml:space="preserve">Pavement Removal, Asphalt</t>
  </si>
  <si>
    <t xml:space="preserve">Thickness adjustment or multiple</t>
  </si>
  <si>
    <t xml:space="preserve">P-101-5.1b</t>
  </si>
  <si>
    <t xml:space="preserve">Pavement Removal, Concrete</t>
  </si>
  <si>
    <t xml:space="preserve">P-101-5.2a</t>
  </si>
  <si>
    <t xml:space="preserve">Crack Repair (Type I), Asphalt</t>
  </si>
  <si>
    <t xml:space="preserve">L.F.</t>
  </si>
  <si>
    <t xml:space="preserve">P-101-5.2b</t>
  </si>
  <si>
    <t xml:space="preserve">Crack Repair (Type II), Asphalt</t>
  </si>
  <si>
    <t xml:space="preserve">P-101-5.2c</t>
  </si>
  <si>
    <t xml:space="preserve">Crack Seal, Concrete</t>
  </si>
  <si>
    <t xml:space="preserve">P-101-5.2d</t>
  </si>
  <si>
    <t xml:space="preserve">Crack Repair, Concrete</t>
  </si>
  <si>
    <t xml:space="preserve">P-101-5.3</t>
  </si>
  <si>
    <t xml:space="preserve">Markings Removal</t>
  </si>
  <si>
    <t xml:space="preserve">P-101-5.4a</t>
  </si>
  <si>
    <t xml:space="preserve">Spall Repair, Asphalt</t>
  </si>
  <si>
    <t xml:space="preserve">P-101-5.4b</t>
  </si>
  <si>
    <t xml:space="preserve">Full-Depth Repair, Asphalt</t>
  </si>
  <si>
    <t xml:space="preserve">Assumed Section: 4-inch HMA; 4-inch P-209</t>
  </si>
  <si>
    <t xml:space="preserve">P-101-5.5a</t>
  </si>
  <si>
    <t xml:space="preserve">Spall Repair, Concrete</t>
  </si>
  <si>
    <t xml:space="preserve">P-101-5.5b</t>
  </si>
  <si>
    <t xml:space="preserve">Full-Depth Repair, Concrete</t>
  </si>
  <si>
    <t xml:space="preserve">P-101-5.5c</t>
  </si>
  <si>
    <t xml:space="preserve">Slab Replacement, Concrete</t>
  </si>
  <si>
    <t xml:space="preserve">P-101-5.6</t>
  </si>
  <si>
    <t xml:space="preserve">Cold Milling</t>
  </si>
  <si>
    <t xml:space="preserve">P-152-4.1</t>
  </si>
  <si>
    <t xml:space="preserve">Unclassified Excavation</t>
  </si>
  <si>
    <t xml:space="preserve">C.Y.</t>
  </si>
  <si>
    <t xml:space="preserve">P-152-4.2</t>
  </si>
  <si>
    <t xml:space="preserve">Embankment In-Place</t>
  </si>
  <si>
    <t xml:space="preserve">P-154-5.1</t>
  </si>
  <si>
    <t xml:space="preserve">Subbase Course</t>
  </si>
  <si>
    <t xml:space="preserve">P-154-5.2</t>
  </si>
  <si>
    <t xml:space="preserve">Separation Geotextile (P-154)</t>
  </si>
  <si>
    <t xml:space="preserve">P-155-8.1</t>
  </si>
  <si>
    <t xml:space="preserve">Lime Treated subgrade</t>
  </si>
  <si>
    <t xml:space="preserve">P-156-8.1</t>
  </si>
  <si>
    <t xml:space="preserve">Cement-Treated Subgrade</t>
  </si>
  <si>
    <t xml:space="preserve">P-157-8.1a</t>
  </si>
  <si>
    <t xml:space="preserve">Cement Kiln Dust-Treated Subgrade</t>
  </si>
  <si>
    <t xml:space="preserve">P-157-8.1b</t>
  </si>
  <si>
    <t xml:space="preserve">Lime Kiln Dust-Treated Subgrade</t>
  </si>
  <si>
    <t xml:space="preserve">P-158-8.1</t>
  </si>
  <si>
    <t xml:space="preserve">Fly Ash-Treated Subgrade</t>
  </si>
  <si>
    <t xml:space="preserve">Part 4 – Base Courses</t>
  </si>
  <si>
    <t xml:space="preserve">Base Course</t>
  </si>
  <si>
    <t xml:space="preserve">P-207-5.1</t>
  </si>
  <si>
    <t xml:space="preserve">In-Place Full Depth Reclamation (FDR) Recycled Asphalt Aggregate Base Course</t>
  </si>
  <si>
    <t xml:space="preserve">P-208-5.1</t>
  </si>
  <si>
    <t xml:space="preserve">Aggregate Base Course</t>
  </si>
  <si>
    <t xml:space="preserve">P-208-5.2</t>
  </si>
  <si>
    <t xml:space="preserve">Separation Geotextile (P-208)</t>
  </si>
  <si>
    <t xml:space="preserve">P-209-5.1</t>
  </si>
  <si>
    <t xml:space="preserve">Crushed Aggregate Base Course</t>
  </si>
  <si>
    <t xml:space="preserve">P-209-5.2</t>
  </si>
  <si>
    <t xml:space="preserve">Separation Geotextile (P-209)</t>
  </si>
  <si>
    <t xml:space="preserve">P-219-5.1</t>
  </si>
  <si>
    <t xml:space="preserve">Recycled Concrete Aggregate Base Course</t>
  </si>
  <si>
    <t xml:space="preserve">P-219-5.2</t>
  </si>
  <si>
    <t xml:space="preserve">Separation Geotextile (P-219)</t>
  </si>
  <si>
    <t xml:space="preserve">P-220-6.1</t>
  </si>
  <si>
    <t xml:space="preserve">Cement-Treated Soil Base Course</t>
  </si>
  <si>
    <t xml:space="preserve">Part 5 – Stabilized Base Courses</t>
  </si>
  <si>
    <t xml:space="preserve">Stabilized Base Course</t>
  </si>
  <si>
    <t xml:space="preserve">P-304-8.1</t>
  </si>
  <si>
    <t xml:space="preserve">Cement-Treated Base Course</t>
  </si>
  <si>
    <t xml:space="preserve">If S.Y., then thickness adjustment</t>
  </si>
  <si>
    <t xml:space="preserve">P-306-8.1</t>
  </si>
  <si>
    <t xml:space="preserve">Lean Concrete Base Course</t>
  </si>
  <si>
    <t xml:space="preserve">P-307-7.1</t>
  </si>
  <si>
    <t xml:space="preserve">Cement-Treated Permeable Base Course (CTPB)</t>
  </si>
  <si>
    <t xml:space="preserve">Part 6 – Flexible Pavements</t>
  </si>
  <si>
    <t xml:space="preserve">Flexible Pavement</t>
  </si>
  <si>
    <t xml:space="preserve">P-401-8.1a</t>
  </si>
  <si>
    <t xml:space="preserve">Asphalt Surface Course</t>
  </si>
  <si>
    <t xml:space="preserve">TON</t>
  </si>
  <si>
    <t xml:space="preserve">P-401-8.1b</t>
  </si>
  <si>
    <t xml:space="preserve">Asphalt Base Course</t>
  </si>
  <si>
    <t xml:space="preserve">P-401-8.1c</t>
  </si>
  <si>
    <t xml:space="preserve">Asphalt Leveling Course</t>
  </si>
  <si>
    <t xml:space="preserve">P-403-8.1a</t>
  </si>
  <si>
    <t xml:space="preserve">Asphalt Mixture Surface Course</t>
  </si>
  <si>
    <t xml:space="preserve">P-403-8.1b</t>
  </si>
  <si>
    <t xml:space="preserve">Asphalt Mixture Base Course</t>
  </si>
  <si>
    <t xml:space="preserve">P-403-8.1c</t>
  </si>
  <si>
    <t xml:space="preserve">Asphalt Mixture Leveling Course</t>
  </si>
  <si>
    <t xml:space="preserve">P-407-X.1</t>
  </si>
  <si>
    <t xml:space="preserve">Asphalt-Treated Permeable Base Course (ATPB)</t>
  </si>
  <si>
    <t xml:space="preserve">Part 7 – Rigid Pavement</t>
  </si>
  <si>
    <t xml:space="preserve">Cement Concrete</t>
  </si>
  <si>
    <t xml:space="preserve">P-501-8.1a</t>
  </si>
  <si>
    <t xml:space="preserve">Concrete Pavement, 5-inch</t>
  </si>
  <si>
    <t xml:space="preserve">P-501-8.1b</t>
  </si>
  <si>
    <t xml:space="preserve">Concrete Pavement, 6-inch</t>
  </si>
  <si>
    <t xml:space="preserve">P-501-8.1c</t>
  </si>
  <si>
    <t xml:space="preserve">Concrete Pavement, 9-inch</t>
  </si>
  <si>
    <t xml:space="preserve">P-501-8.1d</t>
  </si>
  <si>
    <t xml:space="preserve">Concrete Pavement, 11-inch</t>
  </si>
  <si>
    <t xml:space="preserve">Part 8 – Surface Treatments</t>
  </si>
  <si>
    <t xml:space="preserve">Surface Treatment</t>
  </si>
  <si>
    <t xml:space="preserve">P-608-8.1</t>
  </si>
  <si>
    <t xml:space="preserve">Emulsified Asphalt Surface Treatment</t>
  </si>
  <si>
    <t xml:space="preserve">P-623-8.1</t>
  </si>
  <si>
    <t xml:space="preserve">Emulsified Asphalt Spray Seal Coat</t>
  </si>
  <si>
    <t xml:space="preserve">P-626-6.1</t>
  </si>
  <si>
    <t xml:space="preserve">Emulsified Asphalt Slurry Seal Surface Treatment</t>
  </si>
  <si>
    <t xml:space="preserve">P-629-8.1</t>
  </si>
  <si>
    <t xml:space="preserve">Thermoplastic Coal Tar Emulsion Surface Treatment</t>
  </si>
  <si>
    <t xml:space="preserve">P-630-7.1a</t>
  </si>
  <si>
    <t xml:space="preserve">Refined Coal Tar Emulsion Without Additives, Slurry Seal Surface Treatment</t>
  </si>
  <si>
    <t xml:space="preserve">P-631-7.1b</t>
  </si>
  <si>
    <t xml:space="preserve">Refined Coal Tar Emulsion With Additives, Slurry Seal Surface Treatment</t>
  </si>
  <si>
    <t xml:space="preserve">Part 9 – Miscellaneous</t>
  </si>
  <si>
    <t xml:space="preserve">Tack Coat</t>
  </si>
  <si>
    <t xml:space="preserve">P-603-5.1</t>
  </si>
  <si>
    <t xml:space="preserve">Emulsified Asphalt Tack Coat</t>
  </si>
  <si>
    <t xml:space="preserve">GAL</t>
  </si>
  <si>
    <t xml:space="preserve">Assume 0.1 gal/SY for mill and overlay</t>
  </si>
  <si>
    <t xml:space="preserve">Joint Sealant</t>
  </si>
  <si>
    <t xml:space="preserve">P-605-5.1a</t>
  </si>
  <si>
    <t xml:space="preserve">Joint Clean and Reseal, Concrete</t>
  </si>
  <si>
    <t xml:space="preserve">Assume 12.5x12.5 slabs for these GA pavements</t>
  </si>
  <si>
    <t xml:space="preserve">Marking</t>
  </si>
  <si>
    <t xml:space="preserve">P-620-5.1a</t>
  </si>
  <si>
    <t xml:space="preserve">Markings (prep, markings, reflective media)</t>
  </si>
  <si>
    <t xml:space="preserve">P-620-5.1b</t>
  </si>
  <si>
    <t xml:space="preserve">Markings (prep, markings, non-reflective media)</t>
  </si>
  <si>
    <t xml:space="preserve">Grooving</t>
  </si>
  <si>
    <t xml:space="preserve">P-621-5.1A</t>
  </si>
  <si>
    <t xml:space="preserve">Grooving, Asphalt</t>
  </si>
  <si>
    <t xml:space="preserve">P-621-5.1B</t>
  </si>
  <si>
    <t xml:space="preserve">Grooving, Concrete</t>
  </si>
  <si>
    <t xml:space="preserve">Every alternative worksheet prices its quantities from the Unit Cost column above, by looking up the pay item description. Change a cost here and every alternative reprices when the workbook recalculates.</t>
  </si>
  <si>
    <t xml:space="preserve">The Middle, West and East columns under "Average Pay Item Unit Cost" are the division averages. Each alternative worksheet picks one of them in C11, and any cell left blank there is priced from Unit Cost instead. They ship empty, so until they are filled every division prices the same.</t>
  </si>
  <si>
    <t xml:space="preserve">An item with no unit cost prices at $0. The Unit Cost column flags those in amber: fill one in before entering a quantity against it.</t>
  </si>
  <si>
    <t xml:space="preserve">Typical ranges and the published sources behind these costs are on the Typical Values sheet.</t>
  </si>
  <si>
    <t xml:space="preserve">Alternative List</t>
  </si>
  <si>
    <t xml:space="preserve">Type</t>
  </si>
  <si>
    <t xml:space="preserve">Alt Worksheet Name</t>
  </si>
  <si>
    <t xml:space="preserve">Alternative 1</t>
  </si>
  <si>
    <t xml:space="preserve">HMA-New</t>
  </si>
  <si>
    <t xml:space="preserve">New HMA</t>
  </si>
  <si>
    <t xml:space="preserve">Alt 1 (New HMA)</t>
  </si>
  <si>
    <t xml:space="preserve">Alternative 2</t>
  </si>
  <si>
    <t xml:space="preserve">PCC-New</t>
  </si>
  <si>
    <t xml:space="preserve">Alt 2 (New PCC)</t>
  </si>
  <si>
    <t xml:space="preserve">Alternative 3</t>
  </si>
  <si>
    <t xml:space="preserve">Alt 3 (New PCC)</t>
  </si>
  <si>
    <t xml:space="preserve">Maintenance &amp; Rehabilitation Policies</t>
  </si>
  <si>
    <t xml:space="preserve">This sheet is live. Every alternative reads its Rate and Year Applied straight from these four tables, so a year moved here moves that event on every alternative of that type and every number on the Summary. The grey cells are the ones to edit.</t>
  </si>
  <si>
    <t xml:space="preserve">Rate is the share of the quantity the activity covers: 1 is the whole mainline area, the whole markings area or the whole joint length. Year Applied counts years after construction, and an event past the analysis period drops to zero.</t>
  </si>
  <si>
    <t xml:space="preserve">Table 1 drives a New HMA alternative, Table 2 a New PCC alternative, Table 3 an HMA overlay and Table 4 a PCC rehabilitation.</t>
  </si>
  <si>
    <t xml:space="preserve">Rehabilitation</t>
  </si>
  <si>
    <t xml:space="preserve">Salvage credit</t>
  </si>
  <si>
    <t xml:space="preserve">No salvage</t>
  </si>
  <si>
    <t xml:space="preserve">Closure days come from Typical Values, not this sheet.</t>
  </si>
  <si>
    <t xml:space="preserve">Table 1. New HMA maintenance policies.</t>
  </si>
  <si>
    <t xml:space="preserve">Asphalt Maintenance</t>
  </si>
  <si>
    <t xml:space="preserve">Maintenance Item</t>
  </si>
  <si>
    <t xml:space="preserve">Rate</t>
  </si>
  <si>
    <t xml:space="preserve">Asset life (yrs)</t>
  </si>
  <si>
    <t xml:space="preserve">Surface treatment, SYD</t>
  </si>
  <si>
    <t xml:space="preserve">Paint markings, SFT</t>
  </si>
  <si>
    <t xml:space="preserve">Maintenance 2</t>
  </si>
  <si>
    <t xml:space="preserve">Maintenance 3</t>
  </si>
  <si>
    <t xml:space="preserve">Patching: 0.75% of area</t>
  </si>
  <si>
    <t xml:space="preserve">Crack sealing: 3.25% of area as linear feet</t>
  </si>
  <si>
    <t xml:space="preserve">Surface treatment: 100% of area</t>
  </si>
  <si>
    <t xml:space="preserve">Paint markings: 100% of markings</t>
  </si>
  <si>
    <t xml:space="preserve">Maintenance 4</t>
  </si>
  <si>
    <t xml:space="preserve">Patching: 1.00% of area</t>
  </si>
  <si>
    <t xml:space="preserve">Crack sealing: 3.50% of area as linear feet</t>
  </si>
  <si>
    <t xml:space="preserve">Mill and overlay: 4-inch cold mill, tack coat, and asphalt overlay</t>
  </si>
  <si>
    <t xml:space="preserve">Pre-overlay crack repair: 1.5% of area as linear feet</t>
  </si>
  <si>
    <t xml:space="preserve">Pre-overlay patching: 0.5% of area</t>
  </si>
  <si>
    <t xml:space="preserve">Maintenance 5</t>
  </si>
  <si>
    <t xml:space="preserve">Maintenance 6</t>
  </si>
  <si>
    <t xml:space="preserve">Patching: 1.25% of area</t>
  </si>
  <si>
    <t xml:space="preserve">Crack sealing: 4.0% of area as linear feet</t>
  </si>
  <si>
    <t xml:space="preserve">Table 2. New PCC maintenance policies.</t>
  </si>
  <si>
    <t xml:space="preserve">Concrete Maintenance</t>
  </si>
  <si>
    <t xml:space="preserve">Joint resealing: 100% of joints</t>
  </si>
  <si>
    <t xml:space="preserve">Crack sealing: 0.25% of area as linear feet </t>
  </si>
  <si>
    <t xml:space="preserve">Partial-depth patching: 0.13% of area</t>
  </si>
  <si>
    <t xml:space="preserve">Full-depth patching: 0.30% of area</t>
  </si>
  <si>
    <t xml:space="preserve">Slab replacements: 2% of area</t>
  </si>
  <si>
    <t xml:space="preserve">Crack sealing: 0.30% of area as linear feet</t>
  </si>
  <si>
    <t xml:space="preserve">Joint sealing: 100% of joints</t>
  </si>
  <si>
    <t xml:space="preserve">Table 3. First HMA Overlay maintenance policies.</t>
  </si>
  <si>
    <t xml:space="preserve">Rehabilitation 2</t>
  </si>
  <si>
    <t xml:space="preserve">Pre-overlay crack repair: 2% of area as linear feet</t>
  </si>
  <si>
    <t xml:space="preserve">Pre-overlay patching: 1% of area</t>
  </si>
  <si>
    <t xml:space="preserve">Salvage value: Need for reconstruction (zero salvage)</t>
  </si>
  <si>
    <t xml:space="preserve">Table 4. PCC rehabilitation maintenance policies.</t>
  </si>
  <si>
    <t xml:space="preserve">Crack sealing: 0.35% of area as linear feet </t>
  </si>
  <si>
    <t xml:space="preserve">Partial-depth patching: 0.2% of area</t>
  </si>
  <si>
    <t xml:space="preserve">Slab replacements: 5% of area</t>
  </si>
  <si>
    <t xml:space="preserve">Partial-depth patching: 0.15% of area</t>
  </si>
  <si>
    <t xml:space="preserve">Average Daily Revenue:</t>
  </si>
  <si>
    <t xml:space="preserve">STEP 4 of 5   ·   The quantities for this alternative. Grey cells are yours: C4 to C8 project data (filled from General Information), F4 to F10 closure days, C13 to C22 pay items and E13 to E22 quantities. Everything else calculates. Unit costs come from Pay_Items, and C11 picks which division they are priced from.</t>
  </si>
  <si>
    <t xml:space="preserve">Maintenance 2 Duration (Days)</t>
  </si>
  <si>
    <t xml:space="preserve">Maintenance 3 Duration (Days)</t>
  </si>
  <si>
    <t xml:space="preserve">Mill and overlay:</t>
  </si>
  <si>
    <t xml:space="preserve">inches</t>
  </si>
  <si>
    <t xml:space="preserve">Asphalt Surface Treatment Type:</t>
  </si>
  <si>
    <t xml:space="preserve">Select alternative treatment, if planned.</t>
  </si>
  <si>
    <t xml:space="preserve">Maintenance 4 Duration (Days)</t>
  </si>
  <si>
    <t xml:space="preserve">Asphalt:</t>
  </si>
  <si>
    <t xml:space="preserve">lbs/SY-in</t>
  </si>
  <si>
    <t xml:space="preserve">Maintenance 5 Duration (Days)</t>
  </si>
  <si>
    <t xml:space="preserve">Tack Coat Application</t>
  </si>
  <si>
    <t xml:space="preserve">gal/S.Y.</t>
  </si>
  <si>
    <t xml:space="preserve">Maintenance 6 Duration (Days)</t>
  </si>
  <si>
    <t xml:space="preserve">HMA Reconstruction - Alternative 1</t>
  </si>
  <si>
    <t xml:space="preserve">Maintenance 2 Indirect Cost</t>
  </si>
  <si>
    <t xml:space="preserve">Maintenance 3 Indirect Cost</t>
  </si>
  <si>
    <t xml:space="preserve">Maintenance 4 Indirect Cost</t>
  </si>
  <si>
    <t xml:space="preserve">Maintenance 5 Indirect Cost</t>
  </si>
  <si>
    <t xml:space="preserve">Maintenance 6 Indirect Cost</t>
  </si>
  <si>
    <t xml:space="preserve">FAA ID</t>
  </si>
  <si>
    <t xml:space="preserve">100LL Fuel Sales</t>
  </si>
  <si>
    <t xml:space="preserve"> Jet-A Fuel Sales </t>
  </si>
  <si>
    <t xml:space="preserve">Transient Tie-downs</t>
  </si>
  <si>
    <t xml:space="preserve">Itinerant Hangar Storage</t>
  </si>
  <si>
    <t xml:space="preserve">Tenant Fuel Flowage Fee</t>
  </si>
  <si>
    <t xml:space="preserve">Business Tenant Revenue</t>
  </si>
  <si>
    <t xml:space="preserve">Other Revenue Sources</t>
  </si>
  <si>
    <t xml:space="preserve"> Office Rent, Enterprise Concessionaire, Interest </t>
  </si>
  <si>
    <t xml:space="preserve"> $-   </t>
  </si>
  <si>
    <t xml:space="preserve"> NA </t>
  </si>
  <si>
    <t xml:space="preserve"> 600 airport and 16,389 FBO </t>
  </si>
  <si>
    <t xml:space="preserve"> $175k for airport and FBO $260,000 </t>
  </si>
  <si>
    <t xml:space="preserve"> $0.08 flowage per gallon </t>
  </si>
  <si>
    <t xml:space="preserve"> $6 million FBO revenues. $50,000 revenue share with FBO </t>
  </si>
  <si>
    <t xml:space="preserve"> $5,000 utlities reimbursements </t>
  </si>
  <si>
    <t xml:space="preserve"> 3rd party has fuel contract…revenue captured in tenant flowage fee. </t>
  </si>
  <si>
    <t xml:space="preserve">Actual</t>
  </si>
  <si>
    <t xml:space="preserve">Discounted</t>
  </si>
  <si>
    <t xml:space="preserve">HMA mill and overlay</t>
  </si>
  <si>
    <t xml:space="preserve">HMA Mill and Overlay - Alternative 3</t>
  </si>
  <si>
    <t xml:space="preserve">Coming soon.</t>
  </si>
  <si>
    <t xml:space="preserve">I </t>
  </si>
  <si>
    <t xml:space="preserve">LCCA SUMMARY</t>
  </si>
  <si>
    <t xml:space="preserve">STEP 5 of 5</t>
  </si>
  <si>
    <t xml:space="preserve">CHART DATA (calculated automatically from the table on the left; do not edit)</t>
  </si>
  <si>
    <t xml:space="preserve">Alternative</t>
  </si>
  <si>
    <t xml:space="preserve">Present Worth</t>
  </si>
  <si>
    <t xml:space="preserve">Alternative Description</t>
  </si>
  <si>
    <t xml:space="preserve">LOWEST PRESENT WORTH</t>
  </si>
  <si>
    <t xml:space="preserve">MARGIN TO NEXT</t>
  </si>
  <si>
    <t xml:space="preserve">EQUIVALENT ANNUAL COST</t>
  </si>
  <si>
    <t xml:space="preserve">Present worth by category</t>
  </si>
  <si>
    <t xml:space="preserve">Alt 1</t>
  </si>
  <si>
    <t xml:space="preserve">4" P-401 surface + 4" P-401 base on 6" P-209 on 6" P-154</t>
  </si>
  <si>
    <t xml:space="preserve">Category</t>
  </si>
  <si>
    <t xml:space="preserve">Alt 2</t>
  </si>
  <si>
    <t xml:space="preserve">9" P-501 on 6" P-209 on 6" P-154</t>
  </si>
  <si>
    <t xml:space="preserve">Initial construction</t>
  </si>
  <si>
    <t xml:space="preserve">Alt 3</t>
  </si>
  <si>
    <t xml:space="preserve">11" P-501 on 6" P-209 (no subbase)</t>
  </si>
  <si>
    <t xml:space="preserve">Maintenance</t>
  </si>
  <si>
    <t xml:space="preserve">INITIAL CONSTRUCTION</t>
  </si>
  <si>
    <t xml:space="preserve">UNIT COST</t>
  </si>
  <si>
    <t xml:space="preserve">RATE SENSITIVITY</t>
  </si>
  <si>
    <t xml:space="preserve">Lost revenue</t>
  </si>
  <si>
    <t xml:space="preserve">lowest initial construction cost</t>
  </si>
  <si>
    <t xml:space="preserve">per S.Y. of mainline area</t>
  </si>
  <si>
    <t xml:space="preserve">Net present worth vs. discount rate</t>
  </si>
  <si>
    <t xml:space="preserve">Worksheet</t>
  </si>
  <si>
    <t xml:space="preserve">Maintenance PW</t>
  </si>
  <si>
    <t xml:space="preserve">Rehabilitation PW</t>
  </si>
  <si>
    <t xml:space="preserve">Lost revenue PW</t>
  </si>
  <si>
    <t xml:space="preserve">Salvage PW</t>
  </si>
  <si>
    <t xml:space="preserve">Net present worth</t>
  </si>
  <si>
    <t xml:space="preserve">vs. lowest NPW</t>
  </si>
  <si>
    <t xml:space="preserve">Closure days in period</t>
  </si>
  <si>
    <t xml:space="preserve">Runway availability</t>
  </si>
  <si>
    <t xml:space="preserve">Rate (%)</t>
  </si>
  <si>
    <t xml:space="preserve">Lowest at this rate</t>
  </si>
  <si>
    <t xml:space="preserve">COMPARISON  (RealCost layout: agency cost, user cost, total; present worth and equivalent uniform annual cost)</t>
  </si>
  <si>
    <t xml:space="preserve">Agency cost PW</t>
  </si>
  <si>
    <t xml:space="preserve">Agency EUAC</t>
  </si>
  <si>
    <t xml:space="preserve">User cost PW (lost revenue)</t>
  </si>
  <si>
    <t xml:space="preserve">User EUAC</t>
  </si>
  <si>
    <t xml:space="preserve">Total PW</t>
  </si>
  <si>
    <t xml:space="preserve">Total EUAC</t>
  </si>
  <si>
    <t xml:space="preserve">vs. lowest ($)</t>
  </si>
  <si>
    <t xml:space="preserve">vs. lowest (%)</t>
  </si>
  <si>
    <t xml:space="preserve">Lowest?</t>
  </si>
  <si>
    <t xml:space="preserve">Agency cost = initial construction + maintenance + rehabilitation + salvage. User cost = lost airport revenue during runway closures, the airport-side counterpart of the user delay cost in the Caltrans/FHWA RealCost layout. EUAC = PW x r(1+r)^P / ((1+r)^P - 1) at the discount rate and analysis period on General Information. "vs. lowest (%)" is the difference as a share of the lowest total PW.</t>
  </si>
  <si>
    <t xml:space="preserve">KEY RESULTS — the two plots that decide it</t>
  </si>
  <si>
    <t xml:space="preserve">How to read: charts 1 and 2 are the key results, the total cost by category and whether that winner holds at other discount rates. Charts 3 to 8 below are supporting detail Columns A to F are hidden helper data; unhide them only to type an alternative description.</t>
  </si>
  <si>
    <t xml:space="preserve">By calendar year: spend (undiscounted), cumulative discounted cost, closure days</t>
  </si>
  <si>
    <t xml:space="preserve">Calendar year</t>
  </si>
  <si>
    <t xml:space="preserve">SUPPORTING DETAIL</t>
  </si>
  <si>
    <t xml:space="preserve">PAVEMENT SECTION (inches): mainline, then the reading if the quantities also cover the shoulder</t>
  </si>
  <si>
    <t xml:space="preserve">Layer</t>
  </si>
  <si>
    <t xml:space="preserve">Subbase (P-154)</t>
  </si>
  <si>
    <t xml:space="preserve">Aggregate base</t>
  </si>
  <si>
    <t xml:space="preserve">Asphalt</t>
  </si>
  <si>
    <t xml:space="preserve">Concrete</t>
  </si>
  <si>
    <t xml:space="preserve">Shoulder reading (blank unless shoulder area is entered)</t>
  </si>
  <si>
    <t xml:space="preserve">Chart 8 divides each alternative's initial construction by the mainline area. The band is the all-in range for recent Tennessee runway work, $210 to $280 per S.Y. on Typical Values, which covers pavement, lighting and grading; this workbook prices the pavement contract, so every bar should sit below the band. Far below it, or above it, is worth a second look at the quantities.</t>
  </si>
  <si>
    <t xml:space="preserve">UNIT COST ($/S.Y.) against published Tennessee runway work (Typical Values, unit costs)</t>
  </si>
  <si>
    <t xml:space="preserve">PAVEMENT SECTION  (read back from the quantities already entered; nothing here changes a cost)</t>
  </si>
  <si>
    <t xml:space="preserve">Series</t>
  </si>
  <si>
    <t xml:space="preserve">TN 2024-25, all-in</t>
  </si>
  <si>
    <t xml:space="preserve">Asphalt unit weight, pcf:</t>
  </si>
  <si>
    <t xml:space="preserve">Only asphalt needs an assumption: 145 pcf reproduces the Murfreesboro section to the hundredth of an inch. Volume items convert directly, and concrete carries its thickness in the pay-item name.</t>
  </si>
  <si>
    <t xml:space="preserve">Below the published range</t>
  </si>
  <si>
    <t xml:space="preserve">Surface course (in)</t>
  </si>
  <si>
    <t xml:space="preserve">Aggregate base (in)</t>
  </si>
  <si>
    <t xml:space="preserve">Subbase (in)</t>
  </si>
  <si>
    <t xml:space="preserve">Treated subgrade</t>
  </si>
  <si>
    <t xml:space="preserve">Total section (in)</t>
  </si>
  <si>
    <t xml:space="preserve">Excavation (in)</t>
  </si>
  <si>
    <t xml:space="preserve">Excavation check</t>
  </si>
  <si>
    <t xml:space="preserve">Section from the quantities</t>
  </si>
  <si>
    <t xml:space="preserve">Same quantities over mainline + shoulder</t>
  </si>
  <si>
    <t xml:space="preserve">Unit cost / published range</t>
  </si>
  <si>
    <t xml:space="preserve">Thickness is not an input. Volume items give inches = 36 x C.Y. / mainline S.Y.; asphalt gives inches = 2,666.67 x tons / (pcf x mainline S.Y.); items measured by area carry no implied thickness. The last column is the section as the quantities describe it: paste it into the alternative description so the two can never disagree. The read-back divides by the mainline area only; when a shoulder area is entered, the last column spreads the same quantities over mainline plus shoulder, which is the reading to use if the quantities were taken off both.</t>
  </si>
  <si>
    <t xml:space="preserve">PROJECT AND LOCATION</t>
  </si>
  <si>
    <t xml:space="preserve">PROJECT LOCATION</t>
  </si>
  <si>
    <t xml:space="preserve">PROJECT</t>
  </si>
  <si>
    <t xml:space="preserve">Airport</t>
  </si>
  <si>
    <t xml:space="preserve">City / county</t>
  </si>
  <si>
    <t xml:space="preserve">TDOT Grand Division</t>
  </si>
  <si>
    <t xml:space="preserve">Coordinates</t>
  </si>
  <si>
    <t xml:space="preserve">Elevation</t>
  </si>
  <si>
    <t xml:space="preserve">Branch / project</t>
  </si>
  <si>
    <t xml:space="preserve">Mainline area</t>
  </si>
  <si>
    <t xml:space="preserve">Runway width, ft</t>
  </si>
  <si>
    <t xml:space="preserve">used only by the Google Earth footprint</t>
  </si>
  <si>
    <t xml:space="preserve">■ West</t>
  </si>
  <si>
    <t xml:space="preserve">■ Middle</t>
  </si>
  <si>
    <t xml:space="preserve">■ East</t>
  </si>
  <si>
    <t xml:space="preserve">■ This project</t>
  </si>
  <si>
    <t xml:space="preserve">Coordinates are embedded (Method sheet); nothing here goes online. Five private fields have none and plot no dot.</t>
  </si>
  <si>
    <t xml:space="preserve">Google Earth: import LCCA_KML_Export.bas once (Alt+F11, File, Import File), then Alt+F8 and run ExportLCCAKML.</t>
  </si>
  <si>
    <t xml:space="preserve">Charts 6 and 7 stack the layers as they sit in the ground, surface on top. Chart 7 stays empty unless a shoulder area is entered on General Information, and then shows the same quantities spread over mainline plus shoulder, which is the lower bound on each thickness.</t>
  </si>
  <si>
    <t xml:space="preserve">Below: "Chart 1", the chart the Alternative Setup form draws and keeps up to date. It shows initial construction and net present worth per alternative, which chart 1 above shows with the categories broken out. It is left in place so the form keeps working.</t>
  </si>
  <si>
    <t xml:space="preserve">MAP DATA (embedded coordinates and state outline; reference only, do not edit)</t>
  </si>
  <si>
    <t xml:space="preserve">Longitude</t>
  </si>
  <si>
    <t xml:space="preserve">Latitude</t>
  </si>
  <si>
    <t xml:space="preserve">Elevation (ft)</t>
  </si>
  <si>
    <t xml:space="preserve">This project: longitude</t>
  </si>
  <si>
    <t xml:space="preserve">Label</t>
  </si>
  <si>
    <t xml:space="preserve">Outline longitude</t>
  </si>
  <si>
    <t xml:space="preserve">Outline latitude</t>
  </si>
  <si>
    <t xml:space="preserve">Typical Values</t>
  </si>
  <si>
    <t xml:space="preserve">reference   ·   what a reasonable number looks like, with its source</t>
  </si>
  <si>
    <t xml:space="preserve">Reference only: nothing here feeds the calculation. Six sourced sections, covering the system, runway geometry, unit costs, closure days, the economic parameters and the timing of each treatment.</t>
  </si>
  <si>
    <t xml:space="preserve">Reference only: nothing on this sheet feeds the calculation. Use it to sanity-check what you type on General Information and the alternative worksheets. Values are ranges from the cited sources as of the date in the source column; confirm against current bid tabulations for a specific project.</t>
  </si>
  <si>
    <t xml:space="preserve">1. What TDOT Aeronautics manages (context for project size)</t>
  </si>
  <si>
    <t xml:space="preserve">Value</t>
  </si>
  <si>
    <t xml:space="preserve">Source</t>
  </si>
  <si>
    <t xml:space="preserve">Public-use airports in the Tennessee system (TASP 2040)</t>
  </si>
  <si>
    <t xml:space="preserve">airports</t>
  </si>
  <si>
    <t xml:space="preserve">https://www.tasp2040.com/wp-content/uploads/2021/03/Updated-TASP-Inventory-Existing-System-Conditions-March-2021-v3.pdf</t>
  </si>
  <si>
    <t xml:space="preserve">Commercial service / general aviation</t>
  </si>
  <si>
    <t xml:space="preserve">6 / 72</t>
  </si>
  <si>
    <t xml:space="preserve">Airports in the FAA NPIAS (eligible for AIP)</t>
  </si>
  <si>
    <t xml:space="preserve">https://www.tasp2040.com/wp-content/uploads/2020/12/Chapter-7-Airport-Classifications-and-NPIAS-Evaluation.pdf</t>
  </si>
  <si>
    <t xml:space="preserve">Airports in the TDOT pavement management network (APTech APMS, PCI per ASTM D5340)</t>
  </si>
  <si>
    <t xml:space="preserve">~70</t>
  </si>
  <si>
    <t xml:space="preserve">https://www.appliedpavement.com/tennessee-apms</t>
  </si>
  <si>
    <t xml:space="preserve">PCI performance objective, runways / taxiways</t>
  </si>
  <si>
    <t xml:space="preserve">78 / 75</t>
  </si>
  <si>
    <t xml:space="preserve">PCI</t>
  </si>
  <si>
    <t xml:space="preserve">https://www.tn.gov/content/dam/tn/tdot/aeronautics/TN%20Airport%20Management%20Guide%20FINAL.pdf</t>
  </si>
  <si>
    <t xml:space="preserve">TASP system-wide estimate: pavement rehabilitation (10-yr life goal)</t>
  </si>
  <si>
    <t xml:space="preserve">$</t>
  </si>
  <si>
    <t xml:space="preserve">https://www.tasp2040.com/wp-content/uploads/2021/09/TASP-Cost-Estimate-Chapter.pdf</t>
  </si>
  <si>
    <t xml:space="preserve">TASP system-wide estimate: pavement new / reconstruction (20-yr life goal)</t>
  </si>
  <si>
    <t xml:space="preserve">State share on GA capital projects (federal or state funded)</t>
  </si>
  <si>
    <t xml:space="preserve">up to 90% (10% local); 95/5 on federal discretionary</t>
  </si>
  <si>
    <t xml:space="preserve">https://www.tn.gov/content/dam/tn/tdot/documents/170-02.pdf</t>
  </si>
  <si>
    <t xml:space="preserve">Statewide Airfield Pavement and Marking Maintenance Program (crack seal, seal coat, markings)</t>
  </si>
  <si>
    <t xml:space="preserve">100% state funded, no local share</t>
  </si>
  <si>
    <t xml:space="preserve">https://www.tn.gov/tdot/aeronautics/apmm-contract.html</t>
  </si>
  <si>
    <t xml:space="preserve">Pavement areas and PCI by airport (statewide tables)</t>
  </si>
  <si>
    <t xml:space="preserve">see APTech IDEA portal</t>
  </si>
  <si>
    <t xml:space="preserve">https://idea.appliedpavement.com/hosting/tennessee/statewide-summary/inventory-area/area-by-airport-table.html</t>
  </si>
  <si>
    <t xml:space="preserve">NPIAS 2025-2029 classification of each TN airport (National / Regional / Local / Basic)</t>
  </si>
  <si>
    <t xml:space="preserve">see Appendix A</t>
  </si>
  <si>
    <t xml:space="preserve">https://www.faa.gov/sites/faa.gov/files/airports/planning_capacity/npias/current/ARP-NPIAS-2025-2029-Appendix-A.pdf</t>
  </si>
  <si>
    <t xml:space="preserve">The workbook dropdown holds the TASP airports (count in the live section below). The 17 airports with revenue data are those meeting Aeronautics' activity criteria.</t>
  </si>
  <si>
    <t xml:space="preserve">2. Typical runway geometry at Tennessee GA airports (for D26 mainline area and D28 markings)</t>
  </si>
  <si>
    <t xml:space="preserve">Length x width (ft)</t>
  </si>
  <si>
    <t xml:space="preserve">Mainline area (SY)</t>
  </si>
  <si>
    <t xml:space="preserve">Role</t>
  </si>
  <si>
    <t xml:space="preserve">Note</t>
  </si>
  <si>
    <t xml:space="preserve">Murfreesboro Municipal (MBT)</t>
  </si>
  <si>
    <t xml:space="preserve">18/36</t>
  </si>
  <si>
    <t xml:space="preserve">4,753 x 100</t>
  </si>
  <si>
    <t xml:space="preserve">GA, Middle</t>
  </si>
  <si>
    <t xml:space="preserve">workbook MBT run used 52,778 SY</t>
  </si>
  <si>
    <t xml:space="preserve">https://en.wikipedia.org/wiki/Murfreesboro_Municipal_Airport</t>
  </si>
  <si>
    <t xml:space="preserve">Bomar Field, Shelbyville (SYI)</t>
  </si>
  <si>
    <t xml:space="preserve">5,503 x 100</t>
  </si>
  <si>
    <t xml:space="preserve">https://en.wikipedia.org/wiki/Shelbyville_Municipal_Airport_(Tennessee)</t>
  </si>
  <si>
    <t xml:space="preserve">Gatlinburg-Pigeon Forge (GKT)</t>
  </si>
  <si>
    <t xml:space="preserve">10/28</t>
  </si>
  <si>
    <t xml:space="preserve">5,506 x 75</t>
  </si>
  <si>
    <t xml:space="preserve">GA, East</t>
  </si>
  <si>
    <t xml:space="preserve">75-ft width</t>
  </si>
  <si>
    <t xml:space="preserve">https://en.wikipedia.org/wiki/Gatlinburg%E2%80%93Pigeon_Forge_Airport</t>
  </si>
  <si>
    <t xml:space="preserve">Outlaw Field, Clarksville (CKV)</t>
  </si>
  <si>
    <t xml:space="preserve">17/35</t>
  </si>
  <si>
    <t xml:space="preserve">5,999 x 100</t>
  </si>
  <si>
    <t xml:space="preserve">used in the new-project test</t>
  </si>
  <si>
    <t xml:space="preserve">https://en.wikipedia.org/wiki/Clarksville%E2%80%93Montgomery_County_Regional_Airport</t>
  </si>
  <si>
    <t xml:space="preserve">McKellar-Sipes Regional (MKL)</t>
  </si>
  <si>
    <t xml:space="preserve">2/20</t>
  </si>
  <si>
    <t xml:space="preserve">6,005 x 150</t>
  </si>
  <si>
    <t xml:space="preserve">GA, West</t>
  </si>
  <si>
    <t xml:space="preserve">rebuilt 2024, ~$28M all-in</t>
  </si>
  <si>
    <t xml:space="preserve">https://www.wbbjtv.com/2024/08/28/mckellar-sipes-regional-airport-set-to-complete-runway-2-20-paving-preparing-for-new-jet-service/</t>
  </si>
  <si>
    <t xml:space="preserve">Smyrna (MQY)</t>
  </si>
  <si>
    <t xml:space="preserve">1/19</t>
  </si>
  <si>
    <t xml:space="preserve">5,546 x 100</t>
  </si>
  <si>
    <t xml:space="preserve">reconstructed 2025, ~$13M all-in</t>
  </si>
  <si>
    <t xml:space="preserve">https://www.smyrnaairport.com/news-events/smyrna-airport-runway-119-grand-opening</t>
  </si>
  <si>
    <t xml:space="preserve">14/32</t>
  </si>
  <si>
    <t xml:space="preserve">8,038 x 150</t>
  </si>
  <si>
    <t xml:space="preserve">former military</t>
  </si>
  <si>
    <t xml:space="preserve">https://en.wikipedia.org/wiki/Smyrna_Airport_(Tennessee)</t>
  </si>
  <si>
    <t xml:space="preserve">Typical TN GA runway</t>
  </si>
  <si>
    <t xml:space="preserve">4,000 to 6,000 x 75 or 100</t>
  </si>
  <si>
    <t xml:space="preserve">33,000 to 67,000</t>
  </si>
  <si>
    <t xml:space="preserve">TASP Regional Service minimum width 100 ft</t>
  </si>
  <si>
    <t xml:space="preserve">Markings area rule of thumb</t>
  </si>
  <si>
    <t xml:space="preserve">2,000 to 3,000 SF per 1,000 ft of runway for a full runway marking set (centerline, thresholds, designators, aiming points, TDZ where applicable); use the marking plan quantity when available</t>
  </si>
  <si>
    <t xml:space="preserve">engineering judgement; verify with the marking plan</t>
  </si>
  <si>
    <t xml:space="preserve">Mainline area = length x width / 9. Shoulders (D27) are usually unpaved at TN GA airports; enter paved shoulders only. Area drives the closure-day defaults on the alternative sheets.</t>
  </si>
  <si>
    <t xml:space="preserve">3. Unit costs: workbook defaults (Pay_Items, column F) against recent bids</t>
  </si>
  <si>
    <t xml:space="preserve">Pay item</t>
  </si>
  <si>
    <t xml:space="preserve">Workbook default (live)</t>
  </si>
  <si>
    <t xml:space="preserve">Recent bid range</t>
  </si>
  <si>
    <t xml:space="preserve">Reading</t>
  </si>
  <si>
    <t xml:space="preserve">P-401 Asphalt Surface Course</t>
  </si>
  <si>
    <t xml:space="preserve">$/ton</t>
  </si>
  <si>
    <t xml:space="preserve">185 (low bid) to 232 (engineer's estimate)</t>
  </si>
  <si>
    <t xml:space="preserve">Workbook default looks low against 2025 southeastern bids; confirm before relying on the default</t>
  </si>
  <si>
    <t xml:space="preserve">https://aeronautics.sc.gov/sites/default/files/2025-05/250521_FLO_Rehab_Twy_A.pdf</t>
  </si>
  <si>
    <t xml:space="preserve">P-401 Asphalt Base Course</t>
  </si>
  <si>
    <t xml:space="preserve">typically 5 to 10% below surface course</t>
  </si>
  <si>
    <t xml:space="preserve">https://aeronautics.sc.gov/airport-development/sc-airport-capital-project-bid-tabulations</t>
  </si>
  <si>
    <t xml:space="preserve">P-501 Concrete Pavement, 9-inch</t>
  </si>
  <si>
    <t xml:space="preserve">$/SY</t>
  </si>
  <si>
    <t xml:space="preserve">165 (8-in doweled apron, planning value)</t>
  </si>
  <si>
    <t xml:space="preserve">Planning value from another state DOT; obtain a TN or southeastern PCC bid before use</t>
  </si>
  <si>
    <t xml:space="preserve">https://www.dot.state.mn.us/aero/planning/documents/sasp/saspappendixf.pdf</t>
  </si>
  <si>
    <t xml:space="preserve">P-209 Crushed Aggregate Base Course</t>
  </si>
  <si>
    <t xml:space="preserve">$/CY</t>
  </si>
  <si>
    <t xml:space="preserve">not found in open sources; see SC bid tabs</t>
  </si>
  <si>
    <t xml:space="preserve">P-154 Subbase Course</t>
  </si>
  <si>
    <t xml:space="preserve">P-101 Cold Milling</t>
  </si>
  <si>
    <t xml:space="preserve">4.70 (3-in, low bid) to 10.00 (variable depth, EE)</t>
  </si>
  <si>
    <t xml:space="preserve">P-608 Emulsified Asphalt Surface Treatment</t>
  </si>
  <si>
    <t xml:space="preserve">TDOT APMM 2022 Summary of Bids</t>
  </si>
  <si>
    <t xml:space="preserve">State maintenance contract prices apply to seal coats and crack sealing</t>
  </si>
  <si>
    <t xml:space="preserve">P-620 Markings (reflective)</t>
  </si>
  <si>
    <t xml:space="preserve">$/SF</t>
  </si>
  <si>
    <t xml:space="preserve">All-in runway reconstruction, TN 2024-2025 (pavement + lighting + grading)</t>
  </si>
  <si>
    <t xml:space="preserve">210 (Smyrna 1/19) to 280 (MKL 2/20)</t>
  </si>
  <si>
    <t xml:space="preserve">Project-level figures; the LCCA compares pavement pay items only</t>
  </si>
  <si>
    <t xml:space="preserve">State maintenance project example (Dyersburg): &gt;200,000 LF crack seal, &gt;121,000 SY seal coat, markings</t>
  </si>
  <si>
    <t xml:space="preserve">about $5/SY of runway treated</t>
  </si>
  <si>
    <t xml:space="preserve">https://www.stategazette.com/news/regional-airport-receives-state-grant/article_5fd852fd-1d67-525c-b6fc-b32fbc676bdc.html</t>
  </si>
  <si>
    <t xml:space="preserve">Pay_Items column F holds the default unit cost used by the alternative sheets (regional columns G:I are blank in v1.2.0). The defaults date from the 2022 framework; the 2025 comparison rows suggest the asphalt default is below current bids. Updating Pay_Items is the only place a cost needs to change.</t>
  </si>
  <si>
    <t xml:space="preserve">4. Closure-day defaults built into the alternative sheets (cells F4:F10; override with project-specific values)</t>
  </si>
  <si>
    <t xml:space="preserve">Operation</t>
  </si>
  <si>
    <t xml:space="preserve">Production rate in the formula</t>
  </si>
  <si>
    <t xml:space="preserve">Days for a 6,000 x 100 ft runway (66,667 SY, 15,000 SF markings)</t>
  </si>
  <si>
    <t xml:space="preserve">Where used</t>
  </si>
  <si>
    <t xml:space="preserve">Surface treatment (seal coat)</t>
  </si>
  <si>
    <t xml:space="preserve">15,000 SY/day</t>
  </si>
  <si>
    <t xml:space="preserve">HMA Maintenance 1-6</t>
  </si>
  <si>
    <t xml:space="preserve">each operation is rounded up to whole days</t>
  </si>
  <si>
    <t xml:space="preserve">this workbook (MBT and SRB runs)</t>
  </si>
  <si>
    <t xml:space="preserve">Markings: paint / layout and removal</t>
  </si>
  <si>
    <t xml:space="preserve">20,000 SF/day and 50,000 SF/day</t>
  </si>
  <si>
    <t xml:space="preserve">every HMA activity</t>
  </si>
  <si>
    <t xml:space="preserve">this workbook</t>
  </si>
  <si>
    <t xml:space="preserve">Patching</t>
  </si>
  <si>
    <t xml:space="preserve">10,000 SY of pavement per day at the policy rate (0.75% to 1.25% of area)</t>
  </si>
  <si>
    <t xml:space="preserve">HMA Maintenance 3, 4, 6</t>
  </si>
  <si>
    <t xml:space="preserve">Crack sealing</t>
  </si>
  <si>
    <t xml:space="preserve">5,000 SY of pavement per day at the policy rate (3.25% to 4% of area)</t>
  </si>
  <si>
    <t xml:space="preserve">Mill and overlay (4 in)</t>
  </si>
  <si>
    <t xml:space="preserve">3,800 SY/day</t>
  </si>
  <si>
    <t xml:space="preserve">HMA Rehabilitation 1</t>
  </si>
  <si>
    <t xml:space="preserve">the largest HMA closure</t>
  </si>
  <si>
    <t xml:space="preserve">PCC joint resealing</t>
  </si>
  <si>
    <t xml:space="preserve">about 1 LF of joint per SY of slab, 10,000 LF/day</t>
  </si>
  <si>
    <t xml:space="preserve">PCC Maintenance 1 and Rehabilitation 1</t>
  </si>
  <si>
    <t xml:space="preserve">PCC crack sealing, partial- and full-depth patching</t>
  </si>
  <si>
    <t xml:space="preserve">5,000 to 10,000 SY of pavement per day at the policy rate</t>
  </si>
  <si>
    <t xml:space="preserve">PCC Maintenance 1</t>
  </si>
  <si>
    <t xml:space="preserve">PCC slab replacement (2% of area) + cure</t>
  </si>
  <si>
    <t xml:space="preserve">1,000 SY/day plus 7 days cure</t>
  </si>
  <si>
    <t xml:space="preserve">PCC Rehabilitation 1</t>
  </si>
  <si>
    <t xml:space="preserve">the largest PCC closure</t>
  </si>
  <si>
    <t xml:space="preserve">Typical totals over 30 years</t>
  </si>
  <si>
    <t xml:space="preserve">HMA 57 to 67 days in 7 closures; PCC 27 to 29 days in 2 closures</t>
  </si>
  <si>
    <t xml:space="preserve">Summary column Q</t>
  </si>
  <si>
    <t xml:space="preserve">MBT (52,778 SY) and CKV test (66,667 SY)</t>
  </si>
  <si>
    <t xml:space="preserve">Initial construction is not a closure in the model (the runway is assumed closed for construction regardless of alternative). Lost revenue = closure days x airport daily revenue x 100%; a per-category "share lost" factor is a policy decision listed in the change notes.</t>
  </si>
  <si>
    <t xml:space="preserve">5. Economic parameters (D33 analysis period, D34 discount rate, salvage)</t>
  </si>
  <si>
    <t xml:space="preserve">Parameter</t>
  </si>
  <si>
    <t xml:space="preserve">Applies to</t>
  </si>
  <si>
    <t xml:space="preserve">TDOT policy discount rate (workbook default)</t>
  </si>
  <si>
    <t xml:space="preserve">%</t>
  </si>
  <si>
    <t xml:space="preserve">live from General Information D34</t>
  </si>
  <si>
    <t xml:space="preserve">TDOT policy analysis period (workbook default)</t>
  </si>
  <si>
    <t xml:space="preserve">years</t>
  </si>
  <si>
    <t xml:space="preserve">live from General Information D33</t>
  </si>
  <si>
    <t xml:space="preserve">FAA AIP: discount rate for pavement cost-effectiveness (PGL 22-01, June 2022)</t>
  </si>
  <si>
    <t xml:space="preserve">OMB Circular A-94 Appendix C real rate for the analysis period</t>
  </si>
  <si>
    <t xml:space="preserve">Replaced the fixed 7% rule; the analysis period is now the engineer's choice (the fixed 20-year requirement was removed)</t>
  </si>
  <si>
    <t xml:space="preserve">https://www.faa.gov/airports/aip/guidance_letters/aip_pgl_22_01</t>
  </si>
  <si>
    <t xml:space="preserve">OMB A-94 Appendix C real rate, 20-year and 30-year (calendar 2026)</t>
  </si>
  <si>
    <t xml:space="preserve">Revised March 2026 (OMB memo M-26-09); 2025 values were 1.8% (10-yr) and 2.3% (30-yr)</t>
  </si>
  <si>
    <t xml:space="preserve">https://www.whitehouse.gov/wp-content/uploads/2026/03/CircularA-94Appendix-C.pdf</t>
  </si>
  <si>
    <t xml:space="preserve">Legacy FAA AIP rule before PGL 22-01</t>
  </si>
  <si>
    <t xml:space="preserve">7% and 20 years</t>
  </si>
  <si>
    <t xml:space="preserve">AIP Handbook (Order 5100.38D) pavement LCCA table; also the 1992 A-94 benefit-cost base case reinstated by OMB M-25-23 (April 2025) for BCA, not for cost-effectiveness</t>
  </si>
  <si>
    <t xml:space="preserve">https://www.whitehouse.gov/wp-content/uploads/2025/02/M-25-23-Rescission-and-Reinstatement-of-Circular-No.-A-94.pdf</t>
  </si>
  <si>
    <t xml:space="preserve">FAA AC 150/5320-6E Appendix 1 (superseded)</t>
  </si>
  <si>
    <t xml:space="preserve">4% and 20 years; straight-line residual value</t>
  </si>
  <si>
    <t xml:space="preserve">Dropped in 6F/6G; still widely cited</t>
  </si>
  <si>
    <t xml:space="preserve">https://www.faa.gov/documentLibrary/media/Advisory_Circular/150_5320_6e_part4.pdf</t>
  </si>
  <si>
    <t xml:space="preserve">AAPTP 06-06 airport LCCA guide (Auburn/NCAT)</t>
  </si>
  <si>
    <t xml:space="preserve">4%, 20 years, NPW, remaining-life salvage; user cost includes lost airport revenue</t>
  </si>
  <si>
    <t xml:space="preserve">Basis for the "airport daily revenue" approach used here</t>
  </si>
  <si>
    <t xml:space="preserve">https://www.eng.auburn.edu/research/centers/ncat/files/aaptp/Report.Final.06-06.pdf</t>
  </si>
  <si>
    <t xml:space="preserve">Caltrans LCCA manual / RealCost</t>
  </si>
  <si>
    <t xml:space="preserve">4% real; 20 / 35 / 55 years (CAPM / rehabilitation / new construction)</t>
  </si>
  <si>
    <t xml:space="preserve">Agency and user costs reported as present value and EUAC; the Summary comparison block follows that layout</t>
  </si>
  <si>
    <t xml:space="preserve">https://dot.ca.gov/-/media/dot-media/programs/maintenance/documents/office-of-concrete-pavement/life-cycle-cost-analysis/lcca-25ca-manual-final-aug-1-2013-v2-a11y.pdf</t>
  </si>
  <si>
    <t xml:space="preserve">Structural design life (FAARFIELD, AC 150/5320-6G)</t>
  </si>
  <si>
    <t xml:space="preserve">design life, not service life</t>
  </si>
  <si>
    <t xml:space="preserve">https://www.faa.gov/documentLibrary/media/Advisory_Circular/150-5320-6G-Pavement-Design.pdf</t>
  </si>
  <si>
    <t xml:space="preserve">Salvage: HMA</t>
  </si>
  <si>
    <t xml:space="preserve">fraction of the last mill-and-overlay</t>
  </si>
  <si>
    <t xml:space="preserve">computed in Maintenance Policies D32: remaining life of the year-20 overlay at the analysis period, over a 16-year overlay life</t>
  </si>
  <si>
    <t xml:space="preserve">Salvage: PCC</t>
  </si>
  <si>
    <t xml:space="preserve">fraction of initial construction</t>
  </si>
  <si>
    <t xml:space="preserve">computed in Maintenance Policies D46: remaining life of the initial construction at the analysis period, over a 40-year life</t>
  </si>
  <si>
    <t xml:space="preserve">Salvage method in FAA / AAPTP guidance</t>
  </si>
  <si>
    <t xml:space="preserve">remaining life / expected life x cost of the last treatment (straight line)</t>
  </si>
  <si>
    <t xml:space="preserve">the method is theirs, and from v1.2.0 the workbook computes it rather than carrying the two fractions as constants</t>
  </si>
  <si>
    <t xml:space="preserve">The Summary sensitivity chart runs 2% to 8% so both the current FAA rate (about 2%) and the legacy 7% are on the curve. G10 on the Summary states whether the lowest-cost alternative changes at either rate.</t>
  </si>
  <si>
    <t xml:space="preserve">6. Maintenance timing and service life (Maintenance Policies sheet against published experience)</t>
  </si>
  <si>
    <t xml:space="preserve">Workbook policy (live)</t>
  </si>
  <si>
    <t xml:space="preserve">Published range</t>
  </si>
  <si>
    <t xml:space="preserve">HMA surface treatment / markings</t>
  </si>
  <si>
    <t xml:space="preserve">preventive-maintenance window PCI 60-80; inspect PCI every 3 years (AIP airports)</t>
  </si>
  <si>
    <t xml:space="preserve">FAA ACs give the PCI window, not fixed year intervals; 4-year cycles are the TDOT policy</t>
  </si>
  <si>
    <t xml:space="preserve">https://www.faa.gov/documentlibrary/media/advisory_circular/150-5380-7b.pdf</t>
  </si>
  <si>
    <t xml:space="preserve">HMA patching + crack sealing + treatment</t>
  </si>
  <si>
    <t xml:space="preserve">crack sealing, patching, seal coats per AC 150/5380-6C</t>
  </si>
  <si>
    <t xml:space="preserve">https://www.faa.gov/documentlibrary/media/advisory_circular/150-5380-6c.pdf</t>
  </si>
  <si>
    <t xml:space="preserve">asphalt runways reach PCI 70 in about 12 to 15 years (FAA 2014 performance trends)</t>
  </si>
  <si>
    <t xml:space="preserve">policy year 20 is at the optimistic end of the published range</t>
  </si>
  <si>
    <t xml:space="preserve">https://www.acpa.org/wp-content/uploads/2025/03/ACPA-Achieving-the-Goals-of-the-FAAs-Extended-Airport-Pavement-Life-Program.pdf</t>
  </si>
  <si>
    <t xml:space="preserve">PCC joint resealing + patching</t>
  </si>
  <si>
    <t xml:space="preserve">hot-pour sealant 3-8 yr; silicone 8-15 yr; compression seals 15-20 yr</t>
  </si>
  <si>
    <t xml:space="preserve">policy year 19 assumes silicone-class sealant life</t>
  </si>
  <si>
    <t xml:space="preserve">https://www.tarmacview.com/glossary/joint-sealant/</t>
  </si>
  <si>
    <t xml:space="preserve">PCC slab replacement (2%) + joints</t>
  </si>
  <si>
    <t xml:space="preserve">PCC runways reach PCI 70 at about 40 years (FAA 2014)</t>
  </si>
  <si>
    <t xml:space="preserve">Expected service life</t>
  </si>
  <si>
    <t xml:space="preserve">HMA 20 yr design; PCC 30-40 yr</t>
  </si>
  <si>
    <t xml:space="preserve">FAA Extended Airport Pavement Life program targets 40 years</t>
  </si>
  <si>
    <t xml:space="preserve">https://www.airporttech.tc.faa.gov/Portals/0/FactSheets/Extended%20Airport%20Pavement%20Life%20Factsheet_May%202024.pdf</t>
  </si>
  <si>
    <t xml:space="preserve">Treatment fact sheets with life and cost by treatment</t>
  </si>
  <si>
    <t xml:space="preserve">ACRP Report 159 (GA airports) and ACRP Synthesis 22</t>
  </si>
  <si>
    <t xml:space="preserve">use for project-specific overrides of the policy years</t>
  </si>
  <si>
    <t xml:space="preserve">https://nap.nationalacademies.org/catalog/23649/</t>
  </si>
  <si>
    <t xml:space="preserve">Minimum layer thickness, AC 150/5320-6G</t>
  </si>
  <si>
    <t xml:space="preserve">P-401 surface 4 in (&gt;= 12,500 lb); P-209 base 6 in; P-501 6 in (5 in under 12,500 lb)</t>
  </si>
  <si>
    <t xml:space="preserve">check the pay-item quantities against these minimums</t>
  </si>
  <si>
    <t xml:space="preserve">Maintenance Policies drives every activity year and rate; this section only shows them next to the published ranges. Sources were read from search excerpts in September 2026 because the FAA and OMB sites could not be opened from the build environment; confirm the cited paragraphs before quoting them to FAA.</t>
  </si>
  <si>
    <t xml:space="preserve">Airport daily revenue used for lost-revenue cost (the 17 airports with revenue data; live from RevenueData)</t>
  </si>
  <si>
    <t xml:space="preserve">Airport ID</t>
  </si>
  <si>
    <t xml:space="preserve">Daily revenue ($/day)</t>
  </si>
  <si>
    <t xml:space="preserve">Lost revenue, 7-day closure ($)</t>
  </si>
  <si>
    <t xml:space="preserve">Lost revenue, 19-day closure ($)</t>
  </si>
  <si>
    <t xml:space="preserve">Columns holding text (counted as $0)</t>
  </si>
  <si>
    <t xml:space="preserve">RevenueData sheet in this workbook (hidden)</t>
  </si>
  <si>
    <t xml:space="preserve">Same SUMIF chain as General Information D39: text entries in RevenueData (" $-   ", " NA ", descriptions on XNX and M54) count as zero. 7 days is a typical surface-treatment closure and 19 days a mill-and-overlay closure for a 6,000 x 100 ft runway (see production rates).</t>
  </si>
  <si>
    <t xml:space="preserve">Airports in the General Information dropdown</t>
  </si>
  <si>
    <t xml:space="preserve">Airports selectable in D9</t>
  </si>
  <si>
    <t xml:space="preserve">General Information, hidden columns L:P</t>
  </si>
  <si>
    <t xml:space="preserve">Airports with revenue data</t>
  </si>
  <si>
    <t xml:space="preserve">RevenueData</t>
  </si>
  <si>
    <t xml:space="preserve">Airports with a Middle / West / East region tag</t>
  </si>
  <si>
    <t xml:space="preserve">Method</t>
  </si>
  <si>
    <t xml:space="preserve">reference   ·   every formula as it stands in the sheet, and why</t>
  </si>
  <si>
    <t xml:space="preserve">Reference only: nothing here feeds the calculation. Eleven sections, each row giving the cell a formula lives in, the formula itself, what it means and the rule it comes from.</t>
  </si>
  <si>
    <t xml:space="preserve">Every calculation in the framework, written once: the formula as it stands in the cell, the rule in plain English, and where the rule comes from. Sections 2 to 8 follow one alternative from the quantities you type to its net present worth; section 9 covers what the Summary adds; section 10 reads the current settings live; section 11 lists the assumptions a reviewer will ask about. To see a formula in the workbook itself, go to the cell named in column B, or press Ctrl + ` on any sheet to show all of its formulas at once.</t>
  </si>
  <si>
    <t xml:space="preserve">Quantity × unit cost   ›   + mobilization &amp; engineering   ›   policy year for each event   ›   + closure days × daily revenue   ›   − salvage   ›   discount to today = net present worth</t>
  </si>
  <si>
    <t xml:space="preserve">1. The answer the workbook produces</t>
  </si>
  <si>
    <t xml:space="preserve">Step / quantity</t>
  </si>
  <si>
    <t xml:space="preserve">Where it lives</t>
  </si>
  <si>
    <t xml:space="preserve">Formula as it stands</t>
  </si>
  <si>
    <t xml:space="preserve">What it means</t>
  </si>
  <si>
    <t xml:space="preserve">Source of the rule</t>
  </si>
  <si>
    <t xml:space="preserve">Net present worth (NPW)</t>
  </si>
  <si>
    <t xml:space="preserve">Alt sheet E52 (HMA), E43 (PCC)</t>
  </si>
  <si>
    <t xml:space="preserve">=SUM(E36:E51)</t>
  </si>
  <si>
    <t xml:space="preserve">Today's value of everything the alternative costs over the analysis period: initial construction, every maintenance and rehabilitation event, the airport revenue lost while the runway is closed, less the salvage credit. The alternative with the lowest NPW is the economic choice.</t>
  </si>
  <si>
    <t xml:space="preserve">FHWA LCCA Primer; TDOT framework</t>
  </si>
  <si>
    <t xml:space="preserve">Where it is reported</t>
  </si>
  <si>
    <t xml:space="preserve">Summary O4:O7 and D4:D7</t>
  </si>
  <si>
    <t xml:space="preserve">=IFERROR(INDEX(INDIRECT("'"&amp;$G4&amp;"'!$E$1:$E$70"),MATCH("Net Present Worth",...)),0)</t>
  </si>
  <si>
    <t xml:space="preserve">The Summary reads the NPW out of each alternative worksheet by name, so it follows whatever alternatives exist.</t>
  </si>
  <si>
    <t xml:space="preserve">Summary, v1.2.0</t>
  </si>
  <si>
    <t xml:space="preserve">Everything else is presentation</t>
  </si>
  <si>
    <t xml:space="preserve">Summary G3:R7, G12:O17, charts 1 to 7</t>
  </si>
  <si>
    <t xml:space="preserve">The results table, the comparison block, the five cost charts and the two section charts all restate the same numbers. No chart or block feeds a cost back into the calculation.</t>
  </si>
  <si>
    <t xml:space="preserve">Read the steps below in order: they follow the money from the quantities you type to the NPW.</t>
  </si>
  <si>
    <t xml:space="preserve">2. Step 1: initial construction cost</t>
  </si>
  <si>
    <t xml:space="preserve">Item cost</t>
  </si>
  <si>
    <t xml:space="preserve">Alt sheet G13:G22</t>
  </si>
  <si>
    <t xml:space="preserve">=IF(B13&lt;&gt;0,F13*E13,0)</t>
  </si>
  <si>
    <t xml:space="preserve">The quantity you type in column E times the unit cost the item carries on Pay_Items. Ten item lines are available.</t>
  </si>
  <si>
    <t xml:space="preserve">Alternative worksheet</t>
  </si>
  <si>
    <t xml:space="preserve">Unit cost, item number, unit</t>
  </si>
  <si>
    <t xml:space="preserve">Alt sheet B, D and F columns</t>
  </si>
  <si>
    <t xml:space="preserve">=IF(C13="","N/A",IF(INDEX(UnitCostGrid,MATCH(C13,PayItemKeys,0),$I$11)="",INDEX(UnitCostGrid,MATCH(C13,PayItemKeys,0),1),INDEX(UnitCostGrid,MATCH(C13,PayItemKeys,0),$I$11)))</t>
  </si>
  <si>
    <t xml:space="preserve">Unit costs are never typed on an alternative sheet. Picking a description in column C pulls the item number, the unit and the price from Pay_Items, so a price change for every future project is one edit on Pay_Items. UnitCostGrid is Table2[[Unit Cost]:[East]], the four price columns; I11 turns the division picked in C11 into which of them to read.</t>
  </si>
  <si>
    <t xml:space="preserve">Pay_Items (Table2), columns F to I</t>
  </si>
  <si>
    <t xml:space="preserve">Which division the alternative is priced from</t>
  </si>
  <si>
    <t xml:space="preserve">Alt sheet C11 and I11</t>
  </si>
  <si>
    <t xml:space="preserve">=IFERROR(MATCH($C$11,PriceSources,0),1)</t>
  </si>
  <si>
    <t xml:space="preserve">C11 is a list: Regular, Middle, West or East. Regular is the statewide Unit Cost column and is what a new alternative ships with. Any item the chosen division leaves blank is priced from Unit Cost instead, so filling one regional cost prices that item regionally and changes nothing else. An empty C11 reads as Regular.</t>
  </si>
  <si>
    <t xml:space="preserve">v1.2.0, Pay_Items columns F to I</t>
  </si>
  <si>
    <t xml:space="preserve">Pay-item subtotal</t>
  </si>
  <si>
    <t xml:space="preserve">Alt sheet G24</t>
  </si>
  <si>
    <t xml:space="preserve">=SUM(G13:G22)</t>
  </si>
  <si>
    <t xml:space="preserve">The ten item lines. (In v1.1.2 this summed G14:G22 and silently dropped item 1.)</t>
  </si>
  <si>
    <t xml:space="preserve">v1.2.0 fix 1</t>
  </si>
  <si>
    <t xml:space="preserve">Alt sheet G25</t>
  </si>
  <si>
    <t xml:space="preserve">=('General Information'!$D$36/100)*G24</t>
  </si>
  <si>
    <t xml:space="preserve">A percentage of the pay-item subtotal. Default 10 percent, set on General Information D36.</t>
  </si>
  <si>
    <t xml:space="preserve">General Information D36</t>
  </si>
  <si>
    <t xml:space="preserve">Alt sheet G26</t>
  </si>
  <si>
    <t xml:space="preserve">=('General Information'!$D$37/100)*G24</t>
  </si>
  <si>
    <t xml:space="preserve">A percentage of the pay-item subtotal. Default 5 percent, set on General Information D37. Applied to initial construction from v1.2.0; before that it was charged only on later work.</t>
  </si>
  <si>
    <t xml:space="preserve">General Information D37; v1.2.0 fix 2</t>
  </si>
  <si>
    <t xml:space="preserve">Initial construction total</t>
  </si>
  <si>
    <t xml:space="preserve">Alt sheet G27</t>
  </si>
  <si>
    <t xml:space="preserve">=SUM(G24:G26)</t>
  </si>
  <si>
    <t xml:space="preserve">Subtotal plus mobilization plus engineering. This is the "Initial construction" column on the Summary and the year-0 row of the life-cycle table.</t>
  </si>
  <si>
    <t xml:space="preserve">3. Step 2: when the later work happens</t>
  </si>
  <si>
    <t xml:space="preserve">Year of each event</t>
  </si>
  <si>
    <t xml:space="preserve">Alt sheet C37:C51</t>
  </si>
  <si>
    <t xml:space="preserve">='Maintenance Policies'!E10</t>
  </si>
  <si>
    <t xml:space="preserve">Years come from the maintenance policy tables, not from the project. New HMA: maintenance at 4, 8, 12 and 16, mill-and-overlay rehabilitation at 20, maintenance at 24 and 28, salvage at 30. New PCC: maintenance at 19, rehabilitation at 27, salvage at 30.</t>
  </si>
  <si>
    <t xml:space="preserve">Maintenance Policies, Tables 1 and 2</t>
  </si>
  <si>
    <t xml:space="preserve">The year is an offset</t>
  </si>
  <si>
    <t xml:space="preserve">Alt sheet column C</t>
  </si>
  <si>
    <t xml:space="preserve">Column C counts years after construction, not calendar years. Calendar years appear only on the Summary charts, where the construction year is added back.</t>
  </si>
  <si>
    <t xml:space="preserve">Events beyond the analysis period</t>
  </si>
  <si>
    <t xml:space="preserve">Alt sheet column E</t>
  </si>
  <si>
    <t xml:space="preserve">=IF(C37&gt;'General Information'!$D$33,0,...)</t>
  </si>
  <si>
    <t xml:space="preserve">An event later than the analysis period is dropped to zero. A 20-year run therefore drops HMA maintenance 5 and 6 and the PCC rehabilitation. Added in v1.2.0; before that every event was counted whatever the period.</t>
  </si>
  <si>
    <t xml:space="preserve">General Information D33; v1.2.0 fix 3</t>
  </si>
  <si>
    <t xml:space="preserve">Changing a policy year on Maintenance Policies moves the event everywhere: the cost, the chart and the closure.</t>
  </si>
  <si>
    <t xml:space="preserve">4. Step 3: what each maintenance and rehabilitation event costs</t>
  </si>
  <si>
    <t xml:space="preserve">HMA maintenance 1 and 2 (years 4, 8)</t>
  </si>
  <si>
    <t xml:space="preserve">Alt sheet J13:P19 and R13:X19 (hidden to the right)</t>
  </si>
  <si>
    <t xml:space="preserve">qty = 'Maintenance Policies'!D10*$C$5 ; cost = unit cost x qty</t>
  </si>
  <si>
    <t xml:space="preserve">Surface treatment over 100 percent of the mainline area, the old markings removed and 100 percent of the markings repainted. The treatment product is the one chosen in C7.</t>
  </si>
  <si>
    <t xml:space="preserve">Maintenance Policies rows 10 to 13</t>
  </si>
  <si>
    <t xml:space="preserve">HMA maintenance 3 and 4 (years 12, 16)</t>
  </si>
  <si>
    <t xml:space="preserve">Alt sheet Z13:AD20 and AH13:AN21</t>
  </si>
  <si>
    <t xml:space="preserve">qty = 'Maintenance Policies'!D14*($C$5*9)</t>
  </si>
  <si>
    <t xml:space="preserve">Patching 0.75 and 1.00 percent of the area (converted to square feet, hence x9), crack sealing 3.25 and 3.50 percent of the area as linear feet, then a full surface treatment and markings.</t>
  </si>
  <si>
    <t xml:space="preserve">Maintenance Policies rows 14 to 21</t>
  </si>
  <si>
    <t xml:space="preserve">HMA rehabilitation 1 (year 20)</t>
  </si>
  <si>
    <t xml:space="preserve">Alt sheet AP13:AV22</t>
  </si>
  <si>
    <t xml:space="preserve">qty = 'Maintenance Policies'!D22*$C$5</t>
  </si>
  <si>
    <t xml:space="preserve">4-inch cold mill, tack coat and asphalt overlay over 100 percent of the area, with pre-overlay crack repair on 1.5 percent and patching on 0.5 percent, plus markings.</t>
  </si>
  <si>
    <t xml:space="preserve">Maintenance Policies rows 22 to 25</t>
  </si>
  <si>
    <t xml:space="preserve">PCC maintenance 1 (year 19)</t>
  </si>
  <si>
    <t xml:space="preserve">Alt sheet J13:P20</t>
  </si>
  <si>
    <t xml:space="preserve">qty = K8*'Maintenance Policies'!D37 and 'Maintenance Policies'!D38*(C5*9)</t>
  </si>
  <si>
    <t xml:space="preserve">Joint resealing over the whole estimated joint length, crack sealing 0.25 percent of the area as linear feet, partial-depth patching 0.13 percent and full-depth patching 0.30 percent.</t>
  </si>
  <si>
    <t xml:space="preserve">Maintenance Policies rows 37 to 40</t>
  </si>
  <si>
    <t xml:space="preserve">PCC rehabilitation 1 (year 27)</t>
  </si>
  <si>
    <t xml:space="preserve">Alt sheet R13:X21</t>
  </si>
  <si>
    <t xml:space="preserve">qty = 'Maintenance Policies'!D41*C5 (slabs) and 'Maintenance Policies'!D45*K8 (joints)</t>
  </si>
  <si>
    <t xml:space="preserve">Slab replacement on 2 percent of the area, full-depth patching 0.30 percent, partial-depth 0.13 percent, crack sealing 0.30 percent as linear feet and joint sealing over the full joint length.</t>
  </si>
  <si>
    <t xml:space="preserve">Maintenance Policies rows 41 to 45</t>
  </si>
  <si>
    <t xml:space="preserve">Joint length (PCC only)</t>
  </si>
  <si>
    <t xml:space="preserve">Alt sheet K7 and K8</t>
  </si>
  <si>
    <t xml:space="preserve">=C5/((12.5*12.5)/9) then =K7*25+((K7/8)*12.5)</t>
  </si>
  <si>
    <t xml:space="preserve">Slabs are assumed 12.5 x 12.5 ft; the joint length follows from the panel count. Nothing asks the user for a joint layout.</t>
  </si>
  <si>
    <t xml:space="preserve">Alternative worksheet (PCC)</t>
  </si>
  <si>
    <t xml:space="preserve">Mobilization and engineering on each event</t>
  </si>
  <si>
    <t xml:space="preserve">Alt sheet P17, P18 and the matching cells in each block</t>
  </si>
  <si>
    <t xml:space="preserve">=('General Information'!$D$36/100)*P16</t>
  </si>
  <si>
    <t xml:space="preserve">Every maintenance and rehabilitation event carries the same mobilization and engineering percentages as initial construction.</t>
  </si>
  <si>
    <t xml:space="preserve">General Information D36, D37</t>
  </si>
  <si>
    <t xml:space="preserve">The quantities of later work are computed from the policy rates and the project area. They are not typed anywhere.</t>
  </si>
  <si>
    <t xml:space="preserve">5. Step 4: how long the runway closes</t>
  </si>
  <si>
    <t xml:space="preserve">HMA surface treatment (F4, F5, F9)</t>
  </si>
  <si>
    <t xml:space="preserve">Alt sheet F4:F10 (grey, editable)</t>
  </si>
  <si>
    <t xml:space="preserve">=ROUNDUP((C5/15000),0)+ROUNDUP((C8/20000),0)+ROUNDUP((C8/50000),0)</t>
  </si>
  <si>
    <t xml:space="preserve">Production rates: 15,000 S.Y. a day of surface treatment, plus the two marking operations at 20,000 and 50,000 S.F. a day.</t>
  </si>
  <si>
    <t xml:space="preserve">v1.2.0 defaults, taken from the MBT and SRB runs</t>
  </si>
  <si>
    <t xml:space="preserve">HMA with patching and crack sealing (F6, F7, F10)</t>
  </si>
  <si>
    <t xml:space="preserve">Alt sheet F6, F7, F10</t>
  </si>
  <si>
    <t xml:space="preserve">... +ROUNDUP((C5*'Maintenance Policies'!D15/10000),0)+ROUNDUP((C5*'Maintenance Policies'!D14/5000),0)</t>
  </si>
  <si>
    <t xml:space="preserve">Adds crack sealing at 10,000 L.F. a day and patching at 5,000 S.Y. a day, on the policy quantities for that event.</t>
  </si>
  <si>
    <t xml:space="preserve">v1.2.0 defaults</t>
  </si>
  <si>
    <t xml:space="preserve">HMA mill and overlay (F8)</t>
  </si>
  <si>
    <t xml:space="preserve">Alt sheet F8</t>
  </si>
  <si>
    <t xml:space="preserve">=ROUNDUP((C5/3800),0)+ROUNDUP((C8/50000),0)</t>
  </si>
  <si>
    <t xml:space="preserve">Mill and overlay at 3,800 S.Y. a day, plus markings.</t>
  </si>
  <si>
    <t xml:space="preserve">PCC (F4, F5)</t>
  </si>
  <si>
    <t xml:space="preserve">Alt sheet F4, F5</t>
  </si>
  <si>
    <t xml:space="preserve">=ROUNDUP(C5*550/(50*100/9)/10000,0)+... +7 on F5</t>
  </si>
  <si>
    <t xml:space="preserve">Joint work at 10,000 L.F. a day, patching and sealing at 5,000 a day, slab replacement at 1,000 S.Y. a day, plus seven days of cure before the runway reopens.</t>
  </si>
  <si>
    <t xml:space="preserve">These are inputs</t>
  </si>
  <si>
    <t xml:space="preserve">Alt sheet F4:F10</t>
  </si>
  <si>
    <t xml:space="preserve">The cells are grey because a project can override them. Type a number and the formula is replaced for that alternative only.</t>
  </si>
  <si>
    <t xml:space="preserve">Closure days matter only when lost revenue is switched on, but they are always reported on the Summary.</t>
  </si>
  <si>
    <t xml:space="preserve">6. Step 5: lost airport revenue (the "indirect cost")</t>
  </si>
  <si>
    <t xml:space="preserve">Switch</t>
  </si>
  <si>
    <t xml:space="preserve">General Information D38</t>
  </si>
  <si>
    <t xml:space="preserve">Yes adds a lost-revenue row beside every maintenance and rehabilitation event. No leaves the analysis as agency cost only.</t>
  </si>
  <si>
    <t xml:space="preserve">Daily revenue</t>
  </si>
  <si>
    <t xml:space="preserve">Alt sheet F2</t>
  </si>
  <si>
    <t xml:space="preserve">=IF('General Information'!$D$38="Yes",SUMIF(RevenueData!$A:$A,'General Information'!$D$10,RevenueData!$B:$B)+... ,0)</t>
  </si>
  <si>
    <t xml:space="preserve">Adds the airport's revenue lines on the hidden RevenueData sheet (fuel, tenant, other). Only 17 of the 79 airports have revenue data; text entries such as " NA " count as zero.</t>
  </si>
  <si>
    <t xml:space="preserve">RevenueData (hidden); v1.2.0 fix 5</t>
  </si>
  <si>
    <t xml:space="preserve">Warning when there is no data</t>
  </si>
  <si>
    <t xml:space="preserve">Alt sheet G2</t>
  </si>
  <si>
    <t xml:space="preserve">=IF(AND('General Information'!$D$38="Yes",F2=0),"No revenue data for this airport...","")</t>
  </si>
  <si>
    <t xml:space="preserve">An airport outside the 17 returns $0 lost revenue with a visible warning, instead of the not-available error it produced before.</t>
  </si>
  <si>
    <t xml:space="preserve">v1.2.0 fix 5</t>
  </si>
  <si>
    <t xml:space="preserve">Cost of one closure</t>
  </si>
  <si>
    <t xml:space="preserve">Alt sheet D38, D40, D42 ... (the "Indirect Cost" rows)</t>
  </si>
  <si>
    <t xml:space="preserve">=F2*F4</t>
  </si>
  <si>
    <t xml:space="preserve">Daily revenue times the closure days for that event, then discounted like any other cost.</t>
  </si>
  <si>
    <t xml:space="preserve">This is the airport-side counterpart of the road user delay cost in the Caltrans and FHWA RealCost method.</t>
  </si>
  <si>
    <t xml:space="preserve">7. Step 6: salvage value</t>
  </si>
  <si>
    <t xml:space="preserve">The rule</t>
  </si>
  <si>
    <t xml:space="preserve">Maintenance Policies D32 and D46</t>
  </si>
  <si>
    <t xml:space="preserve">=MAX(0,MIN(1,(placed+life-'General Information'!$D$33)/life))</t>
  </si>
  <si>
    <t xml:space="preserve">Remaining life over expected life, times the cost of the asset being salvaged. Both terms are live: the credit is taken at the analysis period and the HMA overlay happens in the year the policy sheet names, so the fraction is computed, never typed. The expected life it divides by sits in column F beside each salvage row.</t>
  </si>
  <si>
    <t xml:space="preserve">AAPTP 06-06 and FAA remaining-life salvage; v1.2.0 made it a formula</t>
  </si>
  <si>
    <t xml:space="preserve">Alt sheet D51</t>
  </si>
  <si>
    <t xml:space="preserve">=-'Maintenance Policies'!D32*AV22</t>
  </si>
  <si>
    <t xml:space="preserve">A share of the mill-and-overlay cost. The overlay is laid in year 20 and lasts 16 years, so at a 30-year period 6 of 16 years remain and the credit is 37.5 percent. Through v1.2.0 this cell held a fixed 12.5 percent, which is what 16 years of life would leave from an overlay laid in year 16, not year 20.</t>
  </si>
  <si>
    <t xml:space="preserve">Maintenance Policies row 32</t>
  </si>
  <si>
    <t xml:space="preserve">Alt sheet D42</t>
  </si>
  <si>
    <t xml:space="preserve">=-'Maintenance Policies'!D46*G27</t>
  </si>
  <si>
    <t xml:space="preserve">A share of the whole initial construction cost, on a 40-year life from year 0. At a 30-year period 10 of 40 years remain and the credit is 25 percent, which is what the cell held as a constant; it was right at 30 years and at no other period.</t>
  </si>
  <si>
    <t xml:space="preserve">Maintenance Policies row 46</t>
  </si>
  <si>
    <t xml:space="preserve">What it does at other periods</t>
  </si>
  <si>
    <t xml:space="preserve">Maintenance Policies D32, D46</t>
  </si>
  <si>
    <t xml:space="preserve">At 25 years the credits become 68.8 and 37.5 percent; at 20 years the HMA overlay is laid in the salvage year itself, so 100 and 50 percent; at 36 years the overlay is fully consumed and HMA credits nothing. A period that ends before the overlay is ever laid credits nothing for HMA, because there is no overlay to salvage.</t>
  </si>
  <si>
    <t xml:space="preserve">v1.2.0</t>
  </si>
  <si>
    <t xml:space="preserve">The two rehabilitation tables</t>
  </si>
  <si>
    <t xml:space="preserve">Maintenance Policies D71 and D85</t>
  </si>
  <si>
    <t xml:space="preserve">0</t>
  </si>
  <si>
    <t xml:space="preserve">Tables 3 and 4 credit no salvage at all. That is a stated policy, "need for reconstruction", not a remaining-life calculation, and it is left as it was.</t>
  </si>
  <si>
    <t xml:space="preserve">Pre-existing policy</t>
  </si>
  <si>
    <t xml:space="preserve">When it is credited</t>
  </si>
  <si>
    <t xml:space="preserve">Alt sheet C51 (HMA), C42 (PCC)</t>
  </si>
  <si>
    <t xml:space="preserve">='General Information'!D33</t>
  </si>
  <si>
    <t xml:space="preserve">Always at the last year of the analysis period, so it is discounted the hardest of any line.</t>
  </si>
  <si>
    <t xml:space="preserve">General Information D33</t>
  </si>
  <si>
    <t xml:space="preserve">The two rules are not symmetric: concrete recovers a share of everything spent up front, asphalt a share of one rehabilitation. See section 11.</t>
  </si>
  <si>
    <t xml:space="preserve">8. Step 7: discounting and the total</t>
  </si>
  <si>
    <t xml:space="preserve">Present worth of one event</t>
  </si>
  <si>
    <t xml:space="preserve">=IF(C37&gt;'General Information'!$D$33,0,D37/(1+('General Information'!$D$34/100))^C37)</t>
  </si>
  <si>
    <t xml:space="preserve">Cost divided by (1 + rate) raised to the number of years after construction. Constant-dollar costs with a real discount rate: no inflation is added anywhere in the workbook.</t>
  </si>
  <si>
    <t xml:space="preserve">General Information D33, D34</t>
  </si>
  <si>
    <t xml:space="preserve">Discount rate</t>
  </si>
  <si>
    <t xml:space="preserve">General Information D34</t>
  </si>
  <si>
    <t xml:space="preserve">TDOT uses 3 percent. FAA PGL 22-01 (June 2022) replaced the fixed 7 percent with the OMB Circular A-94 Appendix C real rate, 2.0 percent for 2026. Chart 2 on the Summary shows the answer from 2 to 8 percent.</t>
  </si>
  <si>
    <t xml:space="preserve">TDOT policy; FAA PGL 22-01; OMB A-94</t>
  </si>
  <si>
    <t xml:space="preserve">Analysis period</t>
  </si>
  <si>
    <t xml:space="preserve">TDOT uses 30 years. FAA leaves the period to the engineer. Events beyond it are dropped, salvage moves with it.</t>
  </si>
  <si>
    <t xml:space="preserve">TDOT policy</t>
  </si>
  <si>
    <t xml:space="preserve">The sum of the discounted column, initial construction included.</t>
  </si>
  <si>
    <t xml:space="preserve">9. What the Summary adds on top</t>
  </si>
  <si>
    <t xml:space="preserve">Results table</t>
  </si>
  <si>
    <t xml:space="preserve">Summary G3:R7</t>
  </si>
  <si>
    <t xml:space="preserve">=IFERROR(SUMIFS(INDIRECT("'"&amp;$G4&amp;"'!$E$37:$E$52"),...),0)</t>
  </si>
  <si>
    <t xml:space="preserve">Splits the same NPW into initial construction, maintenance, rehabilitation, lost revenue and salvage by matching the activity labels, so the five columns always add back to the NPW. Also difference to the lowest, closure days inside the period and runway availability.</t>
  </si>
  <si>
    <t xml:space="preserve">Which alternatives exist</t>
  </si>
  <si>
    <t xml:space="preserve">Summary G4:I7</t>
  </si>
  <si>
    <t xml:space="preserve">=INDEX(Database!$D:$D,4)</t>
  </si>
  <si>
    <t xml:space="preserve">Names and worksheet names come from the hidden Database sheet that the Alternative Setup form writes. INDEX on whole columns survives the row deletion the form performs when an alternative is removed.</t>
  </si>
  <si>
    <t xml:space="preserve">Database (hidden)</t>
  </si>
  <si>
    <t xml:space="preserve">Verdict</t>
  </si>
  <si>
    <t xml:space="preserve">Summary G9, G10</t>
  </si>
  <si>
    <t xml:space="preserve">Names the lowest-NPW alternative, the margin to the next, the rate and period, and whether the same alternative still wins at 2 and at 7 percent.</t>
  </si>
  <si>
    <t xml:space="preserve">Comparison block (RealCost layout)</t>
  </si>
  <si>
    <t xml:space="preserve">Summary G13:O17</t>
  </si>
  <si>
    <t xml:space="preserve">=H14*(('General Information'!$D$34/100)*(1+'General Information'!$D$34/100)^'General Information'!$D$33)/((1+'General Information'!$D$34/100)^'General Information'!$D$33-1)</t>
  </si>
  <si>
    <t xml:space="preserve">Agency cost (initial + maintenance + rehabilitation + salvage) and user cost (lost revenue) as present worth and as equivalent uniform annual cost. EUAC = PW x capital recovery factor.</t>
  </si>
  <si>
    <t xml:space="preserve">Caltrans / FHWA RealCost layout</t>
  </si>
  <si>
    <t xml:space="preserve">Sensitivity to the discount rate</t>
  </si>
  <si>
    <t xml:space="preserve">Summary W10:AA36, chart 2</t>
  </si>
  <si>
    <t xml:space="preserve">=SUMPRODUCT((year&lt;=period)*cost/(1+r)^year)</t>
  </si>
  <si>
    <t xml:space="preserve">Recomputes every alternative at 25 rates from 2 to 8 percent without touching the alternative sheets.</t>
  </si>
  <si>
    <t xml:space="preserve">By calendar year</t>
  </si>
  <si>
    <t xml:space="preserve">Summary W39:AJ71, charts 3, 4 and 5</t>
  </si>
  <si>
    <t xml:space="preserve">=SUMIF(year applied, ...)</t>
  </si>
  <si>
    <t xml:space="preserve">Spend by year undiscounted, cumulative discounted cost (the payback crossing) and closure days by year.</t>
  </si>
  <si>
    <t xml:space="preserve">Pavement section read-back</t>
  </si>
  <si>
    <t xml:space="preserve">Summary G80:Q86, charts 6 and 7</t>
  </si>
  <si>
    <t xml:space="preserve">=36*C.Y./mainline S.Y. ; =2666.6667*tons/(pcf*mainline S.Y.)</t>
  </si>
  <si>
    <t xml:space="preserve">Derives each layer thickness from the quantities already entered, totals the section, cross-checks it against the excavation quantity and writes the section out as a string for the alternative description. Display only.</t>
  </si>
  <si>
    <t xml:space="preserve">10. Current settings in this file (live)</t>
  </si>
  <si>
    <t xml:space="preserve">Analysis period, years</t>
  </si>
  <si>
    <t xml:space="preserve">The period every alternative is measured over.</t>
  </si>
  <si>
    <t xml:space="preserve">Discount rate, percent</t>
  </si>
  <si>
    <t xml:space="preserve">The real rate used for every present worth above.</t>
  </si>
  <si>
    <t xml:space="preserve">Capital recovery factor</t>
  </si>
  <si>
    <t xml:space="preserve">computed here</t>
  </si>
  <si>
    <t xml:space="preserve">Multiply any present worth by this to get the equivalent uniform annual cost.</t>
  </si>
  <si>
    <t xml:space="preserve">Present worth of $1 spent at year 20</t>
  </si>
  <si>
    <t xml:space="preserve">What a dollar of rehabilitation at year 20 is worth today at the current rate.</t>
  </si>
  <si>
    <t xml:space="preserve">Lost revenue counted</t>
  </si>
  <si>
    <t xml:space="preserve">Yes adds the closure cost rows.</t>
  </si>
  <si>
    <t xml:space="preserve">Alternatives registered</t>
  </si>
  <si>
    <t xml:space="preserve">Database A4:A7</t>
  </si>
  <si>
    <t xml:space="preserve">How many alternatives the form has created.</t>
  </si>
  <si>
    <t xml:space="preserve">These cells read the workbook as it stands right now, so they change with the inputs.</t>
  </si>
  <si>
    <t xml:space="preserve">11. Assumptions and policy choices worth knowing</t>
  </si>
  <si>
    <t xml:space="preserve">Engineering on initial construction</t>
  </si>
  <si>
    <t xml:space="preserve">v1.2.0 charges engineering on initial construction as well as on later work. It raises every initial cost by the engineering percentage against v1.1.2 results, and it affects PCC more than HMA because PCC salvage is a share of initial cost.</t>
  </si>
  <si>
    <t xml:space="preserve">v1.2.0 fix 2</t>
  </si>
  <si>
    <t xml:space="preserve">Salvage is not symmetric, but it is now computed</t>
  </si>
  <si>
    <t xml:space="preserve">Concrete salvages a share of its whole initial construction; asphalt salvages a share of one overlay. Concrete therefore carries a large end-of-period credit that moves with the discount rate in step with its costs, which is why the concrete curves in chart 2 are nearly flat while the asphalt curve falls. The asymmetry of the basis is a real modelling choice and is unchanged. What changed in v1.2.0 is that both fractions are now computed from remaining life instead of being typed in: the HMA figure had been 12.5 percent against a table that places the overlay at year 20, where 37.5 percent is the arithmetic, and the PCC figure had been right only at exactly a 30-year period.</t>
  </si>
  <si>
    <t xml:space="preserve">Corrected in v1.2.0; the basis remains a policy choice</t>
  </si>
  <si>
    <t xml:space="preserve">Lost revenue is gross revenue</t>
  </si>
  <si>
    <t xml:space="preserve">RevenueData; Alt sheet F2</t>
  </si>
  <si>
    <t xml:space="preserve">The whole of the airport's fuel, tenant and other revenue is treated as lost for every closure day. A percentage lost by category would be more defensible.</t>
  </si>
  <si>
    <t xml:space="preserve">Pre-existing; flagged for decision</t>
  </si>
  <si>
    <t xml:space="preserve">PCC joint length is estimated two ways</t>
  </si>
  <si>
    <t xml:space="preserve">Alt sheet K8 versus F4 and F5</t>
  </si>
  <si>
    <t xml:space="preserve">The cost side assumes 12.5 x 12.5 ft slabs; the closure-day formula assumes 550 L.F. of joint per 50 x 100 ft panel. The closure formula therefore produces about a third less joint length than the cost formula, which understates PCC closure days and the lost revenue that follows from them.</t>
  </si>
  <si>
    <t xml:space="preserve">Pre-existing; worth a decision</t>
  </si>
  <si>
    <t xml:space="preserve">Closure production rates are defaults</t>
  </si>
  <si>
    <t xml:space="preserve">They reproduce the durations used in the completed Murfreesboro and Upper Cumberland runs. A project with unusual phasing should override them.</t>
  </si>
  <si>
    <t xml:space="preserve">Asphalt unit weight for the section read-back</t>
  </si>
  <si>
    <t xml:space="preserve">Summary J81</t>
  </si>
  <si>
    <t xml:space="preserve">145 pcf, the value that reproduces the Murfreesboro section exactly. It affects the displayed thickness only, never a cost.</t>
  </si>
  <si>
    <t xml:space="preserve">The division columns are wired but empty</t>
  </si>
  <si>
    <t xml:space="preserve">Pay_Items columns G, H, I</t>
  </si>
  <si>
    <t xml:space="preserve">Middle, West and East are read from v1.2.0: each alternative picks one in C11 and prices from it. They ship empty, and a blank cell falls back to the statewide Unit Cost, so until Aeronautics fills them every division still prices the same. The locator map on the Summary colors the airports by division, and General Information D13 names the one the selected airport sits in.</t>
  </si>
  <si>
    <t xml:space="preserve">v1.2.0; the numbers are still a decision</t>
  </si>
  <si>
    <t xml:space="preserve">Unit costs date from the 2022 framework</t>
  </si>
  <si>
    <t xml:space="preserve">Pay_Items column F</t>
  </si>
  <si>
    <t xml:space="preserve">The Typical Values sheet compares them with recent bid prices. The asphalt defaults look low against 2025 southeastern bids.</t>
  </si>
  <si>
    <t xml:space="preserve">Typical Values, section 3</t>
  </si>
  <si>
    <t xml:space="preserve">No inflation, no risk analysis</t>
  </si>
  <si>
    <t xml:space="preserve">throughout</t>
  </si>
  <si>
    <t xml:space="preserve">Costs are constant dollars discounted at a real rate, and every input is a single value. There is no probabilistic treatment of cost or timing.</t>
  </si>
  <si>
    <t xml:space="preserve">FHWA LCCA Primer, deterministic method</t>
  </si>
</sst>
</file>

<file path=xl/styles.xml><?xml version="1.0" encoding="utf-8"?>
<styleSheet xmlns="http://schemas.openxmlformats.org/spreadsheetml/2006/main">
  <numFmts count="20">
    <numFmt numFmtId="164" formatCode="General"/>
    <numFmt numFmtId="165" formatCode="_(\$* #,##0.00_);_(\$* \(#,##0.00\);_(\$* \-??_);_(@_)"/>
    <numFmt numFmtId="166" formatCode="0"/>
    <numFmt numFmtId="167" formatCode="#,##0"/>
    <numFmt numFmtId="168" formatCode="\$#,##0.00"/>
    <numFmt numFmtId="169" formatCode="\$#,##0"/>
    <numFmt numFmtId="170" formatCode="General"/>
    <numFmt numFmtId="171" formatCode="@"/>
    <numFmt numFmtId="172" formatCode="0.0000"/>
    <numFmt numFmtId="173" formatCode="_(\$* #,##0_);_(\$* \(#,##0\);_(\$* \-??_);_(@_)"/>
    <numFmt numFmtId="174" formatCode="\$#,##0;&quot;($&quot;#,##0\);\-"/>
    <numFmt numFmtId="175" formatCode="0.00%"/>
    <numFmt numFmtId="176" formatCode="0.00\%"/>
    <numFmt numFmtId="177" formatCode="0.0%"/>
    <numFmt numFmtId="178" formatCode="0.00"/>
    <numFmt numFmtId="179" formatCode="\$#,##0"/>
    <numFmt numFmtId="180" formatCode="0.00000"/>
    <numFmt numFmtId="181" formatCode="\$#,##0.0,,\M"/>
    <numFmt numFmtId="182" formatCode=";;;"/>
    <numFmt numFmtId="183" formatCode="#,##0.00"/>
  </numFmts>
  <fonts count="77">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b val="true"/>
      <sz val="11"/>
      <color rgb="FF1D2733"/>
      <name val="Arial"/>
      <family val="2"/>
      <charset val="1"/>
    </font>
    <font>
      <b val="true"/>
      <sz val="11"/>
      <color theme="1"/>
      <name val="Calibri"/>
      <family val="2"/>
      <charset val="1"/>
    </font>
    <font>
      <i val="true"/>
      <sz val="9"/>
      <color rgb="FF595959"/>
      <name val="Arial"/>
      <family val="2"/>
      <charset val="1"/>
    </font>
    <font>
      <sz val="10"/>
      <color rgb="FF5B6675"/>
      <name val="Arial"/>
      <family val="2"/>
      <charset val="1"/>
    </font>
    <font>
      <sz val="8"/>
      <color rgb="FF595959"/>
      <name val="Arial"/>
      <family val="2"/>
      <charset val="1"/>
    </font>
    <font>
      <b val="true"/>
      <sz val="9"/>
      <color rgb="FF595959"/>
      <name val="Arial"/>
      <family val="2"/>
      <charset val="1"/>
    </font>
    <font>
      <sz val="10"/>
      <color rgb="FF1D2733"/>
      <name val="Arial"/>
      <family val="2"/>
      <charset val="1"/>
    </font>
    <font>
      <b val="true"/>
      <sz val="10"/>
      <color rgb="FFFFFFFF"/>
      <name val="Arial"/>
      <family val="2"/>
      <charset val="1"/>
    </font>
    <font>
      <sz val="10"/>
      <color theme="1"/>
      <name val="Arial"/>
      <family val="2"/>
      <charset val="1"/>
    </font>
    <font>
      <b val="true"/>
      <sz val="13"/>
      <color rgb="FF2A78D6"/>
      <name val="Arial"/>
      <family val="2"/>
      <charset val="1"/>
    </font>
    <font>
      <b val="true"/>
      <sz val="13"/>
      <color rgb="FF1D2733"/>
      <name val="Arial"/>
      <family val="2"/>
      <charset val="1"/>
    </font>
    <font>
      <b val="true"/>
      <sz val="10"/>
      <color theme="1"/>
      <name val="Arial"/>
      <family val="2"/>
      <charset val="1"/>
    </font>
    <font>
      <sz val="10"/>
      <name val="Arial"/>
      <family val="2"/>
      <charset val="1"/>
    </font>
    <font>
      <b val="true"/>
      <sz val="10"/>
      <color rgb="FF000000"/>
      <name val="Arial"/>
      <family val="2"/>
      <charset val="1"/>
    </font>
    <font>
      <sz val="10"/>
      <color rgb="FF000000"/>
      <name val="Arial"/>
      <family val="2"/>
      <charset val="1"/>
    </font>
    <font>
      <i val="true"/>
      <sz val="9"/>
      <color rgb="FF5B6675"/>
      <name val="Arial"/>
      <family val="2"/>
      <charset val="1"/>
    </font>
    <font>
      <b val="true"/>
      <sz val="10"/>
      <color rgb="FFC8102E"/>
      <name val="Arial"/>
      <family val="2"/>
      <charset val="1"/>
    </font>
    <font>
      <sz val="10"/>
      <color rgb="FFC8102E"/>
      <name val="Arial"/>
      <family val="2"/>
      <charset val="1"/>
    </font>
    <font>
      <b val="true"/>
      <sz val="10"/>
      <color rgb="FF0F7B4F"/>
      <name val="Arial"/>
      <family val="2"/>
      <charset val="1"/>
    </font>
    <font>
      <sz val="10"/>
      <color rgb="FF0F7B4F"/>
      <name val="Arial"/>
      <family val="2"/>
      <charset val="1"/>
    </font>
    <font>
      <b val="true"/>
      <sz val="12"/>
      <color rgb="FFFFFFFF"/>
      <name val="Arial"/>
      <family val="2"/>
      <charset val="1"/>
    </font>
    <font>
      <b val="true"/>
      <sz val="14"/>
      <color rgb="FFFFFFFF"/>
      <name val="Arial"/>
      <family val="2"/>
      <charset val="1"/>
    </font>
    <font>
      <sz val="14"/>
      <color rgb="FF595959"/>
      <name val="Calibri"/>
      <family val="2"/>
    </font>
    <font>
      <sz val="9"/>
      <color rgb="FF595959"/>
      <name val="Calibri"/>
      <family val="2"/>
    </font>
    <font>
      <sz val="9"/>
      <color rgb="FF000000"/>
      <name val="Calibri"/>
      <family val="2"/>
    </font>
    <font>
      <b val="true"/>
      <sz val="14"/>
      <color rgb="FF1D2733"/>
      <name val="Arial"/>
      <family val="2"/>
      <charset val="1"/>
    </font>
    <font>
      <sz val="9"/>
      <color rgb="FF5B6675"/>
      <name val="Arial"/>
      <family val="2"/>
      <charset val="1"/>
    </font>
    <font>
      <b val="true"/>
      <sz val="8"/>
      <color rgb="FF5B6675"/>
      <name val="Arial"/>
      <family val="2"/>
      <charset val="1"/>
    </font>
    <font>
      <sz val="8"/>
      <color rgb="FF5B6675"/>
      <name val="Arial"/>
      <family val="2"/>
      <charset val="1"/>
    </font>
    <font>
      <b val="true"/>
      <sz val="9"/>
      <color rgb="FFFFFFFF"/>
      <name val="Arial"/>
      <family val="2"/>
      <charset val="1"/>
    </font>
    <font>
      <b val="true"/>
      <sz val="9"/>
      <color rgb="FF2A78D6"/>
      <name val="Arial"/>
      <family val="2"/>
      <charset val="1"/>
    </font>
    <font>
      <b val="true"/>
      <sz val="10"/>
      <color rgb="FF7F6000"/>
      <name val="Arial"/>
      <family val="2"/>
      <charset val="1"/>
    </font>
    <font>
      <sz val="9"/>
      <color rgb="FF7F6000"/>
      <name val="Arial"/>
      <family val="2"/>
      <charset val="1"/>
    </font>
    <font>
      <sz val="9"/>
      <color rgb="FF2A78D6"/>
      <name val="Arial"/>
      <family val="2"/>
      <charset val="1"/>
    </font>
    <font>
      <b val="true"/>
      <sz val="10"/>
      <color rgb="FF1D2733"/>
      <name val="Arial"/>
      <family val="2"/>
      <charset val="1"/>
    </font>
    <font>
      <sz val="11"/>
      <color theme="1"/>
      <name val="Calibri"/>
      <family val="0"/>
    </font>
    <font>
      <i val="true"/>
      <sz val="11"/>
      <color theme="1"/>
      <name val="Calibri"/>
      <family val="0"/>
    </font>
    <font>
      <b val="true"/>
      <sz val="11"/>
      <color rgb="FFFF0000"/>
      <name val="Calibri"/>
      <family val="0"/>
    </font>
    <font>
      <sz val="12"/>
      <color theme="1"/>
      <name val="Calibri"/>
      <family val="0"/>
    </font>
    <font>
      <b val="true"/>
      <sz val="11"/>
      <color rgb="FF7F6000"/>
      <name val="Arial"/>
      <family val="2"/>
      <charset val="1"/>
    </font>
    <font>
      <b val="true"/>
      <sz val="14"/>
      <color rgb="FF2A78D6"/>
      <name val="Arial"/>
      <family val="2"/>
      <charset val="1"/>
    </font>
    <font>
      <sz val="9"/>
      <color rgb="FF1D2733"/>
      <name val="Arial"/>
      <family val="2"/>
      <charset val="1"/>
    </font>
    <font>
      <sz val="10"/>
      <color theme="0" tint="-0.5"/>
      <name val="Arial"/>
      <family val="2"/>
      <charset val="1"/>
    </font>
    <font>
      <i val="true"/>
      <sz val="9"/>
      <color rgb="FF595959"/>
      <name val="Arial"/>
      <family val="0"/>
      <charset val="1"/>
    </font>
    <font>
      <b val="true"/>
      <sz val="10"/>
      <color rgb="FF2A78D6"/>
      <name val="Arial"/>
      <family val="2"/>
      <charset val="1"/>
    </font>
    <font>
      <sz val="10"/>
      <name val="Arial"/>
      <family val="2"/>
    </font>
    <font>
      <sz val="9"/>
      <color rgb="FF000000"/>
      <name val="Tahoma"/>
      <family val="0"/>
      <charset val="1"/>
    </font>
    <font>
      <sz val="9"/>
      <color rgb="FF000000"/>
      <name val="Tahoma"/>
      <family val="2"/>
      <charset val="1"/>
    </font>
    <font>
      <b val="true"/>
      <sz val="9"/>
      <color rgb="FFFFFFFF"/>
      <name val="Calibri"/>
      <family val="0"/>
    </font>
    <font>
      <sz val="10"/>
      <color rgb="FF000000"/>
      <name val="Arial"/>
      <family val="0"/>
    </font>
    <font>
      <b val="true"/>
      <sz val="9"/>
      <color rgb="FF7F6000"/>
      <name val="Arial"/>
      <family val="2"/>
      <charset val="1"/>
    </font>
    <font>
      <sz val="10"/>
      <color rgb="FF7F6000"/>
      <name val="Arial"/>
      <family val="2"/>
      <charset val="1"/>
    </font>
    <font>
      <b val="true"/>
      <sz val="11"/>
      <color theme="0"/>
      <name val="Calibri"/>
      <family val="2"/>
      <charset val="1"/>
    </font>
    <font>
      <b val="true"/>
      <sz val="10"/>
      <name val="Arial"/>
      <family val="0"/>
      <charset val="1"/>
    </font>
    <font>
      <b val="true"/>
      <sz val="18"/>
      <color rgb="FF1D2733"/>
      <name val="Arial"/>
      <family val="2"/>
      <charset val="1"/>
    </font>
    <font>
      <sz val="9"/>
      <color rgb="FF7F7F7F"/>
      <name val="Arial"/>
      <family val="0"/>
      <charset val="1"/>
    </font>
    <font>
      <b val="true"/>
      <sz val="11"/>
      <color rgb="FF0B5C3B"/>
      <name val="Arial"/>
      <family val="2"/>
      <charset val="1"/>
    </font>
    <font>
      <sz val="10"/>
      <name val="Arial"/>
      <family val="0"/>
      <charset val="1"/>
    </font>
    <font>
      <b val="true"/>
      <sz val="12"/>
      <name val="Arial"/>
      <family val="0"/>
      <charset val="1"/>
    </font>
    <font>
      <b val="true"/>
      <sz val="10"/>
      <color rgb="FF5B6675"/>
      <name val="Arial"/>
      <family val="2"/>
      <charset val="1"/>
    </font>
    <font>
      <i val="true"/>
      <sz val="8"/>
      <color rgb="FF5B6675"/>
      <name val="Arial"/>
      <family val="2"/>
      <charset val="1"/>
    </font>
    <font>
      <b val="true"/>
      <sz val="9"/>
      <color rgb="FF7FA8CF"/>
      <name val="Arial"/>
      <family val="0"/>
      <charset val="1"/>
    </font>
    <font>
      <b val="true"/>
      <sz val="9"/>
      <color rgb="FF2A78D6"/>
      <name val="Arial"/>
      <family val="0"/>
      <charset val="1"/>
    </font>
    <font>
      <b val="true"/>
      <sz val="9"/>
      <color rgb="FF1D3F6E"/>
      <name val="Arial"/>
      <family val="0"/>
      <charset val="1"/>
    </font>
    <font>
      <b val="true"/>
      <sz val="9"/>
      <color rgb="FFC1440E"/>
      <name val="Arial"/>
      <family val="0"/>
      <charset val="1"/>
    </font>
    <font>
      <sz val="11"/>
      <color rgb="FF000000"/>
      <name val="Calibri"/>
      <family val="2"/>
    </font>
    <font>
      <sz val="8"/>
      <color rgb="FF000000"/>
      <name val="Calibri"/>
      <family val="2"/>
    </font>
    <font>
      <sz val="7"/>
      <color rgb="FF000000"/>
      <name val="Calibri"/>
      <family val="2"/>
    </font>
    <font>
      <sz val="10"/>
      <color rgb="FF000000"/>
      <name val="Calibri"/>
      <family val="2"/>
    </font>
    <font>
      <b val="true"/>
      <sz val="10"/>
      <color rgb="FF000000"/>
      <name val="Calibri"/>
      <family val="2"/>
    </font>
    <font>
      <sz val="9"/>
      <color rgb="FF595959"/>
      <name val="Arial"/>
      <family val="0"/>
      <charset val="1"/>
    </font>
    <font>
      <sz val="9"/>
      <name val="Courier New"/>
      <family val="0"/>
      <charset val="1"/>
    </font>
  </fonts>
  <fills count="19">
    <fill>
      <patternFill patternType="none"/>
    </fill>
    <fill>
      <patternFill patternType="gray125"/>
    </fill>
    <fill>
      <patternFill patternType="solid">
        <fgColor theme="4" tint="0.7999"/>
        <bgColor rgb="FFD9E1F2"/>
      </patternFill>
    </fill>
    <fill>
      <patternFill patternType="solid">
        <fgColor rgb="FF1D2733"/>
        <bgColor rgb="FF1C2634"/>
      </patternFill>
    </fill>
    <fill>
      <patternFill patternType="solid">
        <fgColor rgb="FF2A78D6"/>
        <bgColor rgb="FF4472C4"/>
      </patternFill>
    </fill>
    <fill>
      <patternFill patternType="solid">
        <fgColor rgb="FFEAF2FB"/>
        <bgColor rgb="FFEEF1F4"/>
      </patternFill>
    </fill>
    <fill>
      <patternFill patternType="solid">
        <fgColor theme="0" tint="-0.15"/>
        <bgColor rgb="FFD9E1F2"/>
      </patternFill>
    </fill>
    <fill>
      <patternFill patternType="solid">
        <fgColor rgb="FFF6DFE3"/>
        <bgColor rgb="FFEDEDED"/>
      </patternFill>
    </fill>
    <fill>
      <patternFill patternType="solid">
        <fgColor rgb="FFE4F2EA"/>
        <bgColor rgb="FFE8F6EC"/>
      </patternFill>
    </fill>
    <fill>
      <patternFill patternType="solid">
        <fgColor rgb="FFFFFFFF"/>
        <bgColor rgb="FFEEF1F4"/>
      </patternFill>
    </fill>
    <fill>
      <patternFill patternType="solid">
        <fgColor rgb="FF0F7B4F"/>
        <bgColor rgb="FF186A3B"/>
      </patternFill>
    </fill>
    <fill>
      <patternFill patternType="solid">
        <fgColor rgb="FFFFF3CD"/>
        <bgColor rgb="FFEDEDED"/>
      </patternFill>
    </fill>
    <fill>
      <patternFill patternType="solid">
        <fgColor rgb="FFEDEDED"/>
        <bgColor rgb="FFEEF1F4"/>
      </patternFill>
    </fill>
    <fill>
      <patternFill patternType="solid">
        <fgColor rgb="FFD9E1F2"/>
        <bgColor rgb="FFDAE3F3"/>
      </patternFill>
    </fill>
    <fill>
      <patternFill patternType="solid">
        <fgColor theme="4" tint="0.3999"/>
        <bgColor rgb="FF8EA9DB"/>
      </patternFill>
    </fill>
    <fill>
      <patternFill patternType="solid">
        <fgColor rgb="FFC00000"/>
        <bgColor rgb="FF9C0006"/>
      </patternFill>
    </fill>
    <fill>
      <patternFill patternType="solid">
        <fgColor rgb="FFFFFF00"/>
        <bgColor rgb="FFE6CF76"/>
      </patternFill>
    </fill>
    <fill>
      <patternFill patternType="solid">
        <fgColor rgb="FF1C2634"/>
        <bgColor rgb="FF1D2733"/>
      </patternFill>
    </fill>
    <fill>
      <patternFill patternType="solid">
        <fgColor rgb="FFEEF1F4"/>
        <bgColor rgb="FFEAF2FB"/>
      </patternFill>
    </fill>
  </fills>
  <borders count="51">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right/>
      <top style="thin"/>
      <bottom/>
      <diagonal/>
    </border>
    <border diagonalUp="false" diagonalDown="false">
      <left/>
      <right style="thin"/>
      <top style="thin"/>
      <bottom/>
      <diagonal/>
    </border>
    <border diagonalUp="false" diagonalDown="false">
      <left style="medium">
        <color rgb="FF2A78D6"/>
      </left>
      <right/>
      <top/>
      <bottom/>
      <diagonal/>
    </border>
    <border diagonalUp="false" diagonalDown="false">
      <left style="thin"/>
      <right/>
      <top/>
      <bottom/>
      <diagonal/>
    </border>
    <border diagonalUp="false" diagonalDown="false">
      <left/>
      <right style="thin"/>
      <top/>
      <bottom/>
      <diagonal/>
    </border>
    <border diagonalUp="false" diagonalDown="false">
      <left style="thin"/>
      <right/>
      <top/>
      <bottom style="thin"/>
      <diagonal/>
    </border>
    <border diagonalUp="false" diagonalDown="false">
      <left/>
      <right style="thin"/>
      <top/>
      <bottom style="thin"/>
      <diagonal/>
    </border>
    <border diagonalUp="false" diagonalDown="false">
      <left/>
      <right/>
      <top style="medium">
        <color rgb="FF1D2733"/>
      </top>
      <bottom/>
      <diagonal/>
    </border>
    <border diagonalUp="false" diagonalDown="false">
      <left style="double"/>
      <right style="thin"/>
      <top/>
      <bottom style="thin"/>
      <diagonal/>
    </border>
    <border diagonalUp="false" diagonalDown="false">
      <left style="thin"/>
      <right style="thin"/>
      <top/>
      <bottom style="thin"/>
      <diagonal/>
    </border>
    <border diagonalUp="false" diagonalDown="false">
      <left style="thin"/>
      <right style="double"/>
      <top/>
      <bottom style="thin"/>
      <diagonal/>
    </border>
    <border diagonalUp="false" diagonalDown="false">
      <left style="double"/>
      <right style="thin"/>
      <top style="thin"/>
      <bottom style="thin"/>
      <diagonal/>
    </border>
    <border diagonalUp="false" diagonalDown="false">
      <left style="thin"/>
      <right style="thin"/>
      <top style="thin"/>
      <bottom style="thin"/>
      <diagonal/>
    </border>
    <border diagonalUp="false" diagonalDown="false">
      <left style="thin"/>
      <right style="double"/>
      <top style="thin"/>
      <bottom style="thin"/>
      <diagonal/>
    </border>
    <border diagonalUp="false" diagonalDown="false">
      <left style="thin">
        <color rgb="FFDFE4EA"/>
      </left>
      <right style="thin">
        <color rgb="FFDFE4EA"/>
      </right>
      <top style="thin">
        <color rgb="FFDFE4EA"/>
      </top>
      <bottom/>
      <diagonal/>
    </border>
    <border diagonalUp="false" diagonalDown="false">
      <left style="thin">
        <color rgb="FFDFE4EA"/>
      </left>
      <right style="thin">
        <color rgb="FFDFE4EA"/>
      </right>
      <top/>
      <bottom style="thin">
        <color rgb="FFDFE4EA"/>
      </bottom>
      <diagonal/>
    </border>
    <border diagonalUp="false" diagonalDown="false">
      <left style="thin">
        <color rgb="FFDFE4EA"/>
      </left>
      <right style="thin">
        <color rgb="FFDFE4EA"/>
      </right>
      <top/>
      <bottom/>
      <diagonal/>
    </border>
    <border diagonalUp="false" diagonalDown="false">
      <left style="thin">
        <color rgb="FFDFE4EA"/>
      </left>
      <right/>
      <top style="thin">
        <color rgb="FFDFE4EA"/>
      </top>
      <bottom/>
      <diagonal/>
    </border>
    <border diagonalUp="false" diagonalDown="false">
      <left/>
      <right/>
      <top style="thin">
        <color rgb="FFDFE4EA"/>
      </top>
      <bottom/>
      <diagonal/>
    </border>
    <border diagonalUp="false" diagonalDown="false">
      <left/>
      <right style="thin">
        <color rgb="FFDFE4EA"/>
      </right>
      <top style="thin">
        <color rgb="FFDFE4EA"/>
      </top>
      <bottom/>
      <diagonal/>
    </border>
    <border diagonalUp="false" diagonalDown="false">
      <left style="thin">
        <color rgb="FFDFE4EA"/>
      </left>
      <right/>
      <top/>
      <bottom style="thin">
        <color rgb="FFDFE4EA"/>
      </bottom>
      <diagonal/>
    </border>
    <border diagonalUp="false" diagonalDown="false">
      <left/>
      <right/>
      <top/>
      <bottom style="thin">
        <color rgb="FFDFE4EA"/>
      </bottom>
      <diagonal/>
    </border>
    <border diagonalUp="false" diagonalDown="false">
      <left/>
      <right style="thin">
        <color rgb="FFDFE4EA"/>
      </right>
      <top/>
      <bottom style="thin">
        <color rgb="FFDFE4EA"/>
      </bottom>
      <diagonal/>
    </border>
    <border diagonalUp="false" diagonalDown="false">
      <left style="thin">
        <color rgb="FF0F7B4F"/>
      </left>
      <right style="thin">
        <color rgb="FF0F7B4F"/>
      </right>
      <top style="thin">
        <color rgb="FF0F7B4F"/>
      </top>
      <bottom style="thin">
        <color rgb="FF0F7B4F"/>
      </bottom>
      <diagonal/>
    </border>
    <border diagonalUp="false" diagonalDown="false">
      <left style="thin">
        <color rgb="FFC7D9EB"/>
      </left>
      <right style="thin">
        <color rgb="FFC7D9EB"/>
      </right>
      <top style="thin">
        <color rgb="FFC7D9EB"/>
      </top>
      <bottom style="thin">
        <color rgb="FFC7D9EB"/>
      </bottom>
      <diagonal/>
    </border>
    <border diagonalUp="false" diagonalDown="false">
      <left style="thin">
        <color rgb="FFE6CF76"/>
      </left>
      <right style="thin">
        <color rgb="FFE6CF76"/>
      </right>
      <top style="thin">
        <color rgb="FFE6CF76"/>
      </top>
      <bottom/>
      <diagonal/>
    </border>
    <border diagonalUp="false" diagonalDown="false">
      <left style="thin">
        <color rgb="FFE6CF76"/>
      </left>
      <right style="thin">
        <color rgb="FFE6CF76"/>
      </right>
      <top/>
      <bottom style="thin">
        <color rgb="FFE6CF76"/>
      </bottom>
      <diagonal/>
    </border>
    <border diagonalUp="false" diagonalDown="false">
      <left/>
      <right/>
      <top/>
      <bottom style="thin">
        <color rgb="FF2A78D6"/>
      </bottom>
      <diagonal/>
    </border>
    <border diagonalUp="false" diagonalDown="false">
      <left/>
      <right style="thin">
        <color rgb="FFDFE4EA"/>
      </right>
      <top/>
      <bottom/>
      <diagonal/>
    </border>
    <border diagonalUp="false" diagonalDown="false">
      <left style="thin">
        <color rgb="FFDFE4EA"/>
      </left>
      <right/>
      <top/>
      <bottom/>
      <diagonal/>
    </border>
    <border diagonalUp="false" diagonalDown="false">
      <left style="thin">
        <color rgb="FFE6CF76"/>
      </left>
      <right style="thin">
        <color rgb="FFE6CF76"/>
      </right>
      <top style="thin">
        <color rgb="FFE6CF76"/>
      </top>
      <bottom style="thin">
        <color rgb="FFE6CF76"/>
      </bottom>
      <diagonal/>
    </border>
    <border diagonalUp="false" diagonalDown="false">
      <left style="thin">
        <color rgb="FFC8102E"/>
      </left>
      <right style="thin">
        <color rgb="FFC8102E"/>
      </right>
      <top style="thin">
        <color rgb="FFC8102E"/>
      </top>
      <bottom style="thin">
        <color rgb="FFC8102E"/>
      </bottom>
      <diagonal/>
    </border>
    <border diagonalUp="false" diagonalDown="false">
      <left style="thin">
        <color rgb="FF7F6000"/>
      </left>
      <right style="thin">
        <color rgb="FF7F6000"/>
      </right>
      <top style="thin">
        <color rgb="FF7F6000"/>
      </top>
      <bottom style="thin">
        <color rgb="FF7F6000"/>
      </bottom>
      <diagonal/>
    </border>
    <border diagonalUp="false" diagonalDown="false">
      <left style="double"/>
      <right style="medium"/>
      <top style="double"/>
      <bottom/>
      <diagonal/>
    </border>
    <border diagonalUp="false" diagonalDown="false">
      <left/>
      <right style="double"/>
      <top/>
      <bottom/>
      <diagonal/>
    </border>
    <border diagonalUp="false" diagonalDown="false">
      <left style="thin">
        <color rgb="FF1D2733"/>
      </left>
      <right style="thin">
        <color rgb="FF1D2733"/>
      </right>
      <top style="thin">
        <color rgb="FF1D2733"/>
      </top>
      <bottom/>
      <diagonal/>
    </border>
    <border diagonalUp="false" diagonalDown="false">
      <left style="double"/>
      <right style="medium"/>
      <top/>
      <bottom style="medium"/>
      <diagonal/>
    </border>
    <border diagonalUp="false" diagonalDown="false">
      <left/>
      <right style="double"/>
      <top/>
      <bottom style="medium"/>
      <diagonal/>
    </border>
    <border diagonalUp="false" diagonalDown="false">
      <left style="thin">
        <color rgb="FF1D2733"/>
      </left>
      <right style="thin">
        <color rgb="FF1D2733"/>
      </right>
      <top/>
      <bottom style="thin">
        <color rgb="FF1D2733"/>
      </bottom>
      <diagonal/>
    </border>
    <border diagonalUp="false" diagonalDown="false">
      <left style="double"/>
      <right style="medium"/>
      <top style="medium"/>
      <bottom/>
      <diagonal/>
    </border>
    <border diagonalUp="false" diagonalDown="false">
      <left style="double"/>
      <right style="medium"/>
      <top/>
      <bottom/>
      <diagonal/>
    </border>
    <border diagonalUp="false" diagonalDown="false">
      <left style="thin">
        <color rgb="FF1D2733"/>
      </left>
      <right style="thin">
        <color rgb="FF1D2733"/>
      </right>
      <top/>
      <bottom/>
      <diagonal/>
    </border>
    <border diagonalUp="false" diagonalDown="false">
      <left style="thin">
        <color rgb="FFC8102E"/>
      </left>
      <right style="thin">
        <color rgb="FFC8102E"/>
      </right>
      <top style="thin">
        <color rgb="FFC8102E"/>
      </top>
      <bottom/>
      <diagonal/>
    </border>
    <border diagonalUp="false" diagonalDown="false">
      <left style="thin">
        <color rgb="FFC8102E"/>
      </left>
      <right style="thin">
        <color rgb="FFC8102E"/>
      </right>
      <top/>
      <bottom/>
      <diagonal/>
    </border>
    <border diagonalUp="false" diagonalDown="false">
      <left style="thin">
        <color rgb="FFC8102E"/>
      </left>
      <right style="thin">
        <color rgb="FFC8102E"/>
      </right>
      <top/>
      <bottom style="thin">
        <color rgb="FFC8102E"/>
      </bottom>
      <diagonal/>
    </border>
    <border diagonalUp="false" diagonalDown="false">
      <left/>
      <right style="double"/>
      <top/>
      <bottom style="double"/>
      <diagonal/>
    </border>
    <border diagonalUp="false" diagonalDown="false">
      <left style="thin">
        <color rgb="FF0F7B4F"/>
      </left>
      <right style="thin">
        <color rgb="FF0F7B4F"/>
      </right>
      <top style="thin">
        <color rgb="FF0F7B4F"/>
      </top>
      <bottom/>
      <diagonal/>
    </border>
    <border diagonalUp="false" diagonalDown="false">
      <left style="thin">
        <color rgb="FF7F6000"/>
      </left>
      <right style="thin">
        <color rgb="FF7F6000"/>
      </right>
      <top style="thin">
        <color rgb="FF7F6000"/>
      </top>
      <bottom/>
      <diagonal/>
    </border>
    <border diagonalUp="false" diagonalDown="false">
      <left style="thin"/>
      <right style="thin"/>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165" fontId="0" fillId="0" borderId="0" applyFont="true" applyBorder="false" applyAlignment="true" applyProtection="false">
      <alignment horizontal="general" vertical="bottom" textRotation="0" wrapText="false" indent="0" shrinkToFit="false"/>
    </xf>
    <xf numFmtId="42" fontId="1" fillId="0" borderId="0" applyFont="true" applyBorder="false" applyAlignment="false" applyProtection="false"/>
    <xf numFmtId="9" fontId="1" fillId="0" borderId="0" applyFont="true" applyBorder="false" applyAlignment="false" applyProtection="false"/>
  </cellStyleXfs>
  <cellXfs count="22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true">
      <alignment horizontal="general" vertical="bottom" textRotation="0" wrapText="false" indent="0" shrinkToFit="false"/>
      <protection locked="false" hidden="false"/>
    </xf>
    <xf numFmtId="164" fontId="4" fillId="3" borderId="1" xfId="0" applyFont="true" applyBorder="true" applyAlignment="true" applyProtection="false">
      <alignment horizontal="center" vertical="center" textRotation="0" wrapText="false" indent="0" shrinkToFit="false"/>
      <protection locked="true" hidden="false"/>
    </xf>
    <xf numFmtId="164" fontId="4" fillId="4" borderId="1"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left" vertical="center"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0" borderId="2" xfId="0" applyFont="true" applyBorder="true" applyAlignment="false" applyProtection="false">
      <alignment horizontal="general" vertical="bottom" textRotation="0" wrapText="false" indent="0" shrinkToFit="false"/>
      <protection locked="true" hidden="false"/>
    </xf>
    <xf numFmtId="165" fontId="0" fillId="0" borderId="3" xfId="0" applyFont="false" applyBorder="tru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left" vertical="center" textRotation="0" wrapText="true" indent="0" shrinkToFit="false"/>
      <protection locked="true" hidden="false"/>
    </xf>
    <xf numFmtId="164" fontId="8" fillId="5" borderId="4" xfId="0" applyFont="true" applyBorder="true" applyAlignment="true" applyProtection="false">
      <alignment horizontal="left" vertical="center" textRotation="0" wrapText="false" indent="1"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4" fontId="5" fillId="5" borderId="0" xfId="0" applyFont="true" applyBorder="false" applyAlignment="true" applyProtection="false">
      <alignment horizontal="left" vertical="center" textRotation="0" wrapText="false" indent="0" shrinkToFit="false"/>
      <protection locked="true" hidden="false"/>
    </xf>
    <xf numFmtId="164" fontId="0" fillId="0" borderId="5" xfId="0" applyFont="true" applyBorder="true" applyAlignment="false" applyProtection="false">
      <alignment horizontal="general" vertical="bottom" textRotation="0" wrapText="false" indent="0" shrinkToFit="false"/>
      <protection locked="true" hidden="false"/>
    </xf>
    <xf numFmtId="166" fontId="0" fillId="6" borderId="6" xfId="0" applyFont="false" applyBorder="true" applyAlignment="true" applyProtection="false">
      <alignment horizontal="right" vertical="bottom" textRotation="0" wrapText="false" indent="0" shrinkToFit="false"/>
      <protection locked="true" hidden="false"/>
    </xf>
    <xf numFmtId="164" fontId="0" fillId="0" borderId="7" xfId="0" applyFont="true" applyBorder="true" applyAlignment="false" applyProtection="false">
      <alignment horizontal="general" vertical="bottom" textRotation="0" wrapText="false" indent="0" shrinkToFit="false"/>
      <protection locked="true" hidden="false"/>
    </xf>
    <xf numFmtId="166" fontId="0" fillId="6" borderId="8" xfId="0" applyFont="false" applyBorder="true" applyAlignment="true" applyProtection="false">
      <alignment horizontal="right" vertical="bottom" textRotation="0" wrapText="false" indent="0" shrinkToFit="false"/>
      <protection locked="true" hidden="false"/>
    </xf>
    <xf numFmtId="166" fontId="0" fillId="2"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right" vertical="bottom" textRotation="0" wrapText="false" indent="0" shrinkToFit="false"/>
      <protection locked="true" hidden="false"/>
    </xf>
    <xf numFmtId="164" fontId="9" fillId="0" borderId="0" xfId="0" applyFont="true" applyBorder="false" applyAlignment="true" applyProtection="false">
      <alignment horizontal="left" vertical="bottom" textRotation="0" wrapText="false" indent="0" shrinkToFit="false"/>
      <protection locked="true" hidden="false"/>
    </xf>
    <xf numFmtId="164" fontId="10" fillId="0" borderId="0" xfId="0" applyFont="true" applyBorder="false" applyAlignment="true" applyProtection="false">
      <alignment horizontal="right" vertical="center" textRotation="0" wrapText="false" indent="0" shrinkToFit="false"/>
      <protection locked="true" hidden="false"/>
    </xf>
    <xf numFmtId="164" fontId="11" fillId="6" borderId="1" xfId="0" applyFont="true" applyBorder="true" applyAlignment="true" applyProtection="false">
      <alignment horizontal="left" vertical="center" textRotation="0" wrapText="false" indent="1" shrinkToFit="false"/>
      <protection locked="true" hidden="false"/>
    </xf>
    <xf numFmtId="164" fontId="12" fillId="3" borderId="0" xfId="0" applyFont="true" applyBorder="false" applyAlignment="true" applyProtection="false">
      <alignment horizontal="left" vertical="center" textRotation="0" wrapText="false" indent="1" shrinkToFit="false"/>
      <protection locked="true" hidden="false"/>
    </xf>
    <xf numFmtId="164" fontId="12" fillId="3" borderId="0" xfId="0" applyFont="true" applyBorder="false" applyAlignment="true" applyProtection="false">
      <alignment horizontal="center" vertical="center" textRotation="0" wrapText="false" indent="0" shrinkToFit="false"/>
      <protection locked="true" hidden="false"/>
    </xf>
    <xf numFmtId="164" fontId="13" fillId="0" borderId="0" xfId="0" applyFont="true" applyBorder="false" applyAlignment="true" applyProtection="false">
      <alignment horizontal="left" vertical="bottom" textRotation="0" wrapText="false" indent="0" shrinkToFit="false"/>
      <protection locked="true" hidden="false"/>
    </xf>
    <xf numFmtId="164" fontId="0" fillId="6" borderId="0" xfId="0" applyFont="fals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center" vertical="bottom" textRotation="0" wrapText="false" indent="0" shrinkToFit="false"/>
      <protection locked="true" hidden="false"/>
    </xf>
    <xf numFmtId="167" fontId="0" fillId="6" borderId="0" xfId="0" applyFont="false" applyBorder="false" applyAlignment="true" applyProtection="false">
      <alignment horizontal="right" vertical="bottom" textRotation="0" wrapText="false" indent="0" shrinkToFit="false"/>
      <protection locked="true" hidden="false"/>
    </xf>
    <xf numFmtId="168" fontId="13" fillId="0" borderId="0" xfId="0" applyFont="true" applyBorder="false" applyAlignment="true" applyProtection="false">
      <alignment horizontal="right" vertical="bottom" textRotation="0" wrapText="false" indent="0" shrinkToFit="false"/>
      <protection locked="true" hidden="false"/>
    </xf>
    <xf numFmtId="169" fontId="0" fillId="0" borderId="0" xfId="0" applyFont="false" applyBorder="false" applyAlignment="true" applyProtection="false">
      <alignment horizontal="right" vertical="bottom" textRotation="0" wrapText="false" indent="0" shrinkToFit="false"/>
      <protection locked="true" hidden="false"/>
    </xf>
    <xf numFmtId="167" fontId="0" fillId="2" borderId="0" xfId="0" applyFont="false" applyBorder="false" applyAlignment="false" applyProtection="false">
      <alignment horizontal="general" vertical="bottom" textRotation="0" wrapText="false" indent="0" shrinkToFit="false"/>
      <protection locked="true" hidden="false"/>
    </xf>
    <xf numFmtId="168" fontId="0" fillId="2" borderId="0" xfId="0" applyFont="false" applyBorder="false" applyAlignment="false" applyProtection="false">
      <alignment horizontal="general" vertical="bottom" textRotation="0" wrapText="false" indent="0" shrinkToFit="false"/>
      <protection locked="true" hidden="false"/>
    </xf>
    <xf numFmtId="169" fontId="0" fillId="2" borderId="0" xfId="0" applyFont="fals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left" vertical="center" textRotation="0" wrapText="false" indent="1" shrinkToFit="false"/>
      <protection locked="true" hidden="false"/>
    </xf>
    <xf numFmtId="164" fontId="5" fillId="0" borderId="9" xfId="0" applyFont="true" applyBorder="true" applyAlignment="true" applyProtection="false">
      <alignment horizontal="left" vertical="center" textRotation="0" wrapText="false" indent="1" shrinkToFit="false"/>
      <protection locked="true" hidden="false"/>
    </xf>
    <xf numFmtId="169" fontId="14" fillId="0" borderId="9" xfId="0" applyFont="true" applyBorder="true" applyAlignment="true" applyProtection="false">
      <alignment horizontal="right" vertical="center" textRotation="0" wrapText="false" indent="0" shrinkToFit="false"/>
      <protection locked="true" hidden="false"/>
    </xf>
    <xf numFmtId="164" fontId="6" fillId="2" borderId="0" xfId="0" applyFont="true" applyBorder="false" applyAlignment="false" applyProtection="true">
      <alignment horizontal="general" vertical="bottom" textRotation="0" wrapText="false" indent="0" shrinkToFit="false"/>
      <protection locked="false" hidden="false"/>
    </xf>
    <xf numFmtId="164" fontId="15" fillId="0" borderId="0" xfId="0" applyFont="true" applyBorder="false" applyAlignment="true" applyProtection="false">
      <alignment horizontal="left" vertical="center" textRotation="0" wrapText="false" indent="0" shrinkToFit="false"/>
      <protection locked="true" hidden="false"/>
    </xf>
    <xf numFmtId="164" fontId="16" fillId="0" borderId="10" xfId="0" applyFont="true" applyBorder="true" applyAlignment="true" applyProtection="false">
      <alignment horizontal="general" vertical="center" textRotation="0" wrapText="true" indent="0" shrinkToFit="false"/>
      <protection locked="true" hidden="false"/>
    </xf>
    <xf numFmtId="170" fontId="13" fillId="0" borderId="11" xfId="0" applyFont="true" applyBorder="true" applyAlignment="true" applyProtection="false">
      <alignment horizontal="center" vertical="center" textRotation="0" wrapText="true" indent="0" shrinkToFit="false"/>
      <protection locked="true" hidden="false"/>
    </xf>
    <xf numFmtId="169" fontId="13" fillId="0" borderId="11" xfId="0" applyFont="true" applyBorder="true" applyAlignment="true" applyProtection="false">
      <alignment horizontal="right" vertical="center" textRotation="0" wrapText="true" indent="0" shrinkToFit="false"/>
      <protection locked="true" hidden="false"/>
    </xf>
    <xf numFmtId="169" fontId="17" fillId="0" borderId="12" xfId="0" applyFont="true" applyBorder="true" applyAlignment="true" applyProtection="false">
      <alignment horizontal="general" vertical="center" textRotation="0" wrapText="false" indent="0" shrinkToFit="false"/>
      <protection locked="true" hidden="false"/>
    </xf>
    <xf numFmtId="164" fontId="18" fillId="0" borderId="13" xfId="0" applyFont="true" applyBorder="true" applyAlignment="true" applyProtection="false">
      <alignment horizontal="general" vertical="center" textRotation="0" wrapText="true" indent="0" shrinkToFit="false"/>
      <protection locked="true" hidden="false"/>
    </xf>
    <xf numFmtId="170" fontId="19" fillId="0" borderId="14" xfId="0" applyFont="true" applyBorder="true" applyAlignment="true" applyProtection="false">
      <alignment horizontal="center" vertical="center" textRotation="0" wrapText="true" indent="0" shrinkToFit="false"/>
      <protection locked="true" hidden="false"/>
    </xf>
    <xf numFmtId="169" fontId="19" fillId="0" borderId="14" xfId="0" applyFont="true" applyBorder="true" applyAlignment="true" applyProtection="false">
      <alignment horizontal="right" vertical="center" textRotation="0" wrapText="true" indent="0" shrinkToFit="false"/>
      <protection locked="true" hidden="false"/>
    </xf>
    <xf numFmtId="169" fontId="17" fillId="0" borderId="15" xfId="0" applyFont="true" applyBorder="true" applyAlignment="true" applyProtection="false">
      <alignment horizontal="general" vertical="center" textRotation="0" wrapText="false" indent="0" shrinkToFit="false"/>
      <protection locked="true" hidden="false"/>
    </xf>
    <xf numFmtId="164" fontId="20" fillId="0" borderId="0" xfId="0" applyFont="true" applyBorder="false" applyAlignment="true" applyProtection="false">
      <alignment horizontal="left" vertical="center" textRotation="0" wrapText="false" indent="2" shrinkToFit="false"/>
      <protection locked="true" hidden="false"/>
    </xf>
    <xf numFmtId="164" fontId="21" fillId="7" borderId="0" xfId="0" applyFont="true" applyBorder="false" applyAlignment="true" applyProtection="false">
      <alignment horizontal="left" vertical="center" textRotation="0" wrapText="false" indent="1" shrinkToFit="false"/>
      <protection locked="true" hidden="false"/>
    </xf>
    <xf numFmtId="170" fontId="21" fillId="7" borderId="0" xfId="0" applyFont="true" applyBorder="false" applyAlignment="true" applyProtection="false">
      <alignment horizontal="center" vertical="center" textRotation="0" wrapText="false" indent="0" shrinkToFit="false"/>
      <protection locked="true" hidden="false"/>
    </xf>
    <xf numFmtId="169" fontId="22" fillId="7" borderId="0" xfId="0" applyFont="true" applyBorder="false" applyAlignment="true" applyProtection="false">
      <alignment horizontal="right" vertical="center" textRotation="0" wrapText="false" indent="0" shrinkToFit="false"/>
      <protection locked="true" hidden="false"/>
    </xf>
    <xf numFmtId="164" fontId="23" fillId="8" borderId="0" xfId="0" applyFont="true" applyBorder="false" applyAlignment="true" applyProtection="false">
      <alignment horizontal="left" vertical="center" textRotation="0" wrapText="false" indent="1" shrinkToFit="false"/>
      <protection locked="true" hidden="false"/>
    </xf>
    <xf numFmtId="170" fontId="23" fillId="8" borderId="0" xfId="0" applyFont="true" applyBorder="false" applyAlignment="true" applyProtection="false">
      <alignment horizontal="center" vertical="center" textRotation="0" wrapText="false" indent="0" shrinkToFit="false"/>
      <protection locked="true" hidden="false"/>
    </xf>
    <xf numFmtId="169" fontId="24" fillId="8" borderId="0" xfId="0" applyFont="true" applyBorder="false" applyAlignment="true" applyProtection="false">
      <alignment horizontal="right" vertical="center" textRotation="0" wrapText="false" indent="0" shrinkToFit="false"/>
      <protection locked="true" hidden="false"/>
    </xf>
    <xf numFmtId="164" fontId="25" fillId="3" borderId="0" xfId="0" applyFont="true" applyBorder="false" applyAlignment="true" applyProtection="false">
      <alignment horizontal="left" vertical="center" textRotation="0" wrapText="false" indent="1"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9" fontId="26" fillId="3" borderId="0" xfId="0" applyFont="true" applyBorder="false" applyAlignment="true" applyProtection="false">
      <alignment horizontal="right" vertical="center"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left" vertical="center" textRotation="0" wrapText="false" indent="0" shrinkToFit="false"/>
      <protection locked="true" hidden="false"/>
    </xf>
    <xf numFmtId="164" fontId="30" fillId="9" borderId="16" xfId="0" applyFont="true" applyBorder="true" applyAlignment="true" applyProtection="false">
      <alignment horizontal="left" vertical="center" textRotation="0" wrapText="false" indent="1" shrinkToFit="false"/>
      <protection locked="true" hidden="false"/>
    </xf>
    <xf numFmtId="164" fontId="8" fillId="9" borderId="17" xfId="0" applyFont="true" applyBorder="true" applyAlignment="true" applyProtection="false">
      <alignment horizontal="left" vertical="top" textRotation="0" wrapText="true" indent="1" shrinkToFit="false"/>
      <protection locked="true" hidden="false"/>
    </xf>
    <xf numFmtId="164" fontId="12" fillId="3" borderId="0" xfId="0" applyFont="true" applyBorder="true" applyAlignment="true" applyProtection="false">
      <alignment horizontal="left" vertical="center" textRotation="0" wrapText="false" indent="1" shrinkToFit="false"/>
      <protection locked="true" hidden="false"/>
    </xf>
    <xf numFmtId="164" fontId="31" fillId="9" borderId="18" xfId="0" applyFont="true" applyBorder="true" applyAlignment="true" applyProtection="false">
      <alignment horizontal="left" vertical="center" textRotation="0" wrapText="false" indent="1" shrinkToFit="false"/>
      <protection locked="true" hidden="false"/>
    </xf>
    <xf numFmtId="164" fontId="31" fillId="9" borderId="17" xfId="0" applyFont="true" applyBorder="true" applyAlignment="true" applyProtection="false">
      <alignment horizontal="left" vertical="center" textRotation="0" wrapText="false" indent="1" shrinkToFit="false"/>
      <protection locked="true" hidden="false"/>
    </xf>
    <xf numFmtId="164" fontId="32" fillId="0" borderId="0" xfId="0" applyFont="true" applyBorder="true" applyAlignment="true" applyProtection="false">
      <alignment horizontal="left" vertical="bottom" textRotation="0" wrapText="false" indent="0" shrinkToFit="false"/>
      <protection locked="true" hidden="false"/>
    </xf>
    <xf numFmtId="164" fontId="30" fillId="9" borderId="19" xfId="0" applyFont="true" applyBorder="true" applyAlignment="true" applyProtection="false">
      <alignment horizontal="left" vertical="center" textRotation="0" wrapText="false" indent="1" shrinkToFit="false"/>
      <protection locked="true" hidden="false"/>
    </xf>
    <xf numFmtId="164" fontId="30" fillId="9" borderId="20" xfId="0" applyFont="true" applyBorder="true" applyAlignment="true" applyProtection="false">
      <alignment horizontal="left" vertical="center" textRotation="0" wrapText="false" indent="1" shrinkToFit="false"/>
      <protection locked="true" hidden="false"/>
    </xf>
    <xf numFmtId="164" fontId="30" fillId="9" borderId="21" xfId="0" applyFont="true" applyBorder="true" applyAlignment="true" applyProtection="false">
      <alignment horizontal="left" vertical="center" textRotation="0" wrapText="false" indent="1" shrinkToFit="false"/>
      <protection locked="true" hidden="false"/>
    </xf>
    <xf numFmtId="164" fontId="33" fillId="9" borderId="22" xfId="0" applyFont="true" applyBorder="true" applyAlignment="true" applyProtection="false">
      <alignment horizontal="left" vertical="top" textRotation="0" wrapText="true" indent="1" shrinkToFit="false"/>
      <protection locked="true" hidden="false"/>
    </xf>
    <xf numFmtId="164" fontId="33" fillId="9" borderId="23" xfId="0" applyFont="true" applyBorder="true" applyAlignment="true" applyProtection="false">
      <alignment horizontal="left" vertical="top" textRotation="0" wrapText="true" indent="1" shrinkToFit="false"/>
      <protection locked="true" hidden="false"/>
    </xf>
    <xf numFmtId="164" fontId="33" fillId="9" borderId="24" xfId="0" applyFont="true" applyBorder="true" applyAlignment="true" applyProtection="false">
      <alignment horizontal="left" vertical="top" textRotation="0" wrapText="true" indent="1" shrinkToFit="false"/>
      <protection locked="true" hidden="false"/>
    </xf>
    <xf numFmtId="164" fontId="34" fillId="10" borderId="25" xfId="0" applyFont="true" applyBorder="true" applyAlignment="true" applyProtection="false">
      <alignment horizontal="center" vertical="center" textRotation="0" wrapText="false" indent="0" shrinkToFit="false"/>
      <protection locked="true" hidden="false"/>
    </xf>
    <xf numFmtId="164" fontId="35" fillId="5" borderId="26" xfId="0" applyFont="true" applyBorder="true" applyAlignment="true" applyProtection="false">
      <alignment horizontal="center" vertical="center" textRotation="0" wrapText="false" indent="0" shrinkToFit="false"/>
      <protection locked="true" hidden="false"/>
    </xf>
    <xf numFmtId="164" fontId="36" fillId="11" borderId="27" xfId="0" applyFont="true" applyBorder="true" applyAlignment="true" applyProtection="false">
      <alignment horizontal="left" vertical="center" textRotation="0" wrapText="false" indent="1" shrinkToFit="false"/>
      <protection locked="true" hidden="false"/>
    </xf>
    <xf numFmtId="164" fontId="37" fillId="11" borderId="28" xfId="0" applyFont="true" applyBorder="true" applyAlignment="true" applyProtection="false">
      <alignment horizontal="left" vertical="top" textRotation="0" wrapText="true" indent="1" shrinkToFit="false"/>
      <protection locked="true" hidden="false"/>
    </xf>
    <xf numFmtId="164" fontId="38" fillId="9" borderId="17" xfId="0" applyFont="true" applyBorder="true" applyAlignment="true" applyProtection="false">
      <alignment horizontal="left" vertical="center" textRotation="0" wrapText="false" indent="1" shrinkToFit="false"/>
      <protection locked="true" hidden="false"/>
    </xf>
    <xf numFmtId="164" fontId="39" fillId="0" borderId="29" xfId="0" applyFont="true" applyBorder="true" applyAlignment="true" applyProtection="false">
      <alignment horizontal="left" vertical="center"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44" fillId="11" borderId="27" xfId="0" applyFont="true" applyBorder="true" applyAlignment="true" applyProtection="false">
      <alignment horizontal="left" vertical="center" textRotation="0" wrapText="false" indent="1" shrinkToFit="false"/>
      <protection locked="true" hidden="false"/>
    </xf>
    <xf numFmtId="164" fontId="37" fillId="11" borderId="28" xfId="0" applyFont="true" applyBorder="true" applyAlignment="true" applyProtection="false">
      <alignment horizontal="left" vertical="center" textRotation="0" wrapText="false" indent="1" shrinkToFit="false"/>
      <protection locked="true" hidden="false"/>
    </xf>
    <xf numFmtId="164" fontId="45" fillId="5" borderId="0" xfId="0" applyFont="true" applyBorder="true" applyAlignment="true" applyProtection="false">
      <alignment horizontal="center" vertical="center" textRotation="0" wrapText="false" indent="0" shrinkToFit="false"/>
      <protection locked="true" hidden="false"/>
    </xf>
    <xf numFmtId="164" fontId="39" fillId="9" borderId="30" xfId="0" applyFont="true" applyBorder="true" applyAlignment="true" applyProtection="false">
      <alignment horizontal="left" vertical="center" textRotation="0" wrapText="false" indent="0" shrinkToFit="false"/>
      <protection locked="true" hidden="false"/>
    </xf>
    <xf numFmtId="164" fontId="31" fillId="9" borderId="30" xfId="0" applyFont="true" applyBorder="true" applyAlignment="true" applyProtection="false">
      <alignment horizontal="left" vertical="top" textRotation="0" wrapText="true" indent="0" shrinkToFit="false"/>
      <protection locked="true" hidden="false"/>
    </xf>
    <xf numFmtId="164" fontId="0" fillId="9" borderId="31" xfId="0" applyFont="false" applyBorder="true" applyAlignment="false" applyProtection="false">
      <alignment horizontal="general" vertical="bottom" textRotation="0" wrapText="false" indent="0" shrinkToFit="false"/>
      <protection locked="true" hidden="false"/>
    </xf>
    <xf numFmtId="164" fontId="0" fillId="9" borderId="0" xfId="0" applyFont="false" applyBorder="true" applyAlignment="false" applyProtection="false">
      <alignment horizontal="general" vertical="bottom" textRotation="0" wrapText="false" indent="0" shrinkToFit="false"/>
      <protection locked="true" hidden="false"/>
    </xf>
    <xf numFmtId="164" fontId="0" fillId="9" borderId="30" xfId="0" applyFont="false" applyBorder="true" applyAlignment="false" applyProtection="false">
      <alignment horizontal="general" vertical="bottom" textRotation="0" wrapText="false" indent="0" shrinkToFit="false"/>
      <protection locked="true" hidden="false"/>
    </xf>
    <xf numFmtId="164" fontId="0" fillId="9" borderId="22" xfId="0" applyFont="false" applyBorder="true" applyAlignment="false" applyProtection="false">
      <alignment horizontal="general" vertical="bottom" textRotation="0" wrapText="false" indent="0" shrinkToFit="false"/>
      <protection locked="true" hidden="false"/>
    </xf>
    <xf numFmtId="164" fontId="0" fillId="9" borderId="23" xfId="0" applyFont="false" applyBorder="true" applyAlignment="false" applyProtection="false">
      <alignment horizontal="general" vertical="bottom" textRotation="0" wrapText="false" indent="0" shrinkToFit="false"/>
      <protection locked="true" hidden="false"/>
    </xf>
    <xf numFmtId="164" fontId="0" fillId="9" borderId="24" xfId="0" applyFont="false" applyBorder="true" applyAlignment="false" applyProtection="false">
      <alignment horizontal="general" vertical="bottom" textRotation="0" wrapText="false" indent="0" shrinkToFit="false"/>
      <protection locked="true" hidden="false"/>
    </xf>
    <xf numFmtId="164" fontId="31" fillId="9" borderId="18" xfId="0" applyFont="true" applyBorder="true" applyAlignment="true" applyProtection="false">
      <alignment horizontal="left" vertical="top" textRotation="0" wrapText="true" indent="1" shrinkToFit="false"/>
      <protection locked="true" hidden="false"/>
    </xf>
    <xf numFmtId="164" fontId="31" fillId="9" borderId="17" xfId="0" applyFont="true" applyBorder="true" applyAlignment="true" applyProtection="false">
      <alignment horizontal="left" vertical="top" textRotation="0" wrapText="true" indent="1" shrinkToFit="false"/>
      <protection locked="true" hidden="false"/>
    </xf>
    <xf numFmtId="164" fontId="7" fillId="0" borderId="0" xfId="0" applyFont="true" applyBorder="false" applyAlignment="true" applyProtection="false">
      <alignment horizontal="left" vertical="center" textRotation="0" wrapText="false" indent="0" shrinkToFit="false"/>
      <protection locked="true" hidden="false"/>
    </xf>
    <xf numFmtId="164" fontId="46" fillId="5" borderId="0" xfId="0" applyFont="true" applyBorder="true" applyAlignment="true" applyProtection="false">
      <alignment horizontal="left" vertical="top" textRotation="0" wrapText="true" indent="1" shrinkToFit="false"/>
      <protection locked="true" hidden="false"/>
    </xf>
    <xf numFmtId="164" fontId="8" fillId="0" borderId="0" xfId="0" applyFont="true" applyBorder="false" applyAlignment="true" applyProtection="false">
      <alignment horizontal="general" vertical="center" textRotation="0" wrapText="false" indent="0" shrinkToFit="false"/>
      <protection locked="true" hidden="false"/>
    </xf>
    <xf numFmtId="164" fontId="0" fillId="9" borderId="0" xfId="0" applyFont="fals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center" vertical="bottom" textRotation="0" wrapText="false" indent="0" shrinkToFit="false"/>
      <protection locked="true" hidden="false"/>
    </xf>
    <xf numFmtId="164" fontId="8" fillId="9" borderId="0" xfId="0" applyFont="true" applyBorder="true" applyAlignment="true" applyProtection="false">
      <alignment horizontal="left" vertical="center" textRotation="0" wrapText="false" indent="0" shrinkToFit="false"/>
      <protection locked="true" hidden="false"/>
    </xf>
    <xf numFmtId="164" fontId="13" fillId="6" borderId="0" xfId="0" applyFont="true" applyBorder="false" applyAlignment="false" applyProtection="true">
      <alignment horizontal="general" vertical="bottom" textRotation="0" wrapText="false" indent="0" shrinkToFit="false"/>
      <protection locked="false" hidden="false"/>
    </xf>
    <xf numFmtId="164" fontId="39" fillId="5" borderId="29" xfId="0" applyFont="true" applyBorder="true" applyAlignment="true" applyProtection="false">
      <alignment horizontal="left" vertical="center" textRotation="0" wrapText="true" indent="1" shrinkToFit="false"/>
      <protection locked="true" hidden="false"/>
    </xf>
    <xf numFmtId="164" fontId="47" fillId="0" borderId="0" xfId="0" applyFont="true" applyBorder="false" applyAlignment="true" applyProtection="false">
      <alignment horizontal="left" vertical="bottom" textRotation="0" wrapText="false" indent="0" shrinkToFit="false"/>
      <protection locked="true" hidden="false"/>
    </xf>
    <xf numFmtId="171" fontId="11" fillId="6" borderId="1" xfId="0" applyFont="true" applyBorder="true" applyAlignment="true" applyProtection="false">
      <alignment horizontal="left" vertical="center" textRotation="0" wrapText="false" indent="1" shrinkToFit="false"/>
      <protection locked="true" hidden="false"/>
    </xf>
    <xf numFmtId="164" fontId="8" fillId="9" borderId="23" xfId="0" applyFont="true" applyBorder="true" applyAlignment="true" applyProtection="false">
      <alignment horizontal="left" vertical="center" textRotation="0" wrapText="false" indent="0" shrinkToFit="false"/>
      <protection locked="true" hidden="false"/>
    </xf>
    <xf numFmtId="164" fontId="48" fillId="0" borderId="0" xfId="0" applyFont="true" applyBorder="true" applyAlignment="false" applyProtection="false">
      <alignment horizontal="general" vertical="bottom" textRotation="0" wrapText="false" indent="0" shrinkToFit="false"/>
      <protection locked="true" hidden="false"/>
    </xf>
    <xf numFmtId="164" fontId="47"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right" vertical="bottom" textRotation="0" wrapText="false" indent="0" shrinkToFit="false"/>
      <protection locked="true" hidden="false"/>
    </xf>
    <xf numFmtId="165" fontId="47" fillId="0" borderId="0" xfId="17" applyFont="true" applyBorder="true" applyAlignment="true" applyProtection="true">
      <alignment horizontal="general" vertical="bottom" textRotation="0" wrapText="false" indent="0" shrinkToFit="false"/>
      <protection locked="true" hidden="false"/>
    </xf>
    <xf numFmtId="164" fontId="31" fillId="9" borderId="31" xfId="0" applyFont="true" applyBorder="true" applyAlignment="true" applyProtection="false">
      <alignment horizontal="left" vertical="center" textRotation="0" wrapText="false" indent="1" shrinkToFit="false"/>
      <protection locked="true" hidden="false"/>
    </xf>
    <xf numFmtId="164" fontId="49" fillId="9" borderId="30" xfId="0" applyFont="true" applyBorder="true" applyAlignment="true" applyProtection="false">
      <alignment horizontal="left" vertical="center" textRotation="0" wrapText="false" indent="0" shrinkToFit="false"/>
      <protection locked="true" hidden="false"/>
    </xf>
    <xf numFmtId="164" fontId="55" fillId="11" borderId="32" xfId="0" applyFont="true" applyBorder="true" applyAlignment="true" applyProtection="false">
      <alignment horizontal="left" vertical="center" textRotation="0" wrapText="false" indent="1" shrinkToFit="false"/>
      <protection locked="true" hidden="false"/>
    </xf>
    <xf numFmtId="164" fontId="7" fillId="0" borderId="0" xfId="0" applyFont="true" applyBorder="false" applyAlignment="true" applyProtection="false">
      <alignment horizontal="left" vertical="center" textRotation="0" wrapText="true" indent="0" shrinkToFit="false"/>
      <protection locked="true" hidden="false"/>
    </xf>
    <xf numFmtId="164" fontId="16" fillId="0" borderId="0" xfId="0" applyFont="true" applyBorder="true" applyAlignment="true" applyProtection="false">
      <alignment horizontal="center" vertical="bottom" textRotation="0" wrapText="false" indent="0" shrinkToFit="false"/>
      <protection locked="true" hidden="false"/>
    </xf>
    <xf numFmtId="168" fontId="11" fillId="6" borderId="1" xfId="0" applyFont="true" applyBorder="true" applyAlignment="true" applyProtection="false">
      <alignment horizontal="right" vertical="center" textRotation="0" wrapText="false" indent="0" shrinkToFit="false"/>
      <protection locked="true" hidden="false"/>
    </xf>
    <xf numFmtId="168" fontId="11" fillId="12" borderId="1" xfId="0" applyFont="true" applyBorder="true" applyAlignment="true" applyProtection="false">
      <alignment horizontal="right" vertical="center" textRotation="0" wrapText="false" indent="0" shrinkToFit="false"/>
      <protection locked="true" hidden="false"/>
    </xf>
    <xf numFmtId="164" fontId="39" fillId="5" borderId="0" xfId="0" applyFont="true" applyBorder="false" applyAlignment="true" applyProtection="false">
      <alignment horizontal="left" vertical="center" textRotation="0" wrapText="true" indent="0" shrinkToFit="false"/>
      <protection locked="true" hidden="false"/>
    </xf>
    <xf numFmtId="164" fontId="13" fillId="0" borderId="0" xfId="0" applyFont="true" applyBorder="false" applyAlignment="true" applyProtection="false">
      <alignment horizontal="general" vertical="center" textRotation="0" wrapText="false" indent="0" shrinkToFit="false"/>
      <protection locked="true" hidden="false"/>
    </xf>
    <xf numFmtId="164" fontId="13" fillId="0" borderId="0" xfId="0" applyFont="true" applyBorder="false" applyAlignment="true" applyProtection="false">
      <alignment horizontal="general" vertical="center" textRotation="0" wrapText="true" indent="0" shrinkToFit="false"/>
      <protection locked="true" hidden="false"/>
    </xf>
    <xf numFmtId="164" fontId="37" fillId="11" borderId="0" xfId="0" applyFont="true" applyBorder="true" applyAlignment="true" applyProtection="false">
      <alignment horizontal="left" vertical="center" textRotation="0" wrapText="true" indent="1" shrinkToFit="false"/>
      <protection locked="true" hidden="false"/>
    </xf>
    <xf numFmtId="164" fontId="6" fillId="0" borderId="0" xfId="0" applyFont="true" applyBorder="false" applyAlignment="true" applyProtection="false">
      <alignment horizontal="center" vertical="bottom" textRotation="0" wrapText="true" indent="0" shrinkToFit="false"/>
      <protection locked="true" hidden="false"/>
    </xf>
    <xf numFmtId="164" fontId="46" fillId="5" borderId="4" xfId="0" applyFont="true" applyBorder="true" applyAlignment="true" applyProtection="false">
      <alignment horizontal="left" vertical="center" textRotation="0" wrapText="true" indent="1" shrinkToFit="false"/>
      <protection locked="true" hidden="false"/>
    </xf>
    <xf numFmtId="164" fontId="21" fillId="7" borderId="33" xfId="0" applyFont="true" applyBorder="true" applyAlignment="true" applyProtection="false">
      <alignment horizontal="left" vertical="center" textRotation="0" wrapText="false" indent="1" shrinkToFit="false"/>
      <protection locked="true" hidden="false"/>
    </xf>
    <xf numFmtId="164" fontId="23" fillId="8" borderId="25" xfId="0" applyFont="true" applyBorder="true" applyAlignment="true" applyProtection="false">
      <alignment horizontal="left" vertical="center" textRotation="0" wrapText="false" indent="1" shrinkToFit="false"/>
      <protection locked="true" hidden="false"/>
    </xf>
    <xf numFmtId="164" fontId="36" fillId="11" borderId="34" xfId="0" applyFont="true" applyBorder="true" applyAlignment="true" applyProtection="false">
      <alignment horizontal="left" vertical="center" textRotation="0" wrapText="false" indent="1" shrinkToFit="false"/>
      <protection locked="true" hidden="false"/>
    </xf>
    <xf numFmtId="164" fontId="18" fillId="0" borderId="35" xfId="0" applyFont="true" applyBorder="true" applyAlignment="true" applyProtection="false">
      <alignment horizontal="general" vertical="center" textRotation="0" wrapText="true" indent="0" shrinkToFit="false"/>
      <protection locked="true" hidden="false"/>
    </xf>
    <xf numFmtId="164" fontId="19" fillId="0" borderId="36" xfId="0" applyFont="true" applyBorder="true" applyAlignment="true" applyProtection="false">
      <alignment horizontal="general" vertical="center" textRotation="0" wrapText="true" indent="0" shrinkToFit="false"/>
      <protection locked="true" hidden="false"/>
    </xf>
    <xf numFmtId="164" fontId="11" fillId="6" borderId="1" xfId="0" applyFont="true" applyBorder="true" applyAlignment="true" applyProtection="false">
      <alignment horizontal="right" vertical="center" textRotation="0" wrapText="false" indent="0" shrinkToFit="false"/>
      <protection locked="true" hidden="false"/>
    </xf>
    <xf numFmtId="164" fontId="39" fillId="5" borderId="37" xfId="0" applyFont="true" applyBorder="true" applyAlignment="true" applyProtection="false">
      <alignment horizontal="center" vertical="center" textRotation="0" wrapText="false" indent="0" shrinkToFit="false"/>
      <protection locked="true" hidden="false"/>
    </xf>
    <xf numFmtId="164" fontId="18" fillId="0" borderId="38" xfId="0" applyFont="true" applyBorder="true" applyAlignment="true" applyProtection="false">
      <alignment horizontal="general" vertical="center" textRotation="0" wrapText="true" indent="0" shrinkToFit="false"/>
      <protection locked="true" hidden="false"/>
    </xf>
    <xf numFmtId="164" fontId="19" fillId="0" borderId="39" xfId="0" applyFont="true" applyBorder="true" applyAlignment="true" applyProtection="false">
      <alignment horizontal="general" vertical="center" textRotation="0" wrapText="true" indent="0" shrinkToFit="false"/>
      <protection locked="true" hidden="false"/>
    </xf>
    <xf numFmtId="164" fontId="0" fillId="5" borderId="40" xfId="0" applyFont="false" applyBorder="true" applyAlignment="false" applyProtection="false">
      <alignment horizontal="general" vertical="bottom" textRotation="0" wrapText="false" indent="0" shrinkToFit="false"/>
      <protection locked="true" hidden="false"/>
    </xf>
    <xf numFmtId="164" fontId="18" fillId="0" borderId="41" xfId="0" applyFont="true" applyBorder="true" applyAlignment="true" applyProtection="false">
      <alignment horizontal="general" vertical="center" textRotation="0" wrapText="true" indent="0" shrinkToFit="false"/>
      <protection locked="true" hidden="false"/>
    </xf>
    <xf numFmtId="164" fontId="18" fillId="0" borderId="42" xfId="0" applyFont="true" applyBorder="true" applyAlignment="true" applyProtection="false">
      <alignment horizontal="general" vertical="center" textRotation="0" wrapText="true" indent="0" shrinkToFit="false"/>
      <protection locked="true" hidden="false"/>
    </xf>
    <xf numFmtId="164" fontId="0" fillId="5" borderId="43" xfId="0" applyFont="false" applyBorder="true" applyAlignment="false" applyProtection="false">
      <alignment horizontal="general" vertical="bottom" textRotation="0" wrapText="false" indent="0" shrinkToFit="false"/>
      <protection locked="true" hidden="false"/>
    </xf>
    <xf numFmtId="164" fontId="21" fillId="7" borderId="44" xfId="0" applyFont="true" applyBorder="true" applyAlignment="true" applyProtection="false">
      <alignment horizontal="left" vertical="center" textRotation="0" wrapText="false" indent="1" shrinkToFit="false"/>
      <protection locked="true" hidden="false"/>
    </xf>
    <xf numFmtId="164" fontId="22" fillId="7" borderId="44" xfId="0" applyFont="true" applyBorder="true" applyAlignment="true" applyProtection="false">
      <alignment horizontal="left" vertical="center" textRotation="0" wrapText="false" indent="0" shrinkToFit="false"/>
      <protection locked="true" hidden="false"/>
    </xf>
    <xf numFmtId="164" fontId="21" fillId="7" borderId="44" xfId="0" applyFont="true" applyBorder="true" applyAlignment="true" applyProtection="false">
      <alignment horizontal="center" vertical="center" textRotation="0" wrapText="false" indent="0" shrinkToFit="false"/>
      <protection locked="true" hidden="false"/>
    </xf>
    <xf numFmtId="164" fontId="22" fillId="7" borderId="45" xfId="0" applyFont="true" applyBorder="true" applyAlignment="true" applyProtection="false">
      <alignment horizontal="left" vertical="center" textRotation="0" wrapText="false" indent="1" shrinkToFit="false"/>
      <protection locked="true" hidden="false"/>
    </xf>
    <xf numFmtId="164" fontId="22" fillId="7" borderId="45" xfId="0" applyFont="true" applyBorder="true" applyAlignment="true" applyProtection="false">
      <alignment horizontal="left" vertical="center" textRotation="0" wrapText="false" indent="0" shrinkToFit="false"/>
      <protection locked="true" hidden="false"/>
    </xf>
    <xf numFmtId="164" fontId="0" fillId="7" borderId="45" xfId="0" applyFont="false" applyBorder="true" applyAlignment="false" applyProtection="false">
      <alignment horizontal="general" vertical="bottom" textRotation="0" wrapText="false" indent="0" shrinkToFit="false"/>
      <protection locked="true" hidden="false"/>
    </xf>
    <xf numFmtId="164" fontId="22" fillId="7" borderId="46" xfId="0" applyFont="true" applyBorder="true" applyAlignment="true" applyProtection="false">
      <alignment horizontal="left" vertical="center" textRotation="0" wrapText="false" indent="1" shrinkToFit="false"/>
      <protection locked="true" hidden="false"/>
    </xf>
    <xf numFmtId="164" fontId="22" fillId="7" borderId="46" xfId="0" applyFont="true" applyBorder="true" applyAlignment="true" applyProtection="false">
      <alignment horizontal="left" vertical="center" textRotation="0" wrapText="false" indent="0" shrinkToFit="false"/>
      <protection locked="true" hidden="false"/>
    </xf>
    <xf numFmtId="164" fontId="0" fillId="7" borderId="46" xfId="0" applyFont="false" applyBorder="true" applyAlignment="false" applyProtection="false">
      <alignment horizontal="general" vertical="bottom" textRotation="0" wrapText="false" indent="0" shrinkToFit="false"/>
      <protection locked="true" hidden="false"/>
    </xf>
    <xf numFmtId="164" fontId="24" fillId="8" borderId="25" xfId="0" applyFont="true" applyBorder="true" applyAlignment="true" applyProtection="false">
      <alignment horizontal="left" vertical="center" textRotation="0" wrapText="false" indent="0" shrinkToFit="false"/>
      <protection locked="true" hidden="false"/>
    </xf>
    <xf numFmtId="172" fontId="19" fillId="0" borderId="47" xfId="0" applyFont="true" applyBorder="true" applyAlignment="true" applyProtection="false">
      <alignment horizontal="center" vertical="center" textRotation="0" wrapText="true" indent="0" shrinkToFit="false"/>
      <protection locked="true" hidden="false"/>
    </xf>
    <xf numFmtId="170" fontId="23" fillId="8" borderId="48" xfId="0" applyFont="true" applyBorder="true" applyAlignment="true" applyProtection="false">
      <alignment horizontal="center" vertical="center" textRotation="0" wrapText="false" indent="0" shrinkToFit="false"/>
      <protection locked="true" hidden="false"/>
    </xf>
    <xf numFmtId="164" fontId="16" fillId="0" borderId="35" xfId="0" applyFont="true" applyBorder="true" applyAlignment="true" applyProtection="false">
      <alignment horizontal="general" vertical="center" textRotation="0" wrapText="true" indent="0" shrinkToFit="false"/>
      <protection locked="true" hidden="false"/>
    </xf>
    <xf numFmtId="164" fontId="13" fillId="0" borderId="36" xfId="0" applyFont="true" applyBorder="true" applyAlignment="true" applyProtection="false">
      <alignment horizontal="general" vertical="center" textRotation="0" wrapText="true" indent="0" shrinkToFit="false"/>
      <protection locked="true" hidden="false"/>
    </xf>
    <xf numFmtId="164" fontId="16" fillId="0" borderId="42" xfId="0" applyFont="true" applyBorder="true" applyAlignment="true" applyProtection="false">
      <alignment horizontal="general" vertical="center" textRotation="0" wrapText="true" indent="0" shrinkToFit="false"/>
      <protection locked="true" hidden="false"/>
    </xf>
    <xf numFmtId="164" fontId="16" fillId="0" borderId="38" xfId="0" applyFont="true" applyBorder="true" applyAlignment="true" applyProtection="false">
      <alignment horizontal="general" vertical="center" textRotation="0" wrapText="true" indent="0" shrinkToFit="false"/>
      <protection locked="true" hidden="false"/>
    </xf>
    <xf numFmtId="164" fontId="13" fillId="0" borderId="39" xfId="0" applyFont="true" applyBorder="true" applyAlignment="true" applyProtection="false">
      <alignment horizontal="general" vertical="center" textRotation="0" wrapText="true" indent="0" shrinkToFit="false"/>
      <protection locked="true" hidden="false"/>
    </xf>
    <xf numFmtId="164" fontId="56" fillId="11" borderId="34" xfId="0" applyFont="true" applyBorder="true" applyAlignment="true" applyProtection="false">
      <alignment horizontal="left" vertical="center" textRotation="0" wrapText="false" indent="0" shrinkToFit="false"/>
      <protection locked="true" hidden="false"/>
    </xf>
    <xf numFmtId="170" fontId="36" fillId="11" borderId="49" xfId="0" applyFont="true" applyBorder="true" applyAlignment="true" applyProtection="false">
      <alignment horizontal="center" vertical="center" textRotation="0" wrapText="false" indent="0" shrinkToFit="false"/>
      <protection locked="true" hidden="false"/>
    </xf>
    <xf numFmtId="172" fontId="13" fillId="0" borderId="47" xfId="0" applyFont="true" applyBorder="tru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7" fontId="0" fillId="6" borderId="0" xfId="0" applyFont="false" applyBorder="false" applyAlignment="false" applyProtection="false">
      <alignment horizontal="general" vertical="bottom" textRotation="0" wrapText="false" indent="0" shrinkToFit="false"/>
      <protection locked="true" hidden="false"/>
    </xf>
    <xf numFmtId="164" fontId="13" fillId="2" borderId="0" xfId="0" applyFont="true" applyBorder="false" applyAlignment="true" applyProtection="false">
      <alignment horizontal="left" vertical="bottom" textRotation="0" wrapText="false" indent="0" shrinkToFit="false"/>
      <protection locked="true" hidden="false"/>
    </xf>
    <xf numFmtId="164" fontId="13" fillId="2" borderId="0" xfId="0" applyFont="true" applyBorder="false" applyAlignment="true" applyProtection="false">
      <alignment horizontal="center" vertical="bottom" textRotation="0" wrapText="false" indent="0" shrinkToFit="false"/>
      <protection locked="true" hidden="false"/>
    </xf>
    <xf numFmtId="167" fontId="0" fillId="2" borderId="0" xfId="0" applyFont="false" applyBorder="false" applyAlignment="true" applyProtection="false">
      <alignment horizontal="center" vertical="bottom" textRotation="0" wrapText="false" indent="0" shrinkToFit="false"/>
      <protection locked="true" hidden="false"/>
    </xf>
    <xf numFmtId="168" fontId="13" fillId="2" borderId="0" xfId="0" applyFont="true" applyBorder="false" applyAlignment="true" applyProtection="false">
      <alignment horizontal="center" vertical="bottom" textRotation="0" wrapText="false" indent="0" shrinkToFit="false"/>
      <protection locked="true" hidden="false"/>
    </xf>
    <xf numFmtId="167" fontId="0" fillId="0" borderId="0" xfId="0" applyFont="false" applyBorder="false" applyAlignment="true" applyProtection="false">
      <alignment horizontal="center" vertical="bottom" textRotation="0" wrapText="false" indent="0" shrinkToFit="false"/>
      <protection locked="true" hidden="false"/>
    </xf>
    <xf numFmtId="168" fontId="13" fillId="0" borderId="0" xfId="0" applyFont="true" applyBorder="false" applyAlignment="true" applyProtection="false">
      <alignment horizontal="center" vertical="bottom" textRotation="0" wrapText="false" indent="0" shrinkToFit="false"/>
      <protection locked="true" hidden="false"/>
    </xf>
    <xf numFmtId="164" fontId="0" fillId="2" borderId="0" xfId="0" applyFont="false" applyBorder="false" applyAlignment="true" applyProtection="false">
      <alignment horizontal="center" vertical="bottom" textRotation="0" wrapText="false" indent="0" shrinkToFit="false"/>
      <protection locked="true" hidden="false"/>
    </xf>
    <xf numFmtId="168" fontId="0" fillId="2" borderId="0" xfId="0" applyFont="false" applyBorder="fals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8" fontId="0" fillId="0" borderId="0" xfId="0" applyFont="false" applyBorder="false" applyAlignment="true" applyProtection="false">
      <alignment horizontal="center" vertical="bottom" textRotation="0" wrapText="false" indent="0" shrinkToFit="false"/>
      <protection locked="true" hidden="false"/>
    </xf>
    <xf numFmtId="164" fontId="0" fillId="13" borderId="0" xfId="0" applyFont="true" applyBorder="false" applyAlignment="false" applyProtection="false">
      <alignment horizontal="general" vertical="bottom" textRotation="0" wrapText="false" indent="0" shrinkToFit="false"/>
      <protection locked="true" hidden="false"/>
    </xf>
    <xf numFmtId="169" fontId="0" fillId="13" borderId="0" xfId="0" applyFont="false" applyBorder="false" applyAlignment="false" applyProtection="false">
      <alignment horizontal="general" vertical="bottom" textRotation="0" wrapText="false" indent="0" shrinkToFit="false"/>
      <protection locked="true" hidden="false"/>
    </xf>
    <xf numFmtId="164" fontId="57" fillId="14" borderId="50" xfId="0" applyFont="true" applyBorder="true" applyAlignment="true" applyProtection="false">
      <alignment horizontal="center" vertical="bottom" textRotation="0" wrapText="false" indent="0" shrinkToFit="false"/>
      <protection locked="true" hidden="false"/>
    </xf>
    <xf numFmtId="167" fontId="57" fillId="15" borderId="50" xfId="0" applyFont="true" applyBorder="true" applyAlignment="true" applyProtection="false">
      <alignment horizontal="center" vertical="bottom" textRotation="0" wrapText="false" indent="0" shrinkToFit="false"/>
      <protection locked="true" hidden="false"/>
    </xf>
    <xf numFmtId="165" fontId="57" fillId="15" borderId="50" xfId="17" applyFont="true" applyBorder="true" applyAlignment="true" applyProtection="true">
      <alignment horizontal="center" vertical="bottom" textRotation="0" wrapText="false" indent="0" shrinkToFit="false"/>
      <protection locked="true" hidden="false"/>
    </xf>
    <xf numFmtId="164" fontId="0" fillId="16" borderId="14" xfId="0" applyFont="true" applyBorder="true" applyAlignment="false" applyProtection="false">
      <alignment horizontal="general" vertical="bottom" textRotation="0" wrapText="false" indent="0" shrinkToFit="false"/>
      <protection locked="true" hidden="false"/>
    </xf>
    <xf numFmtId="165" fontId="0" fillId="0" borderId="14" xfId="17" applyFont="true" applyBorder="true" applyAlignment="true" applyProtection="true">
      <alignment horizontal="general" vertical="bottom" textRotation="0" wrapText="false" indent="0" shrinkToFit="false"/>
      <protection locked="true" hidden="false"/>
    </xf>
    <xf numFmtId="173" fontId="0" fillId="0" borderId="14" xfId="17" applyFont="true" applyBorder="true" applyAlignment="true" applyProtection="true">
      <alignment horizontal="general" vertical="bottom" textRotation="0" wrapText="false" indent="0" shrinkToFit="false"/>
      <protection locked="true" hidden="false"/>
    </xf>
    <xf numFmtId="173" fontId="0" fillId="0" borderId="14" xfId="17" applyFont="true" applyBorder="true" applyAlignment="true" applyProtection="true">
      <alignment horizontal="left" vertical="bottom" textRotation="0" wrapText="false" indent="0" shrinkToFit="false"/>
      <protection locked="true" hidden="false"/>
    </xf>
    <xf numFmtId="164" fontId="58" fillId="0" borderId="0" xfId="0" applyFont="true" applyBorder="true" applyAlignment="false" applyProtection="false">
      <alignment horizontal="general" vertical="bottom" textRotation="0" wrapText="false" indent="0" shrinkToFit="false"/>
      <protection locked="true" hidden="false"/>
    </xf>
    <xf numFmtId="164" fontId="58" fillId="6" borderId="1" xfId="0" applyFont="true" applyBorder="true" applyAlignment="true" applyProtection="false">
      <alignment horizontal="general" vertical="center" textRotation="0" wrapText="true" indent="0" shrinkToFit="false"/>
      <protection locked="true" hidden="false"/>
    </xf>
    <xf numFmtId="164" fontId="32" fillId="9" borderId="16" xfId="0" applyFont="true" applyBorder="true" applyAlignment="true" applyProtection="false">
      <alignment horizontal="left" vertical="center" textRotation="0" wrapText="false" indent="1" shrinkToFit="false"/>
      <protection locked="true" hidden="false"/>
    </xf>
    <xf numFmtId="164" fontId="59" fillId="9" borderId="18" xfId="0" applyFont="true" applyBorder="true" applyAlignment="true" applyProtection="false">
      <alignment horizontal="left" vertical="center" textRotation="0" wrapText="false" indent="1" shrinkToFit="false"/>
      <protection locked="true" hidden="false"/>
    </xf>
    <xf numFmtId="164" fontId="33" fillId="9" borderId="17" xfId="0" applyFont="true" applyBorder="true" applyAlignment="true" applyProtection="false">
      <alignment horizontal="left" vertical="top" textRotation="0" wrapText="true" indent="1" shrinkToFit="false"/>
      <protection locked="true" hidden="false"/>
    </xf>
    <xf numFmtId="164" fontId="60" fillId="0" borderId="0" xfId="0" applyFont="true" applyBorder="true" applyAlignment="false" applyProtection="false">
      <alignment horizontal="general" vertical="bottom" textRotation="0" wrapText="false" indent="0" shrinkToFit="false"/>
      <protection locked="true" hidden="false"/>
    </xf>
    <xf numFmtId="174" fontId="60" fillId="0" borderId="0" xfId="0" applyFont="true" applyBorder="true" applyAlignment="false" applyProtection="false">
      <alignment horizontal="general" vertical="bottom" textRotation="0" wrapText="false" indent="0" shrinkToFit="false"/>
      <protection locked="true" hidden="false"/>
    </xf>
    <xf numFmtId="164" fontId="61" fillId="8" borderId="0" xfId="0" applyFont="true" applyBorder="true" applyAlignment="true" applyProtection="false">
      <alignment horizontal="general" vertical="center" textRotation="0" wrapText="false" indent="1" shrinkToFit="false"/>
      <protection locked="true" hidden="false"/>
    </xf>
    <xf numFmtId="164" fontId="12" fillId="17" borderId="0" xfId="0" applyFont="true" applyBorder="false" applyAlignment="true" applyProtection="false">
      <alignment horizontal="general" vertical="center" textRotation="0" wrapText="true" indent="0" shrinkToFit="false"/>
      <protection locked="true" hidden="false"/>
    </xf>
    <xf numFmtId="164" fontId="62" fillId="0" borderId="1" xfId="0" applyFont="true" applyBorder="true" applyAlignment="false" applyProtection="false">
      <alignment horizontal="general" vertical="bottom" textRotation="0" wrapText="false" indent="0" shrinkToFit="false"/>
      <protection locked="true" hidden="false"/>
    </xf>
    <xf numFmtId="174" fontId="62" fillId="0" borderId="1" xfId="0" applyFont="true" applyBorder="true" applyAlignment="false" applyProtection="false">
      <alignment horizontal="general" vertical="bottom" textRotation="0" wrapText="false" indent="0" shrinkToFit="false"/>
      <protection locked="true" hidden="false"/>
    </xf>
    <xf numFmtId="170" fontId="62" fillId="0" borderId="1" xfId="0" applyFont="true" applyBorder="true" applyAlignment="false" applyProtection="false">
      <alignment horizontal="general" vertical="bottom" textRotation="0" wrapText="false" indent="0" shrinkToFit="false"/>
      <protection locked="true" hidden="false"/>
    </xf>
    <xf numFmtId="175" fontId="62" fillId="0" borderId="1" xfId="0" applyFont="true" applyBorder="true" applyAlignment="false" applyProtection="false">
      <alignment horizontal="general" vertical="bottom" textRotation="0" wrapText="false" indent="0" shrinkToFit="false"/>
      <protection locked="true" hidden="false"/>
    </xf>
    <xf numFmtId="176" fontId="60" fillId="0" borderId="0" xfId="0" applyFont="true" applyBorder="true" applyAlignment="false" applyProtection="false">
      <alignment horizontal="general" vertical="bottom" textRotation="0" wrapText="false" indent="0" shrinkToFit="false"/>
      <protection locked="true" hidden="false"/>
    </xf>
    <xf numFmtId="164" fontId="58" fillId="5" borderId="0" xfId="0" applyFont="true" applyBorder="true" applyAlignment="false" applyProtection="false">
      <alignment horizontal="general" vertical="bottom" textRotation="0" wrapText="false" indent="0" shrinkToFit="false"/>
      <protection locked="true" hidden="false"/>
    </xf>
    <xf numFmtId="164" fontId="0" fillId="5" borderId="0" xfId="0" applyFont="true" applyBorder="true" applyAlignment="false" applyProtection="false">
      <alignment horizontal="general" vertical="bottom" textRotation="0" wrapText="false" indent="0" shrinkToFit="false"/>
      <protection locked="true" hidden="false"/>
    </xf>
    <xf numFmtId="164" fontId="63" fillId="0" borderId="0" xfId="0" applyFont="true" applyBorder="true" applyAlignment="false" applyProtection="false">
      <alignment horizontal="general" vertical="bottom" textRotation="0" wrapText="false" indent="0" shrinkToFit="false"/>
      <protection locked="true" hidden="false"/>
    </xf>
    <xf numFmtId="177" fontId="62" fillId="0" borderId="1" xfId="0" applyFont="true" applyBorder="true" applyAlignment="false" applyProtection="false">
      <alignment horizontal="general" vertical="bottom" textRotation="0" wrapText="false" indent="0" shrinkToFit="false"/>
      <protection locked="true" hidden="false"/>
    </xf>
    <xf numFmtId="166" fontId="60" fillId="0" borderId="0" xfId="0" applyFont="true" applyBorder="true" applyAlignment="false" applyProtection="false">
      <alignment horizontal="general" vertical="bottom" textRotation="0" wrapText="false" indent="0" shrinkToFit="false"/>
      <protection locked="true" hidden="false"/>
    </xf>
    <xf numFmtId="164" fontId="64" fillId="18" borderId="0" xfId="0" applyFont="true" applyBorder="false" applyAlignment="true" applyProtection="false">
      <alignment horizontal="general" vertical="center" textRotation="0" wrapText="false" indent="1" shrinkToFit="false"/>
      <protection locked="true" hidden="false"/>
    </xf>
    <xf numFmtId="178" fontId="60" fillId="0" borderId="0" xfId="0" applyFont="true" applyBorder="true" applyAlignment="false" applyProtection="false">
      <alignment horizontal="general" vertical="bottom" textRotation="0" wrapText="false" indent="0" shrinkToFit="false"/>
      <protection locked="true" hidden="false"/>
    </xf>
    <xf numFmtId="166" fontId="62" fillId="6" borderId="1" xfId="0" applyFont="true" applyBorder="true" applyAlignment="false" applyProtection="false">
      <alignment horizontal="general" vertical="bottom" textRotation="0" wrapText="false" indent="0" shrinkToFit="false"/>
      <protection locked="true" hidden="false"/>
    </xf>
    <xf numFmtId="179" fontId="60" fillId="0" borderId="0" xfId="0" applyFont="true" applyBorder="true" applyAlignment="false" applyProtection="false">
      <alignment horizontal="general" vertical="bottom" textRotation="0" wrapText="false" indent="0" shrinkToFit="false"/>
      <protection locked="true" hidden="false"/>
    </xf>
    <xf numFmtId="178" fontId="62" fillId="0" borderId="1" xfId="0" applyFont="true" applyBorder="true" applyAlignment="false" applyProtection="false">
      <alignment horizontal="general" vertical="bottom" textRotation="0" wrapText="false" indent="0" shrinkToFit="false"/>
      <protection locked="true" hidden="false"/>
    </xf>
    <xf numFmtId="164" fontId="5" fillId="0" borderId="29" xfId="0" applyFont="true" applyBorder="true" applyAlignment="true" applyProtection="false">
      <alignment horizontal="left" vertical="center" textRotation="0" wrapText="false" indent="0" shrinkToFit="false"/>
      <protection locked="true" hidden="false"/>
    </xf>
    <xf numFmtId="164" fontId="34" fillId="3" borderId="0" xfId="0" applyFont="true" applyBorder="true" applyAlignment="true" applyProtection="false">
      <alignment horizontal="left" vertical="center" textRotation="0" wrapText="false" indent="1" shrinkToFit="false"/>
      <protection locked="true" hidden="false"/>
    </xf>
    <xf numFmtId="164" fontId="31" fillId="0" borderId="0" xfId="0" applyFont="true" applyBorder="true" applyAlignment="true" applyProtection="false">
      <alignment horizontal="left" vertical="center" textRotation="0" wrapText="false" indent="1" shrinkToFit="false"/>
      <protection locked="true" hidden="false"/>
    </xf>
    <xf numFmtId="164" fontId="46" fillId="0" borderId="0" xfId="0" applyFont="true" applyBorder="true" applyAlignment="true" applyProtection="false">
      <alignment horizontal="left" vertical="center" textRotation="0" wrapText="false" indent="1" shrinkToFit="false"/>
      <protection locked="true" hidden="false"/>
    </xf>
    <xf numFmtId="164" fontId="46" fillId="6" borderId="1" xfId="0" applyFont="true" applyBorder="true" applyAlignment="true" applyProtection="false">
      <alignment horizontal="right" vertical="center" textRotation="0" wrapText="false" indent="0" shrinkToFit="false"/>
      <protection locked="true" hidden="false"/>
    </xf>
    <xf numFmtId="164" fontId="65" fillId="0" borderId="0" xfId="0" applyFont="true" applyBorder="true" applyAlignment="true" applyProtection="false">
      <alignment horizontal="left" vertical="center" textRotation="0" wrapText="false" indent="1" shrinkToFit="false"/>
      <protection locked="true" hidden="false"/>
    </xf>
    <xf numFmtId="164" fontId="66" fillId="0" borderId="0" xfId="0" applyFont="true" applyBorder="true" applyAlignment="false" applyProtection="false">
      <alignment horizontal="general" vertical="bottom" textRotation="0" wrapText="false" indent="0" shrinkToFit="false"/>
      <protection locked="true" hidden="false"/>
    </xf>
    <xf numFmtId="164" fontId="67" fillId="0" borderId="0" xfId="0" applyFont="true" applyBorder="true" applyAlignment="false" applyProtection="false">
      <alignment horizontal="general" vertical="bottom" textRotation="0" wrapText="false" indent="0" shrinkToFit="false"/>
      <protection locked="true" hidden="false"/>
    </xf>
    <xf numFmtId="164" fontId="68" fillId="0" borderId="0" xfId="0" applyFont="true" applyBorder="true" applyAlignment="false" applyProtection="false">
      <alignment horizontal="general" vertical="bottom" textRotation="0" wrapText="false" indent="0" shrinkToFit="false"/>
      <protection locked="true" hidden="false"/>
    </xf>
    <xf numFmtId="164" fontId="69" fillId="0" borderId="0" xfId="0" applyFont="true" applyBorder="true" applyAlignment="false" applyProtection="false">
      <alignment horizontal="general" vertical="bottom" textRotation="0" wrapText="false" indent="0" shrinkToFit="false"/>
      <protection locked="true" hidden="false"/>
    </xf>
    <xf numFmtId="180" fontId="60" fillId="0" borderId="0" xfId="0" applyFont="true" applyBorder="true" applyAlignment="false" applyProtection="false">
      <alignment horizontal="general" vertical="bottom" textRotation="0" wrapText="false" indent="0" shrinkToFit="false"/>
      <protection locked="true" hidden="false"/>
    </xf>
    <xf numFmtId="164" fontId="20" fillId="0" borderId="0" xfId="0" applyFont="true" applyBorder="true" applyAlignment="true" applyProtection="false">
      <alignment horizontal="left" vertical="center" textRotation="0" wrapText="true" indent="1" shrinkToFit="false"/>
      <protection locked="true" hidden="false"/>
    </xf>
    <xf numFmtId="164" fontId="0" fillId="0" borderId="29" xfId="0" applyFont="false" applyBorder="true" applyAlignment="false" applyProtection="false">
      <alignment horizontal="general" vertical="bottom" textRotation="0" wrapText="false" indent="0" shrinkToFit="false"/>
      <protection locked="true" hidden="false"/>
    </xf>
    <xf numFmtId="164" fontId="12" fillId="3" borderId="0" xfId="0" applyFont="true" applyBorder="false" applyAlignment="true" applyProtection="false">
      <alignment horizontal="left" vertical="center" textRotation="0" wrapText="true" indent="1" shrinkToFit="false"/>
      <protection locked="true" hidden="false"/>
    </xf>
    <xf numFmtId="164" fontId="62" fillId="0" borderId="1" xfId="0" applyFont="true" applyBorder="true" applyAlignment="true" applyProtection="false">
      <alignment horizontal="general" vertical="top" textRotation="0" wrapText="true" indent="0" shrinkToFit="false"/>
      <protection locked="true" hidden="false"/>
    </xf>
    <xf numFmtId="167" fontId="62" fillId="0" borderId="1" xfId="0" applyFont="true" applyBorder="true" applyAlignment="true" applyProtection="false">
      <alignment horizontal="general" vertical="top" textRotation="0" wrapText="true" indent="0" shrinkToFit="false"/>
      <protection locked="true" hidden="false"/>
    </xf>
    <xf numFmtId="166" fontId="62" fillId="0" borderId="1" xfId="0" applyFont="true" applyBorder="true" applyAlignment="true" applyProtection="false">
      <alignment horizontal="general" vertical="top" textRotation="0" wrapText="true" indent="0" shrinkToFit="false"/>
      <protection locked="true" hidden="false"/>
    </xf>
    <xf numFmtId="164" fontId="75" fillId="0" borderId="1" xfId="0" applyFont="true" applyBorder="true" applyAlignment="true" applyProtection="false">
      <alignment horizontal="general" vertical="top" textRotation="0" wrapText="true" indent="0" shrinkToFit="false"/>
      <protection locked="true" hidden="false"/>
    </xf>
    <xf numFmtId="183" fontId="62" fillId="0" borderId="1" xfId="0" applyFont="true" applyBorder="true" applyAlignment="true" applyProtection="false">
      <alignment horizontal="general" vertical="top" textRotation="0" wrapText="true" indent="0" shrinkToFit="false"/>
      <protection locked="true" hidden="false"/>
    </xf>
    <xf numFmtId="164" fontId="34" fillId="3" borderId="0" xfId="0" applyFont="true" applyBorder="true" applyAlignment="true" applyProtection="false">
      <alignment horizontal="center" vertical="center" textRotation="0" wrapText="false" indent="0" shrinkToFit="false"/>
      <protection locked="true" hidden="false"/>
    </xf>
    <xf numFmtId="164" fontId="76" fillId="0" borderId="1" xfId="0" applyFont="true" applyBorder="true" applyAlignment="true" applyProtection="false">
      <alignment horizontal="general" vertical="top" textRotation="0" wrapText="true" indent="0" shrinkToFit="false"/>
      <protection locked="true" hidden="false"/>
    </xf>
    <xf numFmtId="166" fontId="76" fillId="0" borderId="1" xfId="0" applyFont="true" applyBorder="true" applyAlignment="true" applyProtection="false">
      <alignment horizontal="general" vertical="top" textRotation="0" wrapText="true" indent="0" shrinkToFit="false"/>
      <protection locked="true" hidden="false"/>
    </xf>
    <xf numFmtId="178" fontId="76" fillId="0" borderId="1" xfId="0" applyFont="true" applyBorder="true" applyAlignment="true" applyProtection="false">
      <alignment horizontal="general" vertical="top" textRotation="0" wrapText="true" indent="0" shrinkToFit="false"/>
      <protection locked="true" hidden="false"/>
    </xf>
    <xf numFmtId="172" fontId="76" fillId="0" borderId="1" xfId="0" applyFont="true" applyBorder="true" applyAlignment="true" applyProtection="false">
      <alignment horizontal="general" vertical="top" textRotation="0" wrapText="true" indent="0" shrinkToFit="false"/>
      <protection locked="true" hidden="false"/>
    </xf>
    <xf numFmtId="164" fontId="62" fillId="11"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5">
    <dxf>
      <fill>
        <patternFill patternType="solid">
          <bgColor rgb="FF000000"/>
        </patternFill>
      </fill>
    </dxf>
    <dxf>
      <fill>
        <patternFill patternType="solid">
          <fgColor rgb="FF000000"/>
          <bgColor rgb="FF000000"/>
        </patternFill>
      </fill>
    </dxf>
    <dxf>
      <font>
        <color rgb="FF186A3B"/>
      </font>
      <fill>
        <patternFill>
          <bgColor rgb="FFE8F6EC"/>
        </patternFill>
      </fill>
    </dxf>
    <dxf>
      <font>
        <color rgb="FF7F6000"/>
      </font>
      <fill>
        <patternFill>
          <bgColor rgb="FFFFF3CD"/>
        </patternFill>
      </fill>
    </dxf>
    <dxf>
      <fill>
        <patternFill patternType="solid">
          <fgColor rgb="FF1D2733"/>
          <bgColor rgb="FF000000"/>
        </patternFill>
      </fill>
    </dxf>
    <dxf>
      <fill>
        <patternFill patternType="solid">
          <fgColor rgb="FFFFFFFF"/>
          <bgColor rgb="FF000000"/>
        </patternFill>
      </fill>
    </dxf>
    <dxf>
      <fill>
        <patternFill patternType="solid">
          <fgColor rgb="FFD9D9D9"/>
          <bgColor rgb="FF000000"/>
        </patternFill>
      </fill>
    </dxf>
    <dxf>
      <fill>
        <patternFill patternType="solid">
          <fgColor rgb="FFFFF3CD"/>
          <bgColor rgb="FF000000"/>
        </patternFill>
      </fill>
    </dxf>
    <dxf>
      <fill>
        <patternFill patternType="solid">
          <fgColor rgb="FF7F6000"/>
          <bgColor rgb="FF000000"/>
        </patternFill>
      </fill>
    </dxf>
    <dxf>
      <fill>
        <patternFill patternType="solid">
          <fgColor rgb="FFEDEDED"/>
          <bgColor rgb="FF000000"/>
        </patternFill>
      </fill>
    </dxf>
    <dxf>
      <font>
        <b val="1"/>
        <color rgb="FF7F6000"/>
      </font>
      <fill>
        <patternFill>
          <bgColor rgb="FFFFF3CD"/>
        </patternFill>
      </fill>
    </dxf>
    <dxf>
      <font>
        <color rgb="FF9C0006"/>
      </font>
      <fill>
        <patternFill>
          <bgColor rgb="FFFFC7CE"/>
        </patternFill>
      </fill>
    </dxf>
    <dxf>
      <font>
        <b val="1"/>
        <color rgb="FF7F6000"/>
      </font>
      <fill>
        <patternFill>
          <bgColor rgb="FFFFF3CD"/>
        </patternFill>
      </fill>
    </dxf>
    <dxf>
      <font>
        <b val="1"/>
        <color rgb="FF2E8B1F"/>
      </font>
    </dxf>
    <dxf>
      <font>
        <b val="1"/>
        <color rgb="FF0B5C3B"/>
      </font>
      <fill>
        <patternFill>
          <bgColor rgb="FFE4F2EA"/>
        </patternFill>
      </fill>
    </dxf>
  </dxfs>
  <colors>
    <indexedColors>
      <rgbColor rgb="FF000000"/>
      <rgbColor rgb="FFFFFFFF"/>
      <rgbColor rgb="FFFF0000"/>
      <rgbColor rgb="FFC4CDD5"/>
      <rgbColor rgb="FFDFE4EA"/>
      <rgbColor rgb="FFFFFF00"/>
      <rgbColor rgb="FFC6CBD0"/>
      <rgbColor rgb="FF8FAADC"/>
      <rgbColor rgb="FF9C0006"/>
      <rgbColor rgb="FF186A3B"/>
      <rgbColor rgb="FFEAF2FB"/>
      <rgbColor rgb="FF7F6000"/>
      <rgbColor rgb="FFD9E1F2"/>
      <rgbColor rgb="FF0F7B4F"/>
      <rgbColor rgb="FFBFBFBF"/>
      <rgbColor rgb="FF808080"/>
      <rgbColor rgb="FF8EA9DB"/>
      <rgbColor rgb="FFC8102E"/>
      <rgbColor rgb="FFFFF3CD"/>
      <rgbColor rgb="FFE4F2EA"/>
      <rgbColor rgb="FF6B7A88"/>
      <rgbColor rgb="FFF39C7A"/>
      <rgbColor rgb="FF4472C4"/>
      <rgbColor rgb="FFC7D9EB"/>
      <rgbColor rgb="FFEEF1F4"/>
      <rgbColor rgb="FFD9D9D9"/>
      <rgbColor rgb="FFDCCBA0"/>
      <rgbColor rgb="FF99A3AD"/>
      <rgbColor rgb="FFDAE3F3"/>
      <rgbColor rgb="FFC00000"/>
      <rgbColor rgb="FF0B5C3B"/>
      <rgbColor rgb="FFF6DFE3"/>
      <rgbColor rgb="FF7FA8CF"/>
      <rgbColor rgb="FFE8F6EC"/>
      <rgbColor rgb="FFE4E9ED"/>
      <rgbColor rgb="FFEDEDED"/>
      <rgbColor rgb="FFBBD4EE"/>
      <rgbColor rgb="FFC8A96E"/>
      <rgbColor rgb="FFA6A6A6"/>
      <rgbColor rgb="FFFFC7CE"/>
      <rgbColor rgb="FF2A78D6"/>
      <rgbColor rgb="FF6DA7EC"/>
      <rgbColor rgb="FFA5A5A5"/>
      <rgbColor rgb="FFE6CF76"/>
      <rgbColor rgb="FFED7D31"/>
      <rgbColor rgb="FFEB6834"/>
      <rgbColor rgb="FF5B6675"/>
      <rgbColor rgb="FF8B8B8B"/>
      <rgbColor rgb="FF1D3F6E"/>
      <rgbColor rgb="FF2E8B1F"/>
      <rgbColor rgb="FF1C2634"/>
      <rgbColor rgb="FF1D2733"/>
      <rgbColor rgb="FFC1440E"/>
      <rgbColor rgb="FF7F7F7F"/>
      <rgbColor rgb="FF595959"/>
      <rgbColor rgb="FF3B3E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Alternative 2</a:t>
            </a:r>
          </a:p>
        </c:rich>
      </c:tx>
      <c:overlay val="0"/>
      <c:spPr>
        <a:noFill/>
        <a:ln w="0">
          <a:noFill/>
        </a:ln>
      </c:spPr>
    </c:title>
    <c:autoTitleDeleted val="0"/>
    <c:plotArea>
      <c:barChart>
        <c:barDir val="col"/>
        <c:grouping val="stacked"/>
        <c:varyColors val="0"/>
        <c:ser>
          <c:idx val="0"/>
          <c:order val="0"/>
          <c:tx>
            <c:strRef>
              <c:f>"Direct Cost"</c:f>
              <c:strCache>
                <c:ptCount val="1"/>
                <c:pt idx="0">
                  <c:v>Direct Cost</c:v>
                </c:pt>
              </c:strCache>
            </c:strRef>
          </c:tx>
          <c:spPr>
            <a:solidFill>
              <a:srgbClr val="a5a5a5"/>
            </a:solidFill>
            <a:ln w="0">
              <a:no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'TMP(NewPCC)_IndirectCost'!$K$38:$K$68</c:f>
              <c:strCache>
                <c:ptCount val="31"/>
                <c:pt idx="0">
                  <c:v>2028</c:v>
                </c:pt>
                <c:pt idx="1">
                  <c:v>2029</c:v>
                </c:pt>
                <c:pt idx="2">
                  <c:v>2030</c:v>
                </c:pt>
                <c:pt idx="3">
                  <c:v>2031</c:v>
                </c:pt>
                <c:pt idx="4">
                  <c:v>2032</c:v>
                </c:pt>
                <c:pt idx="5">
                  <c:v>2033</c:v>
                </c:pt>
                <c:pt idx="6">
                  <c:v>2034</c:v>
                </c:pt>
                <c:pt idx="7">
                  <c:v>2035</c:v>
                </c:pt>
                <c:pt idx="8">
                  <c:v>2036</c:v>
                </c:pt>
                <c:pt idx="9">
                  <c:v>2037</c:v>
                </c:pt>
                <c:pt idx="10">
                  <c:v>2038</c:v>
                </c:pt>
                <c:pt idx="11">
                  <c:v>2039</c:v>
                </c:pt>
                <c:pt idx="12">
                  <c:v>2040</c:v>
                </c:pt>
                <c:pt idx="13">
                  <c:v>2041</c:v>
                </c:pt>
                <c:pt idx="14">
                  <c:v>2042</c:v>
                </c:pt>
                <c:pt idx="15">
                  <c:v>2043</c:v>
                </c:pt>
                <c:pt idx="16">
                  <c:v>2044</c:v>
                </c:pt>
                <c:pt idx="17">
                  <c:v>2045</c:v>
                </c:pt>
                <c:pt idx="18">
                  <c:v>2046</c:v>
                </c:pt>
                <c:pt idx="19">
                  <c:v>2047</c:v>
                </c:pt>
                <c:pt idx="20">
                  <c:v>2048</c:v>
                </c:pt>
                <c:pt idx="21">
                  <c:v>2049</c:v>
                </c:pt>
                <c:pt idx="22">
                  <c:v>2050</c:v>
                </c:pt>
                <c:pt idx="23">
                  <c:v>2051</c:v>
                </c:pt>
                <c:pt idx="24">
                  <c:v>2052</c:v>
                </c:pt>
                <c:pt idx="25">
                  <c:v>2053</c:v>
                </c:pt>
                <c:pt idx="26">
                  <c:v>2054</c:v>
                </c:pt>
                <c:pt idx="27">
                  <c:v>2055</c:v>
                </c:pt>
                <c:pt idx="28">
                  <c:v>2056</c:v>
                </c:pt>
                <c:pt idx="29">
                  <c:v>2057</c:v>
                </c:pt>
                <c:pt idx="30">
                  <c:v>2058</c:v>
                </c:pt>
              </c:strCache>
            </c:strRef>
          </c:cat>
          <c:val>
            <c:numRef>
              <c:f>'TMP(NewPCC)_IndirectCost'!$L$38:$L$68</c:f>
              <c:numCache>
                <c:formatCode>General</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630652.6584</c:v>
                </c:pt>
                <c:pt idx="20">
                  <c:v>0</c:v>
                </c:pt>
                <c:pt idx="21">
                  <c:v>0</c:v>
                </c:pt>
                <c:pt idx="22">
                  <c:v>0</c:v>
                </c:pt>
                <c:pt idx="23">
                  <c:v>0</c:v>
                </c:pt>
                <c:pt idx="24">
                  <c:v>0</c:v>
                </c:pt>
                <c:pt idx="25">
                  <c:v>0</c:v>
                </c:pt>
                <c:pt idx="26">
                  <c:v>0</c:v>
                </c:pt>
                <c:pt idx="27">
                  <c:v>738083.1146</c:v>
                </c:pt>
                <c:pt idx="28">
                  <c:v>0</c:v>
                </c:pt>
                <c:pt idx="29">
                  <c:v>0</c:v>
                </c:pt>
                <c:pt idx="30">
                  <c:v>0</c:v>
                </c:pt>
              </c:numCache>
            </c:numRef>
          </c:val>
        </c:ser>
        <c:ser>
          <c:idx val="1"/>
          <c:order val="1"/>
          <c:tx>
            <c:strRef>
              <c:f>"Indirect Cost"</c:f>
              <c:strCache>
                <c:ptCount val="1"/>
                <c:pt idx="0">
                  <c:v>Indirect Cost</c:v>
                </c:pt>
              </c:strCache>
            </c:strRef>
          </c:tx>
          <c:spPr>
            <a:solidFill>
              <a:srgbClr val="4472c4"/>
            </a:solidFill>
            <a:ln w="0">
              <a:no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'TMP(NewPCC)_IndirectCost'!$K$38:$K$68</c:f>
              <c:strCache>
                <c:ptCount val="31"/>
                <c:pt idx="0">
                  <c:v>2028</c:v>
                </c:pt>
                <c:pt idx="1">
                  <c:v>2029</c:v>
                </c:pt>
                <c:pt idx="2">
                  <c:v>2030</c:v>
                </c:pt>
                <c:pt idx="3">
                  <c:v>2031</c:v>
                </c:pt>
                <c:pt idx="4">
                  <c:v>2032</c:v>
                </c:pt>
                <c:pt idx="5">
                  <c:v>2033</c:v>
                </c:pt>
                <c:pt idx="6">
                  <c:v>2034</c:v>
                </c:pt>
                <c:pt idx="7">
                  <c:v>2035</c:v>
                </c:pt>
                <c:pt idx="8">
                  <c:v>2036</c:v>
                </c:pt>
                <c:pt idx="9">
                  <c:v>2037</c:v>
                </c:pt>
                <c:pt idx="10">
                  <c:v>2038</c:v>
                </c:pt>
                <c:pt idx="11">
                  <c:v>2039</c:v>
                </c:pt>
                <c:pt idx="12">
                  <c:v>2040</c:v>
                </c:pt>
                <c:pt idx="13">
                  <c:v>2041</c:v>
                </c:pt>
                <c:pt idx="14">
                  <c:v>2042</c:v>
                </c:pt>
                <c:pt idx="15">
                  <c:v>2043</c:v>
                </c:pt>
                <c:pt idx="16">
                  <c:v>2044</c:v>
                </c:pt>
                <c:pt idx="17">
                  <c:v>2045</c:v>
                </c:pt>
                <c:pt idx="18">
                  <c:v>2046</c:v>
                </c:pt>
                <c:pt idx="19">
                  <c:v>2047</c:v>
                </c:pt>
                <c:pt idx="20">
                  <c:v>2048</c:v>
                </c:pt>
                <c:pt idx="21">
                  <c:v>2049</c:v>
                </c:pt>
                <c:pt idx="22">
                  <c:v>2050</c:v>
                </c:pt>
                <c:pt idx="23">
                  <c:v>2051</c:v>
                </c:pt>
                <c:pt idx="24">
                  <c:v>2052</c:v>
                </c:pt>
                <c:pt idx="25">
                  <c:v>2053</c:v>
                </c:pt>
                <c:pt idx="26">
                  <c:v>2054</c:v>
                </c:pt>
                <c:pt idx="27">
                  <c:v>2055</c:v>
                </c:pt>
                <c:pt idx="28">
                  <c:v>2056</c:v>
                </c:pt>
                <c:pt idx="29">
                  <c:v>2057</c:v>
                </c:pt>
                <c:pt idx="30">
                  <c:v>2058</c:v>
                </c:pt>
              </c:strCache>
            </c:strRef>
          </c:cat>
          <c:val>
            <c:numRef>
              <c:f>'TMP(NewPCC)_IndirectCost'!$M$38:$M$68</c:f>
              <c:numCache>
                <c:formatCode>General</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43529.36</c:v>
                </c:pt>
                <c:pt idx="20">
                  <c:v>0</c:v>
                </c:pt>
                <c:pt idx="21">
                  <c:v>0</c:v>
                </c:pt>
                <c:pt idx="22">
                  <c:v>0</c:v>
                </c:pt>
                <c:pt idx="23">
                  <c:v>0</c:v>
                </c:pt>
                <c:pt idx="24">
                  <c:v>0</c:v>
                </c:pt>
                <c:pt idx="25">
                  <c:v>0</c:v>
                </c:pt>
                <c:pt idx="26">
                  <c:v>0</c:v>
                </c:pt>
                <c:pt idx="27">
                  <c:v>87058.72</c:v>
                </c:pt>
                <c:pt idx="28">
                  <c:v>0</c:v>
                </c:pt>
                <c:pt idx="29">
                  <c:v>0</c:v>
                </c:pt>
                <c:pt idx="30">
                  <c:v>0</c:v>
                </c:pt>
              </c:numCache>
            </c:numRef>
          </c:val>
        </c:ser>
        <c:gapWidth val="219"/>
        <c:overlap val="100"/>
        <c:axId val="34697236"/>
        <c:axId val="1811966"/>
      </c:barChart>
      <c:catAx>
        <c:axId val="34697236"/>
        <c:scaling>
          <c:orientation val="minMax"/>
        </c:scaling>
        <c:delete val="0"/>
        <c:axPos val="b"/>
        <c:title>
          <c:tx>
            <c:rich>
              <a:bodyPr rot="0"/>
              <a:lstStyle/>
              <a:p>
                <a:pPr>
                  <a:defRPr b="0" lang="en-US" sz="900" spc="-1" strike="noStrike">
                    <a:solidFill>
                      <a:srgbClr val="000000"/>
                    </a:solidFill>
                    <a:latin typeface="Calibri"/>
                  </a:defRPr>
                </a:pPr>
                <a:r>
                  <a:rPr b="0" lang="en-US" sz="900" spc="-1" strike="noStrike">
                    <a:solidFill>
                      <a:srgbClr val="000000"/>
                    </a:solidFill>
                    <a:latin typeface="Calibri"/>
                  </a:rPr>
                  <a:t>Calendar year</a:t>
                </a:r>
              </a:p>
            </c:rich>
          </c:tx>
          <c:overlay val="0"/>
          <c:spPr>
            <a:noFill/>
            <a:ln w="0">
              <a:noFill/>
            </a:ln>
          </c:spPr>
        </c:title>
        <c:numFmt formatCode="0" sourceLinked="0"/>
        <c:majorTickMark val="cross"/>
        <c:minorTickMark val="none"/>
        <c:tickLblPos val="nextTo"/>
        <c:spPr>
          <a:ln w="9360">
            <a:solidFill>
              <a:srgbClr val="bfbfbf"/>
            </a:solidFill>
            <a:round/>
          </a:ln>
        </c:spPr>
        <c:txPr>
          <a:bodyPr/>
          <a:lstStyle/>
          <a:p>
            <a:pPr>
              <a:defRPr b="0" sz="900" spc="-1" strike="noStrike">
                <a:solidFill>
                  <a:srgbClr val="595959"/>
                </a:solidFill>
                <a:latin typeface="Calibri"/>
              </a:defRPr>
            </a:pPr>
          </a:p>
        </c:txPr>
        <c:crossAx val="1811966"/>
        <c:crosses val="autoZero"/>
        <c:auto val="1"/>
        <c:lblAlgn val="ctr"/>
        <c:lblOffset val="100"/>
        <c:noMultiLvlLbl val="0"/>
      </c:catAx>
      <c:valAx>
        <c:axId val="1811966"/>
        <c:scaling>
          <c:orientation val="minMax"/>
        </c:scaling>
        <c:delete val="0"/>
        <c:axPos val="l"/>
        <c:majorGridlines>
          <c:spPr>
            <a:ln w="9360">
              <a:solidFill>
                <a:srgbClr val="d9d9d9"/>
              </a:solidFill>
              <a:round/>
            </a:ln>
          </c:spPr>
        </c:majorGridlines>
        <c:title>
          <c:tx>
            <c:rich>
              <a:bodyPr rot="-5400000"/>
              <a:lstStyle/>
              <a:p>
                <a:pPr>
                  <a:defRPr b="0" lang="en-US" sz="900" spc="-1" strike="noStrike">
                    <a:solidFill>
                      <a:srgbClr val="000000"/>
                    </a:solidFill>
                    <a:latin typeface="Calibri"/>
                  </a:defRPr>
                </a:pPr>
                <a:r>
                  <a:rPr b="0" lang="en-US" sz="900" spc="-1" strike="noStrike">
                    <a:solidFill>
                      <a:srgbClr val="000000"/>
                    </a:solidFill>
                    <a:latin typeface="Calibri"/>
                  </a:rPr>
                  <a:t>Cost ($)</a:t>
                </a:r>
              </a:p>
            </c:rich>
          </c:tx>
          <c:overlay val="0"/>
          <c:spPr>
            <a:noFill/>
            <a:ln w="0">
              <a:noFill/>
            </a:ln>
          </c:spPr>
        </c:title>
        <c:numFmt formatCode="General" sourceLinked="0"/>
        <c:majorTickMark val="none"/>
        <c:minorTickMark val="none"/>
        <c:tickLblPos val="nextTo"/>
        <c:spPr>
          <a:ln w="6480">
            <a:solidFill>
              <a:srgbClr val="bfbfbf"/>
            </a:solidFill>
            <a:round/>
          </a:ln>
        </c:spPr>
        <c:txPr>
          <a:bodyPr/>
          <a:lstStyle/>
          <a:p>
            <a:pPr>
              <a:defRPr b="0" sz="900" spc="-1" strike="noStrike">
                <a:solidFill>
                  <a:srgbClr val="595959"/>
                </a:solidFill>
                <a:latin typeface="Calibri"/>
              </a:defRPr>
            </a:pPr>
          </a:p>
        </c:txPr>
        <c:crossAx val="34697236"/>
        <c:crosses val="autoZero"/>
        <c:crossBetween val="between"/>
      </c:valAx>
      <c:spPr>
        <a:noFill/>
        <a:ln w="0">
          <a:solidFill>
            <a:srgbClr val="bfbfbf"/>
          </a:solid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0"/>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Alternative 1</a:t>
            </a:r>
          </a:p>
        </c:rich>
      </c:tx>
      <c:overlay val="0"/>
      <c:spPr>
        <a:noFill/>
        <a:ln w="0">
          <a:noFill/>
        </a:ln>
      </c:spPr>
    </c:title>
    <c:autoTitleDeleted val="0"/>
    <c:plotArea>
      <c:barChart>
        <c:barDir val="col"/>
        <c:grouping val="stacked"/>
        <c:varyColors val="0"/>
        <c:ser>
          <c:idx val="0"/>
          <c:order val="0"/>
          <c:tx>
            <c:strRef>
              <c:f>"Direct Cost"</c:f>
              <c:strCache>
                <c:ptCount val="1"/>
                <c:pt idx="0">
                  <c:v>Direct Cost</c:v>
                </c:pt>
              </c:strCache>
            </c:strRef>
          </c:tx>
          <c:spPr>
            <a:solidFill>
              <a:srgbClr val="ed7d31"/>
            </a:solidFill>
            <a:ln w="0">
              <a:no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'TMP(NewHMA)_IndirectCost'!$K$37:$K$67</c:f>
              <c:strCache>
                <c:ptCount val="31"/>
                <c:pt idx="0">
                  <c:v>2028</c:v>
                </c:pt>
                <c:pt idx="1">
                  <c:v>2029</c:v>
                </c:pt>
                <c:pt idx="2">
                  <c:v>2030</c:v>
                </c:pt>
                <c:pt idx="3">
                  <c:v>2031</c:v>
                </c:pt>
                <c:pt idx="4">
                  <c:v>2032</c:v>
                </c:pt>
                <c:pt idx="5">
                  <c:v>2033</c:v>
                </c:pt>
                <c:pt idx="6">
                  <c:v>2034</c:v>
                </c:pt>
                <c:pt idx="7">
                  <c:v>2035</c:v>
                </c:pt>
                <c:pt idx="8">
                  <c:v>2036</c:v>
                </c:pt>
                <c:pt idx="9">
                  <c:v>2037</c:v>
                </c:pt>
                <c:pt idx="10">
                  <c:v>2038</c:v>
                </c:pt>
                <c:pt idx="11">
                  <c:v>2039</c:v>
                </c:pt>
                <c:pt idx="12">
                  <c:v>2040</c:v>
                </c:pt>
                <c:pt idx="13">
                  <c:v>2041</c:v>
                </c:pt>
                <c:pt idx="14">
                  <c:v>2042</c:v>
                </c:pt>
                <c:pt idx="15">
                  <c:v>2043</c:v>
                </c:pt>
                <c:pt idx="16">
                  <c:v>2044</c:v>
                </c:pt>
                <c:pt idx="17">
                  <c:v>2045</c:v>
                </c:pt>
                <c:pt idx="18">
                  <c:v>2046</c:v>
                </c:pt>
                <c:pt idx="19">
                  <c:v>2047</c:v>
                </c:pt>
                <c:pt idx="20">
                  <c:v>2048</c:v>
                </c:pt>
                <c:pt idx="21">
                  <c:v>2049</c:v>
                </c:pt>
                <c:pt idx="22">
                  <c:v>2050</c:v>
                </c:pt>
                <c:pt idx="23">
                  <c:v>2051</c:v>
                </c:pt>
                <c:pt idx="24">
                  <c:v>2052</c:v>
                </c:pt>
                <c:pt idx="25">
                  <c:v>2053</c:v>
                </c:pt>
                <c:pt idx="26">
                  <c:v>2054</c:v>
                </c:pt>
                <c:pt idx="27">
                  <c:v>2055</c:v>
                </c:pt>
                <c:pt idx="28">
                  <c:v>2056</c:v>
                </c:pt>
                <c:pt idx="29">
                  <c:v>2057</c:v>
                </c:pt>
                <c:pt idx="30">
                  <c:v>2058</c:v>
                </c:pt>
              </c:strCache>
            </c:strRef>
          </c:cat>
          <c:val>
            <c:numRef>
              <c:f>'TMP(NewHMA)_IndirectCost'!$L$37:$L$67</c:f>
              <c:numCache>
                <c:formatCode>\$#,##0</c:formatCode>
                <c:ptCount val="31"/>
                <c:pt idx="0">
                  <c:v>0</c:v>
                </c:pt>
                <c:pt idx="1">
                  <c:v>0</c:v>
                </c:pt>
                <c:pt idx="2">
                  <c:v>0</c:v>
                </c:pt>
                <c:pt idx="3">
                  <c:v>0</c:v>
                </c:pt>
                <c:pt idx="4">
                  <c:v>230995.133333333</c:v>
                </c:pt>
                <c:pt idx="5">
                  <c:v>0</c:v>
                </c:pt>
                <c:pt idx="6">
                  <c:v>0</c:v>
                </c:pt>
                <c:pt idx="7">
                  <c:v>0</c:v>
                </c:pt>
                <c:pt idx="8">
                  <c:v>230995.133333333</c:v>
                </c:pt>
                <c:pt idx="9">
                  <c:v>0</c:v>
                </c:pt>
                <c:pt idx="10">
                  <c:v>0</c:v>
                </c:pt>
                <c:pt idx="11">
                  <c:v>0</c:v>
                </c:pt>
                <c:pt idx="12">
                  <c:v>323004.886770833</c:v>
                </c:pt>
                <c:pt idx="13">
                  <c:v>0</c:v>
                </c:pt>
                <c:pt idx="14">
                  <c:v>0</c:v>
                </c:pt>
                <c:pt idx="15">
                  <c:v>0</c:v>
                </c:pt>
                <c:pt idx="16">
                  <c:v>337845.169583333</c:v>
                </c:pt>
                <c:pt idx="17">
                  <c:v>0</c:v>
                </c:pt>
                <c:pt idx="18">
                  <c:v>0</c:v>
                </c:pt>
                <c:pt idx="19">
                  <c:v>0</c:v>
                </c:pt>
                <c:pt idx="20">
                  <c:v>1168588.850125</c:v>
                </c:pt>
                <c:pt idx="21">
                  <c:v>0</c:v>
                </c:pt>
                <c:pt idx="22">
                  <c:v>0</c:v>
                </c:pt>
                <c:pt idx="23">
                  <c:v>0</c:v>
                </c:pt>
                <c:pt idx="24">
                  <c:v>230995.133333333</c:v>
                </c:pt>
                <c:pt idx="25">
                  <c:v>0</c:v>
                </c:pt>
                <c:pt idx="26">
                  <c:v>0</c:v>
                </c:pt>
                <c:pt idx="27">
                  <c:v>0</c:v>
                </c:pt>
                <c:pt idx="28">
                  <c:v>357434.342895833</c:v>
                </c:pt>
                <c:pt idx="29">
                  <c:v>0</c:v>
                </c:pt>
                <c:pt idx="30">
                  <c:v>-438220.818796875</c:v>
                </c:pt>
              </c:numCache>
            </c:numRef>
          </c:val>
        </c:ser>
        <c:ser>
          <c:idx val="1"/>
          <c:order val="1"/>
          <c:tx>
            <c:strRef>
              <c:f>"Indirect Cost"</c:f>
              <c:strCache>
                <c:ptCount val="1"/>
                <c:pt idx="0">
                  <c:v>Indirect Cost</c:v>
                </c:pt>
              </c:strCache>
            </c:strRef>
          </c:tx>
          <c:spPr>
            <a:solidFill>
              <a:srgbClr val="4472c4"/>
            </a:solidFill>
            <a:ln w="0">
              <a:no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'TMP(NewHMA)_IndirectCost'!$K$37:$K$67</c:f>
              <c:strCache>
                <c:ptCount val="31"/>
                <c:pt idx="0">
                  <c:v>2028</c:v>
                </c:pt>
                <c:pt idx="1">
                  <c:v>2029</c:v>
                </c:pt>
                <c:pt idx="2">
                  <c:v>2030</c:v>
                </c:pt>
                <c:pt idx="3">
                  <c:v>2031</c:v>
                </c:pt>
                <c:pt idx="4">
                  <c:v>2032</c:v>
                </c:pt>
                <c:pt idx="5">
                  <c:v>2033</c:v>
                </c:pt>
                <c:pt idx="6">
                  <c:v>2034</c:v>
                </c:pt>
                <c:pt idx="7">
                  <c:v>2035</c:v>
                </c:pt>
                <c:pt idx="8">
                  <c:v>2036</c:v>
                </c:pt>
                <c:pt idx="9">
                  <c:v>2037</c:v>
                </c:pt>
                <c:pt idx="10">
                  <c:v>2038</c:v>
                </c:pt>
                <c:pt idx="11">
                  <c:v>2039</c:v>
                </c:pt>
                <c:pt idx="12">
                  <c:v>2040</c:v>
                </c:pt>
                <c:pt idx="13">
                  <c:v>2041</c:v>
                </c:pt>
                <c:pt idx="14">
                  <c:v>2042</c:v>
                </c:pt>
                <c:pt idx="15">
                  <c:v>2043</c:v>
                </c:pt>
                <c:pt idx="16">
                  <c:v>2044</c:v>
                </c:pt>
                <c:pt idx="17">
                  <c:v>2045</c:v>
                </c:pt>
                <c:pt idx="18">
                  <c:v>2046</c:v>
                </c:pt>
                <c:pt idx="19">
                  <c:v>2047</c:v>
                </c:pt>
                <c:pt idx="20">
                  <c:v>2048</c:v>
                </c:pt>
                <c:pt idx="21">
                  <c:v>2049</c:v>
                </c:pt>
                <c:pt idx="22">
                  <c:v>2050</c:v>
                </c:pt>
                <c:pt idx="23">
                  <c:v>2051</c:v>
                </c:pt>
                <c:pt idx="24">
                  <c:v>2052</c:v>
                </c:pt>
                <c:pt idx="25">
                  <c:v>2053</c:v>
                </c:pt>
                <c:pt idx="26">
                  <c:v>2054</c:v>
                </c:pt>
                <c:pt idx="27">
                  <c:v>2055</c:v>
                </c:pt>
                <c:pt idx="28">
                  <c:v>2056</c:v>
                </c:pt>
                <c:pt idx="29">
                  <c:v>2057</c:v>
                </c:pt>
                <c:pt idx="30">
                  <c:v>2058</c:v>
                </c:pt>
              </c:strCache>
            </c:strRef>
          </c:cat>
          <c:val>
            <c:numRef>
              <c:f>'TMP(NewHMA)_IndirectCost'!$M$37:$M$67</c:f>
              <c:numCache>
                <c:formatCode>\$#,##0</c:formatCode>
                <c:ptCount val="31"/>
                <c:pt idx="0">
                  <c:v>0</c:v>
                </c:pt>
                <c:pt idx="1">
                  <c:v>0</c:v>
                </c:pt>
                <c:pt idx="2">
                  <c:v>0</c:v>
                </c:pt>
                <c:pt idx="3">
                  <c:v>0</c:v>
                </c:pt>
                <c:pt idx="4">
                  <c:v>32647.02</c:v>
                </c:pt>
                <c:pt idx="5">
                  <c:v>0</c:v>
                </c:pt>
                <c:pt idx="6">
                  <c:v>0</c:v>
                </c:pt>
                <c:pt idx="7">
                  <c:v>0</c:v>
                </c:pt>
                <c:pt idx="8">
                  <c:v>32647.02</c:v>
                </c:pt>
                <c:pt idx="9">
                  <c:v>0</c:v>
                </c:pt>
                <c:pt idx="10">
                  <c:v>0</c:v>
                </c:pt>
                <c:pt idx="11">
                  <c:v>0</c:v>
                </c:pt>
                <c:pt idx="12">
                  <c:v>43529.36</c:v>
                </c:pt>
                <c:pt idx="13">
                  <c:v>0</c:v>
                </c:pt>
                <c:pt idx="14">
                  <c:v>0</c:v>
                </c:pt>
                <c:pt idx="15">
                  <c:v>0</c:v>
                </c:pt>
                <c:pt idx="16">
                  <c:v>43529.36</c:v>
                </c:pt>
                <c:pt idx="17">
                  <c:v>0</c:v>
                </c:pt>
                <c:pt idx="18">
                  <c:v>0</c:v>
                </c:pt>
                <c:pt idx="19">
                  <c:v>0</c:v>
                </c:pt>
                <c:pt idx="20">
                  <c:v>76176.38</c:v>
                </c:pt>
                <c:pt idx="21">
                  <c:v>0</c:v>
                </c:pt>
                <c:pt idx="22">
                  <c:v>0</c:v>
                </c:pt>
                <c:pt idx="23">
                  <c:v>0</c:v>
                </c:pt>
                <c:pt idx="24">
                  <c:v>32647.02</c:v>
                </c:pt>
                <c:pt idx="25">
                  <c:v>0</c:v>
                </c:pt>
                <c:pt idx="26">
                  <c:v>0</c:v>
                </c:pt>
                <c:pt idx="27">
                  <c:v>0</c:v>
                </c:pt>
                <c:pt idx="28">
                  <c:v>43529.36</c:v>
                </c:pt>
                <c:pt idx="29">
                  <c:v>0</c:v>
                </c:pt>
                <c:pt idx="30">
                  <c:v>0</c:v>
                </c:pt>
              </c:numCache>
            </c:numRef>
          </c:val>
        </c:ser>
        <c:gapWidth val="219"/>
        <c:overlap val="100"/>
        <c:axId val="94108746"/>
        <c:axId val="86923894"/>
      </c:barChart>
      <c:catAx>
        <c:axId val="94108746"/>
        <c:scaling>
          <c:orientation val="minMax"/>
        </c:scaling>
        <c:delete val="0"/>
        <c:axPos val="b"/>
        <c:title>
          <c:tx>
            <c:rich>
              <a:bodyPr rot="0"/>
              <a:lstStyle/>
              <a:p>
                <a:pPr>
                  <a:defRPr b="0" lang="en-US" sz="900" spc="-1" strike="noStrike">
                    <a:solidFill>
                      <a:srgbClr val="000000"/>
                    </a:solidFill>
                    <a:latin typeface="Calibri"/>
                  </a:defRPr>
                </a:pPr>
                <a:r>
                  <a:rPr b="0" lang="en-US" sz="900" spc="-1" strike="noStrike">
                    <a:solidFill>
                      <a:srgbClr val="000000"/>
                    </a:solidFill>
                    <a:latin typeface="Calibri"/>
                  </a:rPr>
                  <a:t>Calendar year</a:t>
                </a:r>
              </a:p>
            </c:rich>
          </c:tx>
          <c:overlay val="0"/>
          <c:spPr>
            <a:noFill/>
            <a:ln w="0">
              <a:noFill/>
            </a:ln>
          </c:spPr>
        </c:title>
        <c:numFmt formatCode="0" sourceLinked="0"/>
        <c:majorTickMark val="cross"/>
        <c:minorTickMark val="none"/>
        <c:tickLblPos val="nextTo"/>
        <c:spPr>
          <a:ln w="9360">
            <a:solidFill>
              <a:srgbClr val="bfbfbf"/>
            </a:solidFill>
            <a:round/>
          </a:ln>
        </c:spPr>
        <c:txPr>
          <a:bodyPr/>
          <a:lstStyle/>
          <a:p>
            <a:pPr>
              <a:defRPr b="0" sz="900" spc="-1" strike="noStrike">
                <a:solidFill>
                  <a:srgbClr val="595959"/>
                </a:solidFill>
                <a:latin typeface="Calibri"/>
              </a:defRPr>
            </a:pPr>
          </a:p>
        </c:txPr>
        <c:crossAx val="86923894"/>
        <c:crosses val="autoZero"/>
        <c:auto val="1"/>
        <c:lblAlgn val="ctr"/>
        <c:lblOffset val="100"/>
        <c:noMultiLvlLbl val="0"/>
      </c:catAx>
      <c:valAx>
        <c:axId val="86923894"/>
        <c:scaling>
          <c:orientation val="minMax"/>
        </c:scaling>
        <c:delete val="0"/>
        <c:axPos val="l"/>
        <c:majorGridlines>
          <c:spPr>
            <a:ln w="9360">
              <a:solidFill>
                <a:srgbClr val="d9d9d9"/>
              </a:solidFill>
              <a:round/>
            </a:ln>
          </c:spPr>
        </c:majorGridlines>
        <c:title>
          <c:tx>
            <c:rich>
              <a:bodyPr rot="-5400000"/>
              <a:lstStyle/>
              <a:p>
                <a:pPr>
                  <a:defRPr b="0" lang="en-US" sz="900" spc="-1" strike="noStrike">
                    <a:solidFill>
                      <a:srgbClr val="000000"/>
                    </a:solidFill>
                    <a:latin typeface="Calibri"/>
                  </a:defRPr>
                </a:pPr>
                <a:r>
                  <a:rPr b="0" lang="en-US" sz="900" spc="-1" strike="noStrike">
                    <a:solidFill>
                      <a:srgbClr val="000000"/>
                    </a:solidFill>
                    <a:latin typeface="Calibri"/>
                  </a:rPr>
                  <a:t>Cost ($)</a:t>
                </a:r>
              </a:p>
            </c:rich>
          </c:tx>
          <c:overlay val="0"/>
          <c:spPr>
            <a:noFill/>
            <a:ln w="0">
              <a:noFill/>
            </a:ln>
          </c:spPr>
        </c:title>
        <c:numFmt formatCode="\$#,##0" sourceLinked="0"/>
        <c:majorTickMark val="none"/>
        <c:minorTickMark val="none"/>
        <c:tickLblPos val="nextTo"/>
        <c:spPr>
          <a:ln w="6480">
            <a:solidFill>
              <a:srgbClr val="bfbfbf"/>
            </a:solidFill>
            <a:round/>
          </a:ln>
        </c:spPr>
        <c:txPr>
          <a:bodyPr/>
          <a:lstStyle/>
          <a:p>
            <a:pPr>
              <a:defRPr b="0" sz="900" spc="-1" strike="noStrike">
                <a:solidFill>
                  <a:srgbClr val="595959"/>
                </a:solidFill>
                <a:latin typeface="Calibri"/>
              </a:defRPr>
            </a:pPr>
          </a:p>
        </c:txPr>
        <c:crossAx val="94108746"/>
        <c:crosses val="autoZero"/>
        <c:crossBetween val="between"/>
      </c:valAx>
      <c:spPr>
        <a:noFill/>
        <a:ln w="0">
          <a:solidFill>
            <a:srgbClr val="bfbfbf"/>
          </a:solid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0"/>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Alternative 1</a:t>
            </a:r>
          </a:p>
        </c:rich>
      </c:tx>
      <c:overlay val="0"/>
      <c:spPr>
        <a:noFill/>
        <a:ln w="0">
          <a:noFill/>
        </a:ln>
      </c:spPr>
    </c:title>
    <c:autoTitleDeleted val="0"/>
    <c:plotArea>
      <c:barChart>
        <c:barDir val="col"/>
        <c:grouping val="clustered"/>
        <c:varyColors val="0"/>
        <c:ser>
          <c:idx val="0"/>
          <c:order val="0"/>
          <c:tx>
            <c:strRef>
              <c:f>"Actual"</c:f>
              <c:strCache>
                <c:ptCount val="1"/>
                <c:pt idx="0">
                  <c:v>Actual</c:v>
                </c:pt>
              </c:strCache>
            </c:strRef>
          </c:tx>
          <c:spPr>
            <a:solidFill>
              <a:srgbClr val="ed7d31"/>
            </a:solidFill>
            <a:ln w="0">
              <a:noFill/>
            </a:ln>
          </c:spPr>
          <c:invertIfNegative val="0"/>
          <c:dLbls>
            <c:txPr>
              <a:bodyPr wrap="square"/>
              <a:lstStyle/>
              <a:p>
                <a:pPr>
                  <a:defRPr b="0" sz="1000" spc="-1" strike="noStrike">
                    <a:solidFill>
                      <a:srgbClr val="000000"/>
                    </a:solidFill>
                    <a:latin typeface="Calibri"/>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'TMP(NewHMA)'!$K$37:$K$67</c:f>
              <c:strCache>
                <c:ptCount val="31"/>
                <c:pt idx="0">
                  <c:v>2028</c:v>
                </c:pt>
                <c:pt idx="1">
                  <c:v>2029</c:v>
                </c:pt>
                <c:pt idx="2">
                  <c:v>2030</c:v>
                </c:pt>
                <c:pt idx="3">
                  <c:v>2031</c:v>
                </c:pt>
                <c:pt idx="4">
                  <c:v>2032</c:v>
                </c:pt>
                <c:pt idx="5">
                  <c:v>2033</c:v>
                </c:pt>
                <c:pt idx="6">
                  <c:v>2034</c:v>
                </c:pt>
                <c:pt idx="7">
                  <c:v>2035</c:v>
                </c:pt>
                <c:pt idx="8">
                  <c:v>2036</c:v>
                </c:pt>
                <c:pt idx="9">
                  <c:v>2037</c:v>
                </c:pt>
                <c:pt idx="10">
                  <c:v>2038</c:v>
                </c:pt>
                <c:pt idx="11">
                  <c:v>2039</c:v>
                </c:pt>
                <c:pt idx="12">
                  <c:v>2040</c:v>
                </c:pt>
                <c:pt idx="13">
                  <c:v>2041</c:v>
                </c:pt>
                <c:pt idx="14">
                  <c:v>2042</c:v>
                </c:pt>
                <c:pt idx="15">
                  <c:v>2043</c:v>
                </c:pt>
                <c:pt idx="16">
                  <c:v>2044</c:v>
                </c:pt>
                <c:pt idx="17">
                  <c:v>2045</c:v>
                </c:pt>
                <c:pt idx="18">
                  <c:v>2046</c:v>
                </c:pt>
                <c:pt idx="19">
                  <c:v>2047</c:v>
                </c:pt>
                <c:pt idx="20">
                  <c:v>2048</c:v>
                </c:pt>
                <c:pt idx="21">
                  <c:v>2049</c:v>
                </c:pt>
                <c:pt idx="22">
                  <c:v>2050</c:v>
                </c:pt>
                <c:pt idx="23">
                  <c:v>2051</c:v>
                </c:pt>
                <c:pt idx="24">
                  <c:v>2052</c:v>
                </c:pt>
                <c:pt idx="25">
                  <c:v>2053</c:v>
                </c:pt>
                <c:pt idx="26">
                  <c:v>2054</c:v>
                </c:pt>
                <c:pt idx="27">
                  <c:v>2055</c:v>
                </c:pt>
                <c:pt idx="28">
                  <c:v>2056</c:v>
                </c:pt>
                <c:pt idx="29">
                  <c:v>2057</c:v>
                </c:pt>
                <c:pt idx="30">
                  <c:v>2058</c:v>
                </c:pt>
              </c:strCache>
            </c:strRef>
          </c:cat>
          <c:val>
            <c:numRef>
              <c:f>'TMP(NewHMA)'!$L$37:$L$67</c:f>
              <c:numCache>
                <c:formatCode>\$#,##0</c:formatCode>
                <c:ptCount val="31"/>
                <c:pt idx="0">
                  <c:v>0</c:v>
                </c:pt>
                <c:pt idx="1">
                  <c:v>0</c:v>
                </c:pt>
                <c:pt idx="2">
                  <c:v>0</c:v>
                </c:pt>
                <c:pt idx="3">
                  <c:v>0</c:v>
                </c:pt>
                <c:pt idx="4">
                  <c:v>230995.133333333</c:v>
                </c:pt>
                <c:pt idx="5">
                  <c:v>0</c:v>
                </c:pt>
                <c:pt idx="6">
                  <c:v>0</c:v>
                </c:pt>
                <c:pt idx="7">
                  <c:v>0</c:v>
                </c:pt>
                <c:pt idx="8">
                  <c:v>230995.133333333</c:v>
                </c:pt>
                <c:pt idx="9">
                  <c:v>0</c:v>
                </c:pt>
                <c:pt idx="10">
                  <c:v>0</c:v>
                </c:pt>
                <c:pt idx="11">
                  <c:v>0</c:v>
                </c:pt>
                <c:pt idx="12">
                  <c:v>323004.886770833</c:v>
                </c:pt>
                <c:pt idx="13">
                  <c:v>0</c:v>
                </c:pt>
                <c:pt idx="14">
                  <c:v>0</c:v>
                </c:pt>
                <c:pt idx="15">
                  <c:v>0</c:v>
                </c:pt>
                <c:pt idx="16">
                  <c:v>337845.169583333</c:v>
                </c:pt>
                <c:pt idx="17">
                  <c:v>0</c:v>
                </c:pt>
                <c:pt idx="18">
                  <c:v>0</c:v>
                </c:pt>
                <c:pt idx="19">
                  <c:v>0</c:v>
                </c:pt>
                <c:pt idx="20">
                  <c:v>1168588.850125</c:v>
                </c:pt>
                <c:pt idx="21">
                  <c:v>0</c:v>
                </c:pt>
                <c:pt idx="22">
                  <c:v>0</c:v>
                </c:pt>
                <c:pt idx="23">
                  <c:v>0</c:v>
                </c:pt>
                <c:pt idx="24">
                  <c:v>230995.133333333</c:v>
                </c:pt>
                <c:pt idx="25">
                  <c:v>0</c:v>
                </c:pt>
                <c:pt idx="26">
                  <c:v>0</c:v>
                </c:pt>
                <c:pt idx="27">
                  <c:v>0</c:v>
                </c:pt>
                <c:pt idx="28">
                  <c:v>357434.342895833</c:v>
                </c:pt>
                <c:pt idx="29">
                  <c:v>0</c:v>
                </c:pt>
                <c:pt idx="30">
                  <c:v>-438220.818796875</c:v>
                </c:pt>
              </c:numCache>
            </c:numRef>
          </c:val>
        </c:ser>
        <c:gapWidth val="219"/>
        <c:overlap val="-27"/>
        <c:axId val="16798161"/>
        <c:axId val="55563365"/>
      </c:barChart>
      <c:catAx>
        <c:axId val="16798161"/>
        <c:scaling>
          <c:orientation val="minMax"/>
        </c:scaling>
        <c:delete val="0"/>
        <c:axPos val="b"/>
        <c:title>
          <c:tx>
            <c:rich>
              <a:bodyPr rot="0"/>
              <a:lstStyle/>
              <a:p>
                <a:pPr>
                  <a:defRPr b="0" lang="en-US" sz="900" spc="-1" strike="noStrike">
                    <a:solidFill>
                      <a:srgbClr val="000000"/>
                    </a:solidFill>
                    <a:latin typeface="Calibri"/>
                  </a:defRPr>
                </a:pPr>
                <a:r>
                  <a:rPr b="0" lang="en-US" sz="900" spc="-1" strike="noStrike">
                    <a:solidFill>
                      <a:srgbClr val="000000"/>
                    </a:solidFill>
                    <a:latin typeface="Calibri"/>
                  </a:rPr>
                  <a:t>Calendar year</a:t>
                </a:r>
              </a:p>
            </c:rich>
          </c:tx>
          <c:overlay val="0"/>
          <c:spPr>
            <a:noFill/>
            <a:ln w="0">
              <a:noFill/>
            </a:ln>
          </c:spPr>
        </c:title>
        <c:numFmt formatCode="0" sourceLinked="0"/>
        <c:majorTickMark val="cross"/>
        <c:minorTickMark val="none"/>
        <c:tickLblPos val="nextTo"/>
        <c:spPr>
          <a:ln w="9360">
            <a:solidFill>
              <a:srgbClr val="bfbfbf"/>
            </a:solidFill>
            <a:round/>
          </a:ln>
        </c:spPr>
        <c:txPr>
          <a:bodyPr/>
          <a:lstStyle/>
          <a:p>
            <a:pPr>
              <a:defRPr b="0" sz="900" spc="-1" strike="noStrike">
                <a:solidFill>
                  <a:srgbClr val="595959"/>
                </a:solidFill>
                <a:latin typeface="Calibri"/>
              </a:defRPr>
            </a:pPr>
          </a:p>
        </c:txPr>
        <c:crossAx val="55563365"/>
        <c:crosses val="autoZero"/>
        <c:auto val="1"/>
        <c:lblAlgn val="ctr"/>
        <c:lblOffset val="100"/>
        <c:noMultiLvlLbl val="0"/>
      </c:catAx>
      <c:valAx>
        <c:axId val="55563365"/>
        <c:scaling>
          <c:orientation val="minMax"/>
        </c:scaling>
        <c:delete val="0"/>
        <c:axPos val="l"/>
        <c:majorGridlines>
          <c:spPr>
            <a:ln w="9360">
              <a:solidFill>
                <a:srgbClr val="d9d9d9"/>
              </a:solidFill>
              <a:round/>
            </a:ln>
          </c:spPr>
        </c:majorGridlines>
        <c:title>
          <c:tx>
            <c:rich>
              <a:bodyPr rot="-5400000"/>
              <a:lstStyle/>
              <a:p>
                <a:pPr>
                  <a:defRPr b="0" lang="en-US" sz="900" spc="-1" strike="noStrike">
                    <a:solidFill>
                      <a:srgbClr val="000000"/>
                    </a:solidFill>
                    <a:latin typeface="Calibri"/>
                  </a:defRPr>
                </a:pPr>
                <a:r>
                  <a:rPr b="0" lang="en-US" sz="900" spc="-1" strike="noStrike">
                    <a:solidFill>
                      <a:srgbClr val="000000"/>
                    </a:solidFill>
                    <a:latin typeface="Calibri"/>
                  </a:rPr>
                  <a:t>Cost ($)</a:t>
                </a:r>
              </a:p>
            </c:rich>
          </c:tx>
          <c:overlay val="0"/>
          <c:spPr>
            <a:noFill/>
            <a:ln w="0">
              <a:noFill/>
            </a:ln>
          </c:spPr>
        </c:title>
        <c:numFmt formatCode="\$#,##0" sourceLinked="0"/>
        <c:majorTickMark val="none"/>
        <c:minorTickMark val="none"/>
        <c:tickLblPos val="nextTo"/>
        <c:spPr>
          <a:ln w="6480">
            <a:solidFill>
              <a:srgbClr val="bfbfbf"/>
            </a:solidFill>
            <a:round/>
          </a:ln>
        </c:spPr>
        <c:txPr>
          <a:bodyPr/>
          <a:lstStyle/>
          <a:p>
            <a:pPr>
              <a:defRPr b="0" sz="900" spc="-1" strike="noStrike">
                <a:solidFill>
                  <a:srgbClr val="595959"/>
                </a:solidFill>
                <a:latin typeface="Calibri"/>
              </a:defRPr>
            </a:pPr>
          </a:p>
        </c:txPr>
        <c:crossAx val="16798161"/>
        <c:crosses val="autoZero"/>
        <c:crossBetween val="between"/>
      </c:valAx>
      <c:spPr>
        <a:noFill/>
        <a:ln w="0">
          <a:solidFill>
            <a:srgbClr val="bfbfbf"/>
          </a:solid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0"/>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Alternative 2</a:t>
            </a:r>
          </a:p>
        </c:rich>
      </c:tx>
      <c:overlay val="0"/>
      <c:spPr>
        <a:noFill/>
        <a:ln w="0">
          <a:noFill/>
        </a:ln>
      </c:spPr>
    </c:title>
    <c:autoTitleDeleted val="0"/>
    <c:plotArea>
      <c:barChart>
        <c:barDir val="col"/>
        <c:grouping val="clustered"/>
        <c:varyColors val="0"/>
        <c:ser>
          <c:idx val="0"/>
          <c:order val="0"/>
          <c:tx>
            <c:strRef>
              <c:f>"Actual"</c:f>
              <c:strCache>
                <c:ptCount val="1"/>
                <c:pt idx="0">
                  <c:v>Actual</c:v>
                </c:pt>
              </c:strCache>
            </c:strRef>
          </c:tx>
          <c:spPr>
            <a:solidFill>
              <a:srgbClr val="ed7d31"/>
            </a:solidFill>
            <a:ln w="0">
              <a:noFill/>
            </a:ln>
          </c:spPr>
          <c:invertIfNegative val="0"/>
          <c:dLbls>
            <c:txPr>
              <a:bodyPr wrap="square"/>
              <a:lstStyle/>
              <a:p>
                <a:pPr>
                  <a:defRPr b="0" sz="1000" spc="-1" strike="noStrike">
                    <a:solidFill>
                      <a:srgbClr val="000000"/>
                    </a:solidFill>
                    <a:latin typeface="Calibri"/>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'TMP(NewPCC)'!$K$38:$K$68</c:f>
              <c:strCache>
                <c:ptCount val="31"/>
                <c:pt idx="0">
                  <c:v>2028</c:v>
                </c:pt>
                <c:pt idx="1">
                  <c:v>2029</c:v>
                </c:pt>
                <c:pt idx="2">
                  <c:v>2030</c:v>
                </c:pt>
                <c:pt idx="3">
                  <c:v>2031</c:v>
                </c:pt>
                <c:pt idx="4">
                  <c:v>2032</c:v>
                </c:pt>
                <c:pt idx="5">
                  <c:v>2033</c:v>
                </c:pt>
                <c:pt idx="6">
                  <c:v>2034</c:v>
                </c:pt>
                <c:pt idx="7">
                  <c:v>2035</c:v>
                </c:pt>
                <c:pt idx="8">
                  <c:v>2036</c:v>
                </c:pt>
                <c:pt idx="9">
                  <c:v>2037</c:v>
                </c:pt>
                <c:pt idx="10">
                  <c:v>2038</c:v>
                </c:pt>
                <c:pt idx="11">
                  <c:v>2039</c:v>
                </c:pt>
                <c:pt idx="12">
                  <c:v>2040</c:v>
                </c:pt>
                <c:pt idx="13">
                  <c:v>2041</c:v>
                </c:pt>
                <c:pt idx="14">
                  <c:v>2042</c:v>
                </c:pt>
                <c:pt idx="15">
                  <c:v>2043</c:v>
                </c:pt>
                <c:pt idx="16">
                  <c:v>2044</c:v>
                </c:pt>
                <c:pt idx="17">
                  <c:v>2045</c:v>
                </c:pt>
                <c:pt idx="18">
                  <c:v>2046</c:v>
                </c:pt>
                <c:pt idx="19">
                  <c:v>2047</c:v>
                </c:pt>
                <c:pt idx="20">
                  <c:v>2048</c:v>
                </c:pt>
                <c:pt idx="21">
                  <c:v>2049</c:v>
                </c:pt>
                <c:pt idx="22">
                  <c:v>2050</c:v>
                </c:pt>
                <c:pt idx="23">
                  <c:v>2051</c:v>
                </c:pt>
                <c:pt idx="24">
                  <c:v>2052</c:v>
                </c:pt>
                <c:pt idx="25">
                  <c:v>2053</c:v>
                </c:pt>
                <c:pt idx="26">
                  <c:v>2054</c:v>
                </c:pt>
                <c:pt idx="27">
                  <c:v>2055</c:v>
                </c:pt>
                <c:pt idx="28">
                  <c:v>2056</c:v>
                </c:pt>
                <c:pt idx="29">
                  <c:v>2057</c:v>
                </c:pt>
                <c:pt idx="30">
                  <c:v>2058</c:v>
                </c:pt>
              </c:strCache>
            </c:strRef>
          </c:cat>
          <c:val>
            <c:numRef>
              <c:f>'TMP(NewPCC)'!$L$38:$L$68</c:f>
              <c:numCache>
                <c:formatCode>\$#,##0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630652.6584</c:v>
                </c:pt>
                <c:pt idx="20">
                  <c:v>0</c:v>
                </c:pt>
                <c:pt idx="21">
                  <c:v>0</c:v>
                </c:pt>
                <c:pt idx="22">
                  <c:v>0</c:v>
                </c:pt>
                <c:pt idx="23">
                  <c:v>0</c:v>
                </c:pt>
                <c:pt idx="24">
                  <c:v>0</c:v>
                </c:pt>
                <c:pt idx="25">
                  <c:v>0</c:v>
                </c:pt>
                <c:pt idx="26">
                  <c:v>0</c:v>
                </c:pt>
                <c:pt idx="27">
                  <c:v>738083.1146</c:v>
                </c:pt>
                <c:pt idx="28">
                  <c:v>0</c:v>
                </c:pt>
                <c:pt idx="29">
                  <c:v>0</c:v>
                </c:pt>
                <c:pt idx="30">
                  <c:v>0</c:v>
                </c:pt>
              </c:numCache>
            </c:numRef>
          </c:val>
        </c:ser>
        <c:gapWidth val="219"/>
        <c:overlap val="-27"/>
        <c:axId val="35813291"/>
        <c:axId val="72043629"/>
      </c:barChart>
      <c:catAx>
        <c:axId val="35813291"/>
        <c:scaling>
          <c:orientation val="minMax"/>
        </c:scaling>
        <c:delete val="0"/>
        <c:axPos val="b"/>
        <c:title>
          <c:tx>
            <c:rich>
              <a:bodyPr rot="0"/>
              <a:lstStyle/>
              <a:p>
                <a:pPr>
                  <a:defRPr b="0" lang="en-US" sz="900" spc="-1" strike="noStrike">
                    <a:solidFill>
                      <a:srgbClr val="000000"/>
                    </a:solidFill>
                    <a:latin typeface="Calibri"/>
                  </a:defRPr>
                </a:pPr>
                <a:r>
                  <a:rPr b="0" lang="en-US" sz="900" spc="-1" strike="noStrike">
                    <a:solidFill>
                      <a:srgbClr val="000000"/>
                    </a:solidFill>
                    <a:latin typeface="Calibri"/>
                  </a:rPr>
                  <a:t>Calendar year</a:t>
                </a:r>
              </a:p>
            </c:rich>
          </c:tx>
          <c:overlay val="0"/>
          <c:spPr>
            <a:noFill/>
            <a:ln w="0">
              <a:noFill/>
            </a:ln>
          </c:spPr>
        </c:title>
        <c:numFmt formatCode="0" sourceLinked="0"/>
        <c:majorTickMark val="cross"/>
        <c:minorTickMark val="none"/>
        <c:tickLblPos val="nextTo"/>
        <c:spPr>
          <a:ln w="9360">
            <a:solidFill>
              <a:srgbClr val="bfbfbf"/>
            </a:solidFill>
            <a:round/>
          </a:ln>
        </c:spPr>
        <c:txPr>
          <a:bodyPr/>
          <a:lstStyle/>
          <a:p>
            <a:pPr>
              <a:defRPr b="0" sz="900" spc="-1" strike="noStrike">
                <a:solidFill>
                  <a:srgbClr val="595959"/>
                </a:solidFill>
                <a:latin typeface="Calibri"/>
              </a:defRPr>
            </a:pPr>
          </a:p>
        </c:txPr>
        <c:crossAx val="72043629"/>
        <c:crosses val="autoZero"/>
        <c:auto val="1"/>
        <c:lblAlgn val="ctr"/>
        <c:lblOffset val="100"/>
        <c:noMultiLvlLbl val="0"/>
      </c:catAx>
      <c:valAx>
        <c:axId val="72043629"/>
        <c:scaling>
          <c:orientation val="minMax"/>
        </c:scaling>
        <c:delete val="0"/>
        <c:axPos val="l"/>
        <c:majorGridlines>
          <c:spPr>
            <a:ln w="9360">
              <a:solidFill>
                <a:srgbClr val="d9d9d9"/>
              </a:solidFill>
              <a:round/>
            </a:ln>
          </c:spPr>
        </c:majorGridlines>
        <c:title>
          <c:tx>
            <c:rich>
              <a:bodyPr rot="-5400000"/>
              <a:lstStyle/>
              <a:p>
                <a:pPr>
                  <a:defRPr b="0" lang="en-US" sz="900" spc="-1" strike="noStrike">
                    <a:solidFill>
                      <a:srgbClr val="000000"/>
                    </a:solidFill>
                    <a:latin typeface="Calibri"/>
                  </a:defRPr>
                </a:pPr>
                <a:r>
                  <a:rPr b="0" lang="en-US" sz="900" spc="-1" strike="noStrike">
                    <a:solidFill>
                      <a:srgbClr val="000000"/>
                    </a:solidFill>
                    <a:latin typeface="Calibri"/>
                  </a:rPr>
                  <a:t>Cost ($)</a:t>
                </a:r>
              </a:p>
            </c:rich>
          </c:tx>
          <c:overlay val="0"/>
          <c:spPr>
            <a:noFill/>
            <a:ln w="0">
              <a:noFill/>
            </a:ln>
          </c:spPr>
        </c:title>
        <c:numFmt formatCode="\$#,##0" sourceLinked="0"/>
        <c:majorTickMark val="none"/>
        <c:minorTickMark val="none"/>
        <c:tickLblPos val="nextTo"/>
        <c:spPr>
          <a:ln w="6480">
            <a:solidFill>
              <a:srgbClr val="bfbfbf"/>
            </a:solidFill>
            <a:round/>
          </a:ln>
        </c:spPr>
        <c:txPr>
          <a:bodyPr/>
          <a:lstStyle/>
          <a:p>
            <a:pPr>
              <a:defRPr b="0" sz="900" spc="-1" strike="noStrike">
                <a:solidFill>
                  <a:srgbClr val="595959"/>
                </a:solidFill>
                <a:latin typeface="Calibri"/>
              </a:defRPr>
            </a:pPr>
          </a:p>
        </c:txPr>
        <c:crossAx val="35813291"/>
        <c:crosses val="autoZero"/>
        <c:crossBetween val="between"/>
      </c:valAx>
      <c:spPr>
        <a:noFill/>
        <a:ln w="0">
          <a:solidFill>
            <a:srgbClr val="bfbfbf"/>
          </a:solid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0"/>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Alternative 3</a:t>
            </a:r>
          </a:p>
        </c:rich>
      </c:tx>
      <c:overlay val="0"/>
      <c:spPr>
        <a:noFill/>
        <a:ln w="0">
          <a:noFill/>
        </a:ln>
      </c:spPr>
    </c:title>
    <c:autoTitleDeleted val="0"/>
    <c:plotArea>
      <c:barChart>
        <c:barDir val="col"/>
        <c:grouping val="clustered"/>
        <c:varyColors val="0"/>
        <c:ser>
          <c:idx val="0"/>
          <c:order val="0"/>
          <c:tx>
            <c:strRef>
              <c:f>"Actual"</c:f>
              <c:strCache>
                <c:ptCount val="1"/>
                <c:pt idx="0">
                  <c:v>Actual</c:v>
                </c:pt>
              </c:strCache>
            </c:strRef>
          </c:tx>
          <c:spPr>
            <a:solidFill>
              <a:srgbClr val="ed7d31"/>
            </a:solidFill>
            <a:ln w="0">
              <a:noFill/>
            </a:ln>
          </c:spPr>
          <c:invertIfNegative val="0"/>
          <c:dLbls>
            <c:txPr>
              <a:bodyPr wrap="square"/>
              <a:lstStyle/>
              <a:p>
                <a:pPr>
                  <a:defRPr b="0" sz="1000" spc="-1" strike="noStrike">
                    <a:solidFill>
                      <a:srgbClr val="000000"/>
                    </a:solidFill>
                    <a:latin typeface="Calibri"/>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'TMP(HMARehab)'!$K$37:$K$67</c:f>
              <c:strCache>
                <c:ptCount val="31"/>
                <c:pt idx="0">
                  <c:v>2028</c:v>
                </c:pt>
                <c:pt idx="1">
                  <c:v>2029</c:v>
                </c:pt>
                <c:pt idx="2">
                  <c:v>2030</c:v>
                </c:pt>
                <c:pt idx="3">
                  <c:v>2031</c:v>
                </c:pt>
                <c:pt idx="4">
                  <c:v>2032</c:v>
                </c:pt>
                <c:pt idx="5">
                  <c:v>2033</c:v>
                </c:pt>
                <c:pt idx="6">
                  <c:v>2034</c:v>
                </c:pt>
                <c:pt idx="7">
                  <c:v>2035</c:v>
                </c:pt>
                <c:pt idx="8">
                  <c:v>2036</c:v>
                </c:pt>
                <c:pt idx="9">
                  <c:v>2037</c:v>
                </c:pt>
                <c:pt idx="10">
                  <c:v>2038</c:v>
                </c:pt>
                <c:pt idx="11">
                  <c:v>2039</c:v>
                </c:pt>
                <c:pt idx="12">
                  <c:v>2040</c:v>
                </c:pt>
                <c:pt idx="13">
                  <c:v>2041</c:v>
                </c:pt>
                <c:pt idx="14">
                  <c:v>2042</c:v>
                </c:pt>
                <c:pt idx="15">
                  <c:v>2043</c:v>
                </c:pt>
                <c:pt idx="16">
                  <c:v>2044</c:v>
                </c:pt>
                <c:pt idx="17">
                  <c:v>2045</c:v>
                </c:pt>
                <c:pt idx="18">
                  <c:v>2046</c:v>
                </c:pt>
                <c:pt idx="19">
                  <c:v>2047</c:v>
                </c:pt>
                <c:pt idx="20">
                  <c:v>2048</c:v>
                </c:pt>
                <c:pt idx="21">
                  <c:v>2049</c:v>
                </c:pt>
                <c:pt idx="22">
                  <c:v>2050</c:v>
                </c:pt>
                <c:pt idx="23">
                  <c:v>2051</c:v>
                </c:pt>
                <c:pt idx="24">
                  <c:v>2052</c:v>
                </c:pt>
                <c:pt idx="25">
                  <c:v>2053</c:v>
                </c:pt>
                <c:pt idx="26">
                  <c:v>2054</c:v>
                </c:pt>
                <c:pt idx="27">
                  <c:v>2055</c:v>
                </c:pt>
                <c:pt idx="28">
                  <c:v>2056</c:v>
                </c:pt>
                <c:pt idx="29">
                  <c:v>2057</c:v>
                </c:pt>
                <c:pt idx="30">
                  <c:v>2058</c:v>
                </c:pt>
              </c:strCache>
            </c:strRef>
          </c:cat>
          <c:val>
            <c:numRef>
              <c:f>'TMP(HMARehab)'!$L$37:$L$67</c:f>
              <c:numCache>
                <c:formatCode>\$#,##0</c:formatCode>
                <c:ptCount val="31"/>
                <c:pt idx="0">
                  <c:v>0</c:v>
                </c:pt>
                <c:pt idx="1">
                  <c:v>0</c:v>
                </c:pt>
                <c:pt idx="2">
                  <c:v>0</c:v>
                </c:pt>
                <c:pt idx="3">
                  <c:v>0</c:v>
                </c:pt>
                <c:pt idx="4">
                  <c:v>230995.133333333</c:v>
                </c:pt>
                <c:pt idx="5">
                  <c:v>0</c:v>
                </c:pt>
                <c:pt idx="6">
                  <c:v>0</c:v>
                </c:pt>
                <c:pt idx="7">
                  <c:v>0</c:v>
                </c:pt>
                <c:pt idx="8">
                  <c:v>357434.342895833</c:v>
                </c:pt>
                <c:pt idx="9">
                  <c:v>0</c:v>
                </c:pt>
                <c:pt idx="10">
                  <c:v>0</c:v>
                </c:pt>
                <c:pt idx="11">
                  <c:v>0</c:v>
                </c:pt>
                <c:pt idx="12">
                  <c:v>230995.133333333</c:v>
                </c:pt>
                <c:pt idx="13">
                  <c:v>0</c:v>
                </c:pt>
                <c:pt idx="14">
                  <c:v>0</c:v>
                </c:pt>
                <c:pt idx="15">
                  <c:v>0</c:v>
                </c:pt>
                <c:pt idx="16">
                  <c:v>1161465.514375</c:v>
                </c:pt>
                <c:pt idx="17">
                  <c:v>0</c:v>
                </c:pt>
                <c:pt idx="18">
                  <c:v>0</c:v>
                </c:pt>
                <c:pt idx="19">
                  <c:v>0</c:v>
                </c:pt>
                <c:pt idx="20">
                  <c:v>230995.133333333</c:v>
                </c:pt>
                <c:pt idx="21">
                  <c:v>0</c:v>
                </c:pt>
                <c:pt idx="22">
                  <c:v>0</c:v>
                </c:pt>
                <c:pt idx="23">
                  <c:v>0</c:v>
                </c:pt>
                <c:pt idx="24">
                  <c:v>357434.342895833</c:v>
                </c:pt>
                <c:pt idx="25">
                  <c:v>0</c:v>
                </c:pt>
                <c:pt idx="26">
                  <c:v>0</c:v>
                </c:pt>
                <c:pt idx="27">
                  <c:v>0</c:v>
                </c:pt>
                <c:pt idx="28">
                  <c:v>230995.133333333</c:v>
                </c:pt>
                <c:pt idx="29">
                  <c:v>0</c:v>
                </c:pt>
                <c:pt idx="30">
                  <c:v>0</c:v>
                </c:pt>
              </c:numCache>
            </c:numRef>
          </c:val>
        </c:ser>
        <c:gapWidth val="219"/>
        <c:overlap val="-27"/>
        <c:axId val="36691959"/>
        <c:axId val="92474249"/>
      </c:barChart>
      <c:catAx>
        <c:axId val="36691959"/>
        <c:scaling>
          <c:orientation val="minMax"/>
        </c:scaling>
        <c:delete val="0"/>
        <c:axPos val="b"/>
        <c:title>
          <c:tx>
            <c:rich>
              <a:bodyPr rot="0"/>
              <a:lstStyle/>
              <a:p>
                <a:pPr>
                  <a:defRPr b="0" lang="en-US" sz="900" spc="-1" strike="noStrike">
                    <a:solidFill>
                      <a:srgbClr val="000000"/>
                    </a:solidFill>
                    <a:latin typeface="Calibri"/>
                  </a:defRPr>
                </a:pPr>
                <a:r>
                  <a:rPr b="0" lang="en-US" sz="900" spc="-1" strike="noStrike">
                    <a:solidFill>
                      <a:srgbClr val="000000"/>
                    </a:solidFill>
                    <a:latin typeface="Calibri"/>
                  </a:rPr>
                  <a:t>Calendar year</a:t>
                </a:r>
              </a:p>
            </c:rich>
          </c:tx>
          <c:overlay val="0"/>
          <c:spPr>
            <a:noFill/>
            <a:ln w="0">
              <a:noFill/>
            </a:ln>
          </c:spPr>
        </c:title>
        <c:numFmt formatCode="0" sourceLinked="0"/>
        <c:majorTickMark val="cross"/>
        <c:minorTickMark val="none"/>
        <c:tickLblPos val="nextTo"/>
        <c:spPr>
          <a:ln w="9360">
            <a:solidFill>
              <a:srgbClr val="bfbfbf"/>
            </a:solidFill>
            <a:round/>
          </a:ln>
        </c:spPr>
        <c:txPr>
          <a:bodyPr/>
          <a:lstStyle/>
          <a:p>
            <a:pPr>
              <a:defRPr b="0" sz="900" spc="-1" strike="noStrike">
                <a:solidFill>
                  <a:srgbClr val="595959"/>
                </a:solidFill>
                <a:latin typeface="Calibri"/>
              </a:defRPr>
            </a:pPr>
          </a:p>
        </c:txPr>
        <c:crossAx val="92474249"/>
        <c:crosses val="autoZero"/>
        <c:auto val="1"/>
        <c:lblAlgn val="ctr"/>
        <c:lblOffset val="100"/>
        <c:noMultiLvlLbl val="0"/>
      </c:catAx>
      <c:valAx>
        <c:axId val="92474249"/>
        <c:scaling>
          <c:orientation val="minMax"/>
        </c:scaling>
        <c:delete val="0"/>
        <c:axPos val="l"/>
        <c:majorGridlines>
          <c:spPr>
            <a:ln w="9360">
              <a:solidFill>
                <a:srgbClr val="d9d9d9"/>
              </a:solidFill>
              <a:round/>
            </a:ln>
          </c:spPr>
        </c:majorGridlines>
        <c:title>
          <c:tx>
            <c:rich>
              <a:bodyPr rot="-5400000"/>
              <a:lstStyle/>
              <a:p>
                <a:pPr>
                  <a:defRPr b="0" lang="en-US" sz="900" spc="-1" strike="noStrike">
                    <a:solidFill>
                      <a:srgbClr val="000000"/>
                    </a:solidFill>
                    <a:latin typeface="Calibri"/>
                  </a:defRPr>
                </a:pPr>
                <a:r>
                  <a:rPr b="0" lang="en-US" sz="900" spc="-1" strike="noStrike">
                    <a:solidFill>
                      <a:srgbClr val="000000"/>
                    </a:solidFill>
                    <a:latin typeface="Calibri"/>
                  </a:rPr>
                  <a:t>Cost ($)</a:t>
                </a:r>
              </a:p>
            </c:rich>
          </c:tx>
          <c:overlay val="0"/>
          <c:spPr>
            <a:noFill/>
            <a:ln w="0">
              <a:noFill/>
            </a:ln>
          </c:spPr>
        </c:title>
        <c:numFmt formatCode="\$#,##0" sourceLinked="0"/>
        <c:majorTickMark val="none"/>
        <c:minorTickMark val="none"/>
        <c:tickLblPos val="nextTo"/>
        <c:spPr>
          <a:ln w="6480">
            <a:solidFill>
              <a:srgbClr val="bfbfbf"/>
            </a:solidFill>
            <a:round/>
          </a:ln>
        </c:spPr>
        <c:txPr>
          <a:bodyPr/>
          <a:lstStyle/>
          <a:p>
            <a:pPr>
              <a:defRPr b="0" sz="900" spc="-1" strike="noStrike">
                <a:solidFill>
                  <a:srgbClr val="595959"/>
                </a:solidFill>
                <a:latin typeface="Calibri"/>
              </a:defRPr>
            </a:pPr>
          </a:p>
        </c:txPr>
        <c:crossAx val="36691959"/>
        <c:crosses val="autoZero"/>
        <c:crossBetween val="between"/>
      </c:valAx>
      <c:spPr>
        <a:noFill/>
        <a:ln w="0">
          <a:solidFill>
            <a:srgbClr val="bfbfbf"/>
          </a:solid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0"/>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Alternatives Comparison</a:t>
            </a:r>
          </a:p>
        </c:rich>
      </c:tx>
      <c:overlay val="0"/>
      <c:spPr>
        <a:noFill/>
        <a:ln w="0">
          <a:noFill/>
        </a:ln>
      </c:spPr>
    </c:title>
    <c:autoTitleDeleted val="0"/>
    <c:plotArea>
      <c:barChart>
        <c:barDir val="col"/>
        <c:grouping val="clustered"/>
        <c:varyColors val="0"/>
        <c:ser>
          <c:idx val="0"/>
          <c:order val="0"/>
          <c:tx>
            <c:strRef>
              <c:f>Summary!$C$3</c:f>
              <c:strCache>
                <c:ptCount val="1"/>
                <c:pt idx="0">
                  <c:v>Initial Construction</c:v>
                </c:pt>
              </c:strCache>
            </c:strRef>
          </c:tx>
          <c:spPr>
            <a:solidFill>
              <a:srgbClr val="ed7d31"/>
            </a:solidFill>
            <a:ln w="0">
              <a:noFill/>
            </a:ln>
          </c:spPr>
          <c:invertIfNegative val="0"/>
          <c:dLbls>
            <c:txPr>
              <a:bodyPr wrap="square"/>
              <a:lstStyle/>
              <a:p>
                <a:pPr>
                  <a:defRPr b="0" sz="1000" spc="-1" strike="noStrike">
                    <a:solidFill>
                      <a:srgbClr val="000000"/>
                    </a:solidFill>
                    <a:latin typeface="Calibri"/>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Summary!$A$4:$A$7</c:f>
              <c:strCache>
                <c:ptCount val="4"/>
                <c:pt idx="0">
                  <c:v>Alt 1</c:v>
                </c:pt>
                <c:pt idx="1">
                  <c:v>Alt 2</c:v>
                </c:pt>
                <c:pt idx="2">
                  <c:v>Alt 3</c:v>
                </c:pt>
                <c:pt idx="3">
                  <c:v/>
                </c:pt>
              </c:strCache>
            </c:strRef>
          </c:cat>
          <c:val>
            <c:numRef>
              <c:f>Summary!$C$4:$C$7</c:f>
              <c:numCache>
                <c:formatCode>\$#,##0</c:formatCode>
                <c:ptCount val="4"/>
                <c:pt idx="0">
                  <c:v>4285511.8</c:v>
                </c:pt>
                <c:pt idx="1">
                  <c:v>5918906.25</c:v>
                </c:pt>
                <c:pt idx="2">
                  <c:v>5681473.8</c:v>
                </c:pt>
              </c:numCache>
            </c:numRef>
          </c:val>
        </c:ser>
        <c:ser>
          <c:idx val="1"/>
          <c:order val="1"/>
          <c:tx>
            <c:strRef>
              <c:f>Summary!$D$3</c:f>
              <c:strCache>
                <c:ptCount val="1"/>
                <c:pt idx="0">
                  <c:v>Present Worth</c:v>
                </c:pt>
              </c:strCache>
            </c:strRef>
          </c:tx>
          <c:spPr>
            <a:solidFill>
              <a:srgbClr val="a5a5a5"/>
            </a:solidFill>
            <a:ln w="0">
              <a:noFill/>
            </a:ln>
          </c:spPr>
          <c:invertIfNegative val="0"/>
          <c:dLbls>
            <c:txPr>
              <a:bodyPr wrap="square"/>
              <a:lstStyle/>
              <a:p>
                <a:pPr>
                  <a:defRPr b="0" sz="1000" spc="-1" strike="noStrike">
                    <a:solidFill>
                      <a:srgbClr val="000000"/>
                    </a:solidFill>
                    <a:latin typeface="Calibri"/>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Summary!$A$4:$A$7</c:f>
              <c:strCache>
                <c:ptCount val="4"/>
                <c:pt idx="0">
                  <c:v>Alt 1</c:v>
                </c:pt>
                <c:pt idx="1">
                  <c:v>Alt 2</c:v>
                </c:pt>
                <c:pt idx="2">
                  <c:v>Alt 3</c:v>
                </c:pt>
                <c:pt idx="3">
                  <c:v/>
                </c:pt>
              </c:strCache>
            </c:strRef>
          </c:cat>
          <c:val>
            <c:numRef>
              <c:f>Summary!$D$4:$D$7</c:f>
              <c:numCache>
                <c:formatCode>\$#,##0</c:formatCode>
                <c:ptCount val="4"/>
                <c:pt idx="0">
                  <c:v>6036217.26873333</c:v>
                </c:pt>
                <c:pt idx="1">
                  <c:v>6065224.90655861</c:v>
                </c:pt>
                <c:pt idx="2">
                  <c:v>5852247.21297847</c:v>
                </c:pt>
              </c:numCache>
            </c:numRef>
          </c:val>
        </c:ser>
        <c:gapWidth val="219"/>
        <c:overlap val="-27"/>
        <c:axId val="89528310"/>
        <c:axId val="82328651"/>
      </c:barChart>
      <c:catAx>
        <c:axId val="89528310"/>
        <c:scaling>
          <c:orientation val="minMax"/>
        </c:scaling>
        <c:delete val="0"/>
        <c:axPos val="b"/>
        <c:title>
          <c:tx>
            <c:rich>
              <a:bodyPr rot="0"/>
              <a:lstStyle/>
              <a:p>
                <a:pPr>
                  <a:defRPr b="0" lang="en-US" sz="900" spc="-1" strike="noStrike">
                    <a:solidFill>
                      <a:srgbClr val="000000"/>
                    </a:solidFill>
                    <a:latin typeface="Calibri"/>
                  </a:defRPr>
                </a:pPr>
                <a:r>
                  <a:rPr b="0" lang="en-US" sz="900" spc="-1" strike="noStrike">
                    <a:solidFill>
                      <a:srgbClr val="000000"/>
                    </a:solidFill>
                    <a:latin typeface="Calibri"/>
                  </a:rPr>
                  <a:t>Alternative</a:t>
                </a:r>
              </a:p>
            </c:rich>
          </c:tx>
          <c:overlay val="0"/>
          <c:spPr>
            <a:noFill/>
            <a:ln w="0">
              <a:noFill/>
            </a:ln>
          </c:spPr>
        </c:title>
        <c:numFmt formatCode="General" sourceLinked="0"/>
        <c:majorTickMark val="cross"/>
        <c:minorTickMark val="none"/>
        <c:tickLblPos val="nextTo"/>
        <c:spPr>
          <a:ln w="9360">
            <a:solidFill>
              <a:srgbClr val="bfbfbf"/>
            </a:solidFill>
            <a:round/>
          </a:ln>
        </c:spPr>
        <c:txPr>
          <a:bodyPr/>
          <a:lstStyle/>
          <a:p>
            <a:pPr>
              <a:defRPr b="0" sz="900" spc="-1" strike="noStrike">
                <a:solidFill>
                  <a:srgbClr val="595959"/>
                </a:solidFill>
                <a:latin typeface="Calibri"/>
              </a:defRPr>
            </a:pPr>
          </a:p>
        </c:txPr>
        <c:crossAx val="82328651"/>
        <c:crosses val="autoZero"/>
        <c:auto val="1"/>
        <c:lblAlgn val="ctr"/>
        <c:lblOffset val="100"/>
        <c:noMultiLvlLbl val="0"/>
      </c:catAx>
      <c:valAx>
        <c:axId val="82328651"/>
        <c:scaling>
          <c:orientation val="minMax"/>
        </c:scaling>
        <c:delete val="0"/>
        <c:axPos val="l"/>
        <c:majorGridlines>
          <c:spPr>
            <a:ln w="9360">
              <a:solidFill>
                <a:srgbClr val="d9d9d9"/>
              </a:solidFill>
              <a:round/>
            </a:ln>
          </c:spPr>
        </c:majorGridlines>
        <c:title>
          <c:tx>
            <c:rich>
              <a:bodyPr rot="-5400000"/>
              <a:lstStyle/>
              <a:p>
                <a:pPr>
                  <a:defRPr b="0" lang="en-US" sz="900" spc="-1" strike="noStrike">
                    <a:solidFill>
                      <a:srgbClr val="000000"/>
                    </a:solidFill>
                    <a:latin typeface="Calibri"/>
                  </a:defRPr>
                </a:pPr>
                <a:r>
                  <a:rPr b="0" lang="en-US" sz="900" spc="-1" strike="noStrike">
                    <a:solidFill>
                      <a:srgbClr val="000000"/>
                    </a:solidFill>
                    <a:latin typeface="Calibri"/>
                  </a:rPr>
                  <a:t>Cost ($)</a:t>
                </a:r>
              </a:p>
            </c:rich>
          </c:tx>
          <c:overlay val="0"/>
          <c:spPr>
            <a:noFill/>
            <a:ln w="0">
              <a:noFill/>
            </a:ln>
          </c:spPr>
        </c:title>
        <c:numFmt formatCode="\$#,##0.0,,\M" sourceLinked="0"/>
        <c:majorTickMark val="none"/>
        <c:minorTickMark val="none"/>
        <c:tickLblPos val="nextTo"/>
        <c:spPr>
          <a:ln w="6480">
            <a:solidFill>
              <a:srgbClr val="bfbfbf"/>
            </a:solidFill>
            <a:round/>
          </a:ln>
        </c:spPr>
        <c:txPr>
          <a:bodyPr/>
          <a:lstStyle/>
          <a:p>
            <a:pPr>
              <a:defRPr b="0" sz="900" spc="-1" strike="noStrike">
                <a:solidFill>
                  <a:srgbClr val="595959"/>
                </a:solidFill>
                <a:latin typeface="Calibri"/>
              </a:defRPr>
            </a:pPr>
          </a:p>
        </c:txPr>
        <c:crossAx val="89528310"/>
        <c:crosses val="autoZero"/>
        <c:crossBetween val="between"/>
      </c:valAx>
      <c:spPr>
        <a:noFill/>
        <a:ln w="0">
          <a:solidFill>
            <a:srgbClr val="bfbfbf"/>
          </a:solid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0"/>
    <c:dispBlanksAs val="gap"/>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100" spc="-1" strike="noStrike">
                <a:solidFill>
                  <a:srgbClr val="000000"/>
                </a:solidFill>
                <a:latin typeface="Calibri"/>
              </a:defRPr>
            </a:pPr>
            <a:r>
              <a:rPr b="0" sz="1100" spc="-1" strike="noStrike">
                <a:solidFill>
                  <a:srgbClr val="000000"/>
                </a:solidFill>
                <a:latin typeface="Calibri"/>
              </a:rPr>
              <a:t>1. Present worth by category (salvage below zero)</a:t>
            </a:r>
          </a:p>
        </c:rich>
      </c:tx>
      <c:overlay val="0"/>
      <c:spPr>
        <a:noFill/>
        <a:ln w="0">
          <a:noFill/>
        </a:ln>
      </c:spPr>
    </c:title>
    <c:autoTitleDeleted val="0"/>
    <c:plotArea>
      <c:layout>
        <c:manualLayout>
          <c:xMode val="edge"/>
          <c:yMode val="edge"/>
          <c:x val="0.110008681632147"/>
          <c:y val="0.129965198607944"/>
          <c:w val="0.6899417090413"/>
          <c:h val="0.679947197887916"/>
        </c:manualLayout>
      </c:layout>
      <c:barChart>
        <c:barDir val="col"/>
        <c:grouping val="stacked"/>
        <c:varyColors val="0"/>
        <c:ser>
          <c:idx val="0"/>
          <c:order val="0"/>
          <c:tx>
            <c:strRef>
              <c:f>Summary!W5</c:f>
              <c:strCache>
                <c:ptCount val="1"/>
                <c:pt idx="0">
                  <c:v>Initial construction</c:v>
                </c:pt>
              </c:strCache>
            </c:strRef>
          </c:tx>
          <c:spPr>
            <a:solidFill>
              <a:srgbClr val="3e4c59"/>
            </a:solidFill>
            <a:ln w="0">
              <a:solidFill>
                <a:srgbClr val="3e4c59"/>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Summary!$X$4:$AA$4</c:f>
              <c:strCache>
                <c:ptCount val="4"/>
                <c:pt idx="0">
                  <c:v>Alternative 1</c:v>
                </c:pt>
                <c:pt idx="1">
                  <c:v>Alternative 2</c:v>
                </c:pt>
                <c:pt idx="2">
                  <c:v>Alternative 3</c:v>
                </c:pt>
                <c:pt idx="3">
                  <c:v/>
                </c:pt>
              </c:strCache>
            </c:strRef>
          </c:cat>
          <c:val>
            <c:numRef>
              <c:f>Summary!$X$5:$AA$5</c:f>
              <c:numCache>
                <c:formatCode>\$#,##0;"($"#,##0\);\-</c:formatCode>
                <c:ptCount val="4"/>
                <c:pt idx="0">
                  <c:v>4285511.8</c:v>
                </c:pt>
                <c:pt idx="1">
                  <c:v>5918906.25</c:v>
                </c:pt>
                <c:pt idx="2">
                  <c:v>5681473.8</c:v>
                </c:pt>
                <c:pt idx="3">
                  <c:v>0</c:v>
                </c:pt>
              </c:numCache>
            </c:numRef>
          </c:val>
        </c:ser>
        <c:ser>
          <c:idx val="1"/>
          <c:order val="1"/>
          <c:tx>
            <c:strRef>
              <c:f>Summary!W6</c:f>
              <c:strCache>
                <c:ptCount val="1"/>
                <c:pt idx="0">
                  <c:v>Maintenance</c:v>
                </c:pt>
              </c:strCache>
            </c:strRef>
          </c:tx>
          <c:spPr>
            <a:solidFill>
              <a:srgbClr val="6b7a88"/>
            </a:solidFill>
            <a:ln w="0">
              <a:solidFill>
                <a:srgbClr val="6b7a88"/>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Summary!$X$4:$AA$4</c:f>
              <c:strCache>
                <c:ptCount val="4"/>
                <c:pt idx="0">
                  <c:v>Alternative 1</c:v>
                </c:pt>
                <c:pt idx="1">
                  <c:v>Alternative 2</c:v>
                </c:pt>
                <c:pt idx="2">
                  <c:v>Alternative 3</c:v>
                </c:pt>
                <c:pt idx="3">
                  <c:v/>
                </c:pt>
              </c:strCache>
            </c:strRef>
          </c:cat>
          <c:val>
            <c:numRef>
              <c:f>Summary!$X$6:$AA$6</c:f>
              <c:numCache>
                <c:formatCode>\$#,##0;"($"#,##0\);\-</c:formatCode>
                <c:ptCount val="4"/>
                <c:pt idx="0">
                  <c:v>1094529.48555918</c:v>
                </c:pt>
                <c:pt idx="1">
                  <c:v>359652.398857314</c:v>
                </c:pt>
                <c:pt idx="2">
                  <c:v>359652.398857314</c:v>
                </c:pt>
                <c:pt idx="3">
                  <c:v>0</c:v>
                </c:pt>
              </c:numCache>
            </c:numRef>
          </c:val>
        </c:ser>
        <c:ser>
          <c:idx val="2"/>
          <c:order val="2"/>
          <c:tx>
            <c:strRef>
              <c:f>Summary!W7</c:f>
              <c:strCache>
                <c:ptCount val="1"/>
                <c:pt idx="0">
                  <c:v>Rehabilitation</c:v>
                </c:pt>
              </c:strCache>
            </c:strRef>
          </c:tx>
          <c:spPr>
            <a:solidFill>
              <a:srgbClr val="98a4af"/>
            </a:solidFill>
            <a:ln w="0">
              <a:solidFill>
                <a:srgbClr val="98a4af"/>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Summary!$X$4:$AA$4</c:f>
              <c:strCache>
                <c:ptCount val="4"/>
                <c:pt idx="0">
                  <c:v>Alternative 1</c:v>
                </c:pt>
                <c:pt idx="1">
                  <c:v>Alternative 2</c:v>
                </c:pt>
                <c:pt idx="2">
                  <c:v>Alternative 3</c:v>
                </c:pt>
                <c:pt idx="3">
                  <c:v/>
                </c:pt>
              </c:strCache>
            </c:strRef>
          </c:cat>
          <c:val>
            <c:numRef>
              <c:f>Summary!$X$7:$AA$7</c:f>
              <c:numCache>
                <c:formatCode>\$#,##0;"($"#,##0\);\-</c:formatCode>
                <c:ptCount val="4"/>
                <c:pt idx="0">
                  <c:v>647019.312926701</c:v>
                </c:pt>
                <c:pt idx="1">
                  <c:v>332276.940438261</c:v>
                </c:pt>
                <c:pt idx="2">
                  <c:v>332276.940438261</c:v>
                </c:pt>
                <c:pt idx="3">
                  <c:v>0</c:v>
                </c:pt>
              </c:numCache>
            </c:numRef>
          </c:val>
        </c:ser>
        <c:ser>
          <c:idx val="3"/>
          <c:order val="3"/>
          <c:tx>
            <c:strRef>
              <c:f>Summary!W8</c:f>
              <c:strCache>
                <c:ptCount val="1"/>
                <c:pt idx="0">
                  <c:v>Lost revenue</c:v>
                </c:pt>
              </c:strCache>
            </c:strRef>
          </c:tx>
          <c:spPr>
            <a:solidFill>
              <a:srgbClr val="c4cdd5"/>
            </a:solidFill>
            <a:ln w="0">
              <a:solidFill>
                <a:srgbClr val="c4cdd5"/>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Summary!$X$4:$AA$4</c:f>
              <c:strCache>
                <c:ptCount val="4"/>
                <c:pt idx="0">
                  <c:v>Alternative 1</c:v>
                </c:pt>
                <c:pt idx="1">
                  <c:v>Alternative 2</c:v>
                </c:pt>
                <c:pt idx="2">
                  <c:v>Alternative 3</c:v>
                </c:pt>
                <c:pt idx="3">
                  <c:v/>
                </c:pt>
              </c:strCache>
            </c:strRef>
          </c:cat>
          <c:val>
            <c:numRef>
              <c:f>Summary!$X$8:$AA$8</c:f>
              <c:numCache>
                <c:formatCode>\$#,##0;"($"#,##0\);\-</c:formatCode>
                <c:ptCount val="4"/>
                <c:pt idx="0">
                  <c:v>189697.845335986</c:v>
                </c:pt>
                <c:pt idx="1">
                  <c:v>64017.0687170223</c:v>
                </c:pt>
                <c:pt idx="2">
                  <c:v>64017.0687170223</c:v>
                </c:pt>
                <c:pt idx="3">
                  <c:v>0</c:v>
                </c:pt>
              </c:numCache>
            </c:numRef>
          </c:val>
        </c:ser>
        <c:ser>
          <c:idx val="4"/>
          <c:order val="4"/>
          <c:tx>
            <c:strRef>
              <c:f>Summary!W9</c:f>
              <c:strCache>
                <c:ptCount val="1"/>
                <c:pt idx="0">
                  <c:v>Salvage</c:v>
                </c:pt>
              </c:strCache>
            </c:strRef>
          </c:tx>
          <c:spPr>
            <a:solidFill>
              <a:srgbClr val="e4e9ed"/>
            </a:solidFill>
            <a:ln w="0">
              <a:solidFill>
                <a:srgbClr val="e4e9ed"/>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Summary!$X$4:$AA$4</c:f>
              <c:strCache>
                <c:ptCount val="4"/>
                <c:pt idx="0">
                  <c:v>Alternative 1</c:v>
                </c:pt>
                <c:pt idx="1">
                  <c:v>Alternative 2</c:v>
                </c:pt>
                <c:pt idx="2">
                  <c:v>Alternative 3</c:v>
                </c:pt>
                <c:pt idx="3">
                  <c:v/>
                </c:pt>
              </c:strCache>
            </c:strRef>
          </c:cat>
          <c:val>
            <c:numRef>
              <c:f>Summary!$X$9:$AA$9</c:f>
              <c:numCache>
                <c:formatCode>\$#,##0;"($"#,##0\);\-</c:formatCode>
                <c:ptCount val="4"/>
                <c:pt idx="0">
                  <c:v>-180541.175088532</c:v>
                </c:pt>
                <c:pt idx="1">
                  <c:v>-609627.751453986</c:v>
                </c:pt>
                <c:pt idx="2">
                  <c:v>-585172.995034131</c:v>
                </c:pt>
                <c:pt idx="3">
                  <c:v>0</c:v>
                </c:pt>
              </c:numCache>
            </c:numRef>
          </c:val>
        </c:ser>
        <c:gapWidth val="60"/>
        <c:overlap val="100"/>
        <c:axId val="76688374"/>
        <c:axId val="56911351"/>
      </c:barChart>
      <c:catAx>
        <c:axId val="76688374"/>
        <c:scaling>
          <c:orientation val="minMax"/>
        </c:scaling>
        <c:delete val="0"/>
        <c:axPos val="b"/>
        <c:title>
          <c:tx>
            <c:rich>
              <a:bodyPr rot="0"/>
              <a:lstStyle/>
              <a:p>
                <a:pPr>
                  <a:defRPr b="0" sz="900" spc="-1" strike="noStrike">
                    <a:solidFill>
                      <a:srgbClr val="000000"/>
                    </a:solidFill>
                    <a:latin typeface="Calibri"/>
                  </a:defRPr>
                </a:pPr>
                <a:r>
                  <a:rPr b="0" sz="900" spc="-1" strike="noStrike">
                    <a:solidFill>
                      <a:srgbClr val="000000"/>
                    </a:solidFill>
                    <a:latin typeface="Calibri"/>
                  </a:rPr>
                  <a:t>Alternative</a:t>
                </a:r>
              </a:p>
            </c:rich>
          </c:tx>
          <c:overlay val="0"/>
          <c:spPr>
            <a:noFill/>
            <a:ln w="0">
              <a:noFill/>
            </a:ln>
          </c:spPr>
        </c:title>
        <c:numFmt formatCode="General" sourceLinked="1"/>
        <c:majorTickMark val="none"/>
        <c:minorTickMark val="none"/>
        <c:tickLblPos val="low"/>
        <c:spPr>
          <a:ln w="6480">
            <a:solidFill>
              <a:srgbClr val="8b8b8b"/>
            </a:solidFill>
            <a:round/>
          </a:ln>
        </c:spPr>
        <c:txPr>
          <a:bodyPr/>
          <a:lstStyle/>
          <a:p>
            <a:pPr>
              <a:defRPr b="0" sz="800" spc="-1" strike="noStrike">
                <a:solidFill>
                  <a:srgbClr val="000000"/>
                </a:solidFill>
                <a:latin typeface="Calibri"/>
              </a:defRPr>
            </a:pPr>
          </a:p>
        </c:txPr>
        <c:crossAx val="56911351"/>
        <c:crosses val="autoZero"/>
        <c:auto val="1"/>
        <c:lblAlgn val="ctr"/>
        <c:lblOffset val="100"/>
        <c:noMultiLvlLbl val="0"/>
      </c:catAx>
      <c:valAx>
        <c:axId val="56911351"/>
        <c:scaling>
          <c:orientation val="minMax"/>
        </c:scaling>
        <c:delete val="0"/>
        <c:axPos val="l"/>
        <c:title>
          <c:tx>
            <c:rich>
              <a:bodyPr rot="-5400000"/>
              <a:lstStyle/>
              <a:p>
                <a:pPr>
                  <a:defRPr b="0" sz="900" spc="-1" strike="noStrike">
                    <a:solidFill>
                      <a:srgbClr val="000000"/>
                    </a:solidFill>
                    <a:latin typeface="Calibri"/>
                  </a:defRPr>
                </a:pPr>
                <a:r>
                  <a:rPr b="0" sz="900" spc="-1" strike="noStrike">
                    <a:solidFill>
                      <a:srgbClr val="000000"/>
                    </a:solidFill>
                    <a:latin typeface="Calibri"/>
                  </a:rPr>
                  <a:t>Present worth ($)</a:t>
                </a:r>
              </a:p>
            </c:rich>
          </c:tx>
          <c:overlay val="0"/>
          <c:spPr>
            <a:noFill/>
            <a:ln w="0">
              <a:noFill/>
            </a:ln>
          </c:spPr>
        </c:title>
        <c:numFmt formatCode="\$#,##0.0,,\M" sourceLinked="0"/>
        <c:majorTickMark val="none"/>
        <c:minorTickMark val="none"/>
        <c:tickLblPos val="nextTo"/>
        <c:spPr>
          <a:ln w="6480">
            <a:solidFill>
              <a:srgbClr val="8b8b8b"/>
            </a:solidFill>
            <a:round/>
          </a:ln>
        </c:spPr>
        <c:txPr>
          <a:bodyPr/>
          <a:lstStyle/>
          <a:p>
            <a:pPr>
              <a:defRPr b="0" sz="800" spc="-1" strike="noStrike">
                <a:solidFill>
                  <a:srgbClr val="000000"/>
                </a:solidFill>
                <a:latin typeface="Calibri"/>
              </a:defRPr>
            </a:pPr>
          </a:p>
        </c:txPr>
        <c:crossAx val="76688374"/>
        <c:crosses val="autoZero"/>
        <c:crossBetween val="between"/>
      </c:valAx>
      <c:spPr>
        <a:noFill/>
        <a:ln w="0">
          <a:noFill/>
        </a:ln>
      </c:spPr>
    </c:plotArea>
    <c:legend>
      <c:legendPos val="r"/>
      <c:overlay val="0"/>
      <c:spPr>
        <a:noFill/>
        <a:ln w="0">
          <a:noFill/>
        </a:ln>
      </c:spPr>
      <c:txPr>
        <a:bodyPr/>
        <a:lstStyle/>
        <a:p>
          <a:pPr>
            <a:defRPr b="0" sz="800" spc="-1" strike="noStrike">
              <a:solidFill>
                <a:srgbClr val="000000"/>
              </a:solidFill>
              <a:latin typeface="Calibri"/>
            </a:defRPr>
          </a:pPr>
        </a:p>
      </c:txPr>
    </c:legend>
    <c:plotVisOnly val="1"/>
    <c:dispBlanksAs val="gap"/>
  </c:chart>
  <c:spPr>
    <a:solidFill>
      <a:srgbClr val="ffffff"/>
    </a:solidFill>
    <a:ln w="28440">
      <a:solidFill>
        <a:srgbClr val="0f7b4f"/>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100" spc="-1" strike="noStrike">
                <a:solidFill>
                  <a:srgbClr val="000000"/>
                </a:solidFill>
                <a:latin typeface="Calibri"/>
              </a:defRPr>
            </a:pPr>
            <a:r>
              <a:rPr b="0" sz="1100" spc="-1" strike="noStrike">
                <a:solidFill>
                  <a:srgbClr val="000000"/>
                </a:solidFill>
                <a:latin typeface="Calibri"/>
              </a:rPr>
              <a:t>2. Net present worth vs. discount rate (TDOT 3%, FAA 2%, pre-2022 rule 7%)</a:t>
            </a:r>
          </a:p>
        </c:rich>
      </c:tx>
      <c:overlay val="0"/>
      <c:spPr>
        <a:noFill/>
        <a:ln w="0">
          <a:noFill/>
        </a:ln>
      </c:spPr>
    </c:title>
    <c:autoTitleDeleted val="0"/>
    <c:plotArea>
      <c:layout>
        <c:manualLayout>
          <c:xMode val="edge"/>
          <c:yMode val="edge"/>
          <c:x val="0.110008681632147"/>
          <c:y val="0.129965198607944"/>
          <c:w val="0.6899417090413"/>
          <c:h val="0.679947197887916"/>
        </c:manualLayout>
      </c:layout>
      <c:lineChart>
        <c:grouping val="standard"/>
        <c:varyColors val="0"/>
        <c:ser>
          <c:idx val="0"/>
          <c:order val="0"/>
          <c:tx>
            <c:strRef>
              <c:f>Summary!X11</c:f>
              <c:strCache>
                <c:ptCount val="1"/>
                <c:pt idx="0">
                  <c:v>Alternative 1</c:v>
                </c:pt>
              </c:strCache>
            </c:strRef>
          </c:tx>
          <c:spPr>
            <a:solidFill>
              <a:srgbClr val="2a78d6"/>
            </a:solidFill>
            <a:ln w="21960">
              <a:solidFill>
                <a:srgbClr val="2a78d6"/>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Summary!$W$12:$W$36</c:f>
              <c:strCache>
                <c:ptCount val="25"/>
                <c:pt idx="0">
                  <c:v>2.00%</c:v>
                </c:pt>
                <c:pt idx="1">
                  <c:v>2.25%</c:v>
                </c:pt>
                <c:pt idx="2">
                  <c:v>2.50%</c:v>
                </c:pt>
                <c:pt idx="3">
                  <c:v>2.75%</c:v>
                </c:pt>
                <c:pt idx="4">
                  <c:v>3.00%</c:v>
                </c:pt>
                <c:pt idx="5">
                  <c:v>3.25%</c:v>
                </c:pt>
                <c:pt idx="6">
                  <c:v>3.50%</c:v>
                </c:pt>
                <c:pt idx="7">
                  <c:v>3.75%</c:v>
                </c:pt>
                <c:pt idx="8">
                  <c:v>4.00%</c:v>
                </c:pt>
                <c:pt idx="9">
                  <c:v>4.25%</c:v>
                </c:pt>
                <c:pt idx="10">
                  <c:v>4.50%</c:v>
                </c:pt>
                <c:pt idx="11">
                  <c:v>4.75%</c:v>
                </c:pt>
                <c:pt idx="12">
                  <c:v>5.00%</c:v>
                </c:pt>
                <c:pt idx="13">
                  <c:v>5.25%</c:v>
                </c:pt>
                <c:pt idx="14">
                  <c:v>5.50%</c:v>
                </c:pt>
                <c:pt idx="15">
                  <c:v>5.75%</c:v>
                </c:pt>
                <c:pt idx="16">
                  <c:v>6.00%</c:v>
                </c:pt>
                <c:pt idx="17">
                  <c:v>6.25%</c:v>
                </c:pt>
                <c:pt idx="18">
                  <c:v>6.50%</c:v>
                </c:pt>
                <c:pt idx="19">
                  <c:v>6.75%</c:v>
                </c:pt>
                <c:pt idx="20">
                  <c:v>7.00%</c:v>
                </c:pt>
                <c:pt idx="21">
                  <c:v>7.25%</c:v>
                </c:pt>
                <c:pt idx="22">
                  <c:v>7.50%</c:v>
                </c:pt>
                <c:pt idx="23">
                  <c:v>7.75%</c:v>
                </c:pt>
                <c:pt idx="24">
                  <c:v>8.00%</c:v>
                </c:pt>
              </c:strCache>
            </c:strRef>
          </c:cat>
          <c:val>
            <c:numRef>
              <c:f>Summary!$X$12:$X$36</c:f>
              <c:numCache>
                <c:formatCode>\$#,##0;"($"#,##0\);\-</c:formatCode>
                <c:ptCount val="25"/>
                <c:pt idx="0">
                  <c:v>6310890.56725527</c:v>
                </c:pt>
                <c:pt idx="1">
                  <c:v>6237611.72170497</c:v>
                </c:pt>
                <c:pt idx="2">
                  <c:v>6167504.60095674</c:v>
                </c:pt>
                <c:pt idx="3">
                  <c:v>6100420.332693</c:v>
                </c:pt>
                <c:pt idx="4">
                  <c:v>6036217.26873333</c:v>
                </c:pt>
                <c:pt idx="5">
                  <c:v>5974760.6377353</c:v>
                </c:pt>
                <c:pt idx="6">
                  <c:v>5915922.21328862</c:v>
                </c:pt>
                <c:pt idx="7">
                  <c:v>5859579.99690182</c:v>
                </c:pt>
                <c:pt idx="8">
                  <c:v>5805617.9153728</c:v>
                </c:pt>
                <c:pt idx="9">
                  <c:v>5753925.53203103</c:v>
                </c:pt>
                <c:pt idx="10">
                  <c:v>5704397.77133911</c:v>
                </c:pt>
                <c:pt idx="11">
                  <c:v>5656934.65634402</c:v>
                </c:pt>
                <c:pt idx="12">
                  <c:v>5611441.05847404</c:v>
                </c:pt>
                <c:pt idx="13">
                  <c:v>5567826.45918433</c:v>
                </c:pt>
                <c:pt idx="14">
                  <c:v>5526004.72296373</c:v>
                </c:pt>
                <c:pt idx="15">
                  <c:v>5485893.88122542</c:v>
                </c:pt>
                <c:pt idx="16">
                  <c:v>5447415.92661612</c:v>
                </c:pt>
                <c:pt idx="17">
                  <c:v>5410496.6172906</c:v>
                </c:pt>
                <c:pt idx="18">
                  <c:v>5375065.29071191</c:v>
                </c:pt>
                <c:pt idx="19">
                  <c:v>5341054.68655108</c:v>
                </c:pt>
                <c:pt idx="20">
                  <c:v>5308400.77827413</c:v>
                </c:pt>
                <c:pt idx="21">
                  <c:v>5277042.6130186</c:v>
                </c:pt>
                <c:pt idx="22">
                  <c:v>5246922.15937594</c:v>
                </c:pt>
                <c:pt idx="23">
                  <c:v>5217984.16271049</c:v>
                </c:pt>
                <c:pt idx="24">
                  <c:v>5190176.00765992</c:v>
                </c:pt>
              </c:numCache>
            </c:numRef>
          </c:val>
          <c:smooth val="0"/>
        </c:ser>
        <c:ser>
          <c:idx val="1"/>
          <c:order val="1"/>
          <c:tx>
            <c:strRef>
              <c:f>Summary!Y11</c:f>
              <c:strCache>
                <c:ptCount val="1"/>
                <c:pt idx="0">
                  <c:v>Alternative 2</c:v>
                </c:pt>
              </c:strCache>
            </c:strRef>
          </c:tx>
          <c:spPr>
            <a:solidFill>
              <a:srgbClr val="eb6834"/>
            </a:solidFill>
            <a:ln w="21960">
              <a:solidFill>
                <a:srgbClr val="eb6834"/>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Summary!$W$12:$W$36</c:f>
              <c:strCache>
                <c:ptCount val="25"/>
                <c:pt idx="0">
                  <c:v>2.00%</c:v>
                </c:pt>
                <c:pt idx="1">
                  <c:v>2.25%</c:v>
                </c:pt>
                <c:pt idx="2">
                  <c:v>2.50%</c:v>
                </c:pt>
                <c:pt idx="3">
                  <c:v>2.75%</c:v>
                </c:pt>
                <c:pt idx="4">
                  <c:v>3.00%</c:v>
                </c:pt>
                <c:pt idx="5">
                  <c:v>3.25%</c:v>
                </c:pt>
                <c:pt idx="6">
                  <c:v>3.50%</c:v>
                </c:pt>
                <c:pt idx="7">
                  <c:v>3.75%</c:v>
                </c:pt>
                <c:pt idx="8">
                  <c:v>4.00%</c:v>
                </c:pt>
                <c:pt idx="9">
                  <c:v>4.25%</c:v>
                </c:pt>
                <c:pt idx="10">
                  <c:v>4.50%</c:v>
                </c:pt>
                <c:pt idx="11">
                  <c:v>4.75%</c:v>
                </c:pt>
                <c:pt idx="12">
                  <c:v>5.00%</c:v>
                </c:pt>
                <c:pt idx="13">
                  <c:v>5.25%</c:v>
                </c:pt>
                <c:pt idx="14">
                  <c:v>5.50%</c:v>
                </c:pt>
                <c:pt idx="15">
                  <c:v>5.75%</c:v>
                </c:pt>
                <c:pt idx="16">
                  <c:v>6.00%</c:v>
                </c:pt>
                <c:pt idx="17">
                  <c:v>6.25%</c:v>
                </c:pt>
                <c:pt idx="18">
                  <c:v>6.50%</c:v>
                </c:pt>
                <c:pt idx="19">
                  <c:v>6.75%</c:v>
                </c:pt>
                <c:pt idx="20">
                  <c:v>7.00%</c:v>
                </c:pt>
                <c:pt idx="21">
                  <c:v>7.25%</c:v>
                </c:pt>
                <c:pt idx="22">
                  <c:v>7.50%</c:v>
                </c:pt>
                <c:pt idx="23">
                  <c:v>7.75%</c:v>
                </c:pt>
                <c:pt idx="24">
                  <c:v>8.00%</c:v>
                </c:pt>
              </c:strCache>
            </c:strRef>
          </c:cat>
          <c:val>
            <c:numRef>
              <c:f>Summary!$Y$12:$Y$36</c:f>
              <c:numCache>
                <c:formatCode>\$#,##0;"($"#,##0\);\-</c:formatCode>
                <c:ptCount val="25"/>
                <c:pt idx="0">
                  <c:v>6048190.84807672</c:v>
                </c:pt>
                <c:pt idx="1">
                  <c:v>6054084.04269818</c:v>
                </c:pt>
                <c:pt idx="2">
                  <c:v>6058804.56730555</c:v>
                </c:pt>
                <c:pt idx="3">
                  <c:v>6062479.76066407</c:v>
                </c:pt>
                <c:pt idx="4">
                  <c:v>6065224.90655861</c:v>
                </c:pt>
                <c:pt idx="5">
                  <c:v>6067144.32428507</c:v>
                </c:pt>
                <c:pt idx="6">
                  <c:v>6068332.36172395</c:v>
                </c:pt>
                <c:pt idx="7">
                  <c:v>6068874.29971924</c:v>
                </c:pt>
                <c:pt idx="8">
                  <c:v>6068847.17569675</c:v>
                </c:pt>
                <c:pt idx="9">
                  <c:v>6068320.53373981</c:v>
                </c:pt>
                <c:pt idx="10">
                  <c:v>6067357.10768891</c:v>
                </c:pt>
                <c:pt idx="11">
                  <c:v>6066013.44324092</c:v>
                </c:pt>
                <c:pt idx="12">
                  <c:v>6064340.46448573</c:v>
                </c:pt>
                <c:pt idx="13">
                  <c:v>6062383.98982985</c:v>
                </c:pt>
                <c:pt idx="14">
                  <c:v>6060185.20181233</c:v>
                </c:pt>
                <c:pt idx="15">
                  <c:v>6057781.0749149</c:v>
                </c:pt>
                <c:pt idx="16">
                  <c:v>6055204.76510075</c:v>
                </c:pt>
                <c:pt idx="17">
                  <c:v>6052485.96448286</c:v>
                </c:pt>
                <c:pt idx="18">
                  <c:v>6049651.2242189</c:v>
                </c:pt>
                <c:pt idx="19">
                  <c:v>6046724.24845363</c:v>
                </c:pt>
                <c:pt idx="20">
                  <c:v>6043726.16187808</c:v>
                </c:pt>
                <c:pt idx="21">
                  <c:v>6040675.75324653</c:v>
                </c:pt>
                <c:pt idx="22">
                  <c:v>6037589.69698364</c:v>
                </c:pt>
                <c:pt idx="23">
                  <c:v>6034482.75482506</c:v>
                </c:pt>
                <c:pt idx="24">
                  <c:v>6031367.95926198</c:v>
                </c:pt>
              </c:numCache>
            </c:numRef>
          </c:val>
          <c:smooth val="0"/>
        </c:ser>
        <c:ser>
          <c:idx val="2"/>
          <c:order val="2"/>
          <c:tx>
            <c:strRef>
              <c:f>Summary!Z11</c:f>
              <c:strCache>
                <c:ptCount val="1"/>
                <c:pt idx="0">
                  <c:v>Alternative 3</c:v>
                </c:pt>
              </c:strCache>
            </c:strRef>
          </c:tx>
          <c:spPr>
            <a:solidFill>
              <a:srgbClr val="6da7ec"/>
            </a:solidFill>
            <a:ln w="21960">
              <a:solidFill>
                <a:srgbClr val="6da7ec"/>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Summary!$W$12:$W$36</c:f>
              <c:strCache>
                <c:ptCount val="25"/>
                <c:pt idx="0">
                  <c:v>2.00%</c:v>
                </c:pt>
                <c:pt idx="1">
                  <c:v>2.25%</c:v>
                </c:pt>
                <c:pt idx="2">
                  <c:v>2.50%</c:v>
                </c:pt>
                <c:pt idx="3">
                  <c:v>2.75%</c:v>
                </c:pt>
                <c:pt idx="4">
                  <c:v>3.00%</c:v>
                </c:pt>
                <c:pt idx="5">
                  <c:v>3.25%</c:v>
                </c:pt>
                <c:pt idx="6">
                  <c:v>3.50%</c:v>
                </c:pt>
                <c:pt idx="7">
                  <c:v>3.75%</c:v>
                </c:pt>
                <c:pt idx="8">
                  <c:v>4.00%</c:v>
                </c:pt>
                <c:pt idx="9">
                  <c:v>4.25%</c:v>
                </c:pt>
                <c:pt idx="10">
                  <c:v>4.50%</c:v>
                </c:pt>
                <c:pt idx="11">
                  <c:v>4.75%</c:v>
                </c:pt>
                <c:pt idx="12">
                  <c:v>5.00%</c:v>
                </c:pt>
                <c:pt idx="13">
                  <c:v>5.25%</c:v>
                </c:pt>
                <c:pt idx="14">
                  <c:v>5.50%</c:v>
                </c:pt>
                <c:pt idx="15">
                  <c:v>5.75%</c:v>
                </c:pt>
                <c:pt idx="16">
                  <c:v>6.00%</c:v>
                </c:pt>
                <c:pt idx="17">
                  <c:v>6.25%</c:v>
                </c:pt>
                <c:pt idx="18">
                  <c:v>6.50%</c:v>
                </c:pt>
                <c:pt idx="19">
                  <c:v>6.75%</c:v>
                </c:pt>
                <c:pt idx="20">
                  <c:v>7.00%</c:v>
                </c:pt>
                <c:pt idx="21">
                  <c:v>7.25%</c:v>
                </c:pt>
                <c:pt idx="22">
                  <c:v>7.50%</c:v>
                </c:pt>
                <c:pt idx="23">
                  <c:v>7.75%</c:v>
                </c:pt>
                <c:pt idx="24">
                  <c:v>8.00%</c:v>
                </c:pt>
              </c:strCache>
            </c:strRef>
          </c:cat>
          <c:val>
            <c:numRef>
              <c:f>Summary!$Z$12:$Z$36</c:f>
              <c:numCache>
                <c:formatCode>\$#,##0;"($"#,##0\);\-</c:formatCode>
                <c:ptCount val="25"/>
                <c:pt idx="0">
                  <c:v>5843528.28401276</c:v>
                </c:pt>
                <c:pt idx="1">
                  <c:v>5847101.1219036</c:v>
                </c:pt>
                <c:pt idx="2">
                  <c:v>5849670.66324607</c:v>
                </c:pt>
                <c:pt idx="3">
                  <c:v>5851351.51479246</c:v>
                </c:pt>
                <c:pt idx="4">
                  <c:v>5852247.21297847</c:v>
                </c:pt>
                <c:pt idx="5">
                  <c:v>5852451.23613988</c:v>
                </c:pt>
                <c:pt idx="6">
                  <c:v>5852047.92570181</c:v>
                </c:pt>
                <c:pt idx="7">
                  <c:v>5851113.32452814</c:v>
                </c:pt>
                <c:pt idx="8">
                  <c:v>5849715.93987617</c:v>
                </c:pt>
                <c:pt idx="9">
                  <c:v>5847917.43772664</c:v>
                </c:pt>
                <c:pt idx="10">
                  <c:v>5845773.27464687</c:v>
                </c:pt>
                <c:pt idx="11">
                  <c:v>5843333.27278818</c:v>
                </c:pt>
                <c:pt idx="12">
                  <c:v>5840642.14311301</c:v>
                </c:pt>
                <c:pt idx="13">
                  <c:v>5837739.96148807</c:v>
                </c:pt>
                <c:pt idx="14">
                  <c:v>5834662.60186207</c:v>
                </c:pt>
                <c:pt idx="15">
                  <c:v>5831442.13036722</c:v>
                </c:pt>
                <c:pt idx="16">
                  <c:v>5828107.16383873</c:v>
                </c:pt>
                <c:pt idx="17">
                  <c:v>5824683.19593296</c:v>
                </c:pt>
                <c:pt idx="18">
                  <c:v>5821192.89373948</c:v>
                </c:pt>
                <c:pt idx="19">
                  <c:v>5817656.36752326</c:v>
                </c:pt>
                <c:pt idx="20">
                  <c:v>5814091.41599695</c:v>
                </c:pt>
                <c:pt idx="21">
                  <c:v>5810513.74930888</c:v>
                </c:pt>
                <c:pt idx="22">
                  <c:v>5806937.19173707</c:v>
                </c:pt>
                <c:pt idx="23">
                  <c:v>5803373.86590174</c:v>
                </c:pt>
                <c:pt idx="24">
                  <c:v>5799834.36014742</c:v>
                </c:pt>
              </c:numCache>
            </c:numRef>
          </c:val>
          <c:smooth val="0"/>
        </c:ser>
        <c:ser>
          <c:idx val="3"/>
          <c:order val="3"/>
          <c:tx>
            <c:strRef>
              <c:f>Summary!AA11</c:f>
              <c:strCache>
                <c:ptCount val="1"/>
                <c:pt idx="0">
                  <c:v/>
                </c:pt>
              </c:strCache>
            </c:strRef>
          </c:tx>
          <c:spPr>
            <a:solidFill>
              <a:srgbClr val="f39c7a"/>
            </a:solidFill>
            <a:ln w="21960">
              <a:solidFill>
                <a:srgbClr val="f39c7a"/>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Summary!$W$12:$W$36</c:f>
              <c:strCache>
                <c:ptCount val="25"/>
                <c:pt idx="0">
                  <c:v>2.00%</c:v>
                </c:pt>
                <c:pt idx="1">
                  <c:v>2.25%</c:v>
                </c:pt>
                <c:pt idx="2">
                  <c:v>2.50%</c:v>
                </c:pt>
                <c:pt idx="3">
                  <c:v>2.75%</c:v>
                </c:pt>
                <c:pt idx="4">
                  <c:v>3.00%</c:v>
                </c:pt>
                <c:pt idx="5">
                  <c:v>3.25%</c:v>
                </c:pt>
                <c:pt idx="6">
                  <c:v>3.50%</c:v>
                </c:pt>
                <c:pt idx="7">
                  <c:v>3.75%</c:v>
                </c:pt>
                <c:pt idx="8">
                  <c:v>4.00%</c:v>
                </c:pt>
                <c:pt idx="9">
                  <c:v>4.25%</c:v>
                </c:pt>
                <c:pt idx="10">
                  <c:v>4.50%</c:v>
                </c:pt>
                <c:pt idx="11">
                  <c:v>4.75%</c:v>
                </c:pt>
                <c:pt idx="12">
                  <c:v>5.00%</c:v>
                </c:pt>
                <c:pt idx="13">
                  <c:v>5.25%</c:v>
                </c:pt>
                <c:pt idx="14">
                  <c:v>5.50%</c:v>
                </c:pt>
                <c:pt idx="15">
                  <c:v>5.75%</c:v>
                </c:pt>
                <c:pt idx="16">
                  <c:v>6.00%</c:v>
                </c:pt>
                <c:pt idx="17">
                  <c:v>6.25%</c:v>
                </c:pt>
                <c:pt idx="18">
                  <c:v>6.50%</c:v>
                </c:pt>
                <c:pt idx="19">
                  <c:v>6.75%</c:v>
                </c:pt>
                <c:pt idx="20">
                  <c:v>7.00%</c:v>
                </c:pt>
                <c:pt idx="21">
                  <c:v>7.25%</c:v>
                </c:pt>
                <c:pt idx="22">
                  <c:v>7.50%</c:v>
                </c:pt>
                <c:pt idx="23">
                  <c:v>7.75%</c:v>
                </c:pt>
                <c:pt idx="24">
                  <c:v>8.00%</c:v>
                </c:pt>
              </c:strCache>
            </c:strRef>
          </c:cat>
          <c:val>
            <c:numRef>
              <c:f>Summary!$AA$12:$AA$36</c:f>
              <c:numCache>
                <c:formatCode>\$#,##0;"($"#,##0\);\-</c:formatCode>
                <c:ptCount val="2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smooth val="0"/>
        </c:ser>
        <c:hiLowLines>
          <c:spPr>
            <a:ln w="0">
              <a:noFill/>
            </a:ln>
          </c:spPr>
        </c:hiLowLines>
        <c:marker val="0"/>
        <c:axId val="82379747"/>
        <c:axId val="50185007"/>
      </c:lineChart>
      <c:catAx>
        <c:axId val="82379747"/>
        <c:scaling>
          <c:orientation val="minMax"/>
        </c:scaling>
        <c:delete val="0"/>
        <c:axPos val="b"/>
        <c:title>
          <c:tx>
            <c:rich>
              <a:bodyPr rot="0"/>
              <a:lstStyle/>
              <a:p>
                <a:pPr>
                  <a:defRPr b="0" sz="900" spc="-1" strike="noStrike">
                    <a:solidFill>
                      <a:srgbClr val="000000"/>
                    </a:solidFill>
                    <a:latin typeface="Calibri"/>
                  </a:defRPr>
                </a:pPr>
                <a:r>
                  <a:rPr b="0" sz="900" spc="-1" strike="noStrike">
                    <a:solidFill>
                      <a:srgbClr val="000000"/>
                    </a:solidFill>
                    <a:latin typeface="Calibri"/>
                  </a:rPr>
                  <a:t>Discount rate (%)</a:t>
                </a:r>
              </a:p>
            </c:rich>
          </c:tx>
          <c:overlay val="0"/>
          <c:spPr>
            <a:noFill/>
            <a:ln w="0">
              <a:noFill/>
            </a:ln>
          </c:spPr>
        </c:title>
        <c:numFmt formatCode="0.00\%" sourceLinked="0"/>
        <c:majorTickMark val="none"/>
        <c:minorTickMark val="none"/>
        <c:tickLblPos val="nextTo"/>
        <c:spPr>
          <a:ln w="6480">
            <a:solidFill>
              <a:srgbClr val="8b8b8b"/>
            </a:solidFill>
            <a:round/>
          </a:ln>
        </c:spPr>
        <c:txPr>
          <a:bodyPr/>
          <a:lstStyle/>
          <a:p>
            <a:pPr>
              <a:defRPr b="0" sz="800" spc="-1" strike="noStrike">
                <a:solidFill>
                  <a:srgbClr val="000000"/>
                </a:solidFill>
                <a:latin typeface="Calibri"/>
              </a:defRPr>
            </a:pPr>
          </a:p>
        </c:txPr>
        <c:crossAx val="50185007"/>
        <c:crosses val="autoZero"/>
        <c:auto val="1"/>
        <c:lblAlgn val="ctr"/>
        <c:lblOffset val="100"/>
        <c:noMultiLvlLbl val="0"/>
      </c:catAx>
      <c:valAx>
        <c:axId val="50185007"/>
        <c:scaling>
          <c:orientation val="minMax"/>
        </c:scaling>
        <c:delete val="0"/>
        <c:axPos val="l"/>
        <c:title>
          <c:tx>
            <c:rich>
              <a:bodyPr rot="-5400000"/>
              <a:lstStyle/>
              <a:p>
                <a:pPr>
                  <a:defRPr b="0" sz="900" spc="-1" strike="noStrike">
                    <a:solidFill>
                      <a:srgbClr val="000000"/>
                    </a:solidFill>
                    <a:latin typeface="Calibri"/>
                  </a:defRPr>
                </a:pPr>
                <a:r>
                  <a:rPr b="0" sz="900" spc="-1" strike="noStrike">
                    <a:solidFill>
                      <a:srgbClr val="000000"/>
                    </a:solidFill>
                    <a:latin typeface="Calibri"/>
                  </a:rPr>
                  <a:t>Net present worth ($)</a:t>
                </a:r>
              </a:p>
            </c:rich>
          </c:tx>
          <c:overlay val="0"/>
          <c:spPr>
            <a:noFill/>
            <a:ln w="0">
              <a:noFill/>
            </a:ln>
          </c:spPr>
        </c:title>
        <c:numFmt formatCode="\$#,##0.0,,\M" sourceLinked="0"/>
        <c:majorTickMark val="none"/>
        <c:minorTickMark val="none"/>
        <c:tickLblPos val="nextTo"/>
        <c:spPr>
          <a:ln w="6480">
            <a:solidFill>
              <a:srgbClr val="8b8b8b"/>
            </a:solidFill>
            <a:round/>
          </a:ln>
        </c:spPr>
        <c:txPr>
          <a:bodyPr/>
          <a:lstStyle/>
          <a:p>
            <a:pPr>
              <a:defRPr b="0" sz="800" spc="-1" strike="noStrike">
                <a:solidFill>
                  <a:srgbClr val="000000"/>
                </a:solidFill>
                <a:latin typeface="Calibri"/>
              </a:defRPr>
            </a:pPr>
          </a:p>
        </c:txPr>
        <c:crossAx val="82379747"/>
        <c:crosses val="autoZero"/>
        <c:crossBetween val="between"/>
      </c:valAx>
      <c:spPr>
        <a:noFill/>
        <a:ln w="0">
          <a:noFill/>
        </a:ln>
      </c:spPr>
    </c:plotArea>
    <c:legend>
      <c:legendPos val="r"/>
      <c:overlay val="0"/>
      <c:spPr>
        <a:noFill/>
        <a:ln w="0">
          <a:noFill/>
        </a:ln>
      </c:spPr>
      <c:txPr>
        <a:bodyPr/>
        <a:lstStyle/>
        <a:p>
          <a:pPr>
            <a:defRPr b="0" sz="800" spc="-1" strike="noStrike">
              <a:solidFill>
                <a:srgbClr val="000000"/>
              </a:solidFill>
              <a:latin typeface="Calibri"/>
            </a:defRPr>
          </a:pPr>
        </a:p>
      </c:txPr>
    </c:legend>
    <c:plotVisOnly val="1"/>
    <c:dispBlanksAs val="gap"/>
  </c:chart>
  <c:spPr>
    <a:solidFill>
      <a:srgbClr val="ffffff"/>
    </a:solidFill>
    <a:ln w="28440">
      <a:solidFill>
        <a:srgbClr val="0f7b4f"/>
      </a:solidFill>
      <a:round/>
    </a:ln>
  </c:spPr>
</c:chartSpace>
</file>

<file path=xl/charts/chart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800" spc="-1" strike="noStrike">
                <a:solidFill>
                  <a:srgbClr val="000000"/>
                </a:solidFill>
                <a:latin typeface="Calibri"/>
              </a:defRPr>
            </a:pPr>
            <a:r>
              <a:rPr b="0" sz="800" spc="-1" strike="noStrike">
                <a:solidFill>
                  <a:srgbClr val="000000"/>
                </a:solidFill>
                <a:latin typeface="Calibri"/>
              </a:rPr>
              <a:t>3. Expenditure by year (undiscounted)</a:t>
            </a:r>
          </a:p>
        </c:rich>
      </c:tx>
      <c:overlay val="0"/>
      <c:spPr>
        <a:noFill/>
        <a:ln w="0">
          <a:noFill/>
        </a:ln>
      </c:spPr>
    </c:title>
    <c:autoTitleDeleted val="0"/>
    <c:plotArea>
      <c:layout>
        <c:manualLayout>
          <c:xMode val="edge"/>
          <c:yMode val="edge"/>
          <c:x val="0.0900264783759929"/>
          <c:y val="0.19"/>
          <c:w val="0.88992560837221"/>
          <c:h val="0.5598"/>
        </c:manualLayout>
      </c:layout>
      <c:barChart>
        <c:barDir val="col"/>
        <c:grouping val="clustered"/>
        <c:varyColors val="0"/>
        <c:ser>
          <c:idx val="0"/>
          <c:order val="0"/>
          <c:tx>
            <c:strRef>
              <c:f>Summary!Y40</c:f>
              <c:strCache>
                <c:ptCount val="1"/>
                <c:pt idx="0">
                  <c:v>Alternative 1 spend</c:v>
                </c:pt>
              </c:strCache>
            </c:strRef>
          </c:tx>
          <c:spPr>
            <a:solidFill>
              <a:srgbClr val="2a78d6"/>
            </a:solidFill>
            <a:ln w="0">
              <a:solidFill>
                <a:srgbClr val="2a78d6"/>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Summary!$X$41:$X$71</c:f>
              <c:strCache>
                <c:ptCount val="31"/>
                <c:pt idx="0">
                  <c:v>2028</c:v>
                </c:pt>
                <c:pt idx="1">
                  <c:v>2029</c:v>
                </c:pt>
                <c:pt idx="2">
                  <c:v>2030</c:v>
                </c:pt>
                <c:pt idx="3">
                  <c:v>2031</c:v>
                </c:pt>
                <c:pt idx="4">
                  <c:v>2032</c:v>
                </c:pt>
                <c:pt idx="5">
                  <c:v>2033</c:v>
                </c:pt>
                <c:pt idx="6">
                  <c:v>2034</c:v>
                </c:pt>
                <c:pt idx="7">
                  <c:v>2035</c:v>
                </c:pt>
                <c:pt idx="8">
                  <c:v>2036</c:v>
                </c:pt>
                <c:pt idx="9">
                  <c:v>2037</c:v>
                </c:pt>
                <c:pt idx="10">
                  <c:v>2038</c:v>
                </c:pt>
                <c:pt idx="11">
                  <c:v>2039</c:v>
                </c:pt>
                <c:pt idx="12">
                  <c:v>2040</c:v>
                </c:pt>
                <c:pt idx="13">
                  <c:v>2041</c:v>
                </c:pt>
                <c:pt idx="14">
                  <c:v>2042</c:v>
                </c:pt>
                <c:pt idx="15">
                  <c:v>2043</c:v>
                </c:pt>
                <c:pt idx="16">
                  <c:v>2044</c:v>
                </c:pt>
                <c:pt idx="17">
                  <c:v>2045</c:v>
                </c:pt>
                <c:pt idx="18">
                  <c:v>2046</c:v>
                </c:pt>
                <c:pt idx="19">
                  <c:v>2047</c:v>
                </c:pt>
                <c:pt idx="20">
                  <c:v>2048</c:v>
                </c:pt>
                <c:pt idx="21">
                  <c:v>2049</c:v>
                </c:pt>
                <c:pt idx="22">
                  <c:v>2050</c:v>
                </c:pt>
                <c:pt idx="23">
                  <c:v>2051</c:v>
                </c:pt>
                <c:pt idx="24">
                  <c:v>2052</c:v>
                </c:pt>
                <c:pt idx="25">
                  <c:v>2053</c:v>
                </c:pt>
                <c:pt idx="26">
                  <c:v>2054</c:v>
                </c:pt>
                <c:pt idx="27">
                  <c:v>2055</c:v>
                </c:pt>
                <c:pt idx="28">
                  <c:v>2056</c:v>
                </c:pt>
                <c:pt idx="29">
                  <c:v>2057</c:v>
                </c:pt>
                <c:pt idx="30">
                  <c:v>2058</c:v>
                </c:pt>
              </c:strCache>
            </c:strRef>
          </c:cat>
          <c:val>
            <c:numRef>
              <c:f>Summary!$Y$41:$Y$71</c:f>
              <c:numCache>
                <c:formatCode>\$#,##0;"($"#,##0\);\-</c:formatCode>
                <c:ptCount val="31"/>
                <c:pt idx="0">
                  <c:v>4285511.8</c:v>
                </c:pt>
                <c:pt idx="1">
                  <c:v>0</c:v>
                </c:pt>
                <c:pt idx="2">
                  <c:v>0</c:v>
                </c:pt>
                <c:pt idx="3">
                  <c:v>0</c:v>
                </c:pt>
                <c:pt idx="4">
                  <c:v>263642.153333333</c:v>
                </c:pt>
                <c:pt idx="5">
                  <c:v>0</c:v>
                </c:pt>
                <c:pt idx="6">
                  <c:v>0</c:v>
                </c:pt>
                <c:pt idx="7">
                  <c:v>0</c:v>
                </c:pt>
                <c:pt idx="8">
                  <c:v>263642.153333333</c:v>
                </c:pt>
                <c:pt idx="9">
                  <c:v>0</c:v>
                </c:pt>
                <c:pt idx="10">
                  <c:v>0</c:v>
                </c:pt>
                <c:pt idx="11">
                  <c:v>0</c:v>
                </c:pt>
                <c:pt idx="12">
                  <c:v>366534.246770833</c:v>
                </c:pt>
                <c:pt idx="13">
                  <c:v>0</c:v>
                </c:pt>
                <c:pt idx="14">
                  <c:v>0</c:v>
                </c:pt>
                <c:pt idx="15">
                  <c:v>0</c:v>
                </c:pt>
                <c:pt idx="16">
                  <c:v>381374.529583333</c:v>
                </c:pt>
                <c:pt idx="17">
                  <c:v>0</c:v>
                </c:pt>
                <c:pt idx="18">
                  <c:v>0</c:v>
                </c:pt>
                <c:pt idx="19">
                  <c:v>0</c:v>
                </c:pt>
                <c:pt idx="20">
                  <c:v>1244765.230125</c:v>
                </c:pt>
                <c:pt idx="21">
                  <c:v>0</c:v>
                </c:pt>
                <c:pt idx="22">
                  <c:v>0</c:v>
                </c:pt>
                <c:pt idx="23">
                  <c:v>0</c:v>
                </c:pt>
                <c:pt idx="24">
                  <c:v>263642.153333333</c:v>
                </c:pt>
                <c:pt idx="25">
                  <c:v>0</c:v>
                </c:pt>
                <c:pt idx="26">
                  <c:v>0</c:v>
                </c:pt>
                <c:pt idx="27">
                  <c:v>0</c:v>
                </c:pt>
                <c:pt idx="28">
                  <c:v>400963.702895833</c:v>
                </c:pt>
                <c:pt idx="29">
                  <c:v>0</c:v>
                </c:pt>
                <c:pt idx="30">
                  <c:v>-438220.818796875</c:v>
                </c:pt>
              </c:numCache>
            </c:numRef>
          </c:val>
        </c:ser>
        <c:ser>
          <c:idx val="1"/>
          <c:order val="1"/>
          <c:tx>
            <c:strRef>
              <c:f>Summary!Z40</c:f>
              <c:strCache>
                <c:ptCount val="1"/>
                <c:pt idx="0">
                  <c:v>Alternative 2 spend</c:v>
                </c:pt>
              </c:strCache>
            </c:strRef>
          </c:tx>
          <c:spPr>
            <a:solidFill>
              <a:srgbClr val="eb6834"/>
            </a:solidFill>
            <a:ln w="0">
              <a:solidFill>
                <a:srgbClr val="eb6834"/>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Summary!$X$41:$X$71</c:f>
              <c:strCache>
                <c:ptCount val="31"/>
                <c:pt idx="0">
                  <c:v>2028</c:v>
                </c:pt>
                <c:pt idx="1">
                  <c:v>2029</c:v>
                </c:pt>
                <c:pt idx="2">
                  <c:v>2030</c:v>
                </c:pt>
                <c:pt idx="3">
                  <c:v>2031</c:v>
                </c:pt>
                <c:pt idx="4">
                  <c:v>2032</c:v>
                </c:pt>
                <c:pt idx="5">
                  <c:v>2033</c:v>
                </c:pt>
                <c:pt idx="6">
                  <c:v>2034</c:v>
                </c:pt>
                <c:pt idx="7">
                  <c:v>2035</c:v>
                </c:pt>
                <c:pt idx="8">
                  <c:v>2036</c:v>
                </c:pt>
                <c:pt idx="9">
                  <c:v>2037</c:v>
                </c:pt>
                <c:pt idx="10">
                  <c:v>2038</c:v>
                </c:pt>
                <c:pt idx="11">
                  <c:v>2039</c:v>
                </c:pt>
                <c:pt idx="12">
                  <c:v>2040</c:v>
                </c:pt>
                <c:pt idx="13">
                  <c:v>2041</c:v>
                </c:pt>
                <c:pt idx="14">
                  <c:v>2042</c:v>
                </c:pt>
                <c:pt idx="15">
                  <c:v>2043</c:v>
                </c:pt>
                <c:pt idx="16">
                  <c:v>2044</c:v>
                </c:pt>
                <c:pt idx="17">
                  <c:v>2045</c:v>
                </c:pt>
                <c:pt idx="18">
                  <c:v>2046</c:v>
                </c:pt>
                <c:pt idx="19">
                  <c:v>2047</c:v>
                </c:pt>
                <c:pt idx="20">
                  <c:v>2048</c:v>
                </c:pt>
                <c:pt idx="21">
                  <c:v>2049</c:v>
                </c:pt>
                <c:pt idx="22">
                  <c:v>2050</c:v>
                </c:pt>
                <c:pt idx="23">
                  <c:v>2051</c:v>
                </c:pt>
                <c:pt idx="24">
                  <c:v>2052</c:v>
                </c:pt>
                <c:pt idx="25">
                  <c:v>2053</c:v>
                </c:pt>
                <c:pt idx="26">
                  <c:v>2054</c:v>
                </c:pt>
                <c:pt idx="27">
                  <c:v>2055</c:v>
                </c:pt>
                <c:pt idx="28">
                  <c:v>2056</c:v>
                </c:pt>
                <c:pt idx="29">
                  <c:v>2057</c:v>
                </c:pt>
                <c:pt idx="30">
                  <c:v>2058</c:v>
                </c:pt>
              </c:strCache>
            </c:strRef>
          </c:cat>
          <c:val>
            <c:numRef>
              <c:f>Summary!$Z$41:$Z$71</c:f>
              <c:numCache>
                <c:formatCode>\$#,##0;"($"#,##0\);\-</c:formatCode>
                <c:ptCount val="31"/>
                <c:pt idx="0">
                  <c:v>5918906.25</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674182.0184</c:v>
                </c:pt>
                <c:pt idx="20">
                  <c:v>0</c:v>
                </c:pt>
                <c:pt idx="21">
                  <c:v>0</c:v>
                </c:pt>
                <c:pt idx="22">
                  <c:v>0</c:v>
                </c:pt>
                <c:pt idx="23">
                  <c:v>0</c:v>
                </c:pt>
                <c:pt idx="24">
                  <c:v>0</c:v>
                </c:pt>
                <c:pt idx="25">
                  <c:v>0</c:v>
                </c:pt>
                <c:pt idx="26">
                  <c:v>0</c:v>
                </c:pt>
                <c:pt idx="27">
                  <c:v>825141.8346</c:v>
                </c:pt>
                <c:pt idx="28">
                  <c:v>0</c:v>
                </c:pt>
                <c:pt idx="29">
                  <c:v>0</c:v>
                </c:pt>
                <c:pt idx="30">
                  <c:v>-1479726.5625</c:v>
                </c:pt>
              </c:numCache>
            </c:numRef>
          </c:val>
        </c:ser>
        <c:ser>
          <c:idx val="2"/>
          <c:order val="2"/>
          <c:tx>
            <c:strRef>
              <c:f>Summary!AA40</c:f>
              <c:strCache>
                <c:ptCount val="1"/>
                <c:pt idx="0">
                  <c:v>Alternative 3 spend</c:v>
                </c:pt>
              </c:strCache>
            </c:strRef>
          </c:tx>
          <c:spPr>
            <a:solidFill>
              <a:srgbClr val="6da7ec"/>
            </a:solidFill>
            <a:ln w="0">
              <a:solidFill>
                <a:srgbClr val="6da7ec"/>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Summary!$X$41:$X$71</c:f>
              <c:strCache>
                <c:ptCount val="31"/>
                <c:pt idx="0">
                  <c:v>2028</c:v>
                </c:pt>
                <c:pt idx="1">
                  <c:v>2029</c:v>
                </c:pt>
                <c:pt idx="2">
                  <c:v>2030</c:v>
                </c:pt>
                <c:pt idx="3">
                  <c:v>2031</c:v>
                </c:pt>
                <c:pt idx="4">
                  <c:v>2032</c:v>
                </c:pt>
                <c:pt idx="5">
                  <c:v>2033</c:v>
                </c:pt>
                <c:pt idx="6">
                  <c:v>2034</c:v>
                </c:pt>
                <c:pt idx="7">
                  <c:v>2035</c:v>
                </c:pt>
                <c:pt idx="8">
                  <c:v>2036</c:v>
                </c:pt>
                <c:pt idx="9">
                  <c:v>2037</c:v>
                </c:pt>
                <c:pt idx="10">
                  <c:v>2038</c:v>
                </c:pt>
                <c:pt idx="11">
                  <c:v>2039</c:v>
                </c:pt>
                <c:pt idx="12">
                  <c:v>2040</c:v>
                </c:pt>
                <c:pt idx="13">
                  <c:v>2041</c:v>
                </c:pt>
                <c:pt idx="14">
                  <c:v>2042</c:v>
                </c:pt>
                <c:pt idx="15">
                  <c:v>2043</c:v>
                </c:pt>
                <c:pt idx="16">
                  <c:v>2044</c:v>
                </c:pt>
                <c:pt idx="17">
                  <c:v>2045</c:v>
                </c:pt>
                <c:pt idx="18">
                  <c:v>2046</c:v>
                </c:pt>
                <c:pt idx="19">
                  <c:v>2047</c:v>
                </c:pt>
                <c:pt idx="20">
                  <c:v>2048</c:v>
                </c:pt>
                <c:pt idx="21">
                  <c:v>2049</c:v>
                </c:pt>
                <c:pt idx="22">
                  <c:v>2050</c:v>
                </c:pt>
                <c:pt idx="23">
                  <c:v>2051</c:v>
                </c:pt>
                <c:pt idx="24">
                  <c:v>2052</c:v>
                </c:pt>
                <c:pt idx="25">
                  <c:v>2053</c:v>
                </c:pt>
                <c:pt idx="26">
                  <c:v>2054</c:v>
                </c:pt>
                <c:pt idx="27">
                  <c:v>2055</c:v>
                </c:pt>
                <c:pt idx="28">
                  <c:v>2056</c:v>
                </c:pt>
                <c:pt idx="29">
                  <c:v>2057</c:v>
                </c:pt>
                <c:pt idx="30">
                  <c:v>2058</c:v>
                </c:pt>
              </c:strCache>
            </c:strRef>
          </c:cat>
          <c:val>
            <c:numRef>
              <c:f>Summary!$AA$41:$AA$71</c:f>
              <c:numCache>
                <c:formatCode>\$#,##0;"($"#,##0\);\-</c:formatCode>
                <c:ptCount val="31"/>
                <c:pt idx="0">
                  <c:v>5681473.8</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674182.0184</c:v>
                </c:pt>
                <c:pt idx="20">
                  <c:v>0</c:v>
                </c:pt>
                <c:pt idx="21">
                  <c:v>0</c:v>
                </c:pt>
                <c:pt idx="22">
                  <c:v>0</c:v>
                </c:pt>
                <c:pt idx="23">
                  <c:v>0</c:v>
                </c:pt>
                <c:pt idx="24">
                  <c:v>0</c:v>
                </c:pt>
                <c:pt idx="25">
                  <c:v>0</c:v>
                </c:pt>
                <c:pt idx="26">
                  <c:v>0</c:v>
                </c:pt>
                <c:pt idx="27">
                  <c:v>825141.8346</c:v>
                </c:pt>
                <c:pt idx="28">
                  <c:v>0</c:v>
                </c:pt>
                <c:pt idx="29">
                  <c:v>0</c:v>
                </c:pt>
                <c:pt idx="30">
                  <c:v>-1420368.45</c:v>
                </c:pt>
              </c:numCache>
            </c:numRef>
          </c:val>
        </c:ser>
        <c:ser>
          <c:idx val="3"/>
          <c:order val="3"/>
          <c:tx>
            <c:strRef>
              <c:f>Summary!AB40</c:f>
              <c:strCache>
                <c:ptCount val="1"/>
                <c:pt idx="0">
                  <c:v> </c:v>
                </c:pt>
              </c:strCache>
            </c:strRef>
          </c:tx>
          <c:spPr>
            <a:solidFill>
              <a:srgbClr val="f39c7a"/>
            </a:solidFill>
            <a:ln w="0">
              <a:solidFill>
                <a:srgbClr val="f39c7a"/>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Summary!$X$41:$X$71</c:f>
              <c:strCache>
                <c:ptCount val="31"/>
                <c:pt idx="0">
                  <c:v>2028</c:v>
                </c:pt>
                <c:pt idx="1">
                  <c:v>2029</c:v>
                </c:pt>
                <c:pt idx="2">
                  <c:v>2030</c:v>
                </c:pt>
                <c:pt idx="3">
                  <c:v>2031</c:v>
                </c:pt>
                <c:pt idx="4">
                  <c:v>2032</c:v>
                </c:pt>
                <c:pt idx="5">
                  <c:v>2033</c:v>
                </c:pt>
                <c:pt idx="6">
                  <c:v>2034</c:v>
                </c:pt>
                <c:pt idx="7">
                  <c:v>2035</c:v>
                </c:pt>
                <c:pt idx="8">
                  <c:v>2036</c:v>
                </c:pt>
                <c:pt idx="9">
                  <c:v>2037</c:v>
                </c:pt>
                <c:pt idx="10">
                  <c:v>2038</c:v>
                </c:pt>
                <c:pt idx="11">
                  <c:v>2039</c:v>
                </c:pt>
                <c:pt idx="12">
                  <c:v>2040</c:v>
                </c:pt>
                <c:pt idx="13">
                  <c:v>2041</c:v>
                </c:pt>
                <c:pt idx="14">
                  <c:v>2042</c:v>
                </c:pt>
                <c:pt idx="15">
                  <c:v>2043</c:v>
                </c:pt>
                <c:pt idx="16">
                  <c:v>2044</c:v>
                </c:pt>
                <c:pt idx="17">
                  <c:v>2045</c:v>
                </c:pt>
                <c:pt idx="18">
                  <c:v>2046</c:v>
                </c:pt>
                <c:pt idx="19">
                  <c:v>2047</c:v>
                </c:pt>
                <c:pt idx="20">
                  <c:v>2048</c:v>
                </c:pt>
                <c:pt idx="21">
                  <c:v>2049</c:v>
                </c:pt>
                <c:pt idx="22">
                  <c:v>2050</c:v>
                </c:pt>
                <c:pt idx="23">
                  <c:v>2051</c:v>
                </c:pt>
                <c:pt idx="24">
                  <c:v>2052</c:v>
                </c:pt>
                <c:pt idx="25">
                  <c:v>2053</c:v>
                </c:pt>
                <c:pt idx="26">
                  <c:v>2054</c:v>
                </c:pt>
                <c:pt idx="27">
                  <c:v>2055</c:v>
                </c:pt>
                <c:pt idx="28">
                  <c:v>2056</c:v>
                </c:pt>
                <c:pt idx="29">
                  <c:v>2057</c:v>
                </c:pt>
                <c:pt idx="30">
                  <c:v>2058</c:v>
                </c:pt>
              </c:strCache>
            </c:strRef>
          </c:cat>
          <c:val>
            <c:numRef>
              <c:f>Summary!$AB$41:$AB$71</c:f>
              <c:numCache>
                <c:formatCod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er>
        <c:gapWidth val="40"/>
        <c:overlap val="0"/>
        <c:axId val="93057659"/>
        <c:axId val="60608518"/>
      </c:barChart>
      <c:catAx>
        <c:axId val="93057659"/>
        <c:scaling>
          <c:orientation val="minMax"/>
        </c:scaling>
        <c:delete val="0"/>
        <c:axPos val="b"/>
        <c:numFmt formatCode="General" sourceLinked="1"/>
        <c:majorTickMark val="none"/>
        <c:minorTickMark val="none"/>
        <c:tickLblPos val="low"/>
        <c:spPr>
          <a:ln w="6480">
            <a:solidFill>
              <a:srgbClr val="8b8b8b"/>
            </a:solidFill>
            <a:round/>
          </a:ln>
        </c:spPr>
        <c:txPr>
          <a:bodyPr/>
          <a:lstStyle/>
          <a:p>
            <a:pPr>
              <a:defRPr b="0" sz="700" spc="-1" strike="noStrike">
                <a:solidFill>
                  <a:srgbClr val="000000"/>
                </a:solidFill>
                <a:latin typeface="Calibri"/>
              </a:defRPr>
            </a:pPr>
          </a:p>
        </c:txPr>
        <c:crossAx val="60608518"/>
        <c:crosses val="autoZero"/>
        <c:auto val="1"/>
        <c:lblAlgn val="ctr"/>
        <c:lblOffset val="100"/>
        <c:noMultiLvlLbl val="0"/>
      </c:catAx>
      <c:valAx>
        <c:axId val="60608518"/>
        <c:scaling>
          <c:orientation val="minMax"/>
        </c:scaling>
        <c:delete val="0"/>
        <c:axPos val="l"/>
        <c:numFmt formatCode="\$#,##0.0,,\M" sourceLinked="0"/>
        <c:majorTickMark val="none"/>
        <c:minorTickMark val="none"/>
        <c:tickLblPos val="nextTo"/>
        <c:spPr>
          <a:ln w="6480">
            <a:solidFill>
              <a:srgbClr val="8b8b8b"/>
            </a:solidFill>
            <a:round/>
          </a:ln>
        </c:spPr>
        <c:txPr>
          <a:bodyPr/>
          <a:lstStyle/>
          <a:p>
            <a:pPr>
              <a:defRPr b="0" sz="700" spc="-1" strike="noStrike">
                <a:solidFill>
                  <a:srgbClr val="000000"/>
                </a:solidFill>
                <a:latin typeface="Calibri"/>
              </a:defRPr>
            </a:pPr>
          </a:p>
        </c:txPr>
        <c:crossAx val="93057659"/>
        <c:crosses val="autoZero"/>
        <c:crossBetween val="between"/>
      </c:valAx>
      <c:spPr>
        <a:noFill/>
        <a:ln w="0">
          <a:noFill/>
        </a:ln>
      </c:spPr>
    </c:plotArea>
    <c:legend>
      <c:legendPos val="b"/>
      <c:overlay val="0"/>
      <c:spPr>
        <a:noFill/>
        <a:ln w="0">
          <a:noFill/>
        </a:ln>
      </c:spPr>
      <c:txPr>
        <a:bodyPr/>
        <a:lstStyle/>
        <a:p>
          <a:pPr>
            <a:defRPr b="0" sz="7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800" spc="-1" strike="noStrike">
                <a:solidFill>
                  <a:srgbClr val="000000"/>
                </a:solidFill>
                <a:latin typeface="Calibri"/>
              </a:defRPr>
            </a:pPr>
            <a:r>
              <a:rPr b="0" sz="800" spc="-1" strike="noStrike">
                <a:solidFill>
                  <a:srgbClr val="000000"/>
                </a:solidFill>
                <a:latin typeface="Calibri"/>
              </a:rPr>
              <a:t>4. Cumulative discounted cost</a:t>
            </a:r>
          </a:p>
        </c:rich>
      </c:tx>
      <c:overlay val="0"/>
      <c:spPr>
        <a:noFill/>
        <a:ln w="0">
          <a:noFill/>
        </a:ln>
      </c:spPr>
    </c:title>
    <c:autoTitleDeleted val="0"/>
    <c:plotArea>
      <c:layout>
        <c:manualLayout>
          <c:xMode val="edge"/>
          <c:yMode val="edge"/>
          <c:x val="0.0900264783759929"/>
          <c:y val="0.19"/>
          <c:w val="0.88992560837221"/>
          <c:h val="0.5598"/>
        </c:manualLayout>
      </c:layout>
      <c:lineChart>
        <c:grouping val="standard"/>
        <c:varyColors val="0"/>
        <c:ser>
          <c:idx val="0"/>
          <c:order val="0"/>
          <c:tx>
            <c:strRef>
              <c:f>Summary!AC40</c:f>
              <c:strCache>
                <c:ptCount val="1"/>
                <c:pt idx="0">
                  <c:v>Alternative 1 cumulative PW</c:v>
                </c:pt>
              </c:strCache>
            </c:strRef>
          </c:tx>
          <c:spPr>
            <a:solidFill>
              <a:srgbClr val="2a78d6"/>
            </a:solidFill>
            <a:ln w="21960">
              <a:solidFill>
                <a:srgbClr val="2a78d6"/>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Summary!$X$41:$X$71</c:f>
              <c:strCache>
                <c:ptCount val="31"/>
                <c:pt idx="0">
                  <c:v>2028</c:v>
                </c:pt>
                <c:pt idx="1">
                  <c:v>2029</c:v>
                </c:pt>
                <c:pt idx="2">
                  <c:v>2030</c:v>
                </c:pt>
                <c:pt idx="3">
                  <c:v>2031</c:v>
                </c:pt>
                <c:pt idx="4">
                  <c:v>2032</c:v>
                </c:pt>
                <c:pt idx="5">
                  <c:v>2033</c:v>
                </c:pt>
                <c:pt idx="6">
                  <c:v>2034</c:v>
                </c:pt>
                <c:pt idx="7">
                  <c:v>2035</c:v>
                </c:pt>
                <c:pt idx="8">
                  <c:v>2036</c:v>
                </c:pt>
                <c:pt idx="9">
                  <c:v>2037</c:v>
                </c:pt>
                <c:pt idx="10">
                  <c:v>2038</c:v>
                </c:pt>
                <c:pt idx="11">
                  <c:v>2039</c:v>
                </c:pt>
                <c:pt idx="12">
                  <c:v>2040</c:v>
                </c:pt>
                <c:pt idx="13">
                  <c:v>2041</c:v>
                </c:pt>
                <c:pt idx="14">
                  <c:v>2042</c:v>
                </c:pt>
                <c:pt idx="15">
                  <c:v>2043</c:v>
                </c:pt>
                <c:pt idx="16">
                  <c:v>2044</c:v>
                </c:pt>
                <c:pt idx="17">
                  <c:v>2045</c:v>
                </c:pt>
                <c:pt idx="18">
                  <c:v>2046</c:v>
                </c:pt>
                <c:pt idx="19">
                  <c:v>2047</c:v>
                </c:pt>
                <c:pt idx="20">
                  <c:v>2048</c:v>
                </c:pt>
                <c:pt idx="21">
                  <c:v>2049</c:v>
                </c:pt>
                <c:pt idx="22">
                  <c:v>2050</c:v>
                </c:pt>
                <c:pt idx="23">
                  <c:v>2051</c:v>
                </c:pt>
                <c:pt idx="24">
                  <c:v>2052</c:v>
                </c:pt>
                <c:pt idx="25">
                  <c:v>2053</c:v>
                </c:pt>
                <c:pt idx="26">
                  <c:v>2054</c:v>
                </c:pt>
                <c:pt idx="27">
                  <c:v>2055</c:v>
                </c:pt>
                <c:pt idx="28">
                  <c:v>2056</c:v>
                </c:pt>
                <c:pt idx="29">
                  <c:v>2057</c:v>
                </c:pt>
                <c:pt idx="30">
                  <c:v>2058</c:v>
                </c:pt>
              </c:strCache>
            </c:strRef>
          </c:cat>
          <c:val>
            <c:numRef>
              <c:f>Summary!$AC$41:$AC$71</c:f>
              <c:numCache>
                <c:formatCode>\$#,##0;"($"#,##0\);\-</c:formatCode>
                <c:ptCount val="31"/>
                <c:pt idx="0">
                  <c:v>4285511.8</c:v>
                </c:pt>
                <c:pt idx="1">
                  <c:v>4285511.8</c:v>
                </c:pt>
                <c:pt idx="2">
                  <c:v>4285511.8</c:v>
                </c:pt>
                <c:pt idx="3">
                  <c:v>4285511.8</c:v>
                </c:pt>
                <c:pt idx="4">
                  <c:v>4519754.43852127</c:v>
                </c:pt>
                <c:pt idx="5">
                  <c:v>4519754.43852127</c:v>
                </c:pt>
                <c:pt idx="6">
                  <c:v>4519754.43852127</c:v>
                </c:pt>
                <c:pt idx="7">
                  <c:v>4519754.43852127</c:v>
                </c:pt>
                <c:pt idx="8">
                  <c:v>4727875.98891701</c:v>
                </c:pt>
                <c:pt idx="9">
                  <c:v>4727875.98891701</c:v>
                </c:pt>
                <c:pt idx="10">
                  <c:v>4727875.98891701</c:v>
                </c:pt>
                <c:pt idx="11">
                  <c:v>4727875.98891701</c:v>
                </c:pt>
                <c:pt idx="12">
                  <c:v>4984955.73500376</c:v>
                </c:pt>
                <c:pt idx="13">
                  <c:v>4984955.73500376</c:v>
                </c:pt>
                <c:pt idx="14">
                  <c:v>4984955.73500376</c:v>
                </c:pt>
                <c:pt idx="15">
                  <c:v>4984955.73500376</c:v>
                </c:pt>
                <c:pt idx="16">
                  <c:v>5222615.73330072</c:v>
                </c:pt>
                <c:pt idx="17">
                  <c:v>5222615.73330072</c:v>
                </c:pt>
                <c:pt idx="18">
                  <c:v>5222615.73330072</c:v>
                </c:pt>
                <c:pt idx="19">
                  <c:v>5222615.73330072</c:v>
                </c:pt>
                <c:pt idx="20">
                  <c:v>5911812.0608751</c:v>
                </c:pt>
                <c:pt idx="21">
                  <c:v>5911812.0608751</c:v>
                </c:pt>
                <c:pt idx="22">
                  <c:v>5911812.0608751</c:v>
                </c:pt>
                <c:pt idx="23">
                  <c:v>5911812.0608751</c:v>
                </c:pt>
                <c:pt idx="24">
                  <c:v>6041506.53042096</c:v>
                </c:pt>
                <c:pt idx="25">
                  <c:v>6041506.53042096</c:v>
                </c:pt>
                <c:pt idx="26">
                  <c:v>6041506.53042096</c:v>
                </c:pt>
                <c:pt idx="27">
                  <c:v>6041506.53042096</c:v>
                </c:pt>
                <c:pt idx="28">
                  <c:v>6216758.44382187</c:v>
                </c:pt>
                <c:pt idx="29">
                  <c:v>6216758.44382187</c:v>
                </c:pt>
                <c:pt idx="30">
                  <c:v>6036217.26873333</c:v>
                </c:pt>
              </c:numCache>
            </c:numRef>
          </c:val>
          <c:smooth val="0"/>
        </c:ser>
        <c:ser>
          <c:idx val="1"/>
          <c:order val="1"/>
          <c:tx>
            <c:strRef>
              <c:f>Summary!AD40</c:f>
              <c:strCache>
                <c:ptCount val="1"/>
                <c:pt idx="0">
                  <c:v>Alternative 2 cumulative PW</c:v>
                </c:pt>
              </c:strCache>
            </c:strRef>
          </c:tx>
          <c:spPr>
            <a:solidFill>
              <a:srgbClr val="eb6834"/>
            </a:solidFill>
            <a:ln w="21960">
              <a:solidFill>
                <a:srgbClr val="eb6834"/>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Summary!$X$41:$X$71</c:f>
              <c:strCache>
                <c:ptCount val="31"/>
                <c:pt idx="0">
                  <c:v>2028</c:v>
                </c:pt>
                <c:pt idx="1">
                  <c:v>2029</c:v>
                </c:pt>
                <c:pt idx="2">
                  <c:v>2030</c:v>
                </c:pt>
                <c:pt idx="3">
                  <c:v>2031</c:v>
                </c:pt>
                <c:pt idx="4">
                  <c:v>2032</c:v>
                </c:pt>
                <c:pt idx="5">
                  <c:v>2033</c:v>
                </c:pt>
                <c:pt idx="6">
                  <c:v>2034</c:v>
                </c:pt>
                <c:pt idx="7">
                  <c:v>2035</c:v>
                </c:pt>
                <c:pt idx="8">
                  <c:v>2036</c:v>
                </c:pt>
                <c:pt idx="9">
                  <c:v>2037</c:v>
                </c:pt>
                <c:pt idx="10">
                  <c:v>2038</c:v>
                </c:pt>
                <c:pt idx="11">
                  <c:v>2039</c:v>
                </c:pt>
                <c:pt idx="12">
                  <c:v>2040</c:v>
                </c:pt>
                <c:pt idx="13">
                  <c:v>2041</c:v>
                </c:pt>
                <c:pt idx="14">
                  <c:v>2042</c:v>
                </c:pt>
                <c:pt idx="15">
                  <c:v>2043</c:v>
                </c:pt>
                <c:pt idx="16">
                  <c:v>2044</c:v>
                </c:pt>
                <c:pt idx="17">
                  <c:v>2045</c:v>
                </c:pt>
                <c:pt idx="18">
                  <c:v>2046</c:v>
                </c:pt>
                <c:pt idx="19">
                  <c:v>2047</c:v>
                </c:pt>
                <c:pt idx="20">
                  <c:v>2048</c:v>
                </c:pt>
                <c:pt idx="21">
                  <c:v>2049</c:v>
                </c:pt>
                <c:pt idx="22">
                  <c:v>2050</c:v>
                </c:pt>
                <c:pt idx="23">
                  <c:v>2051</c:v>
                </c:pt>
                <c:pt idx="24">
                  <c:v>2052</c:v>
                </c:pt>
                <c:pt idx="25">
                  <c:v>2053</c:v>
                </c:pt>
                <c:pt idx="26">
                  <c:v>2054</c:v>
                </c:pt>
                <c:pt idx="27">
                  <c:v>2055</c:v>
                </c:pt>
                <c:pt idx="28">
                  <c:v>2056</c:v>
                </c:pt>
                <c:pt idx="29">
                  <c:v>2057</c:v>
                </c:pt>
                <c:pt idx="30">
                  <c:v>2058</c:v>
                </c:pt>
              </c:strCache>
            </c:strRef>
          </c:cat>
          <c:val>
            <c:numRef>
              <c:f>Summary!$AD$41:$AD$71</c:f>
              <c:numCache>
                <c:formatCode>\$#,##0;"($"#,##0\);\-</c:formatCode>
                <c:ptCount val="31"/>
                <c:pt idx="0">
                  <c:v>5918906.25</c:v>
                </c:pt>
                <c:pt idx="1">
                  <c:v>5918906.25</c:v>
                </c:pt>
                <c:pt idx="2">
                  <c:v>5918906.25</c:v>
                </c:pt>
                <c:pt idx="3">
                  <c:v>5918906.25</c:v>
                </c:pt>
                <c:pt idx="4">
                  <c:v>5918906.25</c:v>
                </c:pt>
                <c:pt idx="5">
                  <c:v>5918906.25</c:v>
                </c:pt>
                <c:pt idx="6">
                  <c:v>5918906.25</c:v>
                </c:pt>
                <c:pt idx="7">
                  <c:v>5918906.25</c:v>
                </c:pt>
                <c:pt idx="8">
                  <c:v>5918906.25</c:v>
                </c:pt>
                <c:pt idx="9">
                  <c:v>5918906.25</c:v>
                </c:pt>
                <c:pt idx="10">
                  <c:v>5918906.25</c:v>
                </c:pt>
                <c:pt idx="11">
                  <c:v>5918906.25</c:v>
                </c:pt>
                <c:pt idx="12">
                  <c:v>5918906.25</c:v>
                </c:pt>
                <c:pt idx="13">
                  <c:v>5918906.25</c:v>
                </c:pt>
                <c:pt idx="14">
                  <c:v>5918906.25</c:v>
                </c:pt>
                <c:pt idx="15">
                  <c:v>5918906.25</c:v>
                </c:pt>
                <c:pt idx="16">
                  <c:v>5918906.25</c:v>
                </c:pt>
                <c:pt idx="17">
                  <c:v>5918906.25</c:v>
                </c:pt>
                <c:pt idx="18">
                  <c:v>5918906.25</c:v>
                </c:pt>
                <c:pt idx="19">
                  <c:v>6303382.83462138</c:v>
                </c:pt>
                <c:pt idx="20">
                  <c:v>6303382.83462138</c:v>
                </c:pt>
                <c:pt idx="21">
                  <c:v>6303382.83462138</c:v>
                </c:pt>
                <c:pt idx="22">
                  <c:v>6303382.83462138</c:v>
                </c:pt>
                <c:pt idx="23">
                  <c:v>6303382.83462138</c:v>
                </c:pt>
                <c:pt idx="24">
                  <c:v>6303382.83462138</c:v>
                </c:pt>
                <c:pt idx="25">
                  <c:v>6303382.83462138</c:v>
                </c:pt>
                <c:pt idx="26">
                  <c:v>6303382.83462138</c:v>
                </c:pt>
                <c:pt idx="27">
                  <c:v>6674852.6580126</c:v>
                </c:pt>
                <c:pt idx="28">
                  <c:v>6674852.6580126</c:v>
                </c:pt>
                <c:pt idx="29">
                  <c:v>6674852.6580126</c:v>
                </c:pt>
                <c:pt idx="30">
                  <c:v>6065224.90655861</c:v>
                </c:pt>
              </c:numCache>
            </c:numRef>
          </c:val>
          <c:smooth val="0"/>
        </c:ser>
        <c:ser>
          <c:idx val="2"/>
          <c:order val="2"/>
          <c:tx>
            <c:strRef>
              <c:f>Summary!AE40</c:f>
              <c:strCache>
                <c:ptCount val="1"/>
                <c:pt idx="0">
                  <c:v>Alternative 3 cumulative PW</c:v>
                </c:pt>
              </c:strCache>
            </c:strRef>
          </c:tx>
          <c:spPr>
            <a:solidFill>
              <a:srgbClr val="6da7ec"/>
            </a:solidFill>
            <a:ln w="21960">
              <a:solidFill>
                <a:srgbClr val="6da7ec"/>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Summary!$X$41:$X$71</c:f>
              <c:strCache>
                <c:ptCount val="31"/>
                <c:pt idx="0">
                  <c:v>2028</c:v>
                </c:pt>
                <c:pt idx="1">
                  <c:v>2029</c:v>
                </c:pt>
                <c:pt idx="2">
                  <c:v>2030</c:v>
                </c:pt>
                <c:pt idx="3">
                  <c:v>2031</c:v>
                </c:pt>
                <c:pt idx="4">
                  <c:v>2032</c:v>
                </c:pt>
                <c:pt idx="5">
                  <c:v>2033</c:v>
                </c:pt>
                <c:pt idx="6">
                  <c:v>2034</c:v>
                </c:pt>
                <c:pt idx="7">
                  <c:v>2035</c:v>
                </c:pt>
                <c:pt idx="8">
                  <c:v>2036</c:v>
                </c:pt>
                <c:pt idx="9">
                  <c:v>2037</c:v>
                </c:pt>
                <c:pt idx="10">
                  <c:v>2038</c:v>
                </c:pt>
                <c:pt idx="11">
                  <c:v>2039</c:v>
                </c:pt>
                <c:pt idx="12">
                  <c:v>2040</c:v>
                </c:pt>
                <c:pt idx="13">
                  <c:v>2041</c:v>
                </c:pt>
                <c:pt idx="14">
                  <c:v>2042</c:v>
                </c:pt>
                <c:pt idx="15">
                  <c:v>2043</c:v>
                </c:pt>
                <c:pt idx="16">
                  <c:v>2044</c:v>
                </c:pt>
                <c:pt idx="17">
                  <c:v>2045</c:v>
                </c:pt>
                <c:pt idx="18">
                  <c:v>2046</c:v>
                </c:pt>
                <c:pt idx="19">
                  <c:v>2047</c:v>
                </c:pt>
                <c:pt idx="20">
                  <c:v>2048</c:v>
                </c:pt>
                <c:pt idx="21">
                  <c:v>2049</c:v>
                </c:pt>
                <c:pt idx="22">
                  <c:v>2050</c:v>
                </c:pt>
                <c:pt idx="23">
                  <c:v>2051</c:v>
                </c:pt>
                <c:pt idx="24">
                  <c:v>2052</c:v>
                </c:pt>
                <c:pt idx="25">
                  <c:v>2053</c:v>
                </c:pt>
                <c:pt idx="26">
                  <c:v>2054</c:v>
                </c:pt>
                <c:pt idx="27">
                  <c:v>2055</c:v>
                </c:pt>
                <c:pt idx="28">
                  <c:v>2056</c:v>
                </c:pt>
                <c:pt idx="29">
                  <c:v>2057</c:v>
                </c:pt>
                <c:pt idx="30">
                  <c:v>2058</c:v>
                </c:pt>
              </c:strCache>
            </c:strRef>
          </c:cat>
          <c:val>
            <c:numRef>
              <c:f>Summary!$AE$41:$AE$71</c:f>
              <c:numCache>
                <c:formatCode>\$#,##0;"($"#,##0\);\-</c:formatCode>
                <c:ptCount val="31"/>
                <c:pt idx="0">
                  <c:v>5681473.8</c:v>
                </c:pt>
                <c:pt idx="1">
                  <c:v>5681473.8</c:v>
                </c:pt>
                <c:pt idx="2">
                  <c:v>5681473.8</c:v>
                </c:pt>
                <c:pt idx="3">
                  <c:v>5681473.8</c:v>
                </c:pt>
                <c:pt idx="4">
                  <c:v>5681473.8</c:v>
                </c:pt>
                <c:pt idx="5">
                  <c:v>5681473.8</c:v>
                </c:pt>
                <c:pt idx="6">
                  <c:v>5681473.8</c:v>
                </c:pt>
                <c:pt idx="7">
                  <c:v>5681473.8</c:v>
                </c:pt>
                <c:pt idx="8">
                  <c:v>5681473.8</c:v>
                </c:pt>
                <c:pt idx="9">
                  <c:v>5681473.8</c:v>
                </c:pt>
                <c:pt idx="10">
                  <c:v>5681473.8</c:v>
                </c:pt>
                <c:pt idx="11">
                  <c:v>5681473.8</c:v>
                </c:pt>
                <c:pt idx="12">
                  <c:v>5681473.8</c:v>
                </c:pt>
                <c:pt idx="13">
                  <c:v>5681473.8</c:v>
                </c:pt>
                <c:pt idx="14">
                  <c:v>5681473.8</c:v>
                </c:pt>
                <c:pt idx="15">
                  <c:v>5681473.8</c:v>
                </c:pt>
                <c:pt idx="16">
                  <c:v>5681473.8</c:v>
                </c:pt>
                <c:pt idx="17">
                  <c:v>5681473.8</c:v>
                </c:pt>
                <c:pt idx="18">
                  <c:v>5681473.8</c:v>
                </c:pt>
                <c:pt idx="19">
                  <c:v>6065950.38462138</c:v>
                </c:pt>
                <c:pt idx="20">
                  <c:v>6065950.38462138</c:v>
                </c:pt>
                <c:pt idx="21">
                  <c:v>6065950.38462138</c:v>
                </c:pt>
                <c:pt idx="22">
                  <c:v>6065950.38462138</c:v>
                </c:pt>
                <c:pt idx="23">
                  <c:v>6065950.38462138</c:v>
                </c:pt>
                <c:pt idx="24">
                  <c:v>6065950.38462138</c:v>
                </c:pt>
                <c:pt idx="25">
                  <c:v>6065950.38462138</c:v>
                </c:pt>
                <c:pt idx="26">
                  <c:v>6065950.38462138</c:v>
                </c:pt>
                <c:pt idx="27">
                  <c:v>6437420.2080126</c:v>
                </c:pt>
                <c:pt idx="28">
                  <c:v>6437420.2080126</c:v>
                </c:pt>
                <c:pt idx="29">
                  <c:v>6437420.2080126</c:v>
                </c:pt>
                <c:pt idx="30">
                  <c:v>5852247.21297847</c:v>
                </c:pt>
              </c:numCache>
            </c:numRef>
          </c:val>
          <c:smooth val="0"/>
        </c:ser>
        <c:ser>
          <c:idx val="3"/>
          <c:order val="3"/>
          <c:tx>
            <c:strRef>
              <c:f>Summary!AF40</c:f>
              <c:strCache>
                <c:ptCount val="1"/>
                <c:pt idx="0">
                  <c:v> </c:v>
                </c:pt>
              </c:strCache>
            </c:strRef>
          </c:tx>
          <c:spPr>
            <a:solidFill>
              <a:srgbClr val="f39c7a"/>
            </a:solidFill>
            <a:ln w="21960">
              <a:solidFill>
                <a:srgbClr val="f39c7a"/>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Summary!$X$41:$X$71</c:f>
              <c:strCache>
                <c:ptCount val="31"/>
                <c:pt idx="0">
                  <c:v>2028</c:v>
                </c:pt>
                <c:pt idx="1">
                  <c:v>2029</c:v>
                </c:pt>
                <c:pt idx="2">
                  <c:v>2030</c:v>
                </c:pt>
                <c:pt idx="3">
                  <c:v>2031</c:v>
                </c:pt>
                <c:pt idx="4">
                  <c:v>2032</c:v>
                </c:pt>
                <c:pt idx="5">
                  <c:v>2033</c:v>
                </c:pt>
                <c:pt idx="6">
                  <c:v>2034</c:v>
                </c:pt>
                <c:pt idx="7">
                  <c:v>2035</c:v>
                </c:pt>
                <c:pt idx="8">
                  <c:v>2036</c:v>
                </c:pt>
                <c:pt idx="9">
                  <c:v>2037</c:v>
                </c:pt>
                <c:pt idx="10">
                  <c:v>2038</c:v>
                </c:pt>
                <c:pt idx="11">
                  <c:v>2039</c:v>
                </c:pt>
                <c:pt idx="12">
                  <c:v>2040</c:v>
                </c:pt>
                <c:pt idx="13">
                  <c:v>2041</c:v>
                </c:pt>
                <c:pt idx="14">
                  <c:v>2042</c:v>
                </c:pt>
                <c:pt idx="15">
                  <c:v>2043</c:v>
                </c:pt>
                <c:pt idx="16">
                  <c:v>2044</c:v>
                </c:pt>
                <c:pt idx="17">
                  <c:v>2045</c:v>
                </c:pt>
                <c:pt idx="18">
                  <c:v>2046</c:v>
                </c:pt>
                <c:pt idx="19">
                  <c:v>2047</c:v>
                </c:pt>
                <c:pt idx="20">
                  <c:v>2048</c:v>
                </c:pt>
                <c:pt idx="21">
                  <c:v>2049</c:v>
                </c:pt>
                <c:pt idx="22">
                  <c:v>2050</c:v>
                </c:pt>
                <c:pt idx="23">
                  <c:v>2051</c:v>
                </c:pt>
                <c:pt idx="24">
                  <c:v>2052</c:v>
                </c:pt>
                <c:pt idx="25">
                  <c:v>2053</c:v>
                </c:pt>
                <c:pt idx="26">
                  <c:v>2054</c:v>
                </c:pt>
                <c:pt idx="27">
                  <c:v>2055</c:v>
                </c:pt>
                <c:pt idx="28">
                  <c:v>2056</c:v>
                </c:pt>
                <c:pt idx="29">
                  <c:v>2057</c:v>
                </c:pt>
                <c:pt idx="30">
                  <c:v>2058</c:v>
                </c:pt>
              </c:strCache>
            </c:strRef>
          </c:cat>
          <c:val>
            <c:numRef>
              <c:f>Summary!$AF$41:$AF$71</c:f>
              <c:numCache>
                <c:formatCod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ser>
        <c:hiLowLines>
          <c:spPr>
            <a:ln w="0">
              <a:noFill/>
            </a:ln>
          </c:spPr>
        </c:hiLowLines>
        <c:marker val="0"/>
        <c:axId val="79208668"/>
        <c:axId val="1546679"/>
      </c:lineChart>
      <c:catAx>
        <c:axId val="79208668"/>
        <c:scaling>
          <c:orientation val="minMax"/>
        </c:scaling>
        <c:delete val="0"/>
        <c:axPos val="b"/>
        <c:numFmt formatCode="General" sourceLinked="1"/>
        <c:majorTickMark val="none"/>
        <c:minorTickMark val="none"/>
        <c:tickLblPos val="nextTo"/>
        <c:spPr>
          <a:ln w="6480">
            <a:solidFill>
              <a:srgbClr val="8b8b8b"/>
            </a:solidFill>
            <a:round/>
          </a:ln>
        </c:spPr>
        <c:txPr>
          <a:bodyPr/>
          <a:lstStyle/>
          <a:p>
            <a:pPr>
              <a:defRPr b="0" sz="700" spc="-1" strike="noStrike">
                <a:solidFill>
                  <a:srgbClr val="000000"/>
                </a:solidFill>
                <a:latin typeface="Calibri"/>
              </a:defRPr>
            </a:pPr>
          </a:p>
        </c:txPr>
        <c:crossAx val="1546679"/>
        <c:crosses val="autoZero"/>
        <c:auto val="1"/>
        <c:lblAlgn val="ctr"/>
        <c:lblOffset val="100"/>
        <c:noMultiLvlLbl val="0"/>
      </c:catAx>
      <c:valAx>
        <c:axId val="1546679"/>
        <c:scaling>
          <c:orientation val="minMax"/>
        </c:scaling>
        <c:delete val="0"/>
        <c:axPos val="l"/>
        <c:numFmt formatCode="\$#,##0.0,,\M" sourceLinked="0"/>
        <c:majorTickMark val="none"/>
        <c:minorTickMark val="none"/>
        <c:tickLblPos val="nextTo"/>
        <c:spPr>
          <a:ln w="6480">
            <a:solidFill>
              <a:srgbClr val="8b8b8b"/>
            </a:solidFill>
            <a:round/>
          </a:ln>
        </c:spPr>
        <c:txPr>
          <a:bodyPr/>
          <a:lstStyle/>
          <a:p>
            <a:pPr>
              <a:defRPr b="0" sz="700" spc="-1" strike="noStrike">
                <a:solidFill>
                  <a:srgbClr val="000000"/>
                </a:solidFill>
                <a:latin typeface="Calibri"/>
              </a:defRPr>
            </a:pPr>
          </a:p>
        </c:txPr>
        <c:crossAx val="79208668"/>
        <c:crosses val="autoZero"/>
        <c:crossBetween val="between"/>
      </c:valAx>
      <c:spPr>
        <a:noFill/>
        <a:ln w="0">
          <a:noFill/>
        </a:ln>
      </c:spPr>
    </c:plotArea>
    <c:legend>
      <c:legendPos val="b"/>
      <c:overlay val="0"/>
      <c:spPr>
        <a:noFill/>
        <a:ln w="0">
          <a:noFill/>
        </a:ln>
      </c:spPr>
      <c:txPr>
        <a:bodyPr/>
        <a:lstStyle/>
        <a:p>
          <a:pPr>
            <a:defRPr b="0" sz="7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800" spc="-1" strike="noStrike">
                <a:solidFill>
                  <a:srgbClr val="000000"/>
                </a:solidFill>
                <a:latin typeface="Calibri"/>
              </a:defRPr>
            </a:pPr>
            <a:r>
              <a:rPr b="0" sz="800" spc="-1" strike="noStrike">
                <a:solidFill>
                  <a:srgbClr val="000000"/>
                </a:solidFill>
                <a:latin typeface="Calibri"/>
              </a:rPr>
              <a:t>5. Runway closure days by year</a:t>
            </a:r>
          </a:p>
        </c:rich>
      </c:tx>
      <c:overlay val="0"/>
      <c:spPr>
        <a:noFill/>
        <a:ln w="0">
          <a:noFill/>
        </a:ln>
      </c:spPr>
    </c:title>
    <c:autoTitleDeleted val="0"/>
    <c:plotArea>
      <c:layout>
        <c:manualLayout>
          <c:xMode val="edge"/>
          <c:yMode val="edge"/>
          <c:x val="0.0900264783759929"/>
          <c:y val="0.19"/>
          <c:w val="0.88992560837221"/>
          <c:h val="0.5598"/>
        </c:manualLayout>
      </c:layout>
      <c:barChart>
        <c:barDir val="col"/>
        <c:grouping val="clustered"/>
        <c:varyColors val="0"/>
        <c:ser>
          <c:idx val="0"/>
          <c:order val="0"/>
          <c:tx>
            <c:strRef>
              <c:f>Summary!AG40</c:f>
              <c:strCache>
                <c:ptCount val="1"/>
                <c:pt idx="0">
                  <c:v>Alternative 1 closure days</c:v>
                </c:pt>
              </c:strCache>
            </c:strRef>
          </c:tx>
          <c:spPr>
            <a:solidFill>
              <a:srgbClr val="2a78d6"/>
            </a:solidFill>
            <a:ln w="0">
              <a:solidFill>
                <a:srgbClr val="2a78d6"/>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Summary!$X$41:$X$71</c:f>
              <c:strCache>
                <c:ptCount val="31"/>
                <c:pt idx="0">
                  <c:v>2028</c:v>
                </c:pt>
                <c:pt idx="1">
                  <c:v>2029</c:v>
                </c:pt>
                <c:pt idx="2">
                  <c:v>2030</c:v>
                </c:pt>
                <c:pt idx="3">
                  <c:v>2031</c:v>
                </c:pt>
                <c:pt idx="4">
                  <c:v>2032</c:v>
                </c:pt>
                <c:pt idx="5">
                  <c:v>2033</c:v>
                </c:pt>
                <c:pt idx="6">
                  <c:v>2034</c:v>
                </c:pt>
                <c:pt idx="7">
                  <c:v>2035</c:v>
                </c:pt>
                <c:pt idx="8">
                  <c:v>2036</c:v>
                </c:pt>
                <c:pt idx="9">
                  <c:v>2037</c:v>
                </c:pt>
                <c:pt idx="10">
                  <c:v>2038</c:v>
                </c:pt>
                <c:pt idx="11">
                  <c:v>2039</c:v>
                </c:pt>
                <c:pt idx="12">
                  <c:v>2040</c:v>
                </c:pt>
                <c:pt idx="13">
                  <c:v>2041</c:v>
                </c:pt>
                <c:pt idx="14">
                  <c:v>2042</c:v>
                </c:pt>
                <c:pt idx="15">
                  <c:v>2043</c:v>
                </c:pt>
                <c:pt idx="16">
                  <c:v>2044</c:v>
                </c:pt>
                <c:pt idx="17">
                  <c:v>2045</c:v>
                </c:pt>
                <c:pt idx="18">
                  <c:v>2046</c:v>
                </c:pt>
                <c:pt idx="19">
                  <c:v>2047</c:v>
                </c:pt>
                <c:pt idx="20">
                  <c:v>2048</c:v>
                </c:pt>
                <c:pt idx="21">
                  <c:v>2049</c:v>
                </c:pt>
                <c:pt idx="22">
                  <c:v>2050</c:v>
                </c:pt>
                <c:pt idx="23">
                  <c:v>2051</c:v>
                </c:pt>
                <c:pt idx="24">
                  <c:v>2052</c:v>
                </c:pt>
                <c:pt idx="25">
                  <c:v>2053</c:v>
                </c:pt>
                <c:pt idx="26">
                  <c:v>2054</c:v>
                </c:pt>
                <c:pt idx="27">
                  <c:v>2055</c:v>
                </c:pt>
                <c:pt idx="28">
                  <c:v>2056</c:v>
                </c:pt>
                <c:pt idx="29">
                  <c:v>2057</c:v>
                </c:pt>
                <c:pt idx="30">
                  <c:v>2058</c:v>
                </c:pt>
              </c:strCache>
            </c:strRef>
          </c:cat>
          <c:val>
            <c:numRef>
              <c:f>Summary!$AG$41:$AG$71</c:f>
              <c:numCache>
                <c:formatCode>0</c:formatCode>
                <c:ptCount val="31"/>
                <c:pt idx="0">
                  <c:v>0</c:v>
                </c:pt>
                <c:pt idx="1">
                  <c:v>0</c:v>
                </c:pt>
                <c:pt idx="2">
                  <c:v>0</c:v>
                </c:pt>
                <c:pt idx="3">
                  <c:v>0</c:v>
                </c:pt>
                <c:pt idx="4">
                  <c:v>6</c:v>
                </c:pt>
                <c:pt idx="5">
                  <c:v>0</c:v>
                </c:pt>
                <c:pt idx="6">
                  <c:v>0</c:v>
                </c:pt>
                <c:pt idx="7">
                  <c:v>0</c:v>
                </c:pt>
                <c:pt idx="8">
                  <c:v>6</c:v>
                </c:pt>
                <c:pt idx="9">
                  <c:v>0</c:v>
                </c:pt>
                <c:pt idx="10">
                  <c:v>0</c:v>
                </c:pt>
                <c:pt idx="11">
                  <c:v>0</c:v>
                </c:pt>
                <c:pt idx="12">
                  <c:v>8</c:v>
                </c:pt>
                <c:pt idx="13">
                  <c:v>0</c:v>
                </c:pt>
                <c:pt idx="14">
                  <c:v>0</c:v>
                </c:pt>
                <c:pt idx="15">
                  <c:v>0</c:v>
                </c:pt>
                <c:pt idx="16">
                  <c:v>8</c:v>
                </c:pt>
                <c:pt idx="17">
                  <c:v>0</c:v>
                </c:pt>
                <c:pt idx="18">
                  <c:v>0</c:v>
                </c:pt>
                <c:pt idx="19">
                  <c:v>0</c:v>
                </c:pt>
                <c:pt idx="20">
                  <c:v>14</c:v>
                </c:pt>
                <c:pt idx="21">
                  <c:v>0</c:v>
                </c:pt>
                <c:pt idx="22">
                  <c:v>0</c:v>
                </c:pt>
                <c:pt idx="23">
                  <c:v>0</c:v>
                </c:pt>
                <c:pt idx="24">
                  <c:v>6</c:v>
                </c:pt>
                <c:pt idx="25">
                  <c:v>0</c:v>
                </c:pt>
                <c:pt idx="26">
                  <c:v>0</c:v>
                </c:pt>
                <c:pt idx="27">
                  <c:v>0</c:v>
                </c:pt>
                <c:pt idx="28">
                  <c:v>8</c:v>
                </c:pt>
                <c:pt idx="29">
                  <c:v>0</c:v>
                </c:pt>
                <c:pt idx="30">
                  <c:v>0</c:v>
                </c:pt>
              </c:numCache>
            </c:numRef>
          </c:val>
        </c:ser>
        <c:ser>
          <c:idx val="1"/>
          <c:order val="1"/>
          <c:tx>
            <c:strRef>
              <c:f>Summary!AH40</c:f>
              <c:strCache>
                <c:ptCount val="1"/>
                <c:pt idx="0">
                  <c:v>Alternative 2 closure days</c:v>
                </c:pt>
              </c:strCache>
            </c:strRef>
          </c:tx>
          <c:spPr>
            <a:solidFill>
              <a:srgbClr val="eb6834"/>
            </a:solidFill>
            <a:ln w="0">
              <a:solidFill>
                <a:srgbClr val="eb6834"/>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Summary!$X$41:$X$71</c:f>
              <c:strCache>
                <c:ptCount val="31"/>
                <c:pt idx="0">
                  <c:v>2028</c:v>
                </c:pt>
                <c:pt idx="1">
                  <c:v>2029</c:v>
                </c:pt>
                <c:pt idx="2">
                  <c:v>2030</c:v>
                </c:pt>
                <c:pt idx="3">
                  <c:v>2031</c:v>
                </c:pt>
                <c:pt idx="4">
                  <c:v>2032</c:v>
                </c:pt>
                <c:pt idx="5">
                  <c:v>2033</c:v>
                </c:pt>
                <c:pt idx="6">
                  <c:v>2034</c:v>
                </c:pt>
                <c:pt idx="7">
                  <c:v>2035</c:v>
                </c:pt>
                <c:pt idx="8">
                  <c:v>2036</c:v>
                </c:pt>
                <c:pt idx="9">
                  <c:v>2037</c:v>
                </c:pt>
                <c:pt idx="10">
                  <c:v>2038</c:v>
                </c:pt>
                <c:pt idx="11">
                  <c:v>2039</c:v>
                </c:pt>
                <c:pt idx="12">
                  <c:v>2040</c:v>
                </c:pt>
                <c:pt idx="13">
                  <c:v>2041</c:v>
                </c:pt>
                <c:pt idx="14">
                  <c:v>2042</c:v>
                </c:pt>
                <c:pt idx="15">
                  <c:v>2043</c:v>
                </c:pt>
                <c:pt idx="16">
                  <c:v>2044</c:v>
                </c:pt>
                <c:pt idx="17">
                  <c:v>2045</c:v>
                </c:pt>
                <c:pt idx="18">
                  <c:v>2046</c:v>
                </c:pt>
                <c:pt idx="19">
                  <c:v>2047</c:v>
                </c:pt>
                <c:pt idx="20">
                  <c:v>2048</c:v>
                </c:pt>
                <c:pt idx="21">
                  <c:v>2049</c:v>
                </c:pt>
                <c:pt idx="22">
                  <c:v>2050</c:v>
                </c:pt>
                <c:pt idx="23">
                  <c:v>2051</c:v>
                </c:pt>
                <c:pt idx="24">
                  <c:v>2052</c:v>
                </c:pt>
                <c:pt idx="25">
                  <c:v>2053</c:v>
                </c:pt>
                <c:pt idx="26">
                  <c:v>2054</c:v>
                </c:pt>
                <c:pt idx="27">
                  <c:v>2055</c:v>
                </c:pt>
                <c:pt idx="28">
                  <c:v>2056</c:v>
                </c:pt>
                <c:pt idx="29">
                  <c:v>2057</c:v>
                </c:pt>
                <c:pt idx="30">
                  <c:v>2058</c:v>
                </c:pt>
              </c:strCache>
            </c:strRef>
          </c:cat>
          <c:val>
            <c:numRef>
              <c:f>Summary!$AH$41:$AH$71</c:f>
              <c:numCache>
                <c:formatCode>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8</c:v>
                </c:pt>
                <c:pt idx="20">
                  <c:v>0</c:v>
                </c:pt>
                <c:pt idx="21">
                  <c:v>0</c:v>
                </c:pt>
                <c:pt idx="22">
                  <c:v>0</c:v>
                </c:pt>
                <c:pt idx="23">
                  <c:v>0</c:v>
                </c:pt>
                <c:pt idx="24">
                  <c:v>0</c:v>
                </c:pt>
                <c:pt idx="25">
                  <c:v>0</c:v>
                </c:pt>
                <c:pt idx="26">
                  <c:v>0</c:v>
                </c:pt>
                <c:pt idx="27">
                  <c:v>16</c:v>
                </c:pt>
                <c:pt idx="28">
                  <c:v>0</c:v>
                </c:pt>
                <c:pt idx="29">
                  <c:v>0</c:v>
                </c:pt>
                <c:pt idx="30">
                  <c:v>0</c:v>
                </c:pt>
              </c:numCache>
            </c:numRef>
          </c:val>
        </c:ser>
        <c:ser>
          <c:idx val="2"/>
          <c:order val="2"/>
          <c:tx>
            <c:strRef>
              <c:f>Summary!AI40</c:f>
              <c:strCache>
                <c:ptCount val="1"/>
                <c:pt idx="0">
                  <c:v>Alternative 3 closure days</c:v>
                </c:pt>
              </c:strCache>
            </c:strRef>
          </c:tx>
          <c:spPr>
            <a:solidFill>
              <a:srgbClr val="6da7ec"/>
            </a:solidFill>
            <a:ln w="0">
              <a:solidFill>
                <a:srgbClr val="6da7ec"/>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Summary!$X$41:$X$71</c:f>
              <c:strCache>
                <c:ptCount val="31"/>
                <c:pt idx="0">
                  <c:v>2028</c:v>
                </c:pt>
                <c:pt idx="1">
                  <c:v>2029</c:v>
                </c:pt>
                <c:pt idx="2">
                  <c:v>2030</c:v>
                </c:pt>
                <c:pt idx="3">
                  <c:v>2031</c:v>
                </c:pt>
                <c:pt idx="4">
                  <c:v>2032</c:v>
                </c:pt>
                <c:pt idx="5">
                  <c:v>2033</c:v>
                </c:pt>
                <c:pt idx="6">
                  <c:v>2034</c:v>
                </c:pt>
                <c:pt idx="7">
                  <c:v>2035</c:v>
                </c:pt>
                <c:pt idx="8">
                  <c:v>2036</c:v>
                </c:pt>
                <c:pt idx="9">
                  <c:v>2037</c:v>
                </c:pt>
                <c:pt idx="10">
                  <c:v>2038</c:v>
                </c:pt>
                <c:pt idx="11">
                  <c:v>2039</c:v>
                </c:pt>
                <c:pt idx="12">
                  <c:v>2040</c:v>
                </c:pt>
                <c:pt idx="13">
                  <c:v>2041</c:v>
                </c:pt>
                <c:pt idx="14">
                  <c:v>2042</c:v>
                </c:pt>
                <c:pt idx="15">
                  <c:v>2043</c:v>
                </c:pt>
                <c:pt idx="16">
                  <c:v>2044</c:v>
                </c:pt>
                <c:pt idx="17">
                  <c:v>2045</c:v>
                </c:pt>
                <c:pt idx="18">
                  <c:v>2046</c:v>
                </c:pt>
                <c:pt idx="19">
                  <c:v>2047</c:v>
                </c:pt>
                <c:pt idx="20">
                  <c:v>2048</c:v>
                </c:pt>
                <c:pt idx="21">
                  <c:v>2049</c:v>
                </c:pt>
                <c:pt idx="22">
                  <c:v>2050</c:v>
                </c:pt>
                <c:pt idx="23">
                  <c:v>2051</c:v>
                </c:pt>
                <c:pt idx="24">
                  <c:v>2052</c:v>
                </c:pt>
                <c:pt idx="25">
                  <c:v>2053</c:v>
                </c:pt>
                <c:pt idx="26">
                  <c:v>2054</c:v>
                </c:pt>
                <c:pt idx="27">
                  <c:v>2055</c:v>
                </c:pt>
                <c:pt idx="28">
                  <c:v>2056</c:v>
                </c:pt>
                <c:pt idx="29">
                  <c:v>2057</c:v>
                </c:pt>
                <c:pt idx="30">
                  <c:v>2058</c:v>
                </c:pt>
              </c:strCache>
            </c:strRef>
          </c:cat>
          <c:val>
            <c:numRef>
              <c:f>Summary!$AI$41:$AI$71</c:f>
              <c:numCache>
                <c:formatCode>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8</c:v>
                </c:pt>
                <c:pt idx="20">
                  <c:v>0</c:v>
                </c:pt>
                <c:pt idx="21">
                  <c:v>0</c:v>
                </c:pt>
                <c:pt idx="22">
                  <c:v>0</c:v>
                </c:pt>
                <c:pt idx="23">
                  <c:v>0</c:v>
                </c:pt>
                <c:pt idx="24">
                  <c:v>0</c:v>
                </c:pt>
                <c:pt idx="25">
                  <c:v>0</c:v>
                </c:pt>
                <c:pt idx="26">
                  <c:v>0</c:v>
                </c:pt>
                <c:pt idx="27">
                  <c:v>16</c:v>
                </c:pt>
                <c:pt idx="28">
                  <c:v>0</c:v>
                </c:pt>
                <c:pt idx="29">
                  <c:v>0</c:v>
                </c:pt>
                <c:pt idx="30">
                  <c:v>0</c:v>
                </c:pt>
              </c:numCache>
            </c:numRef>
          </c:val>
        </c:ser>
        <c:ser>
          <c:idx val="3"/>
          <c:order val="3"/>
          <c:tx>
            <c:strRef>
              <c:f>Summary!AJ40</c:f>
              <c:strCache>
                <c:ptCount val="1"/>
                <c:pt idx="0">
                  <c:v> </c:v>
                </c:pt>
              </c:strCache>
            </c:strRef>
          </c:tx>
          <c:spPr>
            <a:solidFill>
              <a:srgbClr val="f39c7a"/>
            </a:solidFill>
            <a:ln w="0">
              <a:solidFill>
                <a:srgbClr val="f39c7a"/>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Summary!$X$41:$X$71</c:f>
              <c:strCache>
                <c:ptCount val="31"/>
                <c:pt idx="0">
                  <c:v>2028</c:v>
                </c:pt>
                <c:pt idx="1">
                  <c:v>2029</c:v>
                </c:pt>
                <c:pt idx="2">
                  <c:v>2030</c:v>
                </c:pt>
                <c:pt idx="3">
                  <c:v>2031</c:v>
                </c:pt>
                <c:pt idx="4">
                  <c:v>2032</c:v>
                </c:pt>
                <c:pt idx="5">
                  <c:v>2033</c:v>
                </c:pt>
                <c:pt idx="6">
                  <c:v>2034</c:v>
                </c:pt>
                <c:pt idx="7">
                  <c:v>2035</c:v>
                </c:pt>
                <c:pt idx="8">
                  <c:v>2036</c:v>
                </c:pt>
                <c:pt idx="9">
                  <c:v>2037</c:v>
                </c:pt>
                <c:pt idx="10">
                  <c:v>2038</c:v>
                </c:pt>
                <c:pt idx="11">
                  <c:v>2039</c:v>
                </c:pt>
                <c:pt idx="12">
                  <c:v>2040</c:v>
                </c:pt>
                <c:pt idx="13">
                  <c:v>2041</c:v>
                </c:pt>
                <c:pt idx="14">
                  <c:v>2042</c:v>
                </c:pt>
                <c:pt idx="15">
                  <c:v>2043</c:v>
                </c:pt>
                <c:pt idx="16">
                  <c:v>2044</c:v>
                </c:pt>
                <c:pt idx="17">
                  <c:v>2045</c:v>
                </c:pt>
                <c:pt idx="18">
                  <c:v>2046</c:v>
                </c:pt>
                <c:pt idx="19">
                  <c:v>2047</c:v>
                </c:pt>
                <c:pt idx="20">
                  <c:v>2048</c:v>
                </c:pt>
                <c:pt idx="21">
                  <c:v>2049</c:v>
                </c:pt>
                <c:pt idx="22">
                  <c:v>2050</c:v>
                </c:pt>
                <c:pt idx="23">
                  <c:v>2051</c:v>
                </c:pt>
                <c:pt idx="24">
                  <c:v>2052</c:v>
                </c:pt>
                <c:pt idx="25">
                  <c:v>2053</c:v>
                </c:pt>
                <c:pt idx="26">
                  <c:v>2054</c:v>
                </c:pt>
                <c:pt idx="27">
                  <c:v>2055</c:v>
                </c:pt>
                <c:pt idx="28">
                  <c:v>2056</c:v>
                </c:pt>
                <c:pt idx="29">
                  <c:v>2057</c:v>
                </c:pt>
                <c:pt idx="30">
                  <c:v>2058</c:v>
                </c:pt>
              </c:strCache>
            </c:strRef>
          </c:cat>
          <c:val>
            <c:numRef>
              <c:f>Summary!$AJ$41:$AJ$71</c:f>
              <c:numCache>
                <c:formatCode>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er>
        <c:gapWidth val="40"/>
        <c:overlap val="0"/>
        <c:axId val="85664949"/>
        <c:axId val="16664066"/>
      </c:barChart>
      <c:catAx>
        <c:axId val="85664949"/>
        <c:scaling>
          <c:orientation val="minMax"/>
        </c:scaling>
        <c:delete val="0"/>
        <c:axPos val="b"/>
        <c:numFmt formatCode="General" sourceLinked="1"/>
        <c:majorTickMark val="none"/>
        <c:minorTickMark val="none"/>
        <c:tickLblPos val="nextTo"/>
        <c:spPr>
          <a:ln w="6480">
            <a:solidFill>
              <a:srgbClr val="8b8b8b"/>
            </a:solidFill>
            <a:round/>
          </a:ln>
        </c:spPr>
        <c:txPr>
          <a:bodyPr/>
          <a:lstStyle/>
          <a:p>
            <a:pPr>
              <a:defRPr b="0" sz="700" spc="-1" strike="noStrike">
                <a:solidFill>
                  <a:srgbClr val="000000"/>
                </a:solidFill>
                <a:latin typeface="Calibri"/>
              </a:defRPr>
            </a:pPr>
          </a:p>
        </c:txPr>
        <c:crossAx val="16664066"/>
        <c:crosses val="autoZero"/>
        <c:auto val="1"/>
        <c:lblAlgn val="ctr"/>
        <c:lblOffset val="100"/>
        <c:noMultiLvlLbl val="0"/>
      </c:catAx>
      <c:valAx>
        <c:axId val="16664066"/>
        <c:scaling>
          <c:orientation val="minMax"/>
        </c:scaling>
        <c:delete val="0"/>
        <c:axPos val="l"/>
        <c:numFmt formatCode="0" sourceLinked="0"/>
        <c:majorTickMark val="none"/>
        <c:minorTickMark val="none"/>
        <c:tickLblPos val="nextTo"/>
        <c:spPr>
          <a:ln w="6480">
            <a:solidFill>
              <a:srgbClr val="8b8b8b"/>
            </a:solidFill>
            <a:round/>
          </a:ln>
        </c:spPr>
        <c:txPr>
          <a:bodyPr/>
          <a:lstStyle/>
          <a:p>
            <a:pPr>
              <a:defRPr b="0" sz="700" spc="-1" strike="noStrike">
                <a:solidFill>
                  <a:srgbClr val="000000"/>
                </a:solidFill>
                <a:latin typeface="Calibri"/>
              </a:defRPr>
            </a:pPr>
          </a:p>
        </c:txPr>
        <c:crossAx val="85664949"/>
        <c:crosses val="autoZero"/>
        <c:crossBetween val="between"/>
      </c:valAx>
      <c:spPr>
        <a:noFill/>
        <a:ln w="0">
          <a:noFill/>
        </a:ln>
      </c:spPr>
    </c:plotArea>
    <c:legend>
      <c:legendPos val="b"/>
      <c:overlay val="0"/>
      <c:spPr>
        <a:noFill/>
        <a:ln w="0">
          <a:noFill/>
        </a:ln>
      </c:spPr>
      <c:txPr>
        <a:bodyPr/>
        <a:lstStyle/>
        <a:p>
          <a:pPr>
            <a:defRPr b="0" sz="7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800" spc="-1" strike="noStrike">
                <a:solidFill>
                  <a:srgbClr val="000000"/>
                </a:solidFill>
                <a:latin typeface="Calibri"/>
              </a:defRPr>
            </a:pPr>
            <a:r>
              <a:rPr b="0" sz="800" spc="-1" strike="noStrike">
                <a:solidFill>
                  <a:srgbClr val="000000"/>
                </a:solidFill>
                <a:latin typeface="Calibri"/>
              </a:rPr>
              <a:t>6. Section, mainline (inches)</a:t>
            </a:r>
          </a:p>
        </c:rich>
      </c:tx>
      <c:overlay val="0"/>
      <c:spPr>
        <a:noFill/>
        <a:ln w="0">
          <a:noFill/>
        </a:ln>
      </c:spPr>
    </c:title>
    <c:autoTitleDeleted val="0"/>
    <c:plotArea>
      <c:layout>
        <c:manualLayout>
          <c:xMode val="edge"/>
          <c:yMode val="edge"/>
          <c:x val="0.0900264783759929"/>
          <c:y val="0.19"/>
          <c:w val="0.88992560837221"/>
          <c:h val="0.5598"/>
        </c:manualLayout>
      </c:layout>
      <c:barChart>
        <c:barDir val="col"/>
        <c:grouping val="stacked"/>
        <c:varyColors val="0"/>
        <c:ser>
          <c:idx val="0"/>
          <c:order val="0"/>
          <c:tx>
            <c:strRef>
              <c:f>Summary!W76</c:f>
              <c:strCache>
                <c:ptCount val="1"/>
                <c:pt idx="0">
                  <c:v>Subbase (P-154)</c:v>
                </c:pt>
              </c:strCache>
            </c:strRef>
          </c:tx>
          <c:spPr>
            <a:solidFill>
              <a:srgbClr val="dccba0"/>
            </a:solidFill>
            <a:ln w="0">
              <a:solidFill>
                <a:srgbClr val="dccba0"/>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Summary!$X$75:$AA$75</c:f>
              <c:strCache>
                <c:ptCount val="4"/>
                <c:pt idx="0">
                  <c:v>Alternative 1</c:v>
                </c:pt>
                <c:pt idx="1">
                  <c:v>Alternative 2</c:v>
                </c:pt>
                <c:pt idx="2">
                  <c:v>Alternative 3</c:v>
                </c:pt>
                <c:pt idx="3">
                  <c:v/>
                </c:pt>
              </c:strCache>
            </c:strRef>
          </c:cat>
          <c:val>
            <c:numRef>
              <c:f>Summary!$X$76:$AA$76</c:f>
              <c:numCache>
                <c:formatCode>0.00</c:formatCode>
                <c:ptCount val="4"/>
                <c:pt idx="0">
                  <c:v>5.99986923261339</c:v>
                </c:pt>
                <c:pt idx="1">
                  <c:v>5.99986923261339</c:v>
                </c:pt>
                <c:pt idx="2">
                  <c:v>0</c:v>
                </c:pt>
                <c:pt idx="3">
                  <c:v>0</c:v>
                </c:pt>
              </c:numCache>
            </c:numRef>
          </c:val>
        </c:ser>
        <c:ser>
          <c:idx val="1"/>
          <c:order val="1"/>
          <c:tx>
            <c:strRef>
              <c:f>Summary!W77</c:f>
              <c:strCache>
                <c:ptCount val="1"/>
                <c:pt idx="0">
                  <c:v>Aggregate base</c:v>
                </c:pt>
              </c:strCache>
            </c:strRef>
          </c:tx>
          <c:spPr>
            <a:solidFill>
              <a:srgbClr val="c8a96e"/>
            </a:solidFill>
            <a:ln w="0">
              <a:solidFill>
                <a:srgbClr val="c8a96e"/>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Summary!$X$75:$AA$75</c:f>
              <c:strCache>
                <c:ptCount val="4"/>
                <c:pt idx="0">
                  <c:v>Alternative 1</c:v>
                </c:pt>
                <c:pt idx="1">
                  <c:v>Alternative 2</c:v>
                </c:pt>
                <c:pt idx="2">
                  <c:v>Alternative 3</c:v>
                </c:pt>
                <c:pt idx="3">
                  <c:v/>
                </c:pt>
              </c:strCache>
            </c:strRef>
          </c:cat>
          <c:val>
            <c:numRef>
              <c:f>Summary!$X$77:$AA$77</c:f>
              <c:numCache>
                <c:formatCode>0.00</c:formatCode>
                <c:ptCount val="4"/>
                <c:pt idx="0">
                  <c:v>5.99986923261339</c:v>
                </c:pt>
                <c:pt idx="1">
                  <c:v>5.99986923261339</c:v>
                </c:pt>
                <c:pt idx="2">
                  <c:v>5.99986923261339</c:v>
                </c:pt>
                <c:pt idx="3">
                  <c:v>0</c:v>
                </c:pt>
              </c:numCache>
            </c:numRef>
          </c:val>
        </c:ser>
        <c:ser>
          <c:idx val="2"/>
          <c:order val="2"/>
          <c:tx>
            <c:strRef>
              <c:f>Summary!W78</c:f>
              <c:strCache>
                <c:ptCount val="1"/>
                <c:pt idx="0">
                  <c:v>Asphalt</c:v>
                </c:pt>
              </c:strCache>
            </c:strRef>
          </c:tx>
          <c:spPr>
            <a:solidFill>
              <a:srgbClr val="3a3a3a"/>
            </a:solidFill>
            <a:ln w="0">
              <a:solidFill>
                <a:srgbClr val="3a3a3a"/>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Summary!$X$75:$AA$75</c:f>
              <c:strCache>
                <c:ptCount val="4"/>
                <c:pt idx="0">
                  <c:v>Alternative 1</c:v>
                </c:pt>
                <c:pt idx="1">
                  <c:v>Alternative 2</c:v>
                </c:pt>
                <c:pt idx="2">
                  <c:v>Alternative 3</c:v>
                </c:pt>
                <c:pt idx="3">
                  <c:v/>
                </c:pt>
              </c:strCache>
            </c:strRef>
          </c:cat>
          <c:val>
            <c:numRef>
              <c:f>Summary!$X$78:$AA$78</c:f>
              <c:numCache>
                <c:formatCode>0.00</c:formatCode>
                <c:ptCount val="4"/>
                <c:pt idx="0">
                  <c:v>8.00035883352485</c:v>
                </c:pt>
                <c:pt idx="1">
                  <c:v>0</c:v>
                </c:pt>
                <c:pt idx="2">
                  <c:v>0</c:v>
                </c:pt>
                <c:pt idx="3">
                  <c:v>0</c:v>
                </c:pt>
              </c:numCache>
            </c:numRef>
          </c:val>
        </c:ser>
        <c:ser>
          <c:idx val="3"/>
          <c:order val="3"/>
          <c:tx>
            <c:strRef>
              <c:f>Summary!W79</c:f>
              <c:strCache>
                <c:ptCount val="1"/>
                <c:pt idx="0">
                  <c:v>Concrete</c:v>
                </c:pt>
              </c:strCache>
            </c:strRef>
          </c:tx>
          <c:spPr>
            <a:solidFill>
              <a:srgbClr val="c6cbd0"/>
            </a:solidFill>
            <a:ln w="0">
              <a:solidFill>
                <a:srgbClr val="c6cbd0"/>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Summary!$X$75:$AA$75</c:f>
              <c:strCache>
                <c:ptCount val="4"/>
                <c:pt idx="0">
                  <c:v>Alternative 1</c:v>
                </c:pt>
                <c:pt idx="1">
                  <c:v>Alternative 2</c:v>
                </c:pt>
                <c:pt idx="2">
                  <c:v>Alternative 3</c:v>
                </c:pt>
                <c:pt idx="3">
                  <c:v/>
                </c:pt>
              </c:strCache>
            </c:strRef>
          </c:cat>
          <c:val>
            <c:numRef>
              <c:f>Summary!$X$79:$AA$79</c:f>
              <c:numCache>
                <c:formatCode>0.00</c:formatCode>
                <c:ptCount val="4"/>
                <c:pt idx="0">
                  <c:v>0</c:v>
                </c:pt>
                <c:pt idx="1">
                  <c:v>9</c:v>
                </c:pt>
                <c:pt idx="2">
                  <c:v>11</c:v>
                </c:pt>
                <c:pt idx="3">
                  <c:v>0</c:v>
                </c:pt>
              </c:numCache>
            </c:numRef>
          </c:val>
        </c:ser>
        <c:gapWidth val="80"/>
        <c:overlap val="100"/>
        <c:axId val="10106036"/>
        <c:axId val="8527676"/>
      </c:barChart>
      <c:catAx>
        <c:axId val="10106036"/>
        <c:scaling>
          <c:orientation val="minMax"/>
        </c:scaling>
        <c:delete val="0"/>
        <c:axPos val="b"/>
        <c:numFmt formatCode="General" sourceLinked="1"/>
        <c:majorTickMark val="none"/>
        <c:minorTickMark val="none"/>
        <c:tickLblPos val="low"/>
        <c:spPr>
          <a:ln w="6480">
            <a:solidFill>
              <a:srgbClr val="8b8b8b"/>
            </a:solidFill>
            <a:round/>
          </a:ln>
        </c:spPr>
        <c:txPr>
          <a:bodyPr/>
          <a:lstStyle/>
          <a:p>
            <a:pPr>
              <a:defRPr b="0" sz="700" spc="-1" strike="noStrike">
                <a:solidFill>
                  <a:srgbClr val="000000"/>
                </a:solidFill>
                <a:latin typeface="Calibri"/>
              </a:defRPr>
            </a:pPr>
          </a:p>
        </c:txPr>
        <c:crossAx val="8527676"/>
        <c:crosses val="autoZero"/>
        <c:auto val="1"/>
        <c:lblAlgn val="ctr"/>
        <c:lblOffset val="100"/>
        <c:noMultiLvlLbl val="0"/>
      </c:catAx>
      <c:valAx>
        <c:axId val="8527676"/>
        <c:scaling>
          <c:orientation val="minMax"/>
        </c:scaling>
        <c:delete val="0"/>
        <c:axPos val="l"/>
        <c:numFmt formatCode="0" sourceLinked="0"/>
        <c:majorTickMark val="none"/>
        <c:minorTickMark val="none"/>
        <c:tickLblPos val="nextTo"/>
        <c:spPr>
          <a:ln w="6480">
            <a:solidFill>
              <a:srgbClr val="8b8b8b"/>
            </a:solidFill>
            <a:round/>
          </a:ln>
        </c:spPr>
        <c:txPr>
          <a:bodyPr/>
          <a:lstStyle/>
          <a:p>
            <a:pPr>
              <a:defRPr b="0" sz="700" spc="-1" strike="noStrike">
                <a:solidFill>
                  <a:srgbClr val="000000"/>
                </a:solidFill>
                <a:latin typeface="Calibri"/>
              </a:defRPr>
            </a:pPr>
          </a:p>
        </c:txPr>
        <c:crossAx val="10106036"/>
        <c:crosses val="autoZero"/>
        <c:crossBetween val="between"/>
      </c:valAx>
      <c:spPr>
        <a:noFill/>
        <a:ln w="0">
          <a:noFill/>
        </a:ln>
      </c:spPr>
    </c:plotArea>
    <c:legend>
      <c:legendPos val="b"/>
      <c:overlay val="0"/>
      <c:spPr>
        <a:noFill/>
        <a:ln w="0">
          <a:noFill/>
        </a:ln>
      </c:spPr>
      <c:txPr>
        <a:bodyPr/>
        <a:lstStyle/>
        <a:p>
          <a:pPr>
            <a:defRPr b="0" sz="7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800" spc="-1" strike="noStrike">
                <a:solidFill>
                  <a:srgbClr val="000000"/>
                </a:solidFill>
                <a:latin typeface="Calibri"/>
              </a:defRPr>
            </a:pPr>
            <a:r>
              <a:rPr b="0" sz="800" spc="-1" strike="noStrike">
                <a:solidFill>
                  <a:srgbClr val="000000"/>
                </a:solidFill>
                <a:latin typeface="Calibri"/>
              </a:rPr>
              <a:t>7. Section with shoulder (inches)</a:t>
            </a:r>
          </a:p>
        </c:rich>
      </c:tx>
      <c:overlay val="0"/>
      <c:spPr>
        <a:noFill/>
        <a:ln w="0">
          <a:noFill/>
        </a:ln>
      </c:spPr>
    </c:title>
    <c:autoTitleDeleted val="0"/>
    <c:plotArea>
      <c:layout>
        <c:manualLayout>
          <c:xMode val="edge"/>
          <c:yMode val="edge"/>
          <c:x val="0.0900264783759929"/>
          <c:y val="0.19"/>
          <c:w val="0.88992560837221"/>
          <c:h val="0.5598"/>
        </c:manualLayout>
      </c:layout>
      <c:barChart>
        <c:barDir val="col"/>
        <c:grouping val="stacked"/>
        <c:varyColors val="0"/>
        <c:ser>
          <c:idx val="0"/>
          <c:order val="0"/>
          <c:tx>
            <c:strRef>
              <c:f>Summary!W83</c:f>
              <c:strCache>
                <c:ptCount val="1"/>
                <c:pt idx="0">
                  <c:v>Subbase (P-154)</c:v>
                </c:pt>
              </c:strCache>
            </c:strRef>
          </c:tx>
          <c:spPr>
            <a:solidFill>
              <a:srgbClr val="dccba0"/>
            </a:solidFill>
            <a:ln w="0">
              <a:solidFill>
                <a:srgbClr val="dccba0"/>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Summary!$X$82:$AA$82</c:f>
              <c:strCache>
                <c:ptCount val="4"/>
                <c:pt idx="0">
                  <c:v>Alternative 1</c:v>
                </c:pt>
                <c:pt idx="1">
                  <c:v>Alternative 2</c:v>
                </c:pt>
                <c:pt idx="2">
                  <c:v>Alternative 3</c:v>
                </c:pt>
                <c:pt idx="3">
                  <c:v/>
                </c:pt>
              </c:strCache>
            </c:strRef>
          </c:cat>
          <c:val>
            <c:numRef>
              <c:f>Summary!$X$83:$AA$83</c:f>
              <c:numCache>
                <c:formatCode>0.00</c:formatCode>
                <c:ptCount val="4"/>
                <c:pt idx="0">
                  <c:v>0</c:v>
                </c:pt>
                <c:pt idx="1">
                  <c:v>0</c:v>
                </c:pt>
                <c:pt idx="2">
                  <c:v>0</c:v>
                </c:pt>
                <c:pt idx="3">
                  <c:v>0</c:v>
                </c:pt>
              </c:numCache>
            </c:numRef>
          </c:val>
        </c:ser>
        <c:ser>
          <c:idx val="1"/>
          <c:order val="1"/>
          <c:tx>
            <c:strRef>
              <c:f>Summary!W84</c:f>
              <c:strCache>
                <c:ptCount val="1"/>
                <c:pt idx="0">
                  <c:v>Aggregate base</c:v>
                </c:pt>
              </c:strCache>
            </c:strRef>
          </c:tx>
          <c:spPr>
            <a:solidFill>
              <a:srgbClr val="c8a96e"/>
            </a:solidFill>
            <a:ln w="0">
              <a:solidFill>
                <a:srgbClr val="c8a96e"/>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Summary!$X$82:$AA$82</c:f>
              <c:strCache>
                <c:ptCount val="4"/>
                <c:pt idx="0">
                  <c:v>Alternative 1</c:v>
                </c:pt>
                <c:pt idx="1">
                  <c:v>Alternative 2</c:v>
                </c:pt>
                <c:pt idx="2">
                  <c:v>Alternative 3</c:v>
                </c:pt>
                <c:pt idx="3">
                  <c:v/>
                </c:pt>
              </c:strCache>
            </c:strRef>
          </c:cat>
          <c:val>
            <c:numRef>
              <c:f>Summary!$X$84:$AA$84</c:f>
              <c:numCache>
                <c:formatCode>0.00</c:formatCode>
                <c:ptCount val="4"/>
                <c:pt idx="0">
                  <c:v>0</c:v>
                </c:pt>
                <c:pt idx="1">
                  <c:v>0</c:v>
                </c:pt>
                <c:pt idx="2">
                  <c:v>0</c:v>
                </c:pt>
                <c:pt idx="3">
                  <c:v>0</c:v>
                </c:pt>
              </c:numCache>
            </c:numRef>
          </c:val>
        </c:ser>
        <c:ser>
          <c:idx val="2"/>
          <c:order val="2"/>
          <c:tx>
            <c:strRef>
              <c:f>Summary!W85</c:f>
              <c:strCache>
                <c:ptCount val="1"/>
                <c:pt idx="0">
                  <c:v>Asphalt</c:v>
                </c:pt>
              </c:strCache>
            </c:strRef>
          </c:tx>
          <c:spPr>
            <a:solidFill>
              <a:srgbClr val="3a3a3a"/>
            </a:solidFill>
            <a:ln w="0">
              <a:solidFill>
                <a:srgbClr val="3a3a3a"/>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Summary!$X$82:$AA$82</c:f>
              <c:strCache>
                <c:ptCount val="4"/>
                <c:pt idx="0">
                  <c:v>Alternative 1</c:v>
                </c:pt>
                <c:pt idx="1">
                  <c:v>Alternative 2</c:v>
                </c:pt>
                <c:pt idx="2">
                  <c:v>Alternative 3</c:v>
                </c:pt>
                <c:pt idx="3">
                  <c:v/>
                </c:pt>
              </c:strCache>
            </c:strRef>
          </c:cat>
          <c:val>
            <c:numRef>
              <c:f>Summary!$X$85:$AA$85</c:f>
              <c:numCache>
                <c:formatCode>0.00</c:formatCode>
                <c:ptCount val="4"/>
                <c:pt idx="0">
                  <c:v>0</c:v>
                </c:pt>
                <c:pt idx="1">
                  <c:v>0</c:v>
                </c:pt>
                <c:pt idx="2">
                  <c:v>0</c:v>
                </c:pt>
                <c:pt idx="3">
                  <c:v>0</c:v>
                </c:pt>
              </c:numCache>
            </c:numRef>
          </c:val>
        </c:ser>
        <c:ser>
          <c:idx val="3"/>
          <c:order val="3"/>
          <c:tx>
            <c:strRef>
              <c:f>Summary!W86</c:f>
              <c:strCache>
                <c:ptCount val="1"/>
                <c:pt idx="0">
                  <c:v>Concrete</c:v>
                </c:pt>
              </c:strCache>
            </c:strRef>
          </c:tx>
          <c:spPr>
            <a:solidFill>
              <a:srgbClr val="c6cbd0"/>
            </a:solidFill>
            <a:ln w="0">
              <a:solidFill>
                <a:srgbClr val="c6cbd0"/>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Summary!$X$82:$AA$82</c:f>
              <c:strCache>
                <c:ptCount val="4"/>
                <c:pt idx="0">
                  <c:v>Alternative 1</c:v>
                </c:pt>
                <c:pt idx="1">
                  <c:v>Alternative 2</c:v>
                </c:pt>
                <c:pt idx="2">
                  <c:v>Alternative 3</c:v>
                </c:pt>
                <c:pt idx="3">
                  <c:v/>
                </c:pt>
              </c:strCache>
            </c:strRef>
          </c:cat>
          <c:val>
            <c:numRef>
              <c:f>Summary!$X$86:$AA$86</c:f>
              <c:numCache>
                <c:formatCode>0.00</c:formatCode>
                <c:ptCount val="4"/>
                <c:pt idx="0">
                  <c:v>0</c:v>
                </c:pt>
                <c:pt idx="1">
                  <c:v>0</c:v>
                </c:pt>
                <c:pt idx="2">
                  <c:v>0</c:v>
                </c:pt>
                <c:pt idx="3">
                  <c:v>0</c:v>
                </c:pt>
              </c:numCache>
            </c:numRef>
          </c:val>
        </c:ser>
        <c:gapWidth val="80"/>
        <c:overlap val="100"/>
        <c:axId val="28910089"/>
        <c:axId val="68210002"/>
      </c:barChart>
      <c:catAx>
        <c:axId val="28910089"/>
        <c:scaling>
          <c:orientation val="minMax"/>
        </c:scaling>
        <c:delete val="0"/>
        <c:axPos val="b"/>
        <c:numFmt formatCode="General" sourceLinked="1"/>
        <c:majorTickMark val="none"/>
        <c:minorTickMark val="none"/>
        <c:tickLblPos val="low"/>
        <c:spPr>
          <a:ln w="6480">
            <a:solidFill>
              <a:srgbClr val="8b8b8b"/>
            </a:solidFill>
            <a:round/>
          </a:ln>
        </c:spPr>
        <c:txPr>
          <a:bodyPr/>
          <a:lstStyle/>
          <a:p>
            <a:pPr>
              <a:defRPr b="0" sz="700" spc="-1" strike="noStrike">
                <a:solidFill>
                  <a:srgbClr val="000000"/>
                </a:solidFill>
                <a:latin typeface="Calibri"/>
              </a:defRPr>
            </a:pPr>
          </a:p>
        </c:txPr>
        <c:crossAx val="68210002"/>
        <c:crosses val="autoZero"/>
        <c:auto val="1"/>
        <c:lblAlgn val="ctr"/>
        <c:lblOffset val="100"/>
        <c:noMultiLvlLbl val="0"/>
      </c:catAx>
      <c:valAx>
        <c:axId val="68210002"/>
        <c:scaling>
          <c:orientation val="minMax"/>
        </c:scaling>
        <c:delete val="0"/>
        <c:axPos val="l"/>
        <c:numFmt formatCode="0" sourceLinked="0"/>
        <c:majorTickMark val="none"/>
        <c:minorTickMark val="none"/>
        <c:tickLblPos val="nextTo"/>
        <c:spPr>
          <a:ln w="6480">
            <a:solidFill>
              <a:srgbClr val="8b8b8b"/>
            </a:solidFill>
            <a:round/>
          </a:ln>
        </c:spPr>
        <c:txPr>
          <a:bodyPr/>
          <a:lstStyle/>
          <a:p>
            <a:pPr>
              <a:defRPr b="0" sz="700" spc="-1" strike="noStrike">
                <a:solidFill>
                  <a:srgbClr val="000000"/>
                </a:solidFill>
                <a:latin typeface="Calibri"/>
              </a:defRPr>
            </a:pPr>
          </a:p>
        </c:txPr>
        <c:crossAx val="28910089"/>
        <c:crosses val="autoZero"/>
        <c:crossBetween val="between"/>
      </c:valAx>
      <c:spPr>
        <a:noFill/>
        <a:ln w="0">
          <a:noFill/>
        </a:ln>
      </c:spPr>
    </c:plotArea>
    <c:legend>
      <c:legendPos val="b"/>
      <c:overlay val="0"/>
      <c:spPr>
        <a:noFill/>
        <a:ln w="0">
          <a:noFill/>
        </a:ln>
      </c:spPr>
      <c:txPr>
        <a:bodyPr/>
        <a:lstStyle/>
        <a:p>
          <a:pPr>
            <a:defRPr b="0" sz="7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800" spc="-1" strike="noStrike">
                <a:solidFill>
                  <a:srgbClr val="000000"/>
                </a:solidFill>
                <a:latin typeface="Calibri"/>
              </a:defRPr>
            </a:pPr>
            <a:r>
              <a:rPr b="0" sz="800" spc="-1" strike="noStrike">
                <a:solidFill>
                  <a:srgbClr val="000000"/>
                </a:solidFill>
                <a:latin typeface="Calibri"/>
              </a:rPr>
              <a:t>8. Unit cost vs. published TN work</a:t>
            </a:r>
          </a:p>
        </c:rich>
      </c:tx>
      <c:overlay val="0"/>
      <c:spPr>
        <a:noFill/>
        <a:ln w="0">
          <a:noFill/>
        </a:ln>
      </c:spPr>
    </c:title>
    <c:autoTitleDeleted val="0"/>
    <c:plotArea>
      <c:layout>
        <c:manualLayout>
          <c:xMode val="edge"/>
          <c:yMode val="edge"/>
          <c:x val="0.0900264783759929"/>
          <c:y val="0.19"/>
          <c:w val="0.88992560837221"/>
          <c:h val="0.6798"/>
        </c:manualLayout>
      </c:layout>
      <c:barChart>
        <c:barDir val="bar"/>
        <c:grouping val="stacked"/>
        <c:varyColors val="0"/>
        <c:ser>
          <c:idx val="0"/>
          <c:order val="0"/>
          <c:tx>
            <c:strRef>
              <c:f>Summary!W91</c:f>
              <c:strCache>
                <c:ptCount val="1"/>
                <c:pt idx="0">
                  <c:v>Below the published range</c:v>
                </c:pt>
              </c:strCache>
            </c:strRef>
          </c:tx>
          <c:spPr>
            <a:no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Summary!$X$90:$AB$90</c:f>
              <c:strCache>
                <c:ptCount val="5"/>
                <c:pt idx="0">
                  <c:v>Alternative 1</c:v>
                </c:pt>
                <c:pt idx="1">
                  <c:v>Alternative 2</c:v>
                </c:pt>
                <c:pt idx="2">
                  <c:v>Alternative 3</c:v>
                </c:pt>
                <c:pt idx="3">
                  <c:v/>
                </c:pt>
                <c:pt idx="4">
                  <c:v>TN 2024-25, all-in</c:v>
                </c:pt>
              </c:strCache>
            </c:strRef>
          </c:cat>
          <c:val>
            <c:numRef>
              <c:f>Summary!$X$91:$AB$91</c:f>
              <c:numCache>
                <c:formatCode>\$#,##0</c:formatCode>
                <c:ptCount val="5"/>
                <c:pt idx="0">
                  <c:v>0</c:v>
                </c:pt>
                <c:pt idx="1">
                  <c:v>0</c:v>
                </c:pt>
                <c:pt idx="2">
                  <c:v>0</c:v>
                </c:pt>
                <c:pt idx="3">
                  <c:v>0</c:v>
                </c:pt>
                <c:pt idx="4">
                  <c:v>210</c:v>
                </c:pt>
              </c:numCache>
            </c:numRef>
          </c:val>
        </c:ser>
        <c:ser>
          <c:idx val="1"/>
          <c:order val="1"/>
          <c:tx>
            <c:strRef>
              <c:f>Summary!W92</c:f>
              <c:strCache>
                <c:ptCount val="1"/>
                <c:pt idx="0">
                  <c:v>Unit cost / published range</c:v>
                </c:pt>
              </c:strCache>
            </c:strRef>
          </c:tx>
          <c:spPr>
            <a:solidFill>
              <a:srgbClr val="bbd4ee"/>
            </a:solidFill>
            <a:ln w="0">
              <a:solidFill>
                <a:srgbClr val="bbd4ee"/>
              </a:solidFill>
            </a:ln>
          </c:spPr>
          <c:invertIfNegative val="0"/>
          <c:dPt>
            <c:idx val="4"/>
            <c:invertIfNegative val="0"/>
            <c:spPr>
              <a:solidFill>
                <a:srgbClr val="cbd5df"/>
              </a:solidFill>
              <a:ln w="0">
                <a:noFill/>
              </a:ln>
            </c:spPr>
          </c:dPt>
          <c:dLbls>
            <c:dLbl>
              <c:idx val="4"/>
              <c:txPr>
                <a:bodyPr wrap="square"/>
                <a:lstStyle/>
                <a:p>
                  <a:pPr>
                    <a:defRPr b="0" sz="1000" spc="-1" strike="noStrike">
                      <a:solidFill>
                        <a:srgbClr val="000000"/>
                      </a:solidFill>
                      <a:latin typeface="Calibri"/>
                    </a:defRPr>
                  </a:pPr>
                </a:p>
              </c:txPr>
              <c:dLblPos val="inEnd"/>
              <c:showLegendKey val="0"/>
              <c:showVal val="1"/>
              <c:showCatName val="0"/>
              <c:showSerName val="0"/>
              <c:showPercent val="0"/>
              <c:separator>; </c:separator>
            </c:dLbl>
            <c:txPr>
              <a:bodyPr wrap="square"/>
              <a:lstStyle/>
              <a:p>
                <a:pPr>
                  <a:defRPr b="0" sz="1000" spc="-1" strike="noStrike">
                    <a:solidFill>
                      <a:srgbClr val="000000"/>
                    </a:solidFill>
                    <a:latin typeface="Calibri"/>
                  </a:defRPr>
                </a:pPr>
              </a:p>
            </c:txPr>
            <c:dLblPos val="in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Summary!$X$90:$AB$90</c:f>
              <c:strCache>
                <c:ptCount val="5"/>
                <c:pt idx="0">
                  <c:v>Alternative 1</c:v>
                </c:pt>
                <c:pt idx="1">
                  <c:v>Alternative 2</c:v>
                </c:pt>
                <c:pt idx="2">
                  <c:v>Alternative 3</c:v>
                </c:pt>
                <c:pt idx="3">
                  <c:v/>
                </c:pt>
                <c:pt idx="4">
                  <c:v>TN 2024-25, all-in</c:v>
                </c:pt>
              </c:strCache>
            </c:strRef>
          </c:cat>
          <c:val>
            <c:numRef>
              <c:f>Summary!$X$92:$AB$92</c:f>
              <c:numCache>
                <c:formatCode>\$#,##0</c:formatCode>
                <c:ptCount val="5"/>
                <c:pt idx="0">
                  <c:v>93.4008630647517</c:v>
                </c:pt>
                <c:pt idx="1">
                  <c:v>128.999983654077</c:v>
                </c:pt>
                <c:pt idx="2">
                  <c:v>123.825246823442</c:v>
                </c:pt>
                <c:pt idx="3">
                  <c:v>0</c:v>
                </c:pt>
                <c:pt idx="4">
                  <c:v>70</c:v>
                </c:pt>
              </c:numCache>
            </c:numRef>
          </c:val>
        </c:ser>
        <c:gapWidth val="60"/>
        <c:overlap val="100"/>
        <c:axId val="39506927"/>
        <c:axId val="35754117"/>
      </c:barChart>
      <c:catAx>
        <c:axId val="39506927"/>
        <c:scaling>
          <c:orientation val="minMax"/>
        </c:scaling>
        <c:delete val="0"/>
        <c:axPos val="b"/>
        <c:numFmt formatCode="General" sourceLinked="1"/>
        <c:majorTickMark val="none"/>
        <c:minorTickMark val="none"/>
        <c:tickLblPos val="nextTo"/>
        <c:spPr>
          <a:ln w="6480">
            <a:solidFill>
              <a:srgbClr val="8b8b8b"/>
            </a:solidFill>
            <a:round/>
          </a:ln>
        </c:spPr>
        <c:txPr>
          <a:bodyPr/>
          <a:lstStyle/>
          <a:p>
            <a:pPr>
              <a:defRPr b="0" sz="700" spc="-1" strike="noStrike">
                <a:solidFill>
                  <a:srgbClr val="000000"/>
                </a:solidFill>
                <a:latin typeface="Calibri"/>
              </a:defRPr>
            </a:pPr>
          </a:p>
        </c:txPr>
        <c:crossAx val="35754117"/>
        <c:crosses val="autoZero"/>
        <c:auto val="1"/>
        <c:lblAlgn val="ctr"/>
        <c:lblOffset val="100"/>
        <c:noMultiLvlLbl val="0"/>
      </c:catAx>
      <c:valAx>
        <c:axId val="35754117"/>
        <c:scaling>
          <c:orientation val="minMax"/>
        </c:scaling>
        <c:delete val="0"/>
        <c:axPos val="l"/>
        <c:numFmt formatCode="\$#,##0" sourceLinked="0"/>
        <c:majorTickMark val="none"/>
        <c:minorTickMark val="none"/>
        <c:tickLblPos val="nextTo"/>
        <c:spPr>
          <a:ln w="6480">
            <a:solidFill>
              <a:srgbClr val="8b8b8b"/>
            </a:solidFill>
            <a:round/>
          </a:ln>
        </c:spPr>
        <c:txPr>
          <a:bodyPr/>
          <a:lstStyle/>
          <a:p>
            <a:pPr>
              <a:defRPr b="0" sz="700" spc="-1" strike="noStrike">
                <a:solidFill>
                  <a:srgbClr val="000000"/>
                </a:solidFill>
                <a:latin typeface="Calibri"/>
              </a:defRPr>
            </a:pPr>
          </a:p>
        </c:txPr>
        <c:crossAx val="39506927"/>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15.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scatterChart>
        <c:scatterStyle val="lineMarker"/>
        <c:varyColors val="0"/>
        <c:ser>
          <c:idx val="0"/>
          <c:order val="0"/>
          <c:tx>
            <c:strRef>
              <c:f>"Tennessee"</c:f>
              <c:strCache>
                <c:ptCount val="1"/>
                <c:pt idx="0">
                  <c:v>Tennessee</c:v>
                </c:pt>
              </c:strCache>
            </c:strRef>
          </c:tx>
          <c:spPr>
            <a:solidFill>
              <a:srgbClr val="9aa0a6"/>
            </a:solidFill>
            <a:ln w="9360">
              <a:solidFill>
                <a:srgbClr val="9aa0a6"/>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Summary!$AH$132:$AH$322</c:f>
              <c:numCache>
                <c:formatCode>0.00000</c:formatCode>
                <c:ptCount val="191"/>
                <c:pt idx="0">
                  <c:v>-89.425</c:v>
                </c:pt>
                <c:pt idx="1">
                  <c:v>-88.04278</c:v>
                </c:pt>
                <c:pt idx="2">
                  <c:v>-88.04</c:v>
                </c:pt>
                <c:pt idx="3">
                  <c:v>-88.07528</c:v>
                </c:pt>
                <c:pt idx="4">
                  <c:v>-87.85833</c:v>
                </c:pt>
                <c:pt idx="5">
                  <c:v>-87.83972</c:v>
                </c:pt>
                <c:pt idx="6">
                  <c:v>-87.19056</c:v>
                </c:pt>
                <c:pt idx="7">
                  <c:v>-86.57972</c:v>
                </c:pt>
                <c:pt idx="8">
                  <c:v>-86.57167</c:v>
                </c:pt>
                <c:pt idx="9">
                  <c:v>-86.52361</c:v>
                </c:pt>
                <c:pt idx="10">
                  <c:v>-85.95944</c:v>
                </c:pt>
                <c:pt idx="11">
                  <c:v>-85.50945</c:v>
                </c:pt>
                <c:pt idx="12">
                  <c:v>-85.15472</c:v>
                </c:pt>
                <c:pt idx="13">
                  <c:v>-83.71222</c:v>
                </c:pt>
                <c:pt idx="14">
                  <c:v>-83.68111</c:v>
                </c:pt>
                <c:pt idx="15">
                  <c:v>-81.9525</c:v>
                </c:pt>
                <c:pt idx="16">
                  <c:v>-81.92278</c:v>
                </c:pt>
                <c:pt idx="17">
                  <c:v>-81.65722</c:v>
                </c:pt>
                <c:pt idx="18">
                  <c:v>-81.65083</c:v>
                </c:pt>
                <c:pt idx="19">
                  <c:v>-81.6109</c:v>
                </c:pt>
                <c:pt idx="21">
                  <c:v>-89.175</c:v>
                </c:pt>
                <c:pt idx="22">
                  <c:v>-89.22278</c:v>
                </c:pt>
                <c:pt idx="23">
                  <c:v>-89.27</c:v>
                </c:pt>
                <c:pt idx="24">
                  <c:v>-89.33889</c:v>
                </c:pt>
                <c:pt idx="25">
                  <c:v>-89.37222</c:v>
                </c:pt>
                <c:pt idx="26">
                  <c:v>-89.42639</c:v>
                </c:pt>
                <c:pt idx="27">
                  <c:v>-89.48583</c:v>
                </c:pt>
                <c:pt idx="28">
                  <c:v>-89.50777</c:v>
                </c:pt>
                <c:pt idx="29">
                  <c:v>-89.48889</c:v>
                </c:pt>
                <c:pt idx="30">
                  <c:v>-89.50417</c:v>
                </c:pt>
                <c:pt idx="31">
                  <c:v>-89.54611</c:v>
                </c:pt>
                <c:pt idx="32">
                  <c:v>-89.57528</c:v>
                </c:pt>
                <c:pt idx="33">
                  <c:v>-89.57611</c:v>
                </c:pt>
                <c:pt idx="34">
                  <c:v>-89.54361</c:v>
                </c:pt>
                <c:pt idx="35">
                  <c:v>-89.55695</c:v>
                </c:pt>
                <c:pt idx="36">
                  <c:v>-89.52778</c:v>
                </c:pt>
                <c:pt idx="37">
                  <c:v>-89.55417</c:v>
                </c:pt>
                <c:pt idx="38">
                  <c:v>-89.61583</c:v>
                </c:pt>
                <c:pt idx="39">
                  <c:v>-89.62917</c:v>
                </c:pt>
                <c:pt idx="40">
                  <c:v>-89.55889</c:v>
                </c:pt>
                <c:pt idx="41">
                  <c:v>-89.58334</c:v>
                </c:pt>
                <c:pt idx="42">
                  <c:v>-89.69111</c:v>
                </c:pt>
                <c:pt idx="43">
                  <c:v>-89.60722</c:v>
                </c:pt>
                <c:pt idx="44">
                  <c:v>-89.67416</c:v>
                </c:pt>
                <c:pt idx="45">
                  <c:v>-89.73083</c:v>
                </c:pt>
                <c:pt idx="46">
                  <c:v>-89.66444</c:v>
                </c:pt>
                <c:pt idx="47">
                  <c:v>-89.74889</c:v>
                </c:pt>
                <c:pt idx="48">
                  <c:v>-89.78111</c:v>
                </c:pt>
                <c:pt idx="49">
                  <c:v>-89.72639</c:v>
                </c:pt>
                <c:pt idx="50">
                  <c:v>-89.72916</c:v>
                </c:pt>
                <c:pt idx="51">
                  <c:v>-89.79528</c:v>
                </c:pt>
                <c:pt idx="52">
                  <c:v>-89.80944</c:v>
                </c:pt>
                <c:pt idx="53">
                  <c:v>-89.83694</c:v>
                </c:pt>
                <c:pt idx="54">
                  <c:v>-89.95944</c:v>
                </c:pt>
                <c:pt idx="55">
                  <c:v>-89.96111</c:v>
                </c:pt>
                <c:pt idx="56">
                  <c:v>-89.91639</c:v>
                </c:pt>
                <c:pt idx="57">
                  <c:v>-89.87361</c:v>
                </c:pt>
                <c:pt idx="58">
                  <c:v>-89.85583</c:v>
                </c:pt>
                <c:pt idx="59">
                  <c:v>-89.95</c:v>
                </c:pt>
                <c:pt idx="60">
                  <c:v>-89.95861</c:v>
                </c:pt>
                <c:pt idx="61">
                  <c:v>-89.93889</c:v>
                </c:pt>
                <c:pt idx="62">
                  <c:v>-90.01639</c:v>
                </c:pt>
                <c:pt idx="63">
                  <c:v>-90.04417</c:v>
                </c:pt>
                <c:pt idx="64">
                  <c:v>-90.05139</c:v>
                </c:pt>
                <c:pt idx="65">
                  <c:v>-90.00694</c:v>
                </c:pt>
                <c:pt idx="66">
                  <c:v>-90.01334</c:v>
                </c:pt>
                <c:pt idx="67">
                  <c:v>-90.05278</c:v>
                </c:pt>
                <c:pt idx="68">
                  <c:v>-90.07806</c:v>
                </c:pt>
                <c:pt idx="69">
                  <c:v>-90.10639</c:v>
                </c:pt>
                <c:pt idx="70">
                  <c:v>-90.17889</c:v>
                </c:pt>
                <c:pt idx="71">
                  <c:v>-90.17861</c:v>
                </c:pt>
                <c:pt idx="72">
                  <c:v>-90.13306</c:v>
                </c:pt>
                <c:pt idx="73">
                  <c:v>-90.09417</c:v>
                </c:pt>
                <c:pt idx="74">
                  <c:v>-90.11361</c:v>
                </c:pt>
                <c:pt idx="75">
                  <c:v>-90.10833</c:v>
                </c:pt>
                <c:pt idx="76">
                  <c:v>-90.17555</c:v>
                </c:pt>
                <c:pt idx="77">
                  <c:v>-90.08389</c:v>
                </c:pt>
                <c:pt idx="78">
                  <c:v>-90.09167</c:v>
                </c:pt>
                <c:pt idx="79">
                  <c:v>-90.07778</c:v>
                </c:pt>
                <c:pt idx="80">
                  <c:v>-90.09222</c:v>
                </c:pt>
                <c:pt idx="81">
                  <c:v>-90.17944</c:v>
                </c:pt>
                <c:pt idx="82">
                  <c:v>-90.21416</c:v>
                </c:pt>
                <c:pt idx="83">
                  <c:v>-90.30139</c:v>
                </c:pt>
                <c:pt idx="84">
                  <c:v>-90.31306</c:v>
                </c:pt>
                <c:pt idx="85">
                  <c:v>-90.26833</c:v>
                </c:pt>
                <c:pt idx="87">
                  <c:v>-81.65639</c:v>
                </c:pt>
                <c:pt idx="88">
                  <c:v>-81.71528</c:v>
                </c:pt>
                <c:pt idx="89">
                  <c:v>-81.69417</c:v>
                </c:pt>
                <c:pt idx="90">
                  <c:v>-81.74583</c:v>
                </c:pt>
                <c:pt idx="91">
                  <c:v>-81.71167</c:v>
                </c:pt>
                <c:pt idx="92">
                  <c:v>-81.80944</c:v>
                </c:pt>
                <c:pt idx="93">
                  <c:v>-81.90722</c:v>
                </c:pt>
                <c:pt idx="94">
                  <c:v>-82.03194</c:v>
                </c:pt>
                <c:pt idx="95">
                  <c:v>-82.05639</c:v>
                </c:pt>
                <c:pt idx="96">
                  <c:v>-82.07417</c:v>
                </c:pt>
                <c:pt idx="97">
                  <c:v>-82.12417</c:v>
                </c:pt>
                <c:pt idx="98">
                  <c:v>-82.14694</c:v>
                </c:pt>
                <c:pt idx="99">
                  <c:v>-82.20556</c:v>
                </c:pt>
                <c:pt idx="100">
                  <c:v>-82.26</c:v>
                </c:pt>
                <c:pt idx="101">
                  <c:v>-82.29305</c:v>
                </c:pt>
                <c:pt idx="102">
                  <c:v>-82.38223</c:v>
                </c:pt>
                <c:pt idx="103">
                  <c:v>-82.48</c:v>
                </c:pt>
                <c:pt idx="104">
                  <c:v>-82.55917</c:v>
                </c:pt>
                <c:pt idx="105">
                  <c:v>-82.59472</c:v>
                </c:pt>
                <c:pt idx="106">
                  <c:v>-82.59</c:v>
                </c:pt>
                <c:pt idx="107">
                  <c:v>-82.63028</c:v>
                </c:pt>
                <c:pt idx="108">
                  <c:v>-82.77084</c:v>
                </c:pt>
                <c:pt idx="109">
                  <c:v>-82.80417</c:v>
                </c:pt>
                <c:pt idx="110">
                  <c:v>-82.86555</c:v>
                </c:pt>
                <c:pt idx="111">
                  <c:v>-82.90417</c:v>
                </c:pt>
                <c:pt idx="112">
                  <c:v>-82.91778</c:v>
                </c:pt>
                <c:pt idx="113">
                  <c:v>-82.90472</c:v>
                </c:pt>
                <c:pt idx="114">
                  <c:v>-82.98722</c:v>
                </c:pt>
                <c:pt idx="115">
                  <c:v>-83.075</c:v>
                </c:pt>
                <c:pt idx="116">
                  <c:v>-83.16278</c:v>
                </c:pt>
                <c:pt idx="117">
                  <c:v>-83.24639</c:v>
                </c:pt>
                <c:pt idx="118">
                  <c:v>-83.29305</c:v>
                </c:pt>
                <c:pt idx="119">
                  <c:v>-83.3375</c:v>
                </c:pt>
                <c:pt idx="120">
                  <c:v>-83.37417</c:v>
                </c:pt>
                <c:pt idx="121">
                  <c:v>-83.44611</c:v>
                </c:pt>
                <c:pt idx="122">
                  <c:v>-83.49223</c:v>
                </c:pt>
                <c:pt idx="123">
                  <c:v>-83.57222</c:v>
                </c:pt>
                <c:pt idx="124">
                  <c:v>-83.60722</c:v>
                </c:pt>
                <c:pt idx="125">
                  <c:v>-83.63722</c:v>
                </c:pt>
                <c:pt idx="126">
                  <c:v>-83.74111</c:v>
                </c:pt>
                <c:pt idx="127">
                  <c:v>-83.88695</c:v>
                </c:pt>
                <c:pt idx="128">
                  <c:v>-83.925</c:v>
                </c:pt>
                <c:pt idx="129">
                  <c:v>-83.97945</c:v>
                </c:pt>
                <c:pt idx="130">
                  <c:v>-84.01195</c:v>
                </c:pt>
                <c:pt idx="131">
                  <c:v>-84.05083</c:v>
                </c:pt>
                <c:pt idx="132">
                  <c:v>-84.07917</c:v>
                </c:pt>
                <c:pt idx="133">
                  <c:v>-84.19305</c:v>
                </c:pt>
                <c:pt idx="134">
                  <c:v>-84.23833</c:v>
                </c:pt>
                <c:pt idx="135">
                  <c:v>-84.29111</c:v>
                </c:pt>
                <c:pt idx="136">
                  <c:v>-84.32417</c:v>
                </c:pt>
                <c:pt idx="138">
                  <c:v>-86.83361</c:v>
                </c:pt>
                <c:pt idx="139">
                  <c:v>-84.58417</c:v>
                </c:pt>
                <c:pt idx="141">
                  <c:v>-90.30083</c:v>
                </c:pt>
                <c:pt idx="142">
                  <c:v>-88.19083</c:v>
                </c:pt>
                <c:pt idx="144">
                  <c:v>-83.09778</c:v>
                </c:pt>
                <c:pt idx="145">
                  <c:v>-82.7775</c:v>
                </c:pt>
                <c:pt idx="146">
                  <c:v>-82.75444</c:v>
                </c:pt>
                <c:pt idx="147">
                  <c:v>-82.69667</c:v>
                </c:pt>
                <c:pt idx="148">
                  <c:v>-82.67722</c:v>
                </c:pt>
                <c:pt idx="149">
                  <c:v>-82.65222</c:v>
                </c:pt>
                <c:pt idx="150">
                  <c:v>-82.48389</c:v>
                </c:pt>
                <c:pt idx="151">
                  <c:v>-82.43555</c:v>
                </c:pt>
                <c:pt idx="152">
                  <c:v>-82.39139</c:v>
                </c:pt>
                <c:pt idx="153">
                  <c:v>-82.36806</c:v>
                </c:pt>
                <c:pt idx="154">
                  <c:v>-82.325</c:v>
                </c:pt>
                <c:pt idx="155">
                  <c:v>-82.29056</c:v>
                </c:pt>
                <c:pt idx="156">
                  <c:v>-81.61104</c:v>
                </c:pt>
                <c:pt idx="158">
                  <c:v>-84.57972</c:v>
                </c:pt>
                <c:pt idx="159">
                  <c:v>-84.315</c:v>
                </c:pt>
                <c:pt idx="160">
                  <c:v>-83.09639</c:v>
                </c:pt>
                <c:pt idx="162">
                  <c:v>-86.8325</c:v>
                </c:pt>
                <c:pt idx="163">
                  <c:v>-88.19639</c:v>
                </c:pt>
                <c:pt idx="165">
                  <c:v>-90.3775</c:v>
                </c:pt>
                <c:pt idx="166">
                  <c:v>-90.16222</c:v>
                </c:pt>
                <c:pt idx="167">
                  <c:v>-90.12695</c:v>
                </c:pt>
                <c:pt idx="168">
                  <c:v>-90.12028</c:v>
                </c:pt>
                <c:pt idx="169">
                  <c:v>-90.06416</c:v>
                </c:pt>
                <c:pt idx="170">
                  <c:v>-90.06944</c:v>
                </c:pt>
                <c:pt idx="171">
                  <c:v>-90.12139</c:v>
                </c:pt>
                <c:pt idx="172">
                  <c:v>-90.13805</c:v>
                </c:pt>
                <c:pt idx="173">
                  <c:v>-90.22583</c:v>
                </c:pt>
                <c:pt idx="174">
                  <c:v>-90.24834</c:v>
                </c:pt>
                <c:pt idx="175">
                  <c:v>-90.29861</c:v>
                </c:pt>
                <c:pt idx="176">
                  <c:v>-90.38277</c:v>
                </c:pt>
                <c:pt idx="177">
                  <c:v>-89.72916</c:v>
                </c:pt>
                <c:pt idx="179">
                  <c:v>-83.35639</c:v>
                </c:pt>
                <c:pt idx="180">
                  <c:v>-83.41222</c:v>
                </c:pt>
                <c:pt idx="181">
                  <c:v>-83.50889</c:v>
                </c:pt>
                <c:pt idx="182">
                  <c:v>-83.6175</c:v>
                </c:pt>
                <c:pt idx="183">
                  <c:v>-83.67278</c:v>
                </c:pt>
                <c:pt idx="185">
                  <c:v>-85.61707</c:v>
                </c:pt>
                <c:pt idx="186">
                  <c:v>-85.62334</c:v>
                </c:pt>
                <c:pt idx="188">
                  <c:v>-89.56389</c:v>
                </c:pt>
                <c:pt idx="189">
                  <c:v>-89.49223</c:v>
                </c:pt>
              </c:numCache>
            </c:numRef>
          </c:xVal>
          <c:yVal>
            <c:numRef>
              <c:f>Summary!$AI$132:$AI$322</c:f>
              <c:numCache>
                <c:formatCode>0.00000</c:formatCode>
                <c:ptCount val="191"/>
                <c:pt idx="0">
                  <c:v>36.49889</c:v>
                </c:pt>
                <c:pt idx="1">
                  <c:v>36.49861</c:v>
                </c:pt>
                <c:pt idx="2">
                  <c:v>36.57389</c:v>
                </c:pt>
                <c:pt idx="3">
                  <c:v>36.69055</c:v>
                </c:pt>
                <c:pt idx="4">
                  <c:v>36.67416</c:v>
                </c:pt>
                <c:pt idx="5">
                  <c:v>36.63861</c:v>
                </c:pt>
                <c:pt idx="6">
                  <c:v>36.65666</c:v>
                </c:pt>
                <c:pt idx="7">
                  <c:v>36.65334</c:v>
                </c:pt>
                <c:pt idx="8">
                  <c:v>36.64</c:v>
                </c:pt>
                <c:pt idx="9">
                  <c:v>36.665</c:v>
                </c:pt>
                <c:pt idx="10">
                  <c:v>36.63639</c:v>
                </c:pt>
                <c:pt idx="11">
                  <c:v>36.62389</c:v>
                </c:pt>
                <c:pt idx="12">
                  <c:v>36.63528</c:v>
                </c:pt>
                <c:pt idx="13">
                  <c:v>36.5825</c:v>
                </c:pt>
                <c:pt idx="14">
                  <c:v>36.60445</c:v>
                </c:pt>
                <c:pt idx="15">
                  <c:v>36.59694</c:v>
                </c:pt>
                <c:pt idx="16">
                  <c:v>36.61806</c:v>
                </c:pt>
                <c:pt idx="17">
                  <c:v>36.61139</c:v>
                </c:pt>
                <c:pt idx="18">
                  <c:v>36.59444</c:v>
                </c:pt>
                <c:pt idx="19">
                  <c:v>36.59208</c:v>
                </c:pt>
                <c:pt idx="21">
                  <c:v>36.66888</c:v>
                </c:pt>
                <c:pt idx="22">
                  <c:v>36.57667</c:v>
                </c:pt>
                <c:pt idx="23">
                  <c:v>36.56861</c:v>
                </c:pt>
                <c:pt idx="24">
                  <c:v>36.62556</c:v>
                </c:pt>
                <c:pt idx="25">
                  <c:v>36.62778</c:v>
                </c:pt>
                <c:pt idx="26">
                  <c:v>36.49695</c:v>
                </c:pt>
                <c:pt idx="27">
                  <c:v>36.44833</c:v>
                </c:pt>
                <c:pt idx="28">
                  <c:v>36.45639</c:v>
                </c:pt>
                <c:pt idx="29">
                  <c:v>36.51889</c:v>
                </c:pt>
                <c:pt idx="30">
                  <c:v>36.55667</c:v>
                </c:pt>
                <c:pt idx="31">
                  <c:v>36.56639</c:v>
                </c:pt>
                <c:pt idx="32">
                  <c:v>36.54445</c:v>
                </c:pt>
                <c:pt idx="33">
                  <c:v>36.51778</c:v>
                </c:pt>
                <c:pt idx="34">
                  <c:v>36.47945</c:v>
                </c:pt>
                <c:pt idx="35">
                  <c:v>36.45167</c:v>
                </c:pt>
                <c:pt idx="36">
                  <c:v>36.37527</c:v>
                </c:pt>
                <c:pt idx="37">
                  <c:v>36.34889</c:v>
                </c:pt>
                <c:pt idx="38">
                  <c:v>36.34473</c:v>
                </c:pt>
                <c:pt idx="39">
                  <c:v>36.31694</c:v>
                </c:pt>
                <c:pt idx="40">
                  <c:v>36.26584</c:v>
                </c:pt>
                <c:pt idx="41">
                  <c:v>36.25</c:v>
                </c:pt>
                <c:pt idx="42">
                  <c:v>36.24111</c:v>
                </c:pt>
                <c:pt idx="43">
                  <c:v>36.13306</c:v>
                </c:pt>
                <c:pt idx="44">
                  <c:v>36.09583</c:v>
                </c:pt>
                <c:pt idx="45">
                  <c:v>36.00222</c:v>
                </c:pt>
                <c:pt idx="46">
                  <c:v>35.89778</c:v>
                </c:pt>
                <c:pt idx="47">
                  <c:v>35.91055</c:v>
                </c:pt>
                <c:pt idx="48">
                  <c:v>35.87917</c:v>
                </c:pt>
                <c:pt idx="49">
                  <c:v>35.85056</c:v>
                </c:pt>
                <c:pt idx="50">
                  <c:v>35.82278</c:v>
                </c:pt>
                <c:pt idx="51">
                  <c:v>35.81055</c:v>
                </c:pt>
                <c:pt idx="52">
                  <c:v>35.77417</c:v>
                </c:pt>
                <c:pt idx="53">
                  <c:v>35.75999</c:v>
                </c:pt>
                <c:pt idx="54">
                  <c:v>35.73833</c:v>
                </c:pt>
                <c:pt idx="55">
                  <c:v>35.71389</c:v>
                </c:pt>
                <c:pt idx="56">
                  <c:v>35.65944</c:v>
                </c:pt>
                <c:pt idx="57">
                  <c:v>35.67166</c:v>
                </c:pt>
                <c:pt idx="58">
                  <c:v>35.65167</c:v>
                </c:pt>
                <c:pt idx="59">
                  <c:v>35.60472</c:v>
                </c:pt>
                <c:pt idx="60">
                  <c:v>35.58305</c:v>
                </c:pt>
                <c:pt idx="61">
                  <c:v>35.53889</c:v>
                </c:pt>
                <c:pt idx="62">
                  <c:v>35.56111</c:v>
                </c:pt>
                <c:pt idx="63">
                  <c:v>35.54972</c:v>
                </c:pt>
                <c:pt idx="64">
                  <c:v>35.5175</c:v>
                </c:pt>
                <c:pt idx="65">
                  <c:v>35.45639</c:v>
                </c:pt>
                <c:pt idx="66">
                  <c:v>35.43361</c:v>
                </c:pt>
                <c:pt idx="67">
                  <c:v>35.42194</c:v>
                </c:pt>
                <c:pt idx="68">
                  <c:v>35.47194</c:v>
                </c:pt>
                <c:pt idx="69">
                  <c:v>35.48334</c:v>
                </c:pt>
                <c:pt idx="70">
                  <c:v>35.42416</c:v>
                </c:pt>
                <c:pt idx="71">
                  <c:v>35.38055</c:v>
                </c:pt>
                <c:pt idx="72">
                  <c:v>35.40944</c:v>
                </c:pt>
                <c:pt idx="73">
                  <c:v>35.38972</c:v>
                </c:pt>
                <c:pt idx="74">
                  <c:v>35.35777</c:v>
                </c:pt>
                <c:pt idx="75">
                  <c:v>35.32389</c:v>
                </c:pt>
                <c:pt idx="76">
                  <c:v>35.285</c:v>
                </c:pt>
                <c:pt idx="77">
                  <c:v>35.23083</c:v>
                </c:pt>
                <c:pt idx="78">
                  <c:v>35.2</c:v>
                </c:pt>
                <c:pt idx="79">
                  <c:v>35.17361</c:v>
                </c:pt>
                <c:pt idx="80">
                  <c:v>35.13499</c:v>
                </c:pt>
                <c:pt idx="81">
                  <c:v>35.12305</c:v>
                </c:pt>
                <c:pt idx="82">
                  <c:v>35.05139</c:v>
                </c:pt>
                <c:pt idx="83">
                  <c:v>35.04361</c:v>
                </c:pt>
                <c:pt idx="84">
                  <c:v>35.00833</c:v>
                </c:pt>
                <c:pt idx="85">
                  <c:v>34.965</c:v>
                </c:pt>
                <c:pt idx="87">
                  <c:v>36.61056</c:v>
                </c:pt>
                <c:pt idx="88">
                  <c:v>36.53583</c:v>
                </c:pt>
                <c:pt idx="89">
                  <c:v>36.49167</c:v>
                </c:pt>
                <c:pt idx="90">
                  <c:v>36.40388</c:v>
                </c:pt>
                <c:pt idx="91">
                  <c:v>36.34473</c:v>
                </c:pt>
                <c:pt idx="92">
                  <c:v>36.36166</c:v>
                </c:pt>
                <c:pt idx="93">
                  <c:v>36.30806</c:v>
                </c:pt>
                <c:pt idx="94">
                  <c:v>36.12695</c:v>
                </c:pt>
                <c:pt idx="95">
                  <c:v>36.12666</c:v>
                </c:pt>
                <c:pt idx="96">
                  <c:v>36.10306</c:v>
                </c:pt>
                <c:pt idx="97">
                  <c:v>36.10695</c:v>
                </c:pt>
                <c:pt idx="98">
                  <c:v>36.14389</c:v>
                </c:pt>
                <c:pt idx="99">
                  <c:v>36.16111</c:v>
                </c:pt>
                <c:pt idx="100">
                  <c:v>36.13389</c:v>
                </c:pt>
                <c:pt idx="101">
                  <c:v>36.1375</c:v>
                </c:pt>
                <c:pt idx="102">
                  <c:v>36.105</c:v>
                </c:pt>
                <c:pt idx="103">
                  <c:v>35.99917</c:v>
                </c:pt>
                <c:pt idx="104">
                  <c:v>35.96111</c:v>
                </c:pt>
                <c:pt idx="105">
                  <c:v>35.98028</c:v>
                </c:pt>
                <c:pt idx="106">
                  <c:v>36.03278</c:v>
                </c:pt>
                <c:pt idx="107">
                  <c:v>36.06306</c:v>
                </c:pt>
                <c:pt idx="108">
                  <c:v>36</c:v>
                </c:pt>
                <c:pt idx="109">
                  <c:v>35.93278</c:v>
                </c:pt>
                <c:pt idx="110">
                  <c:v>35.95639</c:v>
                </c:pt>
                <c:pt idx="111">
                  <c:v>35.95028</c:v>
                </c:pt>
                <c:pt idx="112">
                  <c:v>35.92027</c:v>
                </c:pt>
                <c:pt idx="113">
                  <c:v>35.88389</c:v>
                </c:pt>
                <c:pt idx="114">
                  <c:v>35.78166</c:v>
                </c:pt>
                <c:pt idx="115">
                  <c:v>35.79167</c:v>
                </c:pt>
                <c:pt idx="116">
                  <c:v>35.76139</c:v>
                </c:pt>
                <c:pt idx="117">
                  <c:v>35.71667</c:v>
                </c:pt>
                <c:pt idx="118">
                  <c:v>35.66583</c:v>
                </c:pt>
                <c:pt idx="119">
                  <c:v>35.66806</c:v>
                </c:pt>
                <c:pt idx="120">
                  <c:v>35.63722</c:v>
                </c:pt>
                <c:pt idx="121">
                  <c:v>35.61222</c:v>
                </c:pt>
                <c:pt idx="122">
                  <c:v>35.57111</c:v>
                </c:pt>
                <c:pt idx="123">
                  <c:v>35.55888</c:v>
                </c:pt>
                <c:pt idx="124">
                  <c:v>35.58112</c:v>
                </c:pt>
                <c:pt idx="125">
                  <c:v>35.56528</c:v>
                </c:pt>
                <c:pt idx="126">
                  <c:v>35.56583</c:v>
                </c:pt>
                <c:pt idx="127">
                  <c:v>35.51556</c:v>
                </c:pt>
                <c:pt idx="128">
                  <c:v>35.46611</c:v>
                </c:pt>
                <c:pt idx="129">
                  <c:v>35.45222</c:v>
                </c:pt>
                <c:pt idx="130">
                  <c:v>35.425</c:v>
                </c:pt>
                <c:pt idx="131">
                  <c:v>35.28583</c:v>
                </c:pt>
                <c:pt idx="132">
                  <c:v>35.265</c:v>
                </c:pt>
                <c:pt idx="133">
                  <c:v>35.25195</c:v>
                </c:pt>
                <c:pt idx="134">
                  <c:v>35.27</c:v>
                </c:pt>
                <c:pt idx="135">
                  <c:v>35.23</c:v>
                </c:pt>
                <c:pt idx="136">
                  <c:v>34.98611</c:v>
                </c:pt>
                <c:pt idx="138">
                  <c:v>34.99944</c:v>
                </c:pt>
                <c:pt idx="139">
                  <c:v>35</c:v>
                </c:pt>
                <c:pt idx="141">
                  <c:v>35.00166</c:v>
                </c:pt>
                <c:pt idx="142">
                  <c:v>35.0025</c:v>
                </c:pt>
                <c:pt idx="144">
                  <c:v>35.00027</c:v>
                </c:pt>
                <c:pt idx="145">
                  <c:v>35.09138</c:v>
                </c:pt>
                <c:pt idx="146">
                  <c:v>35.07028</c:v>
                </c:pt>
                <c:pt idx="147">
                  <c:v>35.0975</c:v>
                </c:pt>
                <c:pt idx="148">
                  <c:v>35.13083</c:v>
                </c:pt>
                <c:pt idx="149">
                  <c:v>35.125</c:v>
                </c:pt>
                <c:pt idx="150">
                  <c:v>35.17667</c:v>
                </c:pt>
                <c:pt idx="151">
                  <c:v>35.17472</c:v>
                </c:pt>
                <c:pt idx="152">
                  <c:v>35.22083</c:v>
                </c:pt>
                <c:pt idx="153">
                  <c:v>35.20056</c:v>
                </c:pt>
                <c:pt idx="154">
                  <c:v>35.19611</c:v>
                </c:pt>
                <c:pt idx="155">
                  <c:v>35.20694</c:v>
                </c:pt>
                <c:pt idx="156">
                  <c:v>35.18138</c:v>
                </c:pt>
                <c:pt idx="158">
                  <c:v>34.99722</c:v>
                </c:pt>
                <c:pt idx="159">
                  <c:v>34.98611</c:v>
                </c:pt>
                <c:pt idx="160">
                  <c:v>35</c:v>
                </c:pt>
                <c:pt idx="162">
                  <c:v>35.00222</c:v>
                </c:pt>
                <c:pt idx="163">
                  <c:v>35.02361</c:v>
                </c:pt>
                <c:pt idx="165">
                  <c:v>36.49976</c:v>
                </c:pt>
                <c:pt idx="166">
                  <c:v>36.49973</c:v>
                </c:pt>
                <c:pt idx="167">
                  <c:v>36.45361</c:v>
                </c:pt>
                <c:pt idx="168">
                  <c:v>36.41361</c:v>
                </c:pt>
                <c:pt idx="169">
                  <c:v>36.37473</c:v>
                </c:pt>
                <c:pt idx="170">
                  <c:v>36.28194</c:v>
                </c:pt>
                <c:pt idx="171">
                  <c:v>36.25694</c:v>
                </c:pt>
                <c:pt idx="172">
                  <c:v>36.21389</c:v>
                </c:pt>
                <c:pt idx="173">
                  <c:v>36.17944</c:v>
                </c:pt>
                <c:pt idx="174">
                  <c:v>36.13194</c:v>
                </c:pt>
                <c:pt idx="175">
                  <c:v>36.11361</c:v>
                </c:pt>
                <c:pt idx="176">
                  <c:v>35.98556</c:v>
                </c:pt>
                <c:pt idx="177">
                  <c:v>36</c:v>
                </c:pt>
                <c:pt idx="179">
                  <c:v>36.70639</c:v>
                </c:pt>
                <c:pt idx="180">
                  <c:v>36.67416</c:v>
                </c:pt>
                <c:pt idx="181">
                  <c:v>36.66888</c:v>
                </c:pt>
                <c:pt idx="182">
                  <c:v>36.64056</c:v>
                </c:pt>
                <c:pt idx="183">
                  <c:v>36.6025</c:v>
                </c:pt>
                <c:pt idx="185">
                  <c:v>34.97196</c:v>
                </c:pt>
                <c:pt idx="186">
                  <c:v>34.99917</c:v>
                </c:pt>
                <c:pt idx="188">
                  <c:v>36.50083</c:v>
                </c:pt>
                <c:pt idx="189">
                  <c:v>36.50139</c:v>
                </c:pt>
              </c:numCache>
            </c:numRef>
          </c:yVal>
          <c:smooth val="1"/>
        </c:ser>
        <c:ser>
          <c:idx val="1"/>
          <c:order val="1"/>
          <c:tx>
            <c:strRef>
              <c:f>"West"</c:f>
              <c:strCache>
                <c:ptCount val="1"/>
                <c:pt idx="0">
                  <c:v>West</c:v>
                </c:pt>
              </c:strCache>
            </c:strRef>
          </c:tx>
          <c:spPr>
            <a:solidFill>
              <a:srgbClr val="7fa8cf"/>
            </a:solidFill>
            <a:ln w="19080">
              <a:noFill/>
            </a:ln>
          </c:spPr>
          <c:marker>
            <c:symbol val="circle"/>
            <c:size val="4"/>
            <c:spPr>
              <a:solidFill>
                <a:srgbClr val="7fa8cf"/>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Summary!$Y$132:$Y$152</c:f>
              <c:numCache>
                <c:formatCode>0.00000</c:formatCode>
                <c:ptCount val="21"/>
                <c:pt idx="0">
                  <c:v>-89.39722</c:v>
                </c:pt>
                <c:pt idx="1">
                  <c:v>-88.19535</c:v>
                </c:pt>
                <c:pt idx="2">
                  <c:v>-88.12473</c:v>
                </c:pt>
                <c:pt idx="3">
                  <c:v>-88.4633</c:v>
                </c:pt>
                <c:pt idx="4">
                  <c:v>-89.933</c:v>
                </c:pt>
                <c:pt idx="5">
                  <c:v>-89.58723</c:v>
                </c:pt>
                <c:pt idx="6">
                  <c:v>-89.40658</c:v>
                </c:pt>
                <c:pt idx="7">
                  <c:v>-88.9857</c:v>
                </c:pt>
                <c:pt idx="8">
                  <c:v>-89.39444</c:v>
                </c:pt>
                <c:pt idx="9">
                  <c:v>-90.05397</c:v>
                </c:pt>
                <c:pt idx="10">
                  <c:v>-88.84894</c:v>
                </c:pt>
                <c:pt idx="11">
                  <c:v>-88.38444</c:v>
                </c:pt>
                <c:pt idx="12">
                  <c:v>-88.87493</c:v>
                </c:pt>
                <c:pt idx="13">
                  <c:v>-88.91561</c:v>
                </c:pt>
                <c:pt idx="14">
                  <c:v>-89.97668</c:v>
                </c:pt>
                <c:pt idx="15">
                  <c:v>-89.87043</c:v>
                </c:pt>
                <c:pt idx="16">
                  <c:v>-89.34631</c:v>
                </c:pt>
                <c:pt idx="17">
                  <c:v>-88.49836</c:v>
                </c:pt>
                <c:pt idx="18">
                  <c:v>-88.21673</c:v>
                </c:pt>
                <c:pt idx="19">
                  <c:v>-89.04325</c:v>
                </c:pt>
                <c:pt idx="20">
                  <c:v>-89.58003</c:v>
                </c:pt>
              </c:numCache>
            </c:numRef>
          </c:xVal>
          <c:yVal>
            <c:numRef>
              <c:f>Summary!$Z$132:$Z$152</c:f>
              <c:numCache>
                <c:formatCode>0.00000</c:formatCode>
                <c:ptCount val="21"/>
                <c:pt idx="0">
                  <c:v>35.90333</c:v>
                </c:pt>
                <c:pt idx="1">
                  <c:v>35.65636</c:v>
                </c:pt>
                <c:pt idx="2">
                  <c:v>36.00954</c:v>
                </c:pt>
                <c:pt idx="3">
                  <c:v>36.0893</c:v>
                </c:pt>
                <c:pt idx="4">
                  <c:v>35.27848</c:v>
                </c:pt>
                <c:pt idx="5">
                  <c:v>35.58336</c:v>
                </c:pt>
                <c:pt idx="6">
                  <c:v>35.99797</c:v>
                </c:pt>
                <c:pt idx="7">
                  <c:v>36.37974</c:v>
                </c:pt>
                <c:pt idx="8">
                  <c:v>35.20769</c:v>
                </c:pt>
                <c:pt idx="9">
                  <c:v>35.20069</c:v>
                </c:pt>
                <c:pt idx="10">
                  <c:v>35.93245</c:v>
                </c:pt>
                <c:pt idx="11">
                  <c:v>36.33595</c:v>
                </c:pt>
                <c:pt idx="12">
                  <c:v>35.80218</c:v>
                </c:pt>
                <c:pt idx="13">
                  <c:v>35.59988</c:v>
                </c:pt>
                <c:pt idx="14">
                  <c:v>35.04241</c:v>
                </c:pt>
                <c:pt idx="15">
                  <c:v>35.35664</c:v>
                </c:pt>
                <c:pt idx="16">
                  <c:v>36.47533</c:v>
                </c:pt>
                <c:pt idx="17">
                  <c:v>35.20294</c:v>
                </c:pt>
                <c:pt idx="18">
                  <c:v>35.17025</c:v>
                </c:pt>
                <c:pt idx="19">
                  <c:v>35.21514</c:v>
                </c:pt>
                <c:pt idx="20">
                  <c:v>35.05402</c:v>
                </c:pt>
              </c:numCache>
            </c:numRef>
          </c:yVal>
          <c:smooth val="1"/>
        </c:ser>
        <c:ser>
          <c:idx val="2"/>
          <c:order val="2"/>
          <c:tx>
            <c:strRef>
              <c:f>"Middle"</c:f>
              <c:strCache>
                <c:ptCount val="1"/>
                <c:pt idx="0">
                  <c:v>Middle</c:v>
                </c:pt>
              </c:strCache>
            </c:strRef>
          </c:tx>
          <c:spPr>
            <a:solidFill>
              <a:srgbClr val="2a78d6"/>
            </a:solidFill>
            <a:ln w="19080">
              <a:noFill/>
            </a:ln>
          </c:spPr>
          <c:marker>
            <c:symbol val="circle"/>
            <c:size val="4"/>
            <c:spPr>
              <a:solidFill>
                <a:srgbClr val="2a78d6"/>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Summary!$Y$153:$Y$185</c:f>
              <c:numCache>
                <c:formatCode>0.00000</c:formatCode>
                <c:ptCount val="33"/>
                <c:pt idx="0">
                  <c:v>-87.05706</c:v>
                </c:pt>
                <c:pt idx="1">
                  <c:v>-86.44247</c:v>
                </c:pt>
                <c:pt idx="2">
                  <c:v>-87.44538</c:v>
                </c:pt>
                <c:pt idx="3">
                  <c:v>-87.42984</c:v>
                </c:pt>
                <c:pt idx="4">
                  <c:v>-86.80389</c:v>
                </c:pt>
                <c:pt idx="5">
                  <c:v>-86.564</c:v>
                </c:pt>
                <c:pt idx="6">
                  <c:v>-85.89815</c:v>
                </c:pt>
                <c:pt idx="7">
                  <c:v>-87.96827</c:v>
                </c:pt>
                <c:pt idx="8">
                  <c:v>-87.9167</c:v>
                </c:pt>
                <c:pt idx="9">
                  <c:v>-87.73817</c:v>
                </c:pt>
                <c:pt idx="10">
                  <c:v>-85.64132</c:v>
                </c:pt>
                <c:pt idx="11">
                  <c:v>-87.87663</c:v>
                </c:pt>
                <c:pt idx="12">
                  <c:v>-84.94665</c:v>
                </c:pt>
                <c:pt idx="13">
                  <c:v>-87.59732</c:v>
                </c:pt>
                <c:pt idx="14">
                  <c:v>-86.88649</c:v>
                </c:pt>
                <c:pt idx="15">
                  <c:v>-86.05806</c:v>
                </c:pt>
                <c:pt idx="16">
                  <c:v>-87.25794</c:v>
                </c:pt>
                <c:pt idx="17">
                  <c:v>-86.31569</c:v>
                </c:pt>
                <c:pt idx="18">
                  <c:v>-85.31046</c:v>
                </c:pt>
                <c:pt idx="19">
                  <c:v>-87.17914</c:v>
                </c:pt>
                <c:pt idx="20">
                  <c:v>-86.37747</c:v>
                </c:pt>
                <c:pt idx="21">
                  <c:v>-86.40841</c:v>
                </c:pt>
                <c:pt idx="22">
                  <c:v>-86.67818</c:v>
                </c:pt>
                <c:pt idx="23">
                  <c:v>-87.41495</c:v>
                </c:pt>
                <c:pt idx="24">
                  <c:v>-86.47691</c:v>
                </c:pt>
                <c:pt idx="25">
                  <c:v>-86.615</c:v>
                </c:pt>
                <c:pt idx="26">
                  <c:v>-85.80911</c:v>
                </c:pt>
                <c:pt idx="27">
                  <c:v>-86.52009</c:v>
                </c:pt>
                <c:pt idx="28">
                  <c:v>-86.92117</c:v>
                </c:pt>
                <c:pt idx="29">
                  <c:v>-86.24678</c:v>
                </c:pt>
                <c:pt idx="30">
                  <c:v>-85.53011</c:v>
                </c:pt>
                <c:pt idx="31">
                  <c:v>-85.84382</c:v>
                </c:pt>
                <c:pt idx="32">
                  <c:v>-86.06617</c:v>
                </c:pt>
              </c:numCache>
            </c:numRef>
          </c:xVal>
          <c:yVal>
            <c:numRef>
              <c:f>Summary!$Z$153:$Z$185</c:f>
              <c:numCache>
                <c:formatCode>0.00000</c:formatCode>
                <c:ptCount val="33"/>
                <c:pt idx="0">
                  <c:v>35.15408</c:v>
                </c:pt>
                <c:pt idx="1">
                  <c:v>35.5594</c:v>
                </c:pt>
                <c:pt idx="2">
                  <c:v>35.83742</c:v>
                </c:pt>
                <c:pt idx="3">
                  <c:v>36.12796</c:v>
                </c:pt>
                <c:pt idx="4">
                  <c:v>35.50697</c:v>
                </c:pt>
                <c:pt idx="5">
                  <c:v>35.05969</c:v>
                </c:pt>
                <c:pt idx="6">
                  <c:v>35.20515</c:v>
                </c:pt>
                <c:pt idx="7">
                  <c:v>35.38303</c:v>
                </c:pt>
                <c:pt idx="8">
                  <c:v>36.31672</c:v>
                </c:pt>
                <c:pt idx="9">
                  <c:v>36.11661</c:v>
                </c:pt>
                <c:pt idx="10">
                  <c:v>36.39682</c:v>
                </c:pt>
                <c:pt idx="11">
                  <c:v>35.59484</c:v>
                </c:pt>
                <c:pt idx="12">
                  <c:v>36.3497</c:v>
                </c:pt>
                <c:pt idx="13">
                  <c:v>35.54597</c:v>
                </c:pt>
                <c:pt idx="14">
                  <c:v>36.18302</c:v>
                </c:pt>
                <c:pt idx="15">
                  <c:v>36.52003</c:v>
                </c:pt>
                <c:pt idx="16">
                  <c:v>35.2343</c:v>
                </c:pt>
                <c:pt idx="17">
                  <c:v>36.19041</c:v>
                </c:pt>
                <c:pt idx="18">
                  <c:v>36.4135</c:v>
                </c:pt>
                <c:pt idx="19">
                  <c:v>35.55434</c:v>
                </c:pt>
                <c:pt idx="20">
                  <c:v>35.87865</c:v>
                </c:pt>
                <c:pt idx="21">
                  <c:v>36.37508</c:v>
                </c:pt>
                <c:pt idx="22">
                  <c:v>36.12447</c:v>
                </c:pt>
                <c:pt idx="23">
                  <c:v>36.62186</c:v>
                </c:pt>
                <c:pt idx="24">
                  <c:v>36.59287</c:v>
                </c:pt>
                <c:pt idx="25">
                  <c:v>35.68944</c:v>
                </c:pt>
                <c:pt idx="26">
                  <c:v>35.98544</c:v>
                </c:pt>
                <c:pt idx="27">
                  <c:v>36.00897</c:v>
                </c:pt>
                <c:pt idx="28">
                  <c:v>36.53669</c:v>
                </c:pt>
                <c:pt idx="29">
                  <c:v>35.38012</c:v>
                </c:pt>
                <c:pt idx="30">
                  <c:v>36.05674</c:v>
                </c:pt>
                <c:pt idx="31">
                  <c:v>35.6987</c:v>
                </c:pt>
                <c:pt idx="32">
                  <c:v>35.17753</c:v>
                </c:pt>
              </c:numCache>
            </c:numRef>
          </c:yVal>
          <c:smooth val="1"/>
        </c:ser>
        <c:ser>
          <c:idx val="3"/>
          <c:order val="3"/>
          <c:tx>
            <c:strRef>
              <c:f>"East"</c:f>
              <c:strCache>
                <c:ptCount val="1"/>
                <c:pt idx="0">
                  <c:v>East</c:v>
                </c:pt>
              </c:strCache>
            </c:strRef>
          </c:tx>
          <c:spPr>
            <a:solidFill>
              <a:srgbClr val="1d3f6e"/>
            </a:solidFill>
            <a:ln w="19080">
              <a:noFill/>
            </a:ln>
          </c:spPr>
          <c:marker>
            <c:symbol val="circle"/>
            <c:size val="4"/>
            <c:spPr>
              <a:solidFill>
                <a:srgbClr val="1d3f6e"/>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Summary!$Y$186:$Y$210</c:f>
              <c:numCache>
                <c:formatCode>0.00000</c:formatCode>
                <c:ptCount val="25"/>
                <c:pt idx="0">
                  <c:v>-84.585</c:v>
                </c:pt>
                <c:pt idx="1">
                  <c:v>-84.7992</c:v>
                </c:pt>
                <c:pt idx="2">
                  <c:v>-85.02007</c:v>
                </c:pt>
                <c:pt idx="3">
                  <c:v>-84.16296</c:v>
                </c:pt>
                <c:pt idx="4">
                  <c:v>-85.08498</c:v>
                </c:pt>
                <c:pt idx="5">
                  <c:v>-85.17778</c:v>
                </c:pt>
                <c:pt idx="6">
                  <c:v>-82.17272</c:v>
                </c:pt>
                <c:pt idx="7">
                  <c:v>-83.5287</c:v>
                </c:pt>
                <c:pt idx="8">
                  <c:v>-82.81137</c:v>
                </c:pt>
                <c:pt idx="9">
                  <c:v>-82.88503</c:v>
                </c:pt>
                <c:pt idx="10">
                  <c:v>-82.30903</c:v>
                </c:pt>
                <c:pt idx="11">
                  <c:v>-81.82513</c:v>
                </c:pt>
                <c:pt idx="12">
                  <c:v>-83.87367</c:v>
                </c:pt>
                <c:pt idx="13">
                  <c:v>-85.20356</c:v>
                </c:pt>
                <c:pt idx="14">
                  <c:v>-85.58531</c:v>
                </c:pt>
                <c:pt idx="15">
                  <c:v>-84.93108</c:v>
                </c:pt>
                <c:pt idx="16">
                  <c:v>-84.34683</c:v>
                </c:pt>
                <c:pt idx="17">
                  <c:v>-83.99407</c:v>
                </c:pt>
                <c:pt idx="18">
                  <c:v>-84.56178</c:v>
                </c:pt>
                <c:pt idx="19">
                  <c:v>-84.3804</c:v>
                </c:pt>
                <c:pt idx="20">
                  <c:v>-83.37545</c:v>
                </c:pt>
                <c:pt idx="21">
                  <c:v>-83.55719</c:v>
                </c:pt>
                <c:pt idx="22">
                  <c:v>-84.68978</c:v>
                </c:pt>
                <c:pt idx="23">
                  <c:v>-84.58575</c:v>
                </c:pt>
                <c:pt idx="24">
                  <c:v>-82.40742</c:v>
                </c:pt>
              </c:numCache>
            </c:numRef>
          </c:xVal>
          <c:yVal>
            <c:numRef>
              <c:f>Summary!$Z$186:$Z$210</c:f>
              <c:numCache>
                <c:formatCode>0.00000</c:formatCode>
                <c:ptCount val="25"/>
                <c:pt idx="0">
                  <c:v>35.22639</c:v>
                </c:pt>
                <c:pt idx="1">
                  <c:v>35.21234</c:v>
                </c:pt>
                <c:pt idx="2">
                  <c:v>35.04442</c:v>
                </c:pt>
                <c:pt idx="3">
                  <c:v>36.33409</c:v>
                </c:pt>
                <c:pt idx="4">
                  <c:v>35.95129</c:v>
                </c:pt>
                <c:pt idx="5">
                  <c:v>35.1875</c:v>
                </c:pt>
                <c:pt idx="6">
                  <c:v>36.37156</c:v>
                </c:pt>
                <c:pt idx="7">
                  <c:v>35.85776</c:v>
                </c:pt>
                <c:pt idx="8">
                  <c:v>36.19573</c:v>
                </c:pt>
                <c:pt idx="9">
                  <c:v>36.45758</c:v>
                </c:pt>
                <c:pt idx="10">
                  <c:v>36.36372</c:v>
                </c:pt>
                <c:pt idx="11">
                  <c:v>36.41784</c:v>
                </c:pt>
                <c:pt idx="12">
                  <c:v>35.96383</c:v>
                </c:pt>
                <c:pt idx="13">
                  <c:v>35.03519</c:v>
                </c:pt>
                <c:pt idx="14">
                  <c:v>35.06067</c:v>
                </c:pt>
                <c:pt idx="15">
                  <c:v>35.48625</c:v>
                </c:pt>
                <c:pt idx="16">
                  <c:v>35.01582</c:v>
                </c:pt>
                <c:pt idx="17">
                  <c:v>35.81109</c:v>
                </c:pt>
                <c:pt idx="18">
                  <c:v>35.39919</c:v>
                </c:pt>
                <c:pt idx="19">
                  <c:v>35.54523</c:v>
                </c:pt>
                <c:pt idx="20">
                  <c:v>36.17938</c:v>
                </c:pt>
                <c:pt idx="21">
                  <c:v>36.4089</c:v>
                </c:pt>
                <c:pt idx="22">
                  <c:v>35.92233</c:v>
                </c:pt>
                <c:pt idx="23">
                  <c:v>36.45569</c:v>
                </c:pt>
                <c:pt idx="24">
                  <c:v>36.47521</c:v>
                </c:pt>
              </c:numCache>
            </c:numRef>
          </c:yVal>
          <c:smooth val="1"/>
        </c:ser>
        <c:ser>
          <c:idx val="4"/>
          <c:order val="4"/>
          <c:tx>
            <c:strRef>
              <c:f>Summary!$AF$132</c:f>
              <c:strCache>
                <c:ptCount val="1"/>
                <c:pt idx="0">
                  <c:v>GKT</c:v>
                </c:pt>
              </c:strCache>
            </c:strRef>
          </c:tx>
          <c:spPr>
            <a:solidFill>
              <a:srgbClr val="c1440e"/>
            </a:solidFill>
            <a:ln w="19080">
              <a:noFill/>
            </a:ln>
          </c:spPr>
          <c:marker>
            <c:symbol val="circle"/>
            <c:size val="9"/>
            <c:spPr>
              <a:solidFill>
                <a:srgbClr val="c1440e"/>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1"/>
            <c:showPercent val="0"/>
            <c:separator>; </c:separator>
            <c:showLeaderLines val="1"/>
            <c:extLst>
              <c:ext xmlns:c15="http://schemas.microsoft.com/office/drawing/2012/chart" uri="{CE6537A1-D6FC-4f65-9D91-7224C49458BB}">
                <c15:showLeaderLines val="1"/>
              </c:ext>
            </c:extLst>
          </c:dLbls>
          <c:xVal>
            <c:numRef>
              <c:f>Summary!$AD$132</c:f>
              <c:numCache>
                <c:formatCode>0.00000</c:formatCode>
                <c:ptCount val="1"/>
                <c:pt idx="0">
                  <c:v>-83.5287</c:v>
                </c:pt>
              </c:numCache>
            </c:numRef>
          </c:xVal>
          <c:yVal>
            <c:numRef>
              <c:f>Summary!$AE$132</c:f>
              <c:numCache>
                <c:formatCode>0.00000</c:formatCode>
                <c:ptCount val="1"/>
                <c:pt idx="0">
                  <c:v>35.85776</c:v>
                </c:pt>
              </c:numCache>
            </c:numRef>
          </c:yVal>
          <c:smooth val="1"/>
        </c:ser>
        <c:axId val="92769081"/>
        <c:axId val="87658616"/>
      </c:scatterChart>
      <c:valAx>
        <c:axId val="92769081"/>
        <c:scaling>
          <c:orientation val="minMax"/>
          <c:max val="-81.4"/>
          <c:min val="-90.6"/>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Longitude</a:t>
                </a:r>
              </a:p>
            </c:rich>
          </c:tx>
          <c:overlay val="0"/>
          <c:spPr>
            <a:noFill/>
            <a:ln w="0">
              <a:noFill/>
            </a:ln>
          </c:spPr>
        </c:title>
        <c:numFmt formatCode=";;;" sourceLinked="0"/>
        <c:majorTickMark val="none"/>
        <c:minorTickMark val="none"/>
        <c:tickLblPos val="nextTo"/>
        <c:spPr>
          <a:ln w="6480">
            <a:solidFill>
              <a:srgbClr val="8b8b8b"/>
            </a:solidFill>
            <a:round/>
          </a:ln>
        </c:spPr>
        <c:txPr>
          <a:bodyPr/>
          <a:lstStyle/>
          <a:p>
            <a:pPr>
              <a:defRPr b="0" sz="1000" spc="-1" strike="noStrike">
                <a:solidFill>
                  <a:srgbClr val="000000"/>
                </a:solidFill>
                <a:latin typeface="Calibri"/>
              </a:defRPr>
            </a:pPr>
          </a:p>
        </c:txPr>
        <c:crossAx val="87658616"/>
        <c:crosses val="autoZero"/>
        <c:crossBetween val="midCat"/>
      </c:valAx>
      <c:valAx>
        <c:axId val="87658616"/>
        <c:scaling>
          <c:orientation val="minMax"/>
          <c:max val="36.9"/>
          <c:min val="34.8"/>
        </c:scaling>
        <c:delete val="0"/>
        <c:axPos val="l"/>
        <c:title>
          <c:tx>
            <c:rich>
              <a:bodyPr rot="-5400000"/>
              <a:lstStyle/>
              <a:p>
                <a:pPr>
                  <a:defRPr b="1" sz="1000" spc="-1" strike="noStrike">
                    <a:solidFill>
                      <a:srgbClr val="000000"/>
                    </a:solidFill>
                    <a:latin typeface="Calibri"/>
                  </a:defRPr>
                </a:pPr>
                <a:r>
                  <a:rPr b="1" sz="1000" spc="-1" strike="noStrike">
                    <a:solidFill>
                      <a:srgbClr val="000000"/>
                    </a:solidFill>
                    <a:latin typeface="Calibri"/>
                  </a:rPr>
                  <a:t>Latitude</a:t>
                </a:r>
              </a:p>
            </c:rich>
          </c:tx>
          <c:overlay val="0"/>
          <c:spPr>
            <a:noFill/>
            <a:ln w="0">
              <a:noFill/>
            </a:ln>
          </c:spPr>
        </c:title>
        <c:numFmt formatCode=";;;" sourceLinked="0"/>
        <c:majorTickMark val="none"/>
        <c:minorTickMark val="none"/>
        <c:tickLblPos val="nextTo"/>
        <c:spPr>
          <a:ln w="6480">
            <a:solidFill>
              <a:srgbClr val="8b8b8b"/>
            </a:solidFill>
            <a:round/>
          </a:ln>
        </c:spPr>
        <c:txPr>
          <a:bodyPr/>
          <a:lstStyle/>
          <a:p>
            <a:pPr>
              <a:defRPr b="0" sz="1000" spc="-1" strike="noStrike">
                <a:solidFill>
                  <a:srgbClr val="000000"/>
                </a:solidFill>
                <a:latin typeface="Calibri"/>
              </a:defRPr>
            </a:pPr>
          </a:p>
        </c:txPr>
        <c:crossAx val="92769081"/>
        <c:crosses val="autoZero"/>
        <c:crossBetween val="midCat"/>
      </c:valAx>
      <c:spPr>
        <a:noFill/>
        <a:ln w="0">
          <a:noFill/>
        </a:ln>
      </c:spPr>
    </c:plotArea>
    <c:plotVisOnly val="1"/>
    <c:dispBlanksAs val="gap"/>
  </c:chart>
  <c:spPr>
    <a:solidFill>
      <a:srgbClr val="ffffff"/>
    </a:solidFill>
    <a:ln w="9360">
      <a:solidFill>
        <a:srgbClr val="d9d9d9"/>
      </a:solidFill>
      <a:round/>
    </a:ln>
  </c:spPr>
</c:chartSpace>
</file>

<file path=xl/charts/chart1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Alternative 1</a:t>
            </a:r>
          </a:p>
        </c:rich>
      </c:tx>
      <c:overlay val="0"/>
      <c:spPr>
        <a:noFill/>
        <a:ln w="0">
          <a:noFill/>
        </a:ln>
      </c:spPr>
    </c:title>
    <c:autoTitleDeleted val="0"/>
    <c:plotArea>
      <c:barChart>
        <c:barDir val="col"/>
        <c:grouping val="stacked"/>
        <c:varyColors val="0"/>
        <c:ser>
          <c:idx val="0"/>
          <c:order val="0"/>
          <c:tx>
            <c:strRef>
              <c:f>"Direct Cost"</c:f>
              <c:strCache>
                <c:ptCount val="1"/>
                <c:pt idx="0">
                  <c:v>Direct Cost</c:v>
                </c:pt>
              </c:strCache>
            </c:strRef>
          </c:tx>
          <c:spPr>
            <a:solidFill>
              <a:srgbClr val="ed7d31"/>
            </a:solidFill>
            <a:ln w="0">
              <a:no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'TMP(NewHMA)_IndirectCost'!$K$37:$K$67</c:f>
              <c:strCache>
                <c:ptCount val="31"/>
                <c:pt idx="0">
                  <c:v>2028</c:v>
                </c:pt>
                <c:pt idx="1">
                  <c:v>2029</c:v>
                </c:pt>
                <c:pt idx="2">
                  <c:v>2030</c:v>
                </c:pt>
                <c:pt idx="3">
                  <c:v>2031</c:v>
                </c:pt>
                <c:pt idx="4">
                  <c:v>2032</c:v>
                </c:pt>
                <c:pt idx="5">
                  <c:v>2033</c:v>
                </c:pt>
                <c:pt idx="6">
                  <c:v>2034</c:v>
                </c:pt>
                <c:pt idx="7">
                  <c:v>2035</c:v>
                </c:pt>
                <c:pt idx="8">
                  <c:v>2036</c:v>
                </c:pt>
                <c:pt idx="9">
                  <c:v>2037</c:v>
                </c:pt>
                <c:pt idx="10">
                  <c:v>2038</c:v>
                </c:pt>
                <c:pt idx="11">
                  <c:v>2039</c:v>
                </c:pt>
                <c:pt idx="12">
                  <c:v>2040</c:v>
                </c:pt>
                <c:pt idx="13">
                  <c:v>2041</c:v>
                </c:pt>
                <c:pt idx="14">
                  <c:v>2042</c:v>
                </c:pt>
                <c:pt idx="15">
                  <c:v>2043</c:v>
                </c:pt>
                <c:pt idx="16">
                  <c:v>2044</c:v>
                </c:pt>
                <c:pt idx="17">
                  <c:v>2045</c:v>
                </c:pt>
                <c:pt idx="18">
                  <c:v>2046</c:v>
                </c:pt>
                <c:pt idx="19">
                  <c:v>2047</c:v>
                </c:pt>
                <c:pt idx="20">
                  <c:v>2048</c:v>
                </c:pt>
                <c:pt idx="21">
                  <c:v>2049</c:v>
                </c:pt>
                <c:pt idx="22">
                  <c:v>2050</c:v>
                </c:pt>
                <c:pt idx="23">
                  <c:v>2051</c:v>
                </c:pt>
                <c:pt idx="24">
                  <c:v>2052</c:v>
                </c:pt>
                <c:pt idx="25">
                  <c:v>2053</c:v>
                </c:pt>
                <c:pt idx="26">
                  <c:v>2054</c:v>
                </c:pt>
                <c:pt idx="27">
                  <c:v>2055</c:v>
                </c:pt>
                <c:pt idx="28">
                  <c:v>2056</c:v>
                </c:pt>
                <c:pt idx="29">
                  <c:v>2057</c:v>
                </c:pt>
                <c:pt idx="30">
                  <c:v>2058</c:v>
                </c:pt>
              </c:strCache>
            </c:strRef>
          </c:cat>
          <c:val>
            <c:numRef>
              <c:f>'TMP(NewHMA)_IndirectCost'!$L$37:$L$67</c:f>
              <c:numCache>
                <c:formatCode>\$#,##0</c:formatCode>
                <c:ptCount val="31"/>
                <c:pt idx="0">
                  <c:v>0</c:v>
                </c:pt>
                <c:pt idx="1">
                  <c:v>0</c:v>
                </c:pt>
                <c:pt idx="2">
                  <c:v>0</c:v>
                </c:pt>
                <c:pt idx="3">
                  <c:v>0</c:v>
                </c:pt>
                <c:pt idx="4">
                  <c:v>230995.133333333</c:v>
                </c:pt>
                <c:pt idx="5">
                  <c:v>0</c:v>
                </c:pt>
                <c:pt idx="6">
                  <c:v>0</c:v>
                </c:pt>
                <c:pt idx="7">
                  <c:v>0</c:v>
                </c:pt>
                <c:pt idx="8">
                  <c:v>230995.133333333</c:v>
                </c:pt>
                <c:pt idx="9">
                  <c:v>0</c:v>
                </c:pt>
                <c:pt idx="10">
                  <c:v>0</c:v>
                </c:pt>
                <c:pt idx="11">
                  <c:v>0</c:v>
                </c:pt>
                <c:pt idx="12">
                  <c:v>323004.886770833</c:v>
                </c:pt>
                <c:pt idx="13">
                  <c:v>0</c:v>
                </c:pt>
                <c:pt idx="14">
                  <c:v>0</c:v>
                </c:pt>
                <c:pt idx="15">
                  <c:v>0</c:v>
                </c:pt>
                <c:pt idx="16">
                  <c:v>337845.169583333</c:v>
                </c:pt>
                <c:pt idx="17">
                  <c:v>0</c:v>
                </c:pt>
                <c:pt idx="18">
                  <c:v>0</c:v>
                </c:pt>
                <c:pt idx="19">
                  <c:v>0</c:v>
                </c:pt>
                <c:pt idx="20">
                  <c:v>1168588.850125</c:v>
                </c:pt>
                <c:pt idx="21">
                  <c:v>0</c:v>
                </c:pt>
                <c:pt idx="22">
                  <c:v>0</c:v>
                </c:pt>
                <c:pt idx="23">
                  <c:v>0</c:v>
                </c:pt>
                <c:pt idx="24">
                  <c:v>230995.133333333</c:v>
                </c:pt>
                <c:pt idx="25">
                  <c:v>0</c:v>
                </c:pt>
                <c:pt idx="26">
                  <c:v>0</c:v>
                </c:pt>
                <c:pt idx="27">
                  <c:v>0</c:v>
                </c:pt>
                <c:pt idx="28">
                  <c:v>357434.342895833</c:v>
                </c:pt>
                <c:pt idx="29">
                  <c:v>0</c:v>
                </c:pt>
                <c:pt idx="30">
                  <c:v>-438220.818796875</c:v>
                </c:pt>
              </c:numCache>
            </c:numRef>
          </c:val>
        </c:ser>
        <c:ser>
          <c:idx val="1"/>
          <c:order val="1"/>
          <c:tx>
            <c:strRef>
              <c:f>"Indirect Cost"</c:f>
              <c:strCache>
                <c:ptCount val="1"/>
                <c:pt idx="0">
                  <c:v>Indirect Cost</c:v>
                </c:pt>
              </c:strCache>
            </c:strRef>
          </c:tx>
          <c:spPr>
            <a:solidFill>
              <a:srgbClr val="4472c4"/>
            </a:solidFill>
            <a:ln w="0">
              <a:no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'TMP(NewHMA)_IndirectCost'!$K$37:$K$67</c:f>
              <c:strCache>
                <c:ptCount val="31"/>
                <c:pt idx="0">
                  <c:v>2028</c:v>
                </c:pt>
                <c:pt idx="1">
                  <c:v>2029</c:v>
                </c:pt>
                <c:pt idx="2">
                  <c:v>2030</c:v>
                </c:pt>
                <c:pt idx="3">
                  <c:v>2031</c:v>
                </c:pt>
                <c:pt idx="4">
                  <c:v>2032</c:v>
                </c:pt>
                <c:pt idx="5">
                  <c:v>2033</c:v>
                </c:pt>
                <c:pt idx="6">
                  <c:v>2034</c:v>
                </c:pt>
                <c:pt idx="7">
                  <c:v>2035</c:v>
                </c:pt>
                <c:pt idx="8">
                  <c:v>2036</c:v>
                </c:pt>
                <c:pt idx="9">
                  <c:v>2037</c:v>
                </c:pt>
                <c:pt idx="10">
                  <c:v>2038</c:v>
                </c:pt>
                <c:pt idx="11">
                  <c:v>2039</c:v>
                </c:pt>
                <c:pt idx="12">
                  <c:v>2040</c:v>
                </c:pt>
                <c:pt idx="13">
                  <c:v>2041</c:v>
                </c:pt>
                <c:pt idx="14">
                  <c:v>2042</c:v>
                </c:pt>
                <c:pt idx="15">
                  <c:v>2043</c:v>
                </c:pt>
                <c:pt idx="16">
                  <c:v>2044</c:v>
                </c:pt>
                <c:pt idx="17">
                  <c:v>2045</c:v>
                </c:pt>
                <c:pt idx="18">
                  <c:v>2046</c:v>
                </c:pt>
                <c:pt idx="19">
                  <c:v>2047</c:v>
                </c:pt>
                <c:pt idx="20">
                  <c:v>2048</c:v>
                </c:pt>
                <c:pt idx="21">
                  <c:v>2049</c:v>
                </c:pt>
                <c:pt idx="22">
                  <c:v>2050</c:v>
                </c:pt>
                <c:pt idx="23">
                  <c:v>2051</c:v>
                </c:pt>
                <c:pt idx="24">
                  <c:v>2052</c:v>
                </c:pt>
                <c:pt idx="25">
                  <c:v>2053</c:v>
                </c:pt>
                <c:pt idx="26">
                  <c:v>2054</c:v>
                </c:pt>
                <c:pt idx="27">
                  <c:v>2055</c:v>
                </c:pt>
                <c:pt idx="28">
                  <c:v>2056</c:v>
                </c:pt>
                <c:pt idx="29">
                  <c:v>2057</c:v>
                </c:pt>
                <c:pt idx="30">
                  <c:v>2058</c:v>
                </c:pt>
              </c:strCache>
            </c:strRef>
          </c:cat>
          <c:val>
            <c:numRef>
              <c:f>'TMP(NewHMA)_IndirectCost'!$M$37:$M$67</c:f>
              <c:numCache>
                <c:formatCode>\$#,##0</c:formatCode>
                <c:ptCount val="31"/>
                <c:pt idx="0">
                  <c:v>0</c:v>
                </c:pt>
                <c:pt idx="1">
                  <c:v>0</c:v>
                </c:pt>
                <c:pt idx="2">
                  <c:v>0</c:v>
                </c:pt>
                <c:pt idx="3">
                  <c:v>0</c:v>
                </c:pt>
                <c:pt idx="4">
                  <c:v>32647.02</c:v>
                </c:pt>
                <c:pt idx="5">
                  <c:v>0</c:v>
                </c:pt>
                <c:pt idx="6">
                  <c:v>0</c:v>
                </c:pt>
                <c:pt idx="7">
                  <c:v>0</c:v>
                </c:pt>
                <c:pt idx="8">
                  <c:v>32647.02</c:v>
                </c:pt>
                <c:pt idx="9">
                  <c:v>0</c:v>
                </c:pt>
                <c:pt idx="10">
                  <c:v>0</c:v>
                </c:pt>
                <c:pt idx="11">
                  <c:v>0</c:v>
                </c:pt>
                <c:pt idx="12">
                  <c:v>43529.36</c:v>
                </c:pt>
                <c:pt idx="13">
                  <c:v>0</c:v>
                </c:pt>
                <c:pt idx="14">
                  <c:v>0</c:v>
                </c:pt>
                <c:pt idx="15">
                  <c:v>0</c:v>
                </c:pt>
                <c:pt idx="16">
                  <c:v>43529.36</c:v>
                </c:pt>
                <c:pt idx="17">
                  <c:v>0</c:v>
                </c:pt>
                <c:pt idx="18">
                  <c:v>0</c:v>
                </c:pt>
                <c:pt idx="19">
                  <c:v>0</c:v>
                </c:pt>
                <c:pt idx="20">
                  <c:v>76176.38</c:v>
                </c:pt>
                <c:pt idx="21">
                  <c:v>0</c:v>
                </c:pt>
                <c:pt idx="22">
                  <c:v>0</c:v>
                </c:pt>
                <c:pt idx="23">
                  <c:v>0</c:v>
                </c:pt>
                <c:pt idx="24">
                  <c:v>32647.02</c:v>
                </c:pt>
                <c:pt idx="25">
                  <c:v>0</c:v>
                </c:pt>
                <c:pt idx="26">
                  <c:v>0</c:v>
                </c:pt>
                <c:pt idx="27">
                  <c:v>0</c:v>
                </c:pt>
                <c:pt idx="28">
                  <c:v>43529.36</c:v>
                </c:pt>
                <c:pt idx="29">
                  <c:v>0</c:v>
                </c:pt>
                <c:pt idx="30">
                  <c:v>0</c:v>
                </c:pt>
              </c:numCache>
            </c:numRef>
          </c:val>
        </c:ser>
        <c:gapWidth val="219"/>
        <c:overlap val="100"/>
        <c:axId val="7123232"/>
        <c:axId val="31751519"/>
      </c:barChart>
      <c:catAx>
        <c:axId val="7123232"/>
        <c:scaling>
          <c:orientation val="minMax"/>
        </c:scaling>
        <c:delete val="0"/>
        <c:axPos val="b"/>
        <c:title>
          <c:tx>
            <c:rich>
              <a:bodyPr rot="0"/>
              <a:lstStyle/>
              <a:p>
                <a:pPr>
                  <a:defRPr b="0" lang="en-US" sz="900" spc="-1" strike="noStrike">
                    <a:solidFill>
                      <a:srgbClr val="000000"/>
                    </a:solidFill>
                    <a:latin typeface="Calibri"/>
                  </a:defRPr>
                </a:pPr>
                <a:r>
                  <a:rPr b="0" lang="en-US" sz="900" spc="-1" strike="noStrike">
                    <a:solidFill>
                      <a:srgbClr val="000000"/>
                    </a:solidFill>
                    <a:latin typeface="Calibri"/>
                  </a:rPr>
                  <a:t>Calendar year</a:t>
                </a:r>
              </a:p>
            </c:rich>
          </c:tx>
          <c:overlay val="0"/>
          <c:spPr>
            <a:noFill/>
            <a:ln w="0">
              <a:noFill/>
            </a:ln>
          </c:spPr>
        </c:title>
        <c:numFmt formatCode="0" sourceLinked="0"/>
        <c:majorTickMark val="cross"/>
        <c:minorTickMark val="none"/>
        <c:tickLblPos val="nextTo"/>
        <c:spPr>
          <a:ln w="9360">
            <a:solidFill>
              <a:srgbClr val="bfbfbf"/>
            </a:solidFill>
            <a:round/>
          </a:ln>
        </c:spPr>
        <c:txPr>
          <a:bodyPr/>
          <a:lstStyle/>
          <a:p>
            <a:pPr>
              <a:defRPr b="0" sz="900" spc="-1" strike="noStrike">
                <a:solidFill>
                  <a:srgbClr val="595959"/>
                </a:solidFill>
                <a:latin typeface="Calibri"/>
              </a:defRPr>
            </a:pPr>
          </a:p>
        </c:txPr>
        <c:crossAx val="31751519"/>
        <c:crosses val="autoZero"/>
        <c:auto val="1"/>
        <c:lblAlgn val="ctr"/>
        <c:lblOffset val="100"/>
        <c:noMultiLvlLbl val="0"/>
      </c:catAx>
      <c:valAx>
        <c:axId val="31751519"/>
        <c:scaling>
          <c:orientation val="minMax"/>
        </c:scaling>
        <c:delete val="0"/>
        <c:axPos val="l"/>
        <c:majorGridlines>
          <c:spPr>
            <a:ln w="9360">
              <a:solidFill>
                <a:srgbClr val="d9d9d9"/>
              </a:solidFill>
              <a:round/>
            </a:ln>
          </c:spPr>
        </c:majorGridlines>
        <c:title>
          <c:tx>
            <c:rich>
              <a:bodyPr rot="-5400000"/>
              <a:lstStyle/>
              <a:p>
                <a:pPr>
                  <a:defRPr b="0" lang="en-US" sz="900" spc="-1" strike="noStrike">
                    <a:solidFill>
                      <a:srgbClr val="000000"/>
                    </a:solidFill>
                    <a:latin typeface="Calibri"/>
                  </a:defRPr>
                </a:pPr>
                <a:r>
                  <a:rPr b="0" lang="en-US" sz="900" spc="-1" strike="noStrike">
                    <a:solidFill>
                      <a:srgbClr val="000000"/>
                    </a:solidFill>
                    <a:latin typeface="Calibri"/>
                  </a:rPr>
                  <a:t>Cost ($)</a:t>
                </a:r>
              </a:p>
            </c:rich>
          </c:tx>
          <c:overlay val="0"/>
          <c:spPr>
            <a:noFill/>
            <a:ln w="0">
              <a:noFill/>
            </a:ln>
          </c:spPr>
        </c:title>
        <c:numFmt formatCode="\$#,##0" sourceLinked="0"/>
        <c:majorTickMark val="none"/>
        <c:minorTickMark val="none"/>
        <c:tickLblPos val="nextTo"/>
        <c:spPr>
          <a:ln w="6480">
            <a:solidFill>
              <a:srgbClr val="bfbfbf"/>
            </a:solidFill>
            <a:round/>
          </a:ln>
        </c:spPr>
        <c:txPr>
          <a:bodyPr/>
          <a:lstStyle/>
          <a:p>
            <a:pPr>
              <a:defRPr b="0" sz="900" spc="-1" strike="noStrike">
                <a:solidFill>
                  <a:srgbClr val="595959"/>
                </a:solidFill>
                <a:latin typeface="Calibri"/>
              </a:defRPr>
            </a:pPr>
          </a:p>
        </c:txPr>
        <c:crossAx val="7123232"/>
        <c:crosses val="autoZero"/>
        <c:crossBetween val="between"/>
      </c:valAx>
      <c:spPr>
        <a:noFill/>
        <a:ln w="0">
          <a:solidFill>
            <a:srgbClr val="bfbfbf"/>
          </a:solid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0"/>
    <c:dispBlanksAs val="gap"/>
  </c:chart>
  <c:spPr>
    <a:solidFill>
      <a:srgbClr val="ffffff"/>
    </a:solidFill>
    <a:ln w="9360">
      <a:solidFill>
        <a:srgbClr val="d9d9d9"/>
      </a:solidFill>
      <a:round/>
    </a:ln>
  </c:spPr>
</c:chartSpace>
</file>

<file path=xl/charts/chart1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Alternative 2</a:t>
            </a:r>
          </a:p>
        </c:rich>
      </c:tx>
      <c:overlay val="0"/>
      <c:spPr>
        <a:noFill/>
        <a:ln w="0">
          <a:noFill/>
        </a:ln>
      </c:spPr>
    </c:title>
    <c:autoTitleDeleted val="0"/>
    <c:plotArea>
      <c:barChart>
        <c:barDir val="col"/>
        <c:grouping val="stacked"/>
        <c:varyColors val="0"/>
        <c:ser>
          <c:idx val="0"/>
          <c:order val="0"/>
          <c:tx>
            <c:strRef>
              <c:f>"Direct Cost"</c:f>
              <c:strCache>
                <c:ptCount val="1"/>
                <c:pt idx="0">
                  <c:v>Direct Cost</c:v>
                </c:pt>
              </c:strCache>
            </c:strRef>
          </c:tx>
          <c:spPr>
            <a:solidFill>
              <a:srgbClr val="a5a5a5"/>
            </a:solidFill>
            <a:ln w="0">
              <a:no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'TMP(NewPCC)_IndirectCost'!$K$38:$K$68</c:f>
              <c:strCache>
                <c:ptCount val="31"/>
                <c:pt idx="0">
                  <c:v>2028</c:v>
                </c:pt>
                <c:pt idx="1">
                  <c:v>2029</c:v>
                </c:pt>
                <c:pt idx="2">
                  <c:v>2030</c:v>
                </c:pt>
                <c:pt idx="3">
                  <c:v>2031</c:v>
                </c:pt>
                <c:pt idx="4">
                  <c:v>2032</c:v>
                </c:pt>
                <c:pt idx="5">
                  <c:v>2033</c:v>
                </c:pt>
                <c:pt idx="6">
                  <c:v>2034</c:v>
                </c:pt>
                <c:pt idx="7">
                  <c:v>2035</c:v>
                </c:pt>
                <c:pt idx="8">
                  <c:v>2036</c:v>
                </c:pt>
                <c:pt idx="9">
                  <c:v>2037</c:v>
                </c:pt>
                <c:pt idx="10">
                  <c:v>2038</c:v>
                </c:pt>
                <c:pt idx="11">
                  <c:v>2039</c:v>
                </c:pt>
                <c:pt idx="12">
                  <c:v>2040</c:v>
                </c:pt>
                <c:pt idx="13">
                  <c:v>2041</c:v>
                </c:pt>
                <c:pt idx="14">
                  <c:v>2042</c:v>
                </c:pt>
                <c:pt idx="15">
                  <c:v>2043</c:v>
                </c:pt>
                <c:pt idx="16">
                  <c:v>2044</c:v>
                </c:pt>
                <c:pt idx="17">
                  <c:v>2045</c:v>
                </c:pt>
                <c:pt idx="18">
                  <c:v>2046</c:v>
                </c:pt>
                <c:pt idx="19">
                  <c:v>2047</c:v>
                </c:pt>
                <c:pt idx="20">
                  <c:v>2048</c:v>
                </c:pt>
                <c:pt idx="21">
                  <c:v>2049</c:v>
                </c:pt>
                <c:pt idx="22">
                  <c:v>2050</c:v>
                </c:pt>
                <c:pt idx="23">
                  <c:v>2051</c:v>
                </c:pt>
                <c:pt idx="24">
                  <c:v>2052</c:v>
                </c:pt>
                <c:pt idx="25">
                  <c:v>2053</c:v>
                </c:pt>
                <c:pt idx="26">
                  <c:v>2054</c:v>
                </c:pt>
                <c:pt idx="27">
                  <c:v>2055</c:v>
                </c:pt>
                <c:pt idx="28">
                  <c:v>2056</c:v>
                </c:pt>
                <c:pt idx="29">
                  <c:v>2057</c:v>
                </c:pt>
                <c:pt idx="30">
                  <c:v>2058</c:v>
                </c:pt>
              </c:strCache>
            </c:strRef>
          </c:cat>
          <c:val>
            <c:numRef>
              <c:f>'TMP(NewPCC)_IndirectCost'!$L$38:$L$68</c:f>
              <c:numCache>
                <c:formatCode>General</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630652.6584</c:v>
                </c:pt>
                <c:pt idx="20">
                  <c:v>0</c:v>
                </c:pt>
                <c:pt idx="21">
                  <c:v>0</c:v>
                </c:pt>
                <c:pt idx="22">
                  <c:v>0</c:v>
                </c:pt>
                <c:pt idx="23">
                  <c:v>0</c:v>
                </c:pt>
                <c:pt idx="24">
                  <c:v>0</c:v>
                </c:pt>
                <c:pt idx="25">
                  <c:v>0</c:v>
                </c:pt>
                <c:pt idx="26">
                  <c:v>0</c:v>
                </c:pt>
                <c:pt idx="27">
                  <c:v>738083.1146</c:v>
                </c:pt>
                <c:pt idx="28">
                  <c:v>0</c:v>
                </c:pt>
                <c:pt idx="29">
                  <c:v>0</c:v>
                </c:pt>
                <c:pt idx="30">
                  <c:v>0</c:v>
                </c:pt>
              </c:numCache>
            </c:numRef>
          </c:val>
        </c:ser>
        <c:ser>
          <c:idx val="1"/>
          <c:order val="1"/>
          <c:tx>
            <c:strRef>
              <c:f>"Indirect Cost"</c:f>
              <c:strCache>
                <c:ptCount val="1"/>
                <c:pt idx="0">
                  <c:v>Indirect Cost</c:v>
                </c:pt>
              </c:strCache>
            </c:strRef>
          </c:tx>
          <c:spPr>
            <a:solidFill>
              <a:srgbClr val="4472c4"/>
            </a:solidFill>
            <a:ln w="0">
              <a:no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'TMP(NewPCC)_IndirectCost'!$K$38:$K$68</c:f>
              <c:strCache>
                <c:ptCount val="31"/>
                <c:pt idx="0">
                  <c:v>2028</c:v>
                </c:pt>
                <c:pt idx="1">
                  <c:v>2029</c:v>
                </c:pt>
                <c:pt idx="2">
                  <c:v>2030</c:v>
                </c:pt>
                <c:pt idx="3">
                  <c:v>2031</c:v>
                </c:pt>
                <c:pt idx="4">
                  <c:v>2032</c:v>
                </c:pt>
                <c:pt idx="5">
                  <c:v>2033</c:v>
                </c:pt>
                <c:pt idx="6">
                  <c:v>2034</c:v>
                </c:pt>
                <c:pt idx="7">
                  <c:v>2035</c:v>
                </c:pt>
                <c:pt idx="8">
                  <c:v>2036</c:v>
                </c:pt>
                <c:pt idx="9">
                  <c:v>2037</c:v>
                </c:pt>
                <c:pt idx="10">
                  <c:v>2038</c:v>
                </c:pt>
                <c:pt idx="11">
                  <c:v>2039</c:v>
                </c:pt>
                <c:pt idx="12">
                  <c:v>2040</c:v>
                </c:pt>
                <c:pt idx="13">
                  <c:v>2041</c:v>
                </c:pt>
                <c:pt idx="14">
                  <c:v>2042</c:v>
                </c:pt>
                <c:pt idx="15">
                  <c:v>2043</c:v>
                </c:pt>
                <c:pt idx="16">
                  <c:v>2044</c:v>
                </c:pt>
                <c:pt idx="17">
                  <c:v>2045</c:v>
                </c:pt>
                <c:pt idx="18">
                  <c:v>2046</c:v>
                </c:pt>
                <c:pt idx="19">
                  <c:v>2047</c:v>
                </c:pt>
                <c:pt idx="20">
                  <c:v>2048</c:v>
                </c:pt>
                <c:pt idx="21">
                  <c:v>2049</c:v>
                </c:pt>
                <c:pt idx="22">
                  <c:v>2050</c:v>
                </c:pt>
                <c:pt idx="23">
                  <c:v>2051</c:v>
                </c:pt>
                <c:pt idx="24">
                  <c:v>2052</c:v>
                </c:pt>
                <c:pt idx="25">
                  <c:v>2053</c:v>
                </c:pt>
                <c:pt idx="26">
                  <c:v>2054</c:v>
                </c:pt>
                <c:pt idx="27">
                  <c:v>2055</c:v>
                </c:pt>
                <c:pt idx="28">
                  <c:v>2056</c:v>
                </c:pt>
                <c:pt idx="29">
                  <c:v>2057</c:v>
                </c:pt>
                <c:pt idx="30">
                  <c:v>2058</c:v>
                </c:pt>
              </c:strCache>
            </c:strRef>
          </c:cat>
          <c:val>
            <c:numRef>
              <c:f>'TMP(NewPCC)_IndirectCost'!$M$38:$M$68</c:f>
              <c:numCache>
                <c:formatCode>General</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43529.36</c:v>
                </c:pt>
                <c:pt idx="20">
                  <c:v>0</c:v>
                </c:pt>
                <c:pt idx="21">
                  <c:v>0</c:v>
                </c:pt>
                <c:pt idx="22">
                  <c:v>0</c:v>
                </c:pt>
                <c:pt idx="23">
                  <c:v>0</c:v>
                </c:pt>
                <c:pt idx="24">
                  <c:v>0</c:v>
                </c:pt>
                <c:pt idx="25">
                  <c:v>0</c:v>
                </c:pt>
                <c:pt idx="26">
                  <c:v>0</c:v>
                </c:pt>
                <c:pt idx="27">
                  <c:v>87058.72</c:v>
                </c:pt>
                <c:pt idx="28">
                  <c:v>0</c:v>
                </c:pt>
                <c:pt idx="29">
                  <c:v>0</c:v>
                </c:pt>
                <c:pt idx="30">
                  <c:v>0</c:v>
                </c:pt>
              </c:numCache>
            </c:numRef>
          </c:val>
        </c:ser>
        <c:gapWidth val="219"/>
        <c:overlap val="100"/>
        <c:axId val="83559632"/>
        <c:axId val="25207805"/>
      </c:barChart>
      <c:catAx>
        <c:axId val="83559632"/>
        <c:scaling>
          <c:orientation val="minMax"/>
        </c:scaling>
        <c:delete val="0"/>
        <c:axPos val="b"/>
        <c:title>
          <c:tx>
            <c:rich>
              <a:bodyPr rot="0"/>
              <a:lstStyle/>
              <a:p>
                <a:pPr>
                  <a:defRPr b="0" lang="en-US" sz="900" spc="-1" strike="noStrike">
                    <a:solidFill>
                      <a:srgbClr val="000000"/>
                    </a:solidFill>
                    <a:latin typeface="Calibri"/>
                  </a:defRPr>
                </a:pPr>
                <a:r>
                  <a:rPr b="0" lang="en-US" sz="900" spc="-1" strike="noStrike">
                    <a:solidFill>
                      <a:srgbClr val="000000"/>
                    </a:solidFill>
                    <a:latin typeface="Calibri"/>
                  </a:rPr>
                  <a:t>Calendar year</a:t>
                </a:r>
              </a:p>
            </c:rich>
          </c:tx>
          <c:overlay val="0"/>
          <c:spPr>
            <a:noFill/>
            <a:ln w="0">
              <a:noFill/>
            </a:ln>
          </c:spPr>
        </c:title>
        <c:numFmt formatCode="0" sourceLinked="0"/>
        <c:majorTickMark val="cross"/>
        <c:minorTickMark val="none"/>
        <c:tickLblPos val="nextTo"/>
        <c:spPr>
          <a:ln w="9360">
            <a:solidFill>
              <a:srgbClr val="bfbfbf"/>
            </a:solidFill>
            <a:round/>
          </a:ln>
        </c:spPr>
        <c:txPr>
          <a:bodyPr/>
          <a:lstStyle/>
          <a:p>
            <a:pPr>
              <a:defRPr b="0" sz="900" spc="-1" strike="noStrike">
                <a:solidFill>
                  <a:srgbClr val="595959"/>
                </a:solidFill>
                <a:latin typeface="Calibri"/>
              </a:defRPr>
            </a:pPr>
          </a:p>
        </c:txPr>
        <c:crossAx val="25207805"/>
        <c:crosses val="autoZero"/>
        <c:auto val="1"/>
        <c:lblAlgn val="ctr"/>
        <c:lblOffset val="100"/>
        <c:noMultiLvlLbl val="0"/>
      </c:catAx>
      <c:valAx>
        <c:axId val="25207805"/>
        <c:scaling>
          <c:orientation val="minMax"/>
        </c:scaling>
        <c:delete val="0"/>
        <c:axPos val="l"/>
        <c:majorGridlines>
          <c:spPr>
            <a:ln w="9360">
              <a:solidFill>
                <a:srgbClr val="d9d9d9"/>
              </a:solidFill>
              <a:round/>
            </a:ln>
          </c:spPr>
        </c:majorGridlines>
        <c:title>
          <c:tx>
            <c:rich>
              <a:bodyPr rot="-5400000"/>
              <a:lstStyle/>
              <a:p>
                <a:pPr>
                  <a:defRPr b="0" lang="en-US" sz="900" spc="-1" strike="noStrike">
                    <a:solidFill>
                      <a:srgbClr val="000000"/>
                    </a:solidFill>
                    <a:latin typeface="Calibri"/>
                  </a:defRPr>
                </a:pPr>
                <a:r>
                  <a:rPr b="0" lang="en-US" sz="900" spc="-1" strike="noStrike">
                    <a:solidFill>
                      <a:srgbClr val="000000"/>
                    </a:solidFill>
                    <a:latin typeface="Calibri"/>
                  </a:rPr>
                  <a:t>Cost ($)</a:t>
                </a:r>
              </a:p>
            </c:rich>
          </c:tx>
          <c:overlay val="0"/>
          <c:spPr>
            <a:noFill/>
            <a:ln w="0">
              <a:noFill/>
            </a:ln>
          </c:spPr>
        </c:title>
        <c:numFmt formatCode="General" sourceLinked="0"/>
        <c:majorTickMark val="none"/>
        <c:minorTickMark val="none"/>
        <c:tickLblPos val="nextTo"/>
        <c:spPr>
          <a:ln w="6480">
            <a:solidFill>
              <a:srgbClr val="bfbfbf"/>
            </a:solidFill>
            <a:round/>
          </a:ln>
        </c:spPr>
        <c:txPr>
          <a:bodyPr/>
          <a:lstStyle/>
          <a:p>
            <a:pPr>
              <a:defRPr b="0" sz="900" spc="-1" strike="noStrike">
                <a:solidFill>
                  <a:srgbClr val="595959"/>
                </a:solidFill>
                <a:latin typeface="Calibri"/>
              </a:defRPr>
            </a:pPr>
          </a:p>
        </c:txPr>
        <c:crossAx val="83559632"/>
        <c:crosses val="autoZero"/>
        <c:crossBetween val="between"/>
      </c:valAx>
      <c:spPr>
        <a:noFill/>
        <a:ln w="0">
          <a:solidFill>
            <a:srgbClr val="bfbfbf"/>
          </a:solid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0"/>
    <c:dispBlanksAs val="gap"/>
  </c:chart>
  <c:spPr>
    <a:solidFill>
      <a:srgbClr val="ffffff"/>
    </a:solidFill>
    <a:ln w="9360">
      <a:solidFill>
        <a:srgbClr val="d9d9d9"/>
      </a:solidFill>
      <a:round/>
    </a:ln>
  </c:spPr>
</c:chartSpace>
</file>

<file path=xl/charts/chart1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Alternative 2</a:t>
            </a:r>
          </a:p>
        </c:rich>
      </c:tx>
      <c:overlay val="0"/>
      <c:spPr>
        <a:noFill/>
        <a:ln w="0">
          <a:noFill/>
        </a:ln>
      </c:spPr>
    </c:title>
    <c:autoTitleDeleted val="0"/>
    <c:plotArea>
      <c:barChart>
        <c:barDir val="col"/>
        <c:grouping val="stacked"/>
        <c:varyColors val="0"/>
        <c:ser>
          <c:idx val="0"/>
          <c:order val="0"/>
          <c:tx>
            <c:strRef>
              <c:f>"Direct Cost"</c:f>
              <c:strCache>
                <c:ptCount val="1"/>
                <c:pt idx="0">
                  <c:v>Direct Cost</c:v>
                </c:pt>
              </c:strCache>
            </c:strRef>
          </c:tx>
          <c:spPr>
            <a:solidFill>
              <a:srgbClr val="a5a5a5"/>
            </a:solidFill>
            <a:ln w="0">
              <a:no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'TMP(NewPCC)_IndirectCost'!$K$38:$K$68</c:f>
              <c:strCache>
                <c:ptCount val="31"/>
                <c:pt idx="0">
                  <c:v>2028</c:v>
                </c:pt>
                <c:pt idx="1">
                  <c:v>2029</c:v>
                </c:pt>
                <c:pt idx="2">
                  <c:v>2030</c:v>
                </c:pt>
                <c:pt idx="3">
                  <c:v>2031</c:v>
                </c:pt>
                <c:pt idx="4">
                  <c:v>2032</c:v>
                </c:pt>
                <c:pt idx="5">
                  <c:v>2033</c:v>
                </c:pt>
                <c:pt idx="6">
                  <c:v>2034</c:v>
                </c:pt>
                <c:pt idx="7">
                  <c:v>2035</c:v>
                </c:pt>
                <c:pt idx="8">
                  <c:v>2036</c:v>
                </c:pt>
                <c:pt idx="9">
                  <c:v>2037</c:v>
                </c:pt>
                <c:pt idx="10">
                  <c:v>2038</c:v>
                </c:pt>
                <c:pt idx="11">
                  <c:v>2039</c:v>
                </c:pt>
                <c:pt idx="12">
                  <c:v>2040</c:v>
                </c:pt>
                <c:pt idx="13">
                  <c:v>2041</c:v>
                </c:pt>
                <c:pt idx="14">
                  <c:v>2042</c:v>
                </c:pt>
                <c:pt idx="15">
                  <c:v>2043</c:v>
                </c:pt>
                <c:pt idx="16">
                  <c:v>2044</c:v>
                </c:pt>
                <c:pt idx="17">
                  <c:v>2045</c:v>
                </c:pt>
                <c:pt idx="18">
                  <c:v>2046</c:v>
                </c:pt>
                <c:pt idx="19">
                  <c:v>2047</c:v>
                </c:pt>
                <c:pt idx="20">
                  <c:v>2048</c:v>
                </c:pt>
                <c:pt idx="21">
                  <c:v>2049</c:v>
                </c:pt>
                <c:pt idx="22">
                  <c:v>2050</c:v>
                </c:pt>
                <c:pt idx="23">
                  <c:v>2051</c:v>
                </c:pt>
                <c:pt idx="24">
                  <c:v>2052</c:v>
                </c:pt>
                <c:pt idx="25">
                  <c:v>2053</c:v>
                </c:pt>
                <c:pt idx="26">
                  <c:v>2054</c:v>
                </c:pt>
                <c:pt idx="27">
                  <c:v>2055</c:v>
                </c:pt>
                <c:pt idx="28">
                  <c:v>2056</c:v>
                </c:pt>
                <c:pt idx="29">
                  <c:v>2057</c:v>
                </c:pt>
                <c:pt idx="30">
                  <c:v>2058</c:v>
                </c:pt>
              </c:strCache>
            </c:strRef>
          </c:cat>
          <c:val>
            <c:numRef>
              <c:f>'TMP(NewPCC)_IndirectCost'!$L$38:$L$68</c:f>
              <c:numCache>
                <c:formatCode>General</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630652.6584</c:v>
                </c:pt>
                <c:pt idx="20">
                  <c:v>0</c:v>
                </c:pt>
                <c:pt idx="21">
                  <c:v>0</c:v>
                </c:pt>
                <c:pt idx="22">
                  <c:v>0</c:v>
                </c:pt>
                <c:pt idx="23">
                  <c:v>0</c:v>
                </c:pt>
                <c:pt idx="24">
                  <c:v>0</c:v>
                </c:pt>
                <c:pt idx="25">
                  <c:v>0</c:v>
                </c:pt>
                <c:pt idx="26">
                  <c:v>0</c:v>
                </c:pt>
                <c:pt idx="27">
                  <c:v>738083.1146</c:v>
                </c:pt>
                <c:pt idx="28">
                  <c:v>0</c:v>
                </c:pt>
                <c:pt idx="29">
                  <c:v>0</c:v>
                </c:pt>
                <c:pt idx="30">
                  <c:v>0</c:v>
                </c:pt>
              </c:numCache>
            </c:numRef>
          </c:val>
        </c:ser>
        <c:ser>
          <c:idx val="1"/>
          <c:order val="1"/>
          <c:tx>
            <c:strRef>
              <c:f>"Indirect Cost"</c:f>
              <c:strCache>
                <c:ptCount val="1"/>
                <c:pt idx="0">
                  <c:v>Indirect Cost</c:v>
                </c:pt>
              </c:strCache>
            </c:strRef>
          </c:tx>
          <c:spPr>
            <a:solidFill>
              <a:srgbClr val="4472c4"/>
            </a:solidFill>
            <a:ln w="0">
              <a:no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'TMP(NewPCC)_IndirectCost'!$K$38:$K$68</c:f>
              <c:strCache>
                <c:ptCount val="31"/>
                <c:pt idx="0">
                  <c:v>2028</c:v>
                </c:pt>
                <c:pt idx="1">
                  <c:v>2029</c:v>
                </c:pt>
                <c:pt idx="2">
                  <c:v>2030</c:v>
                </c:pt>
                <c:pt idx="3">
                  <c:v>2031</c:v>
                </c:pt>
                <c:pt idx="4">
                  <c:v>2032</c:v>
                </c:pt>
                <c:pt idx="5">
                  <c:v>2033</c:v>
                </c:pt>
                <c:pt idx="6">
                  <c:v>2034</c:v>
                </c:pt>
                <c:pt idx="7">
                  <c:v>2035</c:v>
                </c:pt>
                <c:pt idx="8">
                  <c:v>2036</c:v>
                </c:pt>
                <c:pt idx="9">
                  <c:v>2037</c:v>
                </c:pt>
                <c:pt idx="10">
                  <c:v>2038</c:v>
                </c:pt>
                <c:pt idx="11">
                  <c:v>2039</c:v>
                </c:pt>
                <c:pt idx="12">
                  <c:v>2040</c:v>
                </c:pt>
                <c:pt idx="13">
                  <c:v>2041</c:v>
                </c:pt>
                <c:pt idx="14">
                  <c:v>2042</c:v>
                </c:pt>
                <c:pt idx="15">
                  <c:v>2043</c:v>
                </c:pt>
                <c:pt idx="16">
                  <c:v>2044</c:v>
                </c:pt>
                <c:pt idx="17">
                  <c:v>2045</c:v>
                </c:pt>
                <c:pt idx="18">
                  <c:v>2046</c:v>
                </c:pt>
                <c:pt idx="19">
                  <c:v>2047</c:v>
                </c:pt>
                <c:pt idx="20">
                  <c:v>2048</c:v>
                </c:pt>
                <c:pt idx="21">
                  <c:v>2049</c:v>
                </c:pt>
                <c:pt idx="22">
                  <c:v>2050</c:v>
                </c:pt>
                <c:pt idx="23">
                  <c:v>2051</c:v>
                </c:pt>
                <c:pt idx="24">
                  <c:v>2052</c:v>
                </c:pt>
                <c:pt idx="25">
                  <c:v>2053</c:v>
                </c:pt>
                <c:pt idx="26">
                  <c:v>2054</c:v>
                </c:pt>
                <c:pt idx="27">
                  <c:v>2055</c:v>
                </c:pt>
                <c:pt idx="28">
                  <c:v>2056</c:v>
                </c:pt>
                <c:pt idx="29">
                  <c:v>2057</c:v>
                </c:pt>
                <c:pt idx="30">
                  <c:v>2058</c:v>
                </c:pt>
              </c:strCache>
            </c:strRef>
          </c:cat>
          <c:val>
            <c:numRef>
              <c:f>'TMP(NewPCC)_IndirectCost'!$M$38:$M$68</c:f>
              <c:numCache>
                <c:formatCode>General</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43529.36</c:v>
                </c:pt>
                <c:pt idx="20">
                  <c:v>0</c:v>
                </c:pt>
                <c:pt idx="21">
                  <c:v>0</c:v>
                </c:pt>
                <c:pt idx="22">
                  <c:v>0</c:v>
                </c:pt>
                <c:pt idx="23">
                  <c:v>0</c:v>
                </c:pt>
                <c:pt idx="24">
                  <c:v>0</c:v>
                </c:pt>
                <c:pt idx="25">
                  <c:v>0</c:v>
                </c:pt>
                <c:pt idx="26">
                  <c:v>0</c:v>
                </c:pt>
                <c:pt idx="27">
                  <c:v>87058.72</c:v>
                </c:pt>
                <c:pt idx="28">
                  <c:v>0</c:v>
                </c:pt>
                <c:pt idx="29">
                  <c:v>0</c:v>
                </c:pt>
                <c:pt idx="30">
                  <c:v>0</c:v>
                </c:pt>
              </c:numCache>
            </c:numRef>
          </c:val>
        </c:ser>
        <c:gapWidth val="219"/>
        <c:overlap val="100"/>
        <c:axId val="25363391"/>
        <c:axId val="75851327"/>
      </c:barChart>
      <c:catAx>
        <c:axId val="25363391"/>
        <c:scaling>
          <c:orientation val="minMax"/>
        </c:scaling>
        <c:delete val="0"/>
        <c:axPos val="b"/>
        <c:title>
          <c:tx>
            <c:rich>
              <a:bodyPr rot="0"/>
              <a:lstStyle/>
              <a:p>
                <a:pPr>
                  <a:defRPr b="0" lang="en-US" sz="900" spc="-1" strike="noStrike">
                    <a:solidFill>
                      <a:srgbClr val="000000"/>
                    </a:solidFill>
                    <a:latin typeface="Calibri"/>
                  </a:defRPr>
                </a:pPr>
                <a:r>
                  <a:rPr b="0" lang="en-US" sz="900" spc="-1" strike="noStrike">
                    <a:solidFill>
                      <a:srgbClr val="000000"/>
                    </a:solidFill>
                    <a:latin typeface="Calibri"/>
                  </a:rPr>
                  <a:t>Calendar year</a:t>
                </a:r>
              </a:p>
            </c:rich>
          </c:tx>
          <c:overlay val="0"/>
          <c:spPr>
            <a:noFill/>
            <a:ln w="0">
              <a:noFill/>
            </a:ln>
          </c:spPr>
        </c:title>
        <c:numFmt formatCode="0" sourceLinked="0"/>
        <c:majorTickMark val="cross"/>
        <c:minorTickMark val="none"/>
        <c:tickLblPos val="nextTo"/>
        <c:spPr>
          <a:ln w="9360">
            <a:solidFill>
              <a:srgbClr val="bfbfbf"/>
            </a:solidFill>
            <a:round/>
          </a:ln>
        </c:spPr>
        <c:txPr>
          <a:bodyPr/>
          <a:lstStyle/>
          <a:p>
            <a:pPr>
              <a:defRPr b="0" sz="900" spc="-1" strike="noStrike">
                <a:solidFill>
                  <a:srgbClr val="595959"/>
                </a:solidFill>
                <a:latin typeface="Calibri"/>
              </a:defRPr>
            </a:pPr>
          </a:p>
        </c:txPr>
        <c:crossAx val="75851327"/>
        <c:crosses val="autoZero"/>
        <c:auto val="1"/>
        <c:lblAlgn val="ctr"/>
        <c:lblOffset val="100"/>
        <c:noMultiLvlLbl val="0"/>
      </c:catAx>
      <c:valAx>
        <c:axId val="75851327"/>
        <c:scaling>
          <c:orientation val="minMax"/>
        </c:scaling>
        <c:delete val="0"/>
        <c:axPos val="l"/>
        <c:majorGridlines>
          <c:spPr>
            <a:ln w="9360">
              <a:solidFill>
                <a:srgbClr val="d9d9d9"/>
              </a:solidFill>
              <a:round/>
            </a:ln>
          </c:spPr>
        </c:majorGridlines>
        <c:title>
          <c:tx>
            <c:rich>
              <a:bodyPr rot="-5400000"/>
              <a:lstStyle/>
              <a:p>
                <a:pPr>
                  <a:defRPr b="0" lang="en-US" sz="900" spc="-1" strike="noStrike">
                    <a:solidFill>
                      <a:srgbClr val="000000"/>
                    </a:solidFill>
                    <a:latin typeface="Calibri"/>
                  </a:defRPr>
                </a:pPr>
                <a:r>
                  <a:rPr b="0" lang="en-US" sz="900" spc="-1" strike="noStrike">
                    <a:solidFill>
                      <a:srgbClr val="000000"/>
                    </a:solidFill>
                    <a:latin typeface="Calibri"/>
                  </a:rPr>
                  <a:t>Cost ($)</a:t>
                </a:r>
              </a:p>
            </c:rich>
          </c:tx>
          <c:overlay val="0"/>
          <c:spPr>
            <a:noFill/>
            <a:ln w="0">
              <a:noFill/>
            </a:ln>
          </c:spPr>
        </c:title>
        <c:numFmt formatCode="General" sourceLinked="0"/>
        <c:majorTickMark val="none"/>
        <c:minorTickMark val="none"/>
        <c:tickLblPos val="nextTo"/>
        <c:spPr>
          <a:ln w="6480">
            <a:solidFill>
              <a:srgbClr val="bfbfbf"/>
            </a:solidFill>
            <a:round/>
          </a:ln>
        </c:spPr>
        <c:txPr>
          <a:bodyPr/>
          <a:lstStyle/>
          <a:p>
            <a:pPr>
              <a:defRPr b="0" sz="900" spc="-1" strike="noStrike">
                <a:solidFill>
                  <a:srgbClr val="595959"/>
                </a:solidFill>
                <a:latin typeface="Calibri"/>
              </a:defRPr>
            </a:pPr>
          </a:p>
        </c:txPr>
        <c:crossAx val="25363391"/>
        <c:crosses val="autoZero"/>
        <c:crossBetween val="between"/>
      </c:valAx>
      <c:spPr>
        <a:noFill/>
        <a:ln w="0">
          <a:solidFill>
            <a:srgbClr val="bfbfbf"/>
          </a:solid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0"/>
    <c:dispBlanksAs val="gap"/>
  </c:chart>
  <c:spPr>
    <a:solidFill>
      <a:srgbClr val="ffffff"/>
    </a:solidFill>
    <a:ln w="9360">
      <a:solidFill>
        <a:srgbClr val="d9d9d9"/>
      </a:solidFill>
      <a:round/>
    </a:ln>
  </c:spPr>
</c:chartSpace>
</file>

<file path=xl/ctrlProps/ctrlProps5.xml><?xml version="1.0" encoding="utf-8"?>
<formControlPr xmlns="http://schemas.microsoft.com/office/spreadsheetml/2009/9/main" objectType="Button" lockText="1"/>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image" Target="../media/image1.png"/>
</Relationships>
</file>

<file path=xl/drawings/_rels/drawing3.xml.rels><?xml version="1.0" encoding="UTF-8"?>
<Relationships xmlns="http://schemas.openxmlformats.org/package/2006/relationships"><Relationship Id="rId1" Type="http://schemas.openxmlformats.org/officeDocument/2006/relationships/image" Target="../media/image1.png"/>
</Relationships>
</file>

<file path=xl/drawings/_rels/drawing4.xml.rels><?xml version="1.0" encoding="UTF-8"?>
<Relationships xmlns="http://schemas.openxmlformats.org/package/2006/relationships"><Relationship Id="rId1" Type="http://schemas.openxmlformats.org/officeDocument/2006/relationships/image" Target="../media/image1.png"/>
</Relationships>
</file>

<file path=xl/drawings/_rels/drawing6.xml.rels><?xml version="1.0" encoding="UTF-8"?>
<Relationships xmlns="http://schemas.openxmlformats.org/package/2006/relationships"><Relationship Id="rId1" Type="http://schemas.openxmlformats.org/officeDocument/2006/relationships/image" Target="../media/image1.png"/>
</Relationships>
</file>

<file path=xl/drawings/_rels/drawing7.xml.rels><?xml version="1.0" encoding="UTF-8"?>
<Relationships xmlns="http://schemas.openxmlformats.org/package/2006/relationships"><Relationship Id="rId1" Type="http://schemas.openxmlformats.org/officeDocument/2006/relationships/image" Target="../media/image1.png"/>
</Relationships>
</file>

<file path=xl/drawings/_rels/drawing8.xml.rels><?xml version="1.0" encoding="UTF-8"?>
<Relationships xmlns="http://schemas.openxmlformats.org/package/2006/relationships"><Relationship Id="rId1" Type="http://schemas.openxmlformats.org/officeDocument/2006/relationships/chart" Target="../charts/chart2.xml"/><Relationship Id="rId2" Type="http://schemas.openxmlformats.org/officeDocument/2006/relationships/image" Target="../media/image1.png"/>
</Relationships>
</file>

<file path=xl/drawings/_rels/drawing9.xml.rels><?xml version="1.0" encoding="UTF-8"?>
<Relationships xmlns="http://schemas.openxmlformats.org/package/2006/relationships"><Relationship Id="rId1" Type="http://schemas.openxmlformats.org/officeDocument/2006/relationships/chart" Target="../charts/chart3.xml"/><Relationship Id="rId2" Type="http://schemas.openxmlformats.org/officeDocument/2006/relationships/image" Target="../media/image1.png"/>
</Relationships>
</file>

<file path=xl/drawings/_rels/drawing10.xml.rels><?xml version="1.0" encoding="UTF-8"?>
<Relationships xmlns="http://schemas.openxmlformats.org/package/2006/relationships"><Relationship Id="rId1" Type="http://schemas.openxmlformats.org/officeDocument/2006/relationships/chart" Target="../charts/chart4.xml"/><Relationship Id="rId2" Type="http://schemas.openxmlformats.org/officeDocument/2006/relationships/image" Target="../media/image1.png"/>
</Relationships>
</file>

<file path=xl/drawings/_rels/drawing11.xml.rels><?xml version="1.0" encoding="UTF-8"?>
<Relationships xmlns="http://schemas.openxmlformats.org/package/2006/relationships"><Relationship Id="rId1" Type="http://schemas.openxmlformats.org/officeDocument/2006/relationships/chart" Target="../charts/chart5.xml"/><Relationship Id="rId2" Type="http://schemas.openxmlformats.org/officeDocument/2006/relationships/image" Target="../media/image1.png"/>
</Relationships>
</file>

<file path=xl/drawings/_rels/drawing12.xml.rels><?xml version="1.0" encoding="UTF-8"?>
<Relationships xmlns="http://schemas.openxmlformats.org/package/2006/relationships"><Relationship Id="rId1" Type="http://schemas.openxmlformats.org/officeDocument/2006/relationships/chart" Target="../charts/chart6.xml"/><Relationship Id="rId2" Type="http://schemas.openxmlformats.org/officeDocument/2006/relationships/chart" Target="../charts/chart7.xml"/><Relationship Id="rId3" Type="http://schemas.openxmlformats.org/officeDocument/2006/relationships/chart" Target="../charts/chart8.xml"/><Relationship Id="rId4" Type="http://schemas.openxmlformats.org/officeDocument/2006/relationships/chart" Target="../charts/chart9.xml"/><Relationship Id="rId5" Type="http://schemas.openxmlformats.org/officeDocument/2006/relationships/chart" Target="../charts/chart10.xml"/><Relationship Id="rId6" Type="http://schemas.openxmlformats.org/officeDocument/2006/relationships/chart" Target="../charts/chart11.xml"/><Relationship Id="rId7" Type="http://schemas.openxmlformats.org/officeDocument/2006/relationships/chart" Target="../charts/chart12.xml"/><Relationship Id="rId8" Type="http://schemas.openxmlformats.org/officeDocument/2006/relationships/chart" Target="../charts/chart13.xml"/><Relationship Id="rId9" Type="http://schemas.openxmlformats.org/officeDocument/2006/relationships/chart" Target="../charts/chart14.xml"/><Relationship Id="rId10" Type="http://schemas.openxmlformats.org/officeDocument/2006/relationships/chart" Target="../charts/chart15.xml"/><Relationship Id="rId11" Type="http://schemas.openxmlformats.org/officeDocument/2006/relationships/image" Target="../media/image1.png"/>
</Relationships>
</file>

<file path=xl/drawings/_rels/drawing13.xml.rels><?xml version="1.0" encoding="UTF-8"?>
<Relationships xmlns="http://schemas.openxmlformats.org/package/2006/relationships"><Relationship Id="rId1" Type="http://schemas.openxmlformats.org/officeDocument/2006/relationships/image" Target="../media/image1.png"/>
</Relationships>
</file>

<file path=xl/drawings/_rels/drawing14.xml.rels><?xml version="1.0" encoding="UTF-8"?>
<Relationships xmlns="http://schemas.openxmlformats.org/package/2006/relationships"><Relationship Id="rId1" Type="http://schemas.openxmlformats.org/officeDocument/2006/relationships/image" Target="../media/image1.png"/>
</Relationships>
</file>

<file path=xl/drawings/_rels/drawing15.xml.rels><?xml version="1.0" encoding="UTF-8"?>
<Relationships xmlns="http://schemas.openxmlformats.org/package/2006/relationships"><Relationship Id="rId1" Type="http://schemas.openxmlformats.org/officeDocument/2006/relationships/chart" Target="../charts/chart16.xml"/><Relationship Id="rId2" Type="http://schemas.openxmlformats.org/officeDocument/2006/relationships/image" Target="../media/image1.png"/>
</Relationships>
</file>

<file path=xl/drawings/_rels/drawing16.xml.rels><?xml version="1.0" encoding="UTF-8"?>
<Relationships xmlns="http://schemas.openxmlformats.org/package/2006/relationships"><Relationship Id="rId1" Type="http://schemas.openxmlformats.org/officeDocument/2006/relationships/chart" Target="../charts/chart17.xml"/><Relationship Id="rId2" Type="http://schemas.openxmlformats.org/officeDocument/2006/relationships/image" Target="../media/image1.png"/>
</Relationships>
</file>

<file path=xl/drawings/_rels/drawing17.xml.rels><?xml version="1.0" encoding="UTF-8"?>
<Relationships xmlns="http://schemas.openxmlformats.org/package/2006/relationships"><Relationship Id="rId1" Type="http://schemas.openxmlformats.org/officeDocument/2006/relationships/chart" Target="../charts/chart18.xml"/><Relationship Id="rId2"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45</xdr:row>
      <xdr:rowOff>104760</xdr:rowOff>
    </xdr:from>
    <xdr:to>
      <xdr:col>4</xdr:col>
      <xdr:colOff>1920600</xdr:colOff>
      <xdr:row>65</xdr:row>
      <xdr:rowOff>18720</xdr:rowOff>
    </xdr:to>
    <xdr:graphicFrame>
      <xdr:nvGraphicFramePr>
        <xdr:cNvPr id="0" name="Chart 1"/>
        <xdr:cNvGraphicFramePr/>
      </xdr:nvGraphicFramePr>
      <xdr:xfrm>
        <a:off x="1092240" y="10248840"/>
        <a:ext cx="9207360" cy="37238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439920</xdr:colOff>
      <xdr:row>0</xdr:row>
      <xdr:rowOff>25560</xdr:rowOff>
    </xdr:from>
    <xdr:to>
      <xdr:col>6</xdr:col>
      <xdr:colOff>1485720</xdr:colOff>
      <xdr:row>0</xdr:row>
      <xdr:rowOff>482400</xdr:rowOff>
    </xdr:to>
    <xdr:pic>
      <xdr:nvPicPr>
        <xdr:cNvPr id="1" name="TDOT logo" descr=""/>
        <xdr:cNvPicPr/>
      </xdr:nvPicPr>
      <xdr:blipFill>
        <a:blip r:embed="rId2"/>
        <a:stretch/>
      </xdr:blipFill>
      <xdr:spPr>
        <a:xfrm>
          <a:off x="13657320" y="25560"/>
          <a:ext cx="1045800" cy="456840"/>
        </a:xfrm>
        <a:prstGeom prst="rect">
          <a:avLst/>
        </a:prstGeom>
        <a:ln w="0">
          <a:noFill/>
        </a:ln>
      </xdr:spPr>
    </xdr:pic>
    <xdr:clientData/>
  </xdr:twoCellAnchor>
  <mc:AlternateContent xmlns:mc="http://schemas.openxmlformats.org/markup-compatibility/2006">
    <mc:Choice xmlns:a14="http://schemas.microsoft.com/office/drawing/2010/main" Requires="a14">
      <xdr:twoCellAnchor editAs="oneCell">
        <xdr:from>
          <xdr:col>2</xdr:col>
          <xdr:colOff>0</xdr:colOff>
          <xdr:row>16</xdr:row>
          <xdr:rowOff>0</xdr:rowOff>
        </xdr:from>
        <xdr:to>
          <xdr:col>3</xdr:col>
          <xdr:colOff>0</xdr:colOff>
          <xdr:row>17</xdr:row>
          <xdr:rowOff>0</xdr:rowOff>
        </xdr:to>
        <xdr:sp>
          <xdr:nvSpPr>
            <xdr:cNvPr id="0" name="ComboBox9"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12</xdr:row>
          <xdr:rowOff>0</xdr:rowOff>
        </xdr:from>
        <xdr:to>
          <xdr:col>3</xdr:col>
          <xdr:colOff>0</xdr:colOff>
          <xdr:row>13</xdr:row>
          <xdr:rowOff>0</xdr:rowOff>
        </xdr:to>
        <xdr:sp>
          <xdr:nvSpPr>
            <xdr:cNvPr id="0" name="ComboBox10"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13</xdr:row>
          <xdr:rowOff>0</xdr:rowOff>
        </xdr:from>
        <xdr:to>
          <xdr:col>3</xdr:col>
          <xdr:colOff>0</xdr:colOff>
          <xdr:row>14</xdr:row>
          <xdr:rowOff>0</xdr:rowOff>
        </xdr:to>
        <xdr:sp>
          <xdr:nvSpPr>
            <xdr:cNvPr id="0" name="ComboBox11"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14</xdr:row>
          <xdr:rowOff>0</xdr:rowOff>
        </xdr:from>
        <xdr:to>
          <xdr:col>3</xdr:col>
          <xdr:colOff>0</xdr:colOff>
          <xdr:row>15</xdr:row>
          <xdr:rowOff>0</xdr:rowOff>
        </xdr:to>
        <xdr:sp>
          <xdr:nvSpPr>
            <xdr:cNvPr id="0" name="ComboBox12"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15</xdr:row>
          <xdr:rowOff>0</xdr:rowOff>
        </xdr:from>
        <xdr:to>
          <xdr:col>3</xdr:col>
          <xdr:colOff>0</xdr:colOff>
          <xdr:row>16</xdr:row>
          <xdr:rowOff>0</xdr:rowOff>
        </xdr:to>
        <xdr:sp>
          <xdr:nvSpPr>
            <xdr:cNvPr id="0" name="ComboBox13"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17</xdr:row>
          <xdr:rowOff>0</xdr:rowOff>
        </xdr:from>
        <xdr:to>
          <xdr:col>3</xdr:col>
          <xdr:colOff>0</xdr:colOff>
          <xdr:row>18</xdr:row>
          <xdr:rowOff>0</xdr:rowOff>
        </xdr:to>
        <xdr:sp>
          <xdr:nvSpPr>
            <xdr:cNvPr id="0" name="ComboBox14"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18</xdr:row>
          <xdr:rowOff>0</xdr:rowOff>
        </xdr:from>
        <xdr:to>
          <xdr:col>3</xdr:col>
          <xdr:colOff>0</xdr:colOff>
          <xdr:row>19</xdr:row>
          <xdr:rowOff>0</xdr:rowOff>
        </xdr:to>
        <xdr:sp>
          <xdr:nvSpPr>
            <xdr:cNvPr id="0" name="ComboBox15"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21</xdr:row>
          <xdr:rowOff>0</xdr:rowOff>
        </xdr:from>
        <xdr:to>
          <xdr:col>3</xdr:col>
          <xdr:colOff>0</xdr:colOff>
          <xdr:row>22</xdr:row>
          <xdr:rowOff>0</xdr:rowOff>
        </xdr:to>
        <xdr:sp>
          <xdr:nvSpPr>
            <xdr:cNvPr id="0" name="ComboBox16"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19</xdr:row>
          <xdr:rowOff>0</xdr:rowOff>
        </xdr:from>
        <xdr:to>
          <xdr:col>3</xdr:col>
          <xdr:colOff>9360</xdr:colOff>
          <xdr:row>20</xdr:row>
          <xdr:rowOff>19080</xdr:rowOff>
        </xdr:to>
        <xdr:sp>
          <xdr:nvSpPr>
            <xdr:cNvPr id="0" name="ComboBox18"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20</xdr:row>
          <xdr:rowOff>0</xdr:rowOff>
        </xdr:from>
        <xdr:to>
          <xdr:col>3</xdr:col>
          <xdr:colOff>19080</xdr:colOff>
          <xdr:row>21</xdr:row>
          <xdr:rowOff>19080</xdr:rowOff>
        </xdr:to>
        <xdr:sp>
          <xdr:nvSpPr>
            <xdr:cNvPr id="0" name="ComboBox20" descr="" hidden="0"/>
            <xdr:cNvSpPr/>
          </xdr:nvSpPr>
          <xdr:spPr>
            <a:xfrm>
              <a:off x="0" y="0"/>
              <a:ext cx="0" cy="0"/>
            </a:xfrm>
            <a:prstGeom prst="rect">
              <a:avLst/>
            </a:prstGeom>
          </xdr:spPr>
          <xdr:txBody>
            <a:bodyPr anchor="ctr">
              <a:noAutofit/>
            </a:bodyPr>
            <a:p>
              <a:r>
                <a:t/>
              </a:r>
            </a:p>
          </xdr:txBody>
        </xdr:sp>
        <xdr:clientData/>
      </xdr:twoCellAnchor>
    </mc:Choice>
  </mc:AlternateContent>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twoCell">
    <xdr:from>
      <xdr:col>1</xdr:col>
      <xdr:colOff>6480</xdr:colOff>
      <xdr:row>27</xdr:row>
      <xdr:rowOff>12600</xdr:rowOff>
    </xdr:from>
    <xdr:to>
      <xdr:col>13</xdr:col>
      <xdr:colOff>6120</xdr:colOff>
      <xdr:row>67</xdr:row>
      <xdr:rowOff>94680</xdr:rowOff>
    </xdr:to>
    <xdr:sp>
      <xdr:nvSpPr>
        <xdr:cNvPr id="2" name="TextBox 2"/>
        <xdr:cNvSpPr/>
      </xdr:nvSpPr>
      <xdr:spPr>
        <a:xfrm>
          <a:off x="139680" y="5422680"/>
          <a:ext cx="15689520" cy="6559200"/>
        </a:xfrm>
        <a:prstGeom prst="rect">
          <a:avLst/>
        </a:prstGeom>
        <a:solidFill>
          <a:srgbClr val="ffffff"/>
        </a:solidFill>
        <a:ln w="9525">
          <a:solidFill>
            <a:srgbClr val="ffffff">
              <a:shade val="50000"/>
            </a:srgbClr>
          </a:solidFill>
          <a:round/>
        </a:ln>
      </xdr:spPr>
      <xdr:style>
        <a:lnRef idx="0"/>
        <a:fillRef idx="0"/>
        <a:effectRef idx="0"/>
        <a:fontRef idx="minor"/>
      </xdr:style>
      <xdr:txBody>
        <a:bodyPr horzOverflow="clip" vertOverflow="clip" lIns="90000" rIns="90000" tIns="45000" bIns="45000" anchor="t">
          <a:noAutofit/>
        </a:bodyPr>
        <a:p>
          <a:pPr>
            <a:lnSpc>
              <a:spcPct val="100000"/>
            </a:lnSpc>
          </a:pPr>
          <a:r>
            <a:rPr b="0" lang="en-US" sz="1100" spc="-1" strike="noStrike">
              <a:solidFill>
                <a:schemeClr val="dk1"/>
              </a:solidFill>
              <a:latin typeface="Calibri"/>
            </a:rPr>
            <a:t>The Tennessee Department of Transportation Aeronautics Division (Aeronautics) has sponsored the development of an analytical framework that can be used by Aeronautics and its consultants to complete a reasonable life-cycle cost analysis (LCCA) of pavement rehabilitation alternatives. LCCA can be a valuable tool for comparing alternatives of varying costs and service lives. The use of a LCCA methodology helps to shift the focus in project selection away from alternatives with the lowest initial costs and toward those which have the lowest costs over the life of the pavement. This workbook assists in the development of life-cycle cost estimates for TN airport pavement reconstruction projects to assist with pavement type selection. It is not to be considered a complete Engineer's Estimate of Probable Costs.</a:t>
          </a:r>
          <a:endParaRPr b="0" lang="en-US" sz="1100" spc="-1" strike="noStrike">
            <a:latin typeface="Times New Roman"/>
          </a:endParaRPr>
        </a:p>
        <a:p>
          <a:pPr>
            <a:lnSpc>
              <a:spcPct val="100000"/>
            </a:lnSpc>
          </a:pPr>
          <a:endParaRPr b="0" lang="en-US" sz="1100" spc="-1" strike="noStrike">
            <a:latin typeface="Times New Roman"/>
          </a:endParaRPr>
        </a:p>
        <a:p>
          <a:pPr>
            <a:lnSpc>
              <a:spcPct val="100000"/>
            </a:lnSpc>
          </a:pPr>
          <a:r>
            <a:rPr b="0" lang="en-US" sz="1100" spc="-1" strike="noStrike">
              <a:solidFill>
                <a:schemeClr val="dk1"/>
              </a:solidFill>
              <a:latin typeface="Calibri"/>
            </a:rPr>
            <a:t>Applied Pavement Technology, Inc. (APTech) has worked with Aeronautics to develop this LCCA framework to compare feasible reconstruction alternatives to assist with evaluating the most cost-effective options. The developed LCCA framework considers the guidelines provided in the Airfield Asphalt Pavement Technology Program’s </a:t>
          </a:r>
          <a:r>
            <a:rPr b="0" i="1" lang="en-US" sz="1100" spc="-1" strike="noStrike">
              <a:solidFill>
                <a:schemeClr val="dk1"/>
              </a:solidFill>
              <a:latin typeface="Calibri"/>
            </a:rPr>
            <a:t>Life Cycle Cost Analysis for Airport Pavements</a:t>
          </a:r>
          <a:r>
            <a:rPr b="0" lang="en-US" sz="1100" spc="-1" strike="noStrike">
              <a:solidFill>
                <a:schemeClr val="dk1"/>
              </a:solidFill>
              <a:latin typeface="Calibri"/>
            </a:rPr>
            <a:t> study (AAPTP Project 06-06) and Federal Aviation Administration (FAA) guidance in Advisory Circular 150/5320-6G (at the time of this release), </a:t>
          </a:r>
          <a:r>
            <a:rPr b="0" i="1" lang="en-US" sz="1100" spc="-1" strike="noStrike">
              <a:solidFill>
                <a:schemeClr val="dk1"/>
              </a:solidFill>
              <a:latin typeface="Calibri"/>
            </a:rPr>
            <a:t>Airport Pavement Design and Evaluation</a:t>
          </a:r>
          <a:r>
            <a:rPr b="0" lang="en-US" sz="1100" spc="-1" strike="noStrike">
              <a:solidFill>
                <a:schemeClr val="dk1"/>
              </a:solidFill>
              <a:latin typeface="Calibri"/>
            </a:rPr>
            <a:t>. The developed framework considers construction (or initial) costs, future maintenance activities and their costs, intermediate rehabilitation activities and associated costs, salvage value and loss of daily operation revenue associated with pavement closures to generate a Present Value for the alternatives.</a:t>
          </a:r>
          <a:endParaRPr b="0" lang="en-US" sz="1100" spc="-1" strike="noStrike">
            <a:latin typeface="Times New Roman"/>
          </a:endParaRPr>
        </a:p>
        <a:p>
          <a:pPr>
            <a:lnSpc>
              <a:spcPct val="100000"/>
            </a:lnSpc>
          </a:pPr>
          <a:endParaRPr b="0" lang="en-US" sz="1100" spc="-1" strike="noStrike">
            <a:latin typeface="Times New Roman"/>
          </a:endParaRPr>
        </a:p>
        <a:p>
          <a:pPr>
            <a:lnSpc>
              <a:spcPct val="100000"/>
            </a:lnSpc>
          </a:pPr>
          <a:r>
            <a:rPr b="0" lang="en-US" sz="1100" spc="-1" strike="noStrike">
              <a:solidFill>
                <a:schemeClr val="dk1"/>
              </a:solidFill>
              <a:latin typeface="Calibri"/>
            </a:rPr>
            <a:t>Maintenance policies and timing have been based on analysis of data collected as part of the Tennessee Statewide Pavement Management Program (PMP) and annual maintenance program. As pavement performance data continues to be collected through the PMP, policies will be revisited. Pavement closure associated loss of revenue is accounted for as indirect cost of alternatives. The analysis period has been set to 30 years based on reviewed TN PMP and nationwide data.</a:t>
          </a:r>
          <a:endParaRPr b="0" lang="en-US" sz="1100" spc="-1" strike="noStrike">
            <a:latin typeface="Times New Roman"/>
          </a:endParaRPr>
        </a:p>
        <a:p>
          <a:pPr>
            <a:lnSpc>
              <a:spcPct val="100000"/>
            </a:lnSpc>
          </a:pPr>
          <a:endParaRPr b="0" lang="en-US" sz="1100" spc="-1" strike="noStrike">
            <a:latin typeface="Times New Roman"/>
          </a:endParaRPr>
        </a:p>
        <a:p>
          <a:pPr defTabSz="914400">
            <a:lnSpc>
              <a:spcPct val="100000"/>
            </a:lnSpc>
            <a:tabLst>
              <a:tab algn="l" pos="0"/>
            </a:tabLst>
          </a:pPr>
          <a:r>
            <a:rPr b="0" lang="en-US" sz="1100" spc="-1" strike="noStrike">
              <a:solidFill>
                <a:schemeClr val="dk1"/>
              </a:solidFill>
              <a:latin typeface="Calibri"/>
            </a:rPr>
            <a:t>Depending on the durations maintenance activities, the framework has been updated to account for lost revenue associated with limited facility uses or closures to implement repairs and rehabilitation.</a:t>
          </a:r>
          <a:endParaRPr b="0" lang="en-US" sz="1100" spc="-1" strike="noStrike">
            <a:latin typeface="Times New Roman"/>
          </a:endParaRPr>
        </a:p>
        <a:p>
          <a:pPr defTabSz="914400">
            <a:lnSpc>
              <a:spcPct val="100000"/>
            </a:lnSpc>
            <a:tabLst>
              <a:tab algn="l" pos="0"/>
            </a:tabLst>
          </a:pPr>
          <a:endParaRPr b="0" lang="en-US" sz="1100" spc="-1" strike="noStrike">
            <a:latin typeface="Times New Roman"/>
          </a:endParaRPr>
        </a:p>
        <a:p>
          <a:pPr defTabSz="914400">
            <a:lnSpc>
              <a:spcPct val="100000"/>
            </a:lnSpc>
            <a:tabLst>
              <a:tab algn="l" pos="0"/>
            </a:tabLst>
          </a:pPr>
          <a:r>
            <a:rPr b="0" lang="en-US" sz="1100" spc="-1" strike="noStrike">
              <a:solidFill>
                <a:schemeClr val="dk1"/>
              </a:solidFill>
              <a:latin typeface="Calibri"/>
            </a:rPr>
            <a:t>Salvage value for the pavement alternatives is based on the assumed remaining life as a percentage of construction cost. Residual value, the monetary calculation of the worth of the existing pavement at the end of the service life, while certainly adding value to recycling pavement materials at the end of their life, there are enough uncertainties associated with the suitability of the material for reuse, the future demand for the recycled material, and the costs associated with recycling the materials that residual value is not used in these calculations.</a:t>
          </a:r>
          <a:r>
            <a:rPr b="1" lang="en-US" sz="1100" spc="-1" strike="noStrike">
              <a:solidFill>
                <a:srgbClr val="ff0000"/>
              </a:solidFill>
              <a:latin typeface="Calibri"/>
            </a:rPr>
            <a:t> </a:t>
          </a:r>
          <a:endParaRPr b="0" lang="en-US" sz="1100" spc="-1" strike="noStrike">
            <a:latin typeface="Times New Roman"/>
          </a:endParaRPr>
        </a:p>
        <a:p>
          <a:pPr defTabSz="914400">
            <a:lnSpc>
              <a:spcPct val="100000"/>
            </a:lnSpc>
            <a:tabLst>
              <a:tab algn="l" pos="0"/>
            </a:tabLst>
          </a:pPr>
          <a:r>
            <a:rPr b="0" lang="en-US" sz="1200" spc="-1" strike="noStrike">
              <a:solidFill>
                <a:schemeClr val="dk1"/>
              </a:solidFill>
              <a:latin typeface="Calibri"/>
            </a:rPr>
            <a:t> </a:t>
          </a:r>
          <a:endParaRPr b="0" lang="en-US" sz="1200" spc="-1" strike="noStrike">
            <a:latin typeface="Times New Roman"/>
          </a:endParaRPr>
        </a:p>
        <a:p>
          <a:pPr defTabSz="914400">
            <a:lnSpc>
              <a:spcPct val="100000"/>
            </a:lnSpc>
            <a:tabLst>
              <a:tab algn="l" pos="0"/>
            </a:tabLst>
          </a:pPr>
          <a:r>
            <a:rPr b="0" lang="en-US" sz="1100" spc="-1" strike="noStrike">
              <a:solidFill>
                <a:schemeClr val="dk1"/>
              </a:solidFill>
              <a:latin typeface="Calibri"/>
            </a:rPr>
            <a:t>Additional analysis inputs include discount rate and contingency fees (mobilization and engineering). These have been established by Aeronautics and should only be revised after discussion with Aeronautics.</a:t>
          </a:r>
          <a:endParaRPr b="0" lang="en-US" sz="1100" spc="-1" strike="noStrike">
            <a:latin typeface="Times New Roman"/>
          </a:endParaRPr>
        </a:p>
        <a:p>
          <a:pPr defTabSz="914400">
            <a:lnSpc>
              <a:spcPct val="100000"/>
            </a:lnSpc>
            <a:tabLst>
              <a:tab algn="l" pos="0"/>
            </a:tabLst>
          </a:pPr>
          <a:endParaRPr b="0" lang="en-US" sz="1100" spc="-1" strike="noStrike">
            <a:latin typeface="Times New Roman"/>
          </a:endParaRPr>
        </a:p>
        <a:p>
          <a:pPr defTabSz="914400">
            <a:lnSpc>
              <a:spcPct val="100000"/>
            </a:lnSpc>
            <a:tabLst>
              <a:tab algn="l" pos="0"/>
            </a:tabLst>
          </a:pPr>
          <a:r>
            <a:rPr b="0" lang="en-US" sz="1100" spc="-1" strike="noStrike">
              <a:solidFill>
                <a:schemeClr val="dk1"/>
              </a:solidFill>
              <a:latin typeface="Calibri"/>
            </a:rPr>
            <a:t>If interested in the full report produced as part of developing this LCCA framework, contact Aeronautics.</a:t>
          </a:r>
          <a:endParaRPr b="0" lang="en-US" sz="1100" spc="-1" strike="noStrike">
            <a:latin typeface="Times New Roman"/>
          </a:endParaRPr>
        </a:p>
      </xdr:txBody>
    </xdr:sp>
    <xdr:clientData/>
  </xdr:twoCellAnchor>
  <xdr:twoCellAnchor editAs="oneCell">
    <xdr:from>
      <xdr:col>11</xdr:col>
      <xdr:colOff>916200</xdr:colOff>
      <xdr:row>0</xdr:row>
      <xdr:rowOff>25560</xdr:rowOff>
    </xdr:from>
    <xdr:to>
      <xdr:col>12</xdr:col>
      <xdr:colOff>654480</xdr:colOff>
      <xdr:row>0</xdr:row>
      <xdr:rowOff>482400</xdr:rowOff>
    </xdr:to>
    <xdr:pic>
      <xdr:nvPicPr>
        <xdr:cNvPr id="3" name="TDOT logo" descr=""/>
        <xdr:cNvPicPr/>
      </xdr:nvPicPr>
      <xdr:blipFill>
        <a:blip r:embed="rId1"/>
        <a:stretch/>
      </xdr:blipFill>
      <xdr:spPr>
        <a:xfrm>
          <a:off x="14124240" y="25560"/>
          <a:ext cx="1045800" cy="45684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twoCell">
    <xdr:from>
      <xdr:col>1</xdr:col>
      <xdr:colOff>0</xdr:colOff>
      <xdr:row>26</xdr:row>
      <xdr:rowOff>0</xdr:rowOff>
    </xdr:from>
    <xdr:to>
      <xdr:col>13</xdr:col>
      <xdr:colOff>361440</xdr:colOff>
      <xdr:row>93</xdr:row>
      <xdr:rowOff>114120</xdr:rowOff>
    </xdr:to>
    <xdr:sp>
      <xdr:nvSpPr>
        <xdr:cNvPr id="4" name="TextBox 2"/>
        <xdr:cNvSpPr/>
      </xdr:nvSpPr>
      <xdr:spPr>
        <a:xfrm>
          <a:off x="133200" y="4638600"/>
          <a:ext cx="16051320" cy="10963080"/>
        </a:xfrm>
        <a:prstGeom prst="rect">
          <a:avLst/>
        </a:prstGeom>
        <a:solidFill>
          <a:srgbClr val="ffffff"/>
        </a:solidFill>
        <a:ln w="9525">
          <a:solidFill>
            <a:srgbClr val="ffffff">
              <a:shade val="50000"/>
            </a:srgbClr>
          </a:solidFill>
          <a:round/>
        </a:ln>
      </xdr:spPr>
      <xdr:style>
        <a:lnRef idx="0"/>
        <a:fillRef idx="0"/>
        <a:effectRef idx="0"/>
        <a:fontRef idx="minor"/>
      </xdr:style>
      <xdr:txBody>
        <a:bodyPr horzOverflow="clip" vertOverflow="clip" lIns="90000" rIns="90000" tIns="45000" bIns="45000" anchor="t">
          <a:noAutofit/>
        </a:bodyPr>
        <a:p>
          <a:pPr>
            <a:lnSpc>
              <a:spcPct val="100000"/>
            </a:lnSpc>
          </a:pPr>
          <a:r>
            <a:rPr b="0" lang="en-US" sz="1100" spc="-1" strike="noStrike">
              <a:solidFill>
                <a:schemeClr val="dk1"/>
              </a:solidFill>
              <a:latin typeface="Calibri"/>
            </a:rPr>
            <a:t>This workbook has been set up to automate maintenance cost calculations so as to expedite the overall preparation of life-cycle cost analyses for Aeronautics’ review. This workbook contains privileged information and is intended for use only by consultants authorized by Aeronautics.</a:t>
          </a:r>
          <a:endParaRPr b="0" lang="en-US" sz="1100" spc="-1" strike="noStrike">
            <a:latin typeface="Times New Roman"/>
          </a:endParaRPr>
        </a:p>
        <a:p>
          <a:pPr>
            <a:lnSpc>
              <a:spcPct val="100000"/>
            </a:lnSpc>
          </a:pPr>
          <a:endParaRPr b="0" lang="en-US" sz="1100" spc="-1" strike="noStrike">
            <a:latin typeface="Times New Roman"/>
          </a:endParaRPr>
        </a:p>
        <a:p>
          <a:pPr>
            <a:lnSpc>
              <a:spcPct val="100000"/>
            </a:lnSpc>
          </a:pPr>
          <a:r>
            <a:rPr b="0" lang="en-US" sz="1100" spc="-1" strike="noStrike">
              <a:solidFill>
                <a:schemeClr val="dk1"/>
              </a:solidFill>
              <a:latin typeface="Calibri"/>
            </a:rPr>
            <a:t>The use of the workbook is fairly straightforward, and the user should be able to easily work their way through the development of a life-cycle cost estimate. Excluding this "Instructions" worksheet and "Overview" worksheet, the workbook initially contains four worksheets: "General Information," "Pay Items," "Maintenance Policies," and "Summary." The Pay Items and Maintenance Policies worksheets are for reference only and should only be altered after discussion with Aeronautics. From the General Information worksheet, additional worksheets for anticipated reconstruction alternatives are created.</a:t>
          </a:r>
          <a:endParaRPr b="0" lang="en-US" sz="1100" spc="-1" strike="noStrike">
            <a:latin typeface="Times New Roman"/>
          </a:endParaRPr>
        </a:p>
        <a:p>
          <a:pPr>
            <a:lnSpc>
              <a:spcPct val="100000"/>
            </a:lnSpc>
          </a:pPr>
          <a:endParaRPr b="0" lang="en-US" sz="1100" spc="-1" strike="noStrike">
            <a:latin typeface="Times New Roman"/>
          </a:endParaRPr>
        </a:p>
        <a:p>
          <a:pPr>
            <a:lnSpc>
              <a:spcPct val="100000"/>
            </a:lnSpc>
          </a:pPr>
          <a:r>
            <a:rPr b="0" lang="en-US" sz="1100" spc="-1" strike="noStrike">
              <a:solidFill>
                <a:schemeClr val="dk1"/>
              </a:solidFill>
              <a:latin typeface="Calibri"/>
            </a:rPr>
            <a:t>The following step-by-step procedures are provided to assist in using the workbook and in understanding how the series of worksheets fit together. Be sure to follow these directions in the logical, step-by-step fashion to avoid problems. Also, don't use the cut and paste feature as this can write over any functions, commands, or equations. Make sure to “Enable Content” in Excel when the file is opened so that functions work properly. There have also been issues with functions running properly when multiple monitors are in use. Opening the file in the main monitor should correct function issue, if they occur. If Excel shows a yellow bar reading "BLOCKED CONTENT: The ActiveX content in this file is blocked", go to File &gt; Options &gt; Trust Center &gt; Trust Center Settings &gt; ActiveX Settings, select "Prompt me before enabling all controls with minimal restrictions", click OK, then close and reopen Excel. If that setting is greyed out, ask your IT department to allow ActiveX for this file.</a:t>
          </a:r>
          <a:endParaRPr b="0" lang="en-US" sz="1100" spc="-1" strike="noStrike">
            <a:latin typeface="Times New Roman"/>
          </a:endParaRPr>
        </a:p>
        <a:p>
          <a:pPr>
            <a:lnSpc>
              <a:spcPct val="100000"/>
            </a:lnSpc>
          </a:pPr>
          <a:endParaRPr b="0" lang="en-US" sz="1100" spc="-1" strike="noStrike">
            <a:latin typeface="Times New Roman"/>
          </a:endParaRPr>
        </a:p>
        <a:p>
          <a:pPr>
            <a:lnSpc>
              <a:spcPct val="100000"/>
            </a:lnSpc>
          </a:pPr>
          <a:r>
            <a:rPr b="0" lang="en-US" sz="1100" spc="-1" strike="noStrike">
              <a:solidFill>
                <a:schemeClr val="dk1"/>
              </a:solidFill>
              <a:latin typeface="Calibri"/>
            </a:rPr>
            <a:t>Note: Throughout the workbook, cells that require user-supplied inputs are indicated in grey shading. Most other cells are calculated or auto-filled (and should not be modified by users).</a:t>
          </a:r>
          <a:endParaRPr b="0" lang="en-US" sz="1100" spc="-1" strike="noStrike">
            <a:latin typeface="Times New Roman"/>
          </a:endParaRPr>
        </a:p>
        <a:p>
          <a:pPr>
            <a:lnSpc>
              <a:spcPct val="100000"/>
            </a:lnSpc>
          </a:pPr>
          <a:endParaRPr b="0" lang="en-US" sz="1100" spc="-1" strike="noStrike">
            <a:latin typeface="Times New Roman"/>
          </a:endParaRPr>
        </a:p>
        <a:p>
          <a:pPr>
            <a:lnSpc>
              <a:spcPct val="100000"/>
            </a:lnSpc>
          </a:pPr>
          <a:r>
            <a:rPr b="0" lang="en-US" sz="1100" spc="-1" strike="noStrike">
              <a:solidFill>
                <a:schemeClr val="dk1"/>
              </a:solidFill>
              <a:latin typeface="Calibri"/>
            </a:rPr>
            <a:t>1. Go to the "General Information" worksheet and enter in the relevant items in cells D9 through D39.  This is general information (such as project airport, branch information, pavement area, and so on) that is needed to identify the project and complete the cost computations. Ensure the appropriate selection is made in cell D38.</a:t>
          </a:r>
          <a:endParaRPr b="0" lang="en-US" sz="1100" spc="-1" strike="noStrike">
            <a:latin typeface="Times New Roman"/>
          </a:endParaRPr>
        </a:p>
        <a:p>
          <a:pPr>
            <a:lnSpc>
              <a:spcPct val="100000"/>
            </a:lnSpc>
          </a:pPr>
          <a:endParaRPr b="0" lang="en-US" sz="1100" spc="-1" strike="noStrike">
            <a:latin typeface="Times New Roman"/>
          </a:endParaRPr>
        </a:p>
        <a:p>
          <a:pPr>
            <a:lnSpc>
              <a:spcPct val="100000"/>
            </a:lnSpc>
          </a:pPr>
          <a:r>
            <a:rPr b="0" lang="en-US" sz="1100" spc="-1" strike="noStrike">
              <a:solidFill>
                <a:schemeClr val="dk1"/>
              </a:solidFill>
              <a:latin typeface="Calibri"/>
            </a:rPr>
            <a:t>2. Still in the "General Information" worksheet, click on the “Alternative Setup” button at the bottom of the information list. A separate form will pop up for adding alternatives. The pop-up window includes the list of available alternatives for this LCCA. Select which alternatives will be used, update details and description, if desired, and click on “Add.” The form can also be used to "Copy" or "Delete" alternatives. Alternatives can also be reorganized using the buttons at the bottom of the form. Once completed, click “Close” and a worksheet for each alternative will be created. A "Summary" worksheet is also populated as alternatives are completed.</a:t>
          </a:r>
          <a:endParaRPr b="0" lang="en-US" sz="1100" spc="-1" strike="noStrike">
            <a:latin typeface="Times New Roman"/>
          </a:endParaRPr>
        </a:p>
        <a:p>
          <a:pPr>
            <a:lnSpc>
              <a:spcPct val="100000"/>
            </a:lnSpc>
          </a:pPr>
          <a:endParaRPr b="0" lang="en-US" sz="1100" spc="-1" strike="noStrike">
            <a:latin typeface="Times New Roman"/>
          </a:endParaRPr>
        </a:p>
        <a:p>
          <a:pPr>
            <a:lnSpc>
              <a:spcPct val="100000"/>
            </a:lnSpc>
          </a:pPr>
          <a:r>
            <a:rPr b="0" lang="en-US" sz="1100" spc="-1" strike="noStrike">
              <a:solidFill>
                <a:schemeClr val="dk1"/>
              </a:solidFill>
              <a:latin typeface="Calibri"/>
            </a:rPr>
            <a:t>3. Modify existing Pay Items, or insert new items in Table2 in the Pay_Items worksheet as needed. Note that this LCCA is intended for paving items only and does not include other items, such as electrical, drainage, and so on. </a:t>
          </a:r>
          <a:endParaRPr b="0" lang="en-US" sz="1100" spc="-1" strike="noStrike">
            <a:latin typeface="Times New Roman"/>
          </a:endParaRPr>
        </a:p>
        <a:p>
          <a:pPr>
            <a:lnSpc>
              <a:spcPct val="100000"/>
            </a:lnSpc>
          </a:pPr>
          <a:endParaRPr b="0" lang="en-US" sz="1100" spc="-1" strike="noStrike">
            <a:latin typeface="Times New Roman"/>
          </a:endParaRPr>
        </a:p>
        <a:p>
          <a:pPr>
            <a:lnSpc>
              <a:spcPct val="100000"/>
            </a:lnSpc>
          </a:pPr>
          <a:r>
            <a:rPr b="0" lang="en-US" sz="1100" spc="-1" strike="noStrike">
              <a:solidFill>
                <a:schemeClr val="dk1"/>
              </a:solidFill>
              <a:latin typeface="Calibri"/>
            </a:rPr>
            <a:t>4. To include lost airport revenue during runway closures, set cell D38 on the "General Information" worksheet to Yes before creating alternatives. The average daily revenue for the selected airport is pulled automatically from the hidden RevenueData worksheet, which covers the 17 airports meeting Aeronautics' activity criteria (cell D39 shows the value). If the airport is not in that list, D39 reads "Missing Airport Revenue", lost revenue is carried as $0, and a warning appears on each alternative worksheet; contact Aeronautics to add revenue data. To view the hidden worksheet: Home &gt; Format &gt; Hide &amp; Unhide &gt; Unhide Sheet.</a:t>
          </a:r>
          <a:endParaRPr b="0" lang="en-US" sz="1100" spc="-1" strike="noStrike">
            <a:latin typeface="Times New Roman"/>
          </a:endParaRPr>
        </a:p>
        <a:p>
          <a:pPr>
            <a:lnSpc>
              <a:spcPct val="100000"/>
            </a:lnSpc>
          </a:pPr>
          <a:endParaRPr b="0" lang="en-US" sz="1100" spc="-1" strike="noStrike">
            <a:latin typeface="Times New Roman"/>
          </a:endParaRPr>
        </a:p>
        <a:p>
          <a:pPr>
            <a:lnSpc>
              <a:spcPct val="100000"/>
            </a:lnSpc>
          </a:pPr>
          <a:r>
            <a:rPr b="0" lang="en-US" sz="1100" spc="-1" strike="noStrike">
              <a:solidFill>
                <a:schemeClr val="dk1"/>
              </a:solidFill>
              <a:latin typeface="Calibri"/>
            </a:rPr>
            <a:t>5. Go to the worksheet for each alternative included in the LCCA and fill in cells C4 through C8, and F4 through F10 (for analyses accounting for indirect costs). Select the appropriate pay items in cells C13 through C22 for the alternative (only select the cells you need; leave extra cells blank). Enter the quantities for each selected pay item in cells E13 through E22. Closure durations in cells F4 through F10 are pre-filled from production-rate defaults (surface treatment 15,000 SY/day, mill and overlay 3,800 SY/day, PCC joint and slab work) and may be overridden with project-specific values.</a:t>
          </a:r>
          <a:endParaRPr b="0" lang="en-US" sz="1100" spc="-1" strike="noStrike">
            <a:latin typeface="Times New Roman"/>
          </a:endParaRPr>
        </a:p>
        <a:p>
          <a:pPr>
            <a:lnSpc>
              <a:spcPct val="100000"/>
            </a:lnSpc>
          </a:pPr>
          <a:endParaRPr b="0" lang="en-US" sz="1100" spc="-1" strike="noStrike">
            <a:latin typeface="Times New Roman"/>
          </a:endParaRPr>
        </a:p>
        <a:p>
          <a:pPr>
            <a:lnSpc>
              <a:spcPct val="100000"/>
            </a:lnSpc>
          </a:pPr>
          <a:r>
            <a:rPr b="0" lang="en-US" sz="1100" spc="-1" strike="noStrike">
              <a:solidFill>
                <a:schemeClr val="dk1"/>
              </a:solidFill>
              <a:latin typeface="Calibri"/>
            </a:rPr>
            <a:t>6. Once the pay items and quantities have been filled in, the Net Present Worth (NPW) table and summary graph below the pay items should be automatically filled in for the alternative. The “Summary” worksheet will also automatically fill with alternative costs as the individual alternative worksheets are completed. The Summary worksheet shows a results table for each alternative (initial construction, maintenance, rehabilitation, lost revenue and salvage present worth, net present worth, closure days), a line naming the lowest-cost alternative and whether it still wins at the FAA AIP rate of 7%, and five charts. It updates by itself whenever an input changes. Use the "View Summary" button under Alternative Setup to open it and the buttons at the top of the Summary to return.</a:t>
          </a:r>
          <a:endParaRPr b="0" lang="en-US" sz="1100" spc="-1" strike="noStrike">
            <a:latin typeface="Times New Roman"/>
          </a:endParaRPr>
        </a:p>
        <a:p>
          <a:pPr>
            <a:lnSpc>
              <a:spcPct val="100000"/>
            </a:lnSpc>
          </a:pPr>
          <a:endParaRPr b="0" lang="en-US" sz="1100" spc="-1" strike="noStrike">
            <a:latin typeface="Times New Roman"/>
          </a:endParaRPr>
        </a:p>
        <a:p>
          <a:pPr>
            <a:lnSpc>
              <a:spcPct val="100000"/>
            </a:lnSpc>
          </a:pPr>
          <a:r>
            <a:rPr b="0" lang="en-US" sz="1100" spc="-1" strike="noStrike">
              <a:solidFill>
                <a:schemeClr val="dk1"/>
              </a:solidFill>
              <a:latin typeface="Calibri"/>
            </a:rPr>
            <a:t>If there are any issues or questions with the use of the LCCA workbook, please contact Aeronautics.</a:t>
          </a:r>
          <a:endParaRPr b="0" lang="en-US" sz="1100" spc="-1" strike="noStrike">
            <a:latin typeface="Times New Roman"/>
          </a:endParaRPr>
        </a:p>
        <a:p>
          <a:pPr>
            <a:lnSpc>
              <a:spcPct val="100000"/>
            </a:lnSpc>
          </a:pPr>
          <a:endParaRPr b="0" lang="en-US" sz="1100" spc="-1" strike="noStrike">
            <a:latin typeface="Times New Roman"/>
          </a:endParaRPr>
        </a:p>
      </xdr:txBody>
    </xdr:sp>
    <xdr:clientData/>
  </xdr:twoCellAnchor>
  <xdr:twoCellAnchor editAs="oneCell">
    <xdr:from>
      <xdr:col>11</xdr:col>
      <xdr:colOff>916200</xdr:colOff>
      <xdr:row>0</xdr:row>
      <xdr:rowOff>25560</xdr:rowOff>
    </xdr:from>
    <xdr:to>
      <xdr:col>12</xdr:col>
      <xdr:colOff>654480</xdr:colOff>
      <xdr:row>0</xdr:row>
      <xdr:rowOff>482400</xdr:rowOff>
    </xdr:to>
    <xdr:pic>
      <xdr:nvPicPr>
        <xdr:cNvPr id="5" name="TDOT logo" descr=""/>
        <xdr:cNvPicPr/>
      </xdr:nvPicPr>
      <xdr:blipFill>
        <a:blip r:embed="rId1"/>
        <a:stretch/>
      </xdr:blipFill>
      <xdr:spPr>
        <a:xfrm>
          <a:off x="14124240" y="25560"/>
          <a:ext cx="1045800" cy="456840"/>
        </a:xfrm>
        <a:prstGeom prst="rect">
          <a:avLst/>
        </a:prstGeom>
        <a:ln w="0">
          <a:noFill/>
        </a:ln>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38160</xdr:colOff>
      <xdr:row>0</xdr:row>
      <xdr:rowOff>38160</xdr:rowOff>
    </xdr:from>
    <xdr:to>
      <xdr:col>1</xdr:col>
      <xdr:colOff>348840</xdr:colOff>
      <xdr:row>0</xdr:row>
      <xdr:rowOff>342720</xdr:rowOff>
    </xdr:to>
    <xdr:sp>
      <xdr:nvSpPr>
        <xdr:cNvPr id="6" name="btnNewStudy"/>
        <xdr:cNvSpPr/>
      </xdr:nvSpPr>
      <xdr:spPr>
        <a:xfrm>
          <a:off x="38160" y="38160"/>
          <a:ext cx="1085400" cy="304560"/>
        </a:xfrm>
        <a:prstGeom prst="roundRect">
          <a:avLst>
            <a:gd name="adj" fmla="val 14000"/>
          </a:avLst>
        </a:prstGeom>
        <a:solidFill>
          <a:srgbClr val="0f7b4f"/>
        </a:solidFill>
        <a:ln w="9525">
          <a:solidFill>
            <a:srgbClr val="0b5c3b"/>
          </a:solidFill>
          <a:round/>
        </a:ln>
      </xdr:spPr>
      <xdr:style>
        <a:lnRef idx="0"/>
        <a:fillRef idx="0"/>
        <a:effectRef idx="0"/>
        <a:fontRef idx="minor"/>
      </xdr:style>
      <xdr:txBody>
        <a:bodyPr horzOverflow="clip" vertOverflow="clip" lIns="90000" rIns="90000" tIns="45000" bIns="45000" anchor="ctr">
          <a:noAutofit/>
        </a:bodyPr>
        <a:p>
          <a:pPr algn="ctr">
            <a:lnSpc>
              <a:spcPct val="100000"/>
            </a:lnSpc>
          </a:pPr>
          <a:r>
            <a:rPr b="1" lang="en-US" sz="900" spc="-1" strike="noStrike">
              <a:solidFill>
                <a:srgbClr val="ffffff"/>
              </a:solidFill>
              <a:latin typeface="Calibri"/>
            </a:rPr>
            <a:t>+ New Study</a:t>
          </a:r>
          <a:endParaRPr b="0" lang="en-US" sz="900" spc="-1" strike="noStrike">
            <a:latin typeface="Times New Roman"/>
          </a:endParaRPr>
        </a:p>
      </xdr:txBody>
    </xdr:sp>
    <xdr:clientData/>
  </xdr:twoCellAnchor>
  <xdr:twoCellAnchor editAs="oneCell">
    <xdr:from>
      <xdr:col>8</xdr:col>
      <xdr:colOff>782640</xdr:colOff>
      <xdr:row>0</xdr:row>
      <xdr:rowOff>25560</xdr:rowOff>
    </xdr:from>
    <xdr:to>
      <xdr:col>9</xdr:col>
      <xdr:colOff>672480</xdr:colOff>
      <xdr:row>0</xdr:row>
      <xdr:rowOff>482400</xdr:rowOff>
    </xdr:to>
    <xdr:pic>
      <xdr:nvPicPr>
        <xdr:cNvPr id="7" name="TDOT logo" descr=""/>
        <xdr:cNvPicPr/>
      </xdr:nvPicPr>
      <xdr:blipFill>
        <a:blip r:embed="rId1"/>
        <a:stretch/>
      </xdr:blipFill>
      <xdr:spPr>
        <a:xfrm>
          <a:off x="11536920" y="25560"/>
          <a:ext cx="1045800" cy="456840"/>
        </a:xfrm>
        <a:prstGeom prst="rect">
          <a:avLst/>
        </a:prstGeom>
        <a:ln w="0">
          <a:noFill/>
        </a:ln>
      </xdr:spPr>
    </xdr:pic>
    <xdr:clientData/>
  </xdr:twoCellAnchor>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01" name="cmdWsSetup" descr="Alternative Setup" hidden="0"/>
            <xdr:cNvSpPr/>
          </xdr:nvSpPr>
          <xdr:spPr>
            <a:xfrm>
              <a:off x="0" y="0"/>
              <a:ext cx="0" cy="0"/>
            </a:xfrm>
            <a:prstGeom prst="rect">
              <a:avLst/>
            </a:prstGeom>
          </xdr:spPr>
          <xdr:txBody>
            <a:bodyPr anchor="ctr">
              <a:noAutofit/>
            </a:bodyPr>
            <a:p>
              <a:r>
                <a:t>Alternative Setup</a:t>
              </a:r>
            </a:p>
          </xdr:txBody>
        </xdr:sp>
        <xdr:clientData/>
      </xdr:twoCellAnchor>
    </mc:Choice>
  </mc:AlternateContent>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620640</xdr:colOff>
      <xdr:row>0</xdr:row>
      <xdr:rowOff>25560</xdr:rowOff>
    </xdr:from>
    <xdr:to>
      <xdr:col>9</xdr:col>
      <xdr:colOff>777600</xdr:colOff>
      <xdr:row>0</xdr:row>
      <xdr:rowOff>482400</xdr:rowOff>
    </xdr:to>
    <xdr:pic>
      <xdr:nvPicPr>
        <xdr:cNvPr id="8" name="TDOT logo" descr=""/>
        <xdr:cNvPicPr/>
      </xdr:nvPicPr>
      <xdr:blipFill>
        <a:blip r:embed="rId1"/>
        <a:stretch/>
      </xdr:blipFill>
      <xdr:spPr>
        <a:xfrm>
          <a:off x="14044680" y="25560"/>
          <a:ext cx="1045800" cy="456840"/>
        </a:xfrm>
        <a:prstGeom prst="rect">
          <a:avLst/>
        </a:prstGeom>
        <a:ln w="0">
          <a:noFill/>
        </a:ln>
      </xdr:spPr>
    </xdr:pic>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782640</xdr:colOff>
      <xdr:row>0</xdr:row>
      <xdr:rowOff>25560</xdr:rowOff>
    </xdr:from>
    <xdr:to>
      <xdr:col>5</xdr:col>
      <xdr:colOff>609840</xdr:colOff>
      <xdr:row>0</xdr:row>
      <xdr:rowOff>482400</xdr:rowOff>
    </xdr:to>
    <xdr:pic>
      <xdr:nvPicPr>
        <xdr:cNvPr id="9" name="TDOT logo" descr=""/>
        <xdr:cNvPicPr/>
      </xdr:nvPicPr>
      <xdr:blipFill>
        <a:blip r:embed="rId1"/>
        <a:stretch/>
      </xdr:blipFill>
      <xdr:spPr>
        <a:xfrm>
          <a:off x="9862560" y="25560"/>
          <a:ext cx="1045800" cy="456840"/>
        </a:xfrm>
        <a:prstGeom prst="rect">
          <a:avLst/>
        </a:prstGeom>
        <a:ln w="0">
          <a:noFill/>
        </a:ln>
      </xdr:spPr>
    </xdr:pic>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6480</xdr:colOff>
      <xdr:row>53</xdr:row>
      <xdr:rowOff>37800</xdr:rowOff>
    </xdr:from>
    <xdr:to>
      <xdr:col>4</xdr:col>
      <xdr:colOff>1927080</xdr:colOff>
      <xdr:row>72</xdr:row>
      <xdr:rowOff>142200</xdr:rowOff>
    </xdr:to>
    <xdr:graphicFrame>
      <xdr:nvGraphicFramePr>
        <xdr:cNvPr id="10" name="Chart 1"/>
        <xdr:cNvGraphicFramePr/>
      </xdr:nvGraphicFramePr>
      <xdr:xfrm>
        <a:off x="1098720" y="11753640"/>
        <a:ext cx="12144240" cy="37238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658800</xdr:colOff>
      <xdr:row>0</xdr:row>
      <xdr:rowOff>25560</xdr:rowOff>
    </xdr:from>
    <xdr:to>
      <xdr:col>6</xdr:col>
      <xdr:colOff>701280</xdr:colOff>
      <xdr:row>0</xdr:row>
      <xdr:rowOff>482400</xdr:rowOff>
    </xdr:to>
    <xdr:pic>
      <xdr:nvPicPr>
        <xdr:cNvPr id="11" name="TDOT logo" descr=""/>
        <xdr:cNvPicPr/>
      </xdr:nvPicPr>
      <xdr:blipFill>
        <a:blip r:embed="rId2"/>
        <a:stretch/>
      </xdr:blipFill>
      <xdr:spPr>
        <a:xfrm>
          <a:off x="14971680" y="25560"/>
          <a:ext cx="1045800" cy="456840"/>
        </a:xfrm>
        <a:prstGeom prst="rect">
          <a:avLst/>
        </a:prstGeom>
        <a:ln w="0">
          <a:noFill/>
        </a:ln>
      </xdr:spPr>
    </xdr:pic>
    <xdr:clientData/>
  </xdr:twoCellAnchor>
  <mc:AlternateContent xmlns:mc="http://schemas.openxmlformats.org/markup-compatibility/2006">
    <mc:Choice xmlns:a14="http://schemas.microsoft.com/office/drawing/2010/main" Requires="a14">
      <xdr:twoCellAnchor editAs="oneCell">
        <xdr:from>
          <xdr:col>2</xdr:col>
          <xdr:colOff>0</xdr:colOff>
          <xdr:row>16</xdr:row>
          <xdr:rowOff>0</xdr:rowOff>
        </xdr:from>
        <xdr:to>
          <xdr:col>3</xdr:col>
          <xdr:colOff>0</xdr:colOff>
          <xdr:row>17</xdr:row>
          <xdr:rowOff>-9720</xdr:rowOff>
        </xdr:to>
        <xdr:sp>
          <xdr:nvSpPr>
            <xdr:cNvPr id="0" name="ComboBox2"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12</xdr:row>
          <xdr:rowOff>19080</xdr:rowOff>
        </xdr:from>
        <xdr:to>
          <xdr:col>3</xdr:col>
          <xdr:colOff>0</xdr:colOff>
          <xdr:row>13</xdr:row>
          <xdr:rowOff>9720</xdr:rowOff>
        </xdr:to>
        <xdr:sp>
          <xdr:nvSpPr>
            <xdr:cNvPr id="0" name="Pay_Item1"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13</xdr:row>
          <xdr:rowOff>0</xdr:rowOff>
        </xdr:from>
        <xdr:to>
          <xdr:col>3</xdr:col>
          <xdr:colOff>0</xdr:colOff>
          <xdr:row>14</xdr:row>
          <xdr:rowOff>-9720</xdr:rowOff>
        </xdr:to>
        <xdr:sp>
          <xdr:nvSpPr>
            <xdr:cNvPr id="0" name="ComboBox1"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14</xdr:row>
          <xdr:rowOff>0</xdr:rowOff>
        </xdr:from>
        <xdr:to>
          <xdr:col>3</xdr:col>
          <xdr:colOff>0</xdr:colOff>
          <xdr:row>15</xdr:row>
          <xdr:rowOff>-9720</xdr:rowOff>
        </xdr:to>
        <xdr:sp>
          <xdr:nvSpPr>
            <xdr:cNvPr id="0" name="ComboBox3"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15</xdr:row>
          <xdr:rowOff>0</xdr:rowOff>
        </xdr:from>
        <xdr:to>
          <xdr:col>3</xdr:col>
          <xdr:colOff>0</xdr:colOff>
          <xdr:row>16</xdr:row>
          <xdr:rowOff>-9720</xdr:rowOff>
        </xdr:to>
        <xdr:sp>
          <xdr:nvSpPr>
            <xdr:cNvPr id="0" name="ComboBox4"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17</xdr:row>
          <xdr:rowOff>0</xdr:rowOff>
        </xdr:from>
        <xdr:to>
          <xdr:col>3</xdr:col>
          <xdr:colOff>0</xdr:colOff>
          <xdr:row>18</xdr:row>
          <xdr:rowOff>0</xdr:rowOff>
        </xdr:to>
        <xdr:sp>
          <xdr:nvSpPr>
            <xdr:cNvPr id="0" name="ComboBox5"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18</xdr:row>
          <xdr:rowOff>0</xdr:rowOff>
        </xdr:from>
        <xdr:to>
          <xdr:col>3</xdr:col>
          <xdr:colOff>0</xdr:colOff>
          <xdr:row>19</xdr:row>
          <xdr:rowOff>0</xdr:rowOff>
        </xdr:to>
        <xdr:sp>
          <xdr:nvSpPr>
            <xdr:cNvPr id="0" name="ComboBox6"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21</xdr:row>
          <xdr:rowOff>0</xdr:rowOff>
        </xdr:from>
        <xdr:to>
          <xdr:col>3</xdr:col>
          <xdr:colOff>0</xdr:colOff>
          <xdr:row>22</xdr:row>
          <xdr:rowOff>0</xdr:rowOff>
        </xdr:to>
        <xdr:sp>
          <xdr:nvSpPr>
            <xdr:cNvPr id="0" name="ComboBox7"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19</xdr:row>
          <xdr:rowOff>0</xdr:rowOff>
        </xdr:from>
        <xdr:to>
          <xdr:col>3</xdr:col>
          <xdr:colOff>-2004120</xdr:colOff>
          <xdr:row>20</xdr:row>
          <xdr:rowOff>0</xdr:rowOff>
        </xdr:to>
        <xdr:sp>
          <xdr:nvSpPr>
            <xdr:cNvPr id="0" name="ComboBox8"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20</xdr:row>
          <xdr:rowOff>0</xdr:rowOff>
        </xdr:from>
        <xdr:to>
          <xdr:col>3</xdr:col>
          <xdr:colOff>-2004120</xdr:colOff>
          <xdr:row>21</xdr:row>
          <xdr:rowOff>0</xdr:rowOff>
        </xdr:to>
        <xdr:sp>
          <xdr:nvSpPr>
            <xdr:cNvPr id="0" name="ComboBox9" descr="" hidden="0"/>
            <xdr:cNvSpPr/>
          </xdr:nvSpPr>
          <xdr:spPr>
            <a:xfrm>
              <a:off x="0" y="0"/>
              <a:ext cx="0" cy="0"/>
            </a:xfrm>
            <a:prstGeom prst="rect">
              <a:avLst/>
            </a:prstGeom>
          </xdr:spPr>
          <xdr:txBody>
            <a:bodyPr anchor="ctr">
              <a:noAutofit/>
            </a:bodyPr>
            <a:p>
              <a:r>
                <a:t/>
              </a:r>
            </a:p>
          </xdr:txBody>
        </xdr:sp>
        <xdr:clientData/>
      </xdr:twoCellAnchor>
    </mc:Choice>
  </mc:AlternateContent>
</xdr:wsDr>
</file>

<file path=xl/drawings/drawing9.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6480</xdr:colOff>
      <xdr:row>46</xdr:row>
      <xdr:rowOff>38160</xdr:rowOff>
    </xdr:from>
    <xdr:to>
      <xdr:col>5</xdr:col>
      <xdr:colOff>835200</xdr:colOff>
      <xdr:row>65</xdr:row>
      <xdr:rowOff>142560</xdr:rowOff>
    </xdr:to>
    <xdr:graphicFrame>
      <xdr:nvGraphicFramePr>
        <xdr:cNvPr id="12" name="Chart 1"/>
        <xdr:cNvGraphicFramePr/>
      </xdr:nvGraphicFramePr>
      <xdr:xfrm>
        <a:off x="1098720" y="10372680"/>
        <a:ext cx="9997920" cy="37238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611280</xdr:colOff>
      <xdr:row>0</xdr:row>
      <xdr:rowOff>25560</xdr:rowOff>
    </xdr:from>
    <xdr:to>
      <xdr:col>6</xdr:col>
      <xdr:colOff>717120</xdr:colOff>
      <xdr:row>0</xdr:row>
      <xdr:rowOff>482400</xdr:rowOff>
    </xdr:to>
    <xdr:pic>
      <xdr:nvPicPr>
        <xdr:cNvPr id="13" name="TDOT logo" descr=""/>
        <xdr:cNvPicPr/>
      </xdr:nvPicPr>
      <xdr:blipFill>
        <a:blip r:embed="rId2"/>
        <a:stretch/>
      </xdr:blipFill>
      <xdr:spPr>
        <a:xfrm>
          <a:off x="10872720" y="25560"/>
          <a:ext cx="1045800" cy="456840"/>
        </a:xfrm>
        <a:prstGeom prst="rect">
          <a:avLst/>
        </a:prstGeom>
        <a:ln w="0">
          <a:noFill/>
        </a:ln>
      </xdr:spPr>
    </xdr:pic>
    <xdr:clientData/>
  </xdr:twoCellAnchor>
  <mc:AlternateContent xmlns:mc="http://schemas.openxmlformats.org/markup-compatibility/2006">
    <mc:Choice xmlns:a14="http://schemas.microsoft.com/office/drawing/2010/main" Requires="a14">
      <xdr:twoCellAnchor editAs="oneCell">
        <xdr:from>
          <xdr:col>2</xdr:col>
          <xdr:colOff>0</xdr:colOff>
          <xdr:row>16</xdr:row>
          <xdr:rowOff>0</xdr:rowOff>
        </xdr:from>
        <xdr:to>
          <xdr:col>3</xdr:col>
          <xdr:colOff>-1994400</xdr:colOff>
          <xdr:row>17</xdr:row>
          <xdr:rowOff>-9720</xdr:rowOff>
        </xdr:to>
        <xdr:sp>
          <xdr:nvSpPr>
            <xdr:cNvPr id="0" name="ComboBox2"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12</xdr:row>
          <xdr:rowOff>19080</xdr:rowOff>
        </xdr:from>
        <xdr:to>
          <xdr:col>3</xdr:col>
          <xdr:colOff>-1994400</xdr:colOff>
          <xdr:row>13</xdr:row>
          <xdr:rowOff>9720</xdr:rowOff>
        </xdr:to>
        <xdr:sp>
          <xdr:nvSpPr>
            <xdr:cNvPr id="0" name="Pay_Item1"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13</xdr:row>
          <xdr:rowOff>0</xdr:rowOff>
        </xdr:from>
        <xdr:to>
          <xdr:col>3</xdr:col>
          <xdr:colOff>-1994400</xdr:colOff>
          <xdr:row>14</xdr:row>
          <xdr:rowOff>-9720</xdr:rowOff>
        </xdr:to>
        <xdr:sp>
          <xdr:nvSpPr>
            <xdr:cNvPr id="0" name="ComboBox1"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14</xdr:row>
          <xdr:rowOff>0</xdr:rowOff>
        </xdr:from>
        <xdr:to>
          <xdr:col>3</xdr:col>
          <xdr:colOff>-1994400</xdr:colOff>
          <xdr:row>15</xdr:row>
          <xdr:rowOff>-9720</xdr:rowOff>
        </xdr:to>
        <xdr:sp>
          <xdr:nvSpPr>
            <xdr:cNvPr id="0" name="ComboBox3"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15</xdr:row>
          <xdr:rowOff>0</xdr:rowOff>
        </xdr:from>
        <xdr:to>
          <xdr:col>3</xdr:col>
          <xdr:colOff>-1994400</xdr:colOff>
          <xdr:row>16</xdr:row>
          <xdr:rowOff>-9720</xdr:rowOff>
        </xdr:to>
        <xdr:sp>
          <xdr:nvSpPr>
            <xdr:cNvPr id="0" name="ComboBox4"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17</xdr:row>
          <xdr:rowOff>0</xdr:rowOff>
        </xdr:from>
        <xdr:to>
          <xdr:col>3</xdr:col>
          <xdr:colOff>-1994400</xdr:colOff>
          <xdr:row>18</xdr:row>
          <xdr:rowOff>0</xdr:rowOff>
        </xdr:to>
        <xdr:sp>
          <xdr:nvSpPr>
            <xdr:cNvPr id="0" name="ComboBox5"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18</xdr:row>
          <xdr:rowOff>0</xdr:rowOff>
        </xdr:from>
        <xdr:to>
          <xdr:col>3</xdr:col>
          <xdr:colOff>-1994400</xdr:colOff>
          <xdr:row>19</xdr:row>
          <xdr:rowOff>0</xdr:rowOff>
        </xdr:to>
        <xdr:sp>
          <xdr:nvSpPr>
            <xdr:cNvPr id="0" name="ComboBox6"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21</xdr:row>
          <xdr:rowOff>0</xdr:rowOff>
        </xdr:from>
        <xdr:to>
          <xdr:col>3</xdr:col>
          <xdr:colOff>-1994400</xdr:colOff>
          <xdr:row>22</xdr:row>
          <xdr:rowOff>0</xdr:rowOff>
        </xdr:to>
        <xdr:sp>
          <xdr:nvSpPr>
            <xdr:cNvPr id="0" name="ComboBox7"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19</xdr:row>
          <xdr:rowOff>0</xdr:rowOff>
        </xdr:from>
        <xdr:to>
          <xdr:col>3</xdr:col>
          <xdr:colOff>-2004120</xdr:colOff>
          <xdr:row>20</xdr:row>
          <xdr:rowOff>0</xdr:rowOff>
        </xdr:to>
        <xdr:sp>
          <xdr:nvSpPr>
            <xdr:cNvPr id="0" name="ComboBox8"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20</xdr:row>
          <xdr:rowOff>0</xdr:rowOff>
        </xdr:from>
        <xdr:to>
          <xdr:col>3</xdr:col>
          <xdr:colOff>-2004120</xdr:colOff>
          <xdr:row>21</xdr:row>
          <xdr:rowOff>0</xdr:rowOff>
        </xdr:to>
        <xdr:sp>
          <xdr:nvSpPr>
            <xdr:cNvPr id="0" name="ComboBox9"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64</xdr:col>
          <xdr:colOff>0</xdr:colOff>
          <xdr:row>13</xdr:row>
          <xdr:rowOff>0</xdr:rowOff>
        </xdr:from>
        <xdr:to>
          <xdr:col>65</xdr:col>
          <xdr:colOff>-739800</xdr:colOff>
          <xdr:row>14</xdr:row>
          <xdr:rowOff>-9720</xdr:rowOff>
        </xdr:to>
        <xdr:sp>
          <xdr:nvSpPr>
            <xdr:cNvPr id="0" name="ComboBox10"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64</xdr:col>
          <xdr:colOff>0</xdr:colOff>
          <xdr:row>14</xdr:row>
          <xdr:rowOff>0</xdr:rowOff>
        </xdr:from>
        <xdr:to>
          <xdr:col>65</xdr:col>
          <xdr:colOff>-739800</xdr:colOff>
          <xdr:row>15</xdr:row>
          <xdr:rowOff>-9720</xdr:rowOff>
        </xdr:to>
        <xdr:sp>
          <xdr:nvSpPr>
            <xdr:cNvPr id="0" name="ComboBox11"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64</xdr:col>
          <xdr:colOff>0</xdr:colOff>
          <xdr:row>13</xdr:row>
          <xdr:rowOff>0</xdr:rowOff>
        </xdr:from>
        <xdr:to>
          <xdr:col>65</xdr:col>
          <xdr:colOff>-739800</xdr:colOff>
          <xdr:row>14</xdr:row>
          <xdr:rowOff>-9720</xdr:rowOff>
        </xdr:to>
        <xdr:sp>
          <xdr:nvSpPr>
            <xdr:cNvPr id="0" name="ComboBox12"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64</xdr:col>
          <xdr:colOff>0</xdr:colOff>
          <xdr:row>14</xdr:row>
          <xdr:rowOff>0</xdr:rowOff>
        </xdr:from>
        <xdr:to>
          <xdr:col>65</xdr:col>
          <xdr:colOff>-739800</xdr:colOff>
          <xdr:row>15</xdr:row>
          <xdr:rowOff>-9720</xdr:rowOff>
        </xdr:to>
        <xdr:sp>
          <xdr:nvSpPr>
            <xdr:cNvPr id="0" name="ComboBox13"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64</xdr:col>
          <xdr:colOff>0</xdr:colOff>
          <xdr:row>13</xdr:row>
          <xdr:rowOff>0</xdr:rowOff>
        </xdr:from>
        <xdr:to>
          <xdr:col>65</xdr:col>
          <xdr:colOff>-739800</xdr:colOff>
          <xdr:row>14</xdr:row>
          <xdr:rowOff>-9720</xdr:rowOff>
        </xdr:to>
        <xdr:sp>
          <xdr:nvSpPr>
            <xdr:cNvPr id="0" name="ComboBox14"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64</xdr:col>
          <xdr:colOff>0</xdr:colOff>
          <xdr:row>15</xdr:row>
          <xdr:rowOff>0</xdr:rowOff>
        </xdr:from>
        <xdr:to>
          <xdr:col>65</xdr:col>
          <xdr:colOff>-739800</xdr:colOff>
          <xdr:row>16</xdr:row>
          <xdr:rowOff>-9720</xdr:rowOff>
        </xdr:to>
        <xdr:sp>
          <xdr:nvSpPr>
            <xdr:cNvPr id="0" name="ComboBox15"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64</xdr:col>
          <xdr:colOff>0</xdr:colOff>
          <xdr:row>16</xdr:row>
          <xdr:rowOff>0</xdr:rowOff>
        </xdr:from>
        <xdr:to>
          <xdr:col>65</xdr:col>
          <xdr:colOff>-739800</xdr:colOff>
          <xdr:row>17</xdr:row>
          <xdr:rowOff>-9720</xdr:rowOff>
        </xdr:to>
        <xdr:sp>
          <xdr:nvSpPr>
            <xdr:cNvPr id="0" name="ComboBox16"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64</xdr:col>
          <xdr:colOff>0</xdr:colOff>
          <xdr:row>12</xdr:row>
          <xdr:rowOff>0</xdr:rowOff>
        </xdr:from>
        <xdr:to>
          <xdr:col>65</xdr:col>
          <xdr:colOff>-739800</xdr:colOff>
          <xdr:row>13</xdr:row>
          <xdr:rowOff>-9720</xdr:rowOff>
        </xdr:to>
        <xdr:sp>
          <xdr:nvSpPr>
            <xdr:cNvPr id="0" name="ComboBox17"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64</xdr:col>
          <xdr:colOff>0</xdr:colOff>
          <xdr:row>13</xdr:row>
          <xdr:rowOff>0</xdr:rowOff>
        </xdr:from>
        <xdr:to>
          <xdr:col>65</xdr:col>
          <xdr:colOff>-739800</xdr:colOff>
          <xdr:row>14</xdr:row>
          <xdr:rowOff>-9720</xdr:rowOff>
        </xdr:to>
        <xdr:sp>
          <xdr:nvSpPr>
            <xdr:cNvPr id="0" name="ComboBox18"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64</xdr:col>
          <xdr:colOff>0</xdr:colOff>
          <xdr:row>15</xdr:row>
          <xdr:rowOff>0</xdr:rowOff>
        </xdr:from>
        <xdr:to>
          <xdr:col>65</xdr:col>
          <xdr:colOff>-739800</xdr:colOff>
          <xdr:row>16</xdr:row>
          <xdr:rowOff>-9720</xdr:rowOff>
        </xdr:to>
        <xdr:sp>
          <xdr:nvSpPr>
            <xdr:cNvPr id="0" name="ComboBox19"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64</xdr:col>
          <xdr:colOff>0</xdr:colOff>
          <xdr:row>16</xdr:row>
          <xdr:rowOff>0</xdr:rowOff>
        </xdr:from>
        <xdr:to>
          <xdr:col>65</xdr:col>
          <xdr:colOff>-739800</xdr:colOff>
          <xdr:row>17</xdr:row>
          <xdr:rowOff>-9720</xdr:rowOff>
        </xdr:to>
        <xdr:sp>
          <xdr:nvSpPr>
            <xdr:cNvPr id="0" name="ComboBox20"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64</xdr:col>
          <xdr:colOff>0</xdr:colOff>
          <xdr:row>12</xdr:row>
          <xdr:rowOff>0</xdr:rowOff>
        </xdr:from>
        <xdr:to>
          <xdr:col>65</xdr:col>
          <xdr:colOff>-739800</xdr:colOff>
          <xdr:row>13</xdr:row>
          <xdr:rowOff>-9720</xdr:rowOff>
        </xdr:to>
        <xdr:sp>
          <xdr:nvSpPr>
            <xdr:cNvPr id="0" name="ComboBox21"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64</xdr:col>
          <xdr:colOff>0</xdr:colOff>
          <xdr:row>13</xdr:row>
          <xdr:rowOff>0</xdr:rowOff>
        </xdr:from>
        <xdr:to>
          <xdr:col>65</xdr:col>
          <xdr:colOff>-749520</xdr:colOff>
          <xdr:row>14</xdr:row>
          <xdr:rowOff>-9720</xdr:rowOff>
        </xdr:to>
        <xdr:sp>
          <xdr:nvSpPr>
            <xdr:cNvPr id="0" name="ComboBox22"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64</xdr:col>
          <xdr:colOff>0</xdr:colOff>
          <xdr:row>15</xdr:row>
          <xdr:rowOff>0</xdr:rowOff>
        </xdr:from>
        <xdr:to>
          <xdr:col>65</xdr:col>
          <xdr:colOff>-749520</xdr:colOff>
          <xdr:row>16</xdr:row>
          <xdr:rowOff>-9720</xdr:rowOff>
        </xdr:to>
        <xdr:sp>
          <xdr:nvSpPr>
            <xdr:cNvPr id="0" name="ComboBox23"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64</xdr:col>
          <xdr:colOff>0</xdr:colOff>
          <xdr:row>16</xdr:row>
          <xdr:rowOff>0</xdr:rowOff>
        </xdr:from>
        <xdr:to>
          <xdr:col>65</xdr:col>
          <xdr:colOff>-749520</xdr:colOff>
          <xdr:row>17</xdr:row>
          <xdr:rowOff>-9720</xdr:rowOff>
        </xdr:to>
        <xdr:sp>
          <xdr:nvSpPr>
            <xdr:cNvPr id="0" name="ComboBox24"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64</xdr:col>
          <xdr:colOff>0</xdr:colOff>
          <xdr:row>12</xdr:row>
          <xdr:rowOff>0</xdr:rowOff>
        </xdr:from>
        <xdr:to>
          <xdr:col>65</xdr:col>
          <xdr:colOff>-749520</xdr:colOff>
          <xdr:row>13</xdr:row>
          <xdr:rowOff>-9720</xdr:rowOff>
        </xdr:to>
        <xdr:sp>
          <xdr:nvSpPr>
            <xdr:cNvPr id="0" name="ComboBox25"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64</xdr:col>
          <xdr:colOff>0</xdr:colOff>
          <xdr:row>17</xdr:row>
          <xdr:rowOff>0</xdr:rowOff>
        </xdr:from>
        <xdr:to>
          <xdr:col>65</xdr:col>
          <xdr:colOff>-749520</xdr:colOff>
          <xdr:row>18</xdr:row>
          <xdr:rowOff>-9720</xdr:rowOff>
        </xdr:to>
        <xdr:sp>
          <xdr:nvSpPr>
            <xdr:cNvPr id="0" name="ComboBox26"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64</xdr:col>
          <xdr:colOff>0</xdr:colOff>
          <xdr:row>14</xdr:row>
          <xdr:rowOff>0</xdr:rowOff>
        </xdr:from>
        <xdr:to>
          <xdr:col>65</xdr:col>
          <xdr:colOff>-749520</xdr:colOff>
          <xdr:row>15</xdr:row>
          <xdr:rowOff>-9720</xdr:rowOff>
        </xdr:to>
        <xdr:sp>
          <xdr:nvSpPr>
            <xdr:cNvPr id="0" name="ComboBox27"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64</xdr:col>
          <xdr:colOff>0</xdr:colOff>
          <xdr:row>13</xdr:row>
          <xdr:rowOff>0</xdr:rowOff>
        </xdr:from>
        <xdr:to>
          <xdr:col>65</xdr:col>
          <xdr:colOff>-739800</xdr:colOff>
          <xdr:row>14</xdr:row>
          <xdr:rowOff>-9720</xdr:rowOff>
        </xdr:to>
        <xdr:sp>
          <xdr:nvSpPr>
            <xdr:cNvPr id="0" name="ComboBox28"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64</xdr:col>
          <xdr:colOff>0</xdr:colOff>
          <xdr:row>15</xdr:row>
          <xdr:rowOff>0</xdr:rowOff>
        </xdr:from>
        <xdr:to>
          <xdr:col>65</xdr:col>
          <xdr:colOff>-739800</xdr:colOff>
          <xdr:row>16</xdr:row>
          <xdr:rowOff>-9720</xdr:rowOff>
        </xdr:to>
        <xdr:sp>
          <xdr:nvSpPr>
            <xdr:cNvPr id="0" name="ComboBox29"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64</xdr:col>
          <xdr:colOff>0</xdr:colOff>
          <xdr:row>16</xdr:row>
          <xdr:rowOff>0</xdr:rowOff>
        </xdr:from>
        <xdr:to>
          <xdr:col>65</xdr:col>
          <xdr:colOff>-739800</xdr:colOff>
          <xdr:row>17</xdr:row>
          <xdr:rowOff>-9720</xdr:rowOff>
        </xdr:to>
        <xdr:sp>
          <xdr:nvSpPr>
            <xdr:cNvPr id="0" name="ComboBox30"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64</xdr:col>
          <xdr:colOff>0</xdr:colOff>
          <xdr:row>12</xdr:row>
          <xdr:rowOff>0</xdr:rowOff>
        </xdr:from>
        <xdr:to>
          <xdr:col>65</xdr:col>
          <xdr:colOff>-739800</xdr:colOff>
          <xdr:row>13</xdr:row>
          <xdr:rowOff>-9720</xdr:rowOff>
        </xdr:to>
        <xdr:sp>
          <xdr:nvSpPr>
            <xdr:cNvPr id="0" name="ComboBox31"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64</xdr:col>
          <xdr:colOff>0</xdr:colOff>
          <xdr:row>13</xdr:row>
          <xdr:rowOff>0</xdr:rowOff>
        </xdr:from>
        <xdr:to>
          <xdr:col>65</xdr:col>
          <xdr:colOff>-730440</xdr:colOff>
          <xdr:row>14</xdr:row>
          <xdr:rowOff>-9720</xdr:rowOff>
        </xdr:to>
        <xdr:sp>
          <xdr:nvSpPr>
            <xdr:cNvPr id="0" name="ComboBox32"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64</xdr:col>
          <xdr:colOff>0</xdr:colOff>
          <xdr:row>14</xdr:row>
          <xdr:rowOff>0</xdr:rowOff>
        </xdr:from>
        <xdr:to>
          <xdr:col>65</xdr:col>
          <xdr:colOff>-730440</xdr:colOff>
          <xdr:row>15</xdr:row>
          <xdr:rowOff>-9720</xdr:rowOff>
        </xdr:to>
        <xdr:sp>
          <xdr:nvSpPr>
            <xdr:cNvPr id="0" name="ComboBox33" descr="" hidden="0"/>
            <xdr:cNvSpPr/>
          </xdr:nvSpPr>
          <xdr:spPr>
            <a:xfrm>
              <a:off x="0" y="0"/>
              <a:ext cx="0" cy="0"/>
            </a:xfrm>
            <a:prstGeom prst="rect">
              <a:avLst/>
            </a:prstGeom>
          </xdr:spPr>
          <xdr:txBody>
            <a:bodyPr anchor="ctr">
              <a:noAutofit/>
            </a:bodyPr>
            <a:p>
              <a:r>
                <a:t/>
              </a:r>
            </a:p>
          </xdr:txBody>
        </xdr:sp>
        <xdr:clientData/>
      </xdr:twoCellAnchor>
    </mc:Choice>
  </mc:AlternateContent>
</xdr:wsDr>
</file>

<file path=xl/drawings/drawing10.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42</xdr:row>
      <xdr:rowOff>28440</xdr:rowOff>
    </xdr:from>
    <xdr:to>
      <xdr:col>5</xdr:col>
      <xdr:colOff>396720</xdr:colOff>
      <xdr:row>61</xdr:row>
      <xdr:rowOff>132840</xdr:rowOff>
    </xdr:to>
    <xdr:graphicFrame>
      <xdr:nvGraphicFramePr>
        <xdr:cNvPr id="14" name="Chart 1"/>
        <xdr:cNvGraphicFramePr/>
      </xdr:nvGraphicFramePr>
      <xdr:xfrm>
        <a:off x="1092240" y="9601200"/>
        <a:ext cx="9426240" cy="37238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459000</xdr:colOff>
      <xdr:row>0</xdr:row>
      <xdr:rowOff>25560</xdr:rowOff>
    </xdr:from>
    <xdr:to>
      <xdr:col>6</xdr:col>
      <xdr:colOff>564840</xdr:colOff>
      <xdr:row>0</xdr:row>
      <xdr:rowOff>482400</xdr:rowOff>
    </xdr:to>
    <xdr:pic>
      <xdr:nvPicPr>
        <xdr:cNvPr id="15" name="TDOT logo" descr=""/>
        <xdr:cNvPicPr/>
      </xdr:nvPicPr>
      <xdr:blipFill>
        <a:blip r:embed="rId2"/>
        <a:stretch/>
      </xdr:blipFill>
      <xdr:spPr>
        <a:xfrm>
          <a:off x="10580760" y="25560"/>
          <a:ext cx="1045800" cy="456840"/>
        </a:xfrm>
        <a:prstGeom prst="rect">
          <a:avLst/>
        </a:prstGeom>
        <a:ln w="0">
          <a:noFill/>
        </a:ln>
      </xdr:spPr>
    </xdr:pic>
    <xdr:clientData/>
  </xdr:twoCellAnchor>
  <mc:AlternateContent xmlns:mc="http://schemas.openxmlformats.org/markup-compatibility/2006">
    <mc:Choice xmlns:a14="http://schemas.microsoft.com/office/drawing/2010/main" Requires="a14">
      <xdr:twoCellAnchor editAs="oneCell">
        <xdr:from>
          <xdr:col>2</xdr:col>
          <xdr:colOff>0</xdr:colOff>
          <xdr:row>16</xdr:row>
          <xdr:rowOff>0</xdr:rowOff>
        </xdr:from>
        <xdr:to>
          <xdr:col>3</xdr:col>
          <xdr:colOff>-1994400</xdr:colOff>
          <xdr:row>17</xdr:row>
          <xdr:rowOff>0</xdr:rowOff>
        </xdr:to>
        <xdr:sp>
          <xdr:nvSpPr>
            <xdr:cNvPr id="0" name="ComboBox9"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11</xdr:row>
          <xdr:rowOff>190440</xdr:rowOff>
        </xdr:from>
        <xdr:to>
          <xdr:col>3</xdr:col>
          <xdr:colOff>-1994400</xdr:colOff>
          <xdr:row>12</xdr:row>
          <xdr:rowOff>247680</xdr:rowOff>
        </xdr:to>
        <xdr:sp>
          <xdr:nvSpPr>
            <xdr:cNvPr id="0" name="ComboBox10"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13</xdr:row>
          <xdr:rowOff>0</xdr:rowOff>
        </xdr:from>
        <xdr:to>
          <xdr:col>3</xdr:col>
          <xdr:colOff>-1994400</xdr:colOff>
          <xdr:row>14</xdr:row>
          <xdr:rowOff>0</xdr:rowOff>
        </xdr:to>
        <xdr:sp>
          <xdr:nvSpPr>
            <xdr:cNvPr id="0" name="ComboBox11"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14</xdr:row>
          <xdr:rowOff>0</xdr:rowOff>
        </xdr:from>
        <xdr:to>
          <xdr:col>3</xdr:col>
          <xdr:colOff>-1994400</xdr:colOff>
          <xdr:row>15</xdr:row>
          <xdr:rowOff>0</xdr:rowOff>
        </xdr:to>
        <xdr:sp>
          <xdr:nvSpPr>
            <xdr:cNvPr id="0" name="ComboBox12"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15</xdr:row>
          <xdr:rowOff>0</xdr:rowOff>
        </xdr:from>
        <xdr:to>
          <xdr:col>3</xdr:col>
          <xdr:colOff>-1994400</xdr:colOff>
          <xdr:row>16</xdr:row>
          <xdr:rowOff>0</xdr:rowOff>
        </xdr:to>
        <xdr:sp>
          <xdr:nvSpPr>
            <xdr:cNvPr id="0" name="ComboBox13"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17</xdr:row>
          <xdr:rowOff>0</xdr:rowOff>
        </xdr:from>
        <xdr:to>
          <xdr:col>3</xdr:col>
          <xdr:colOff>-1994400</xdr:colOff>
          <xdr:row>18</xdr:row>
          <xdr:rowOff>0</xdr:rowOff>
        </xdr:to>
        <xdr:sp>
          <xdr:nvSpPr>
            <xdr:cNvPr id="0" name="ComboBox14"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18</xdr:row>
          <xdr:rowOff>0</xdr:rowOff>
        </xdr:from>
        <xdr:to>
          <xdr:col>3</xdr:col>
          <xdr:colOff>-1994400</xdr:colOff>
          <xdr:row>19</xdr:row>
          <xdr:rowOff>0</xdr:rowOff>
        </xdr:to>
        <xdr:sp>
          <xdr:nvSpPr>
            <xdr:cNvPr id="0" name="ComboBox15"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21</xdr:row>
          <xdr:rowOff>0</xdr:rowOff>
        </xdr:from>
        <xdr:to>
          <xdr:col>3</xdr:col>
          <xdr:colOff>-1994400</xdr:colOff>
          <xdr:row>22</xdr:row>
          <xdr:rowOff>0</xdr:rowOff>
        </xdr:to>
        <xdr:sp>
          <xdr:nvSpPr>
            <xdr:cNvPr id="0" name="ComboBox16"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19</xdr:row>
          <xdr:rowOff>0</xdr:rowOff>
        </xdr:from>
        <xdr:to>
          <xdr:col>3</xdr:col>
          <xdr:colOff>9360</xdr:colOff>
          <xdr:row>20</xdr:row>
          <xdr:rowOff>19080</xdr:rowOff>
        </xdr:to>
        <xdr:sp>
          <xdr:nvSpPr>
            <xdr:cNvPr id="0" name="ComboBox18"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20</xdr:row>
          <xdr:rowOff>0</xdr:rowOff>
        </xdr:from>
        <xdr:to>
          <xdr:col>3</xdr:col>
          <xdr:colOff>19080</xdr:colOff>
          <xdr:row>21</xdr:row>
          <xdr:rowOff>19080</xdr:rowOff>
        </xdr:to>
        <xdr:sp>
          <xdr:nvSpPr>
            <xdr:cNvPr id="0" name="ComboBox20"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22</xdr:col>
          <xdr:colOff>0</xdr:colOff>
          <xdr:row>12</xdr:row>
          <xdr:rowOff>0</xdr:rowOff>
        </xdr:from>
        <xdr:to>
          <xdr:col>24</xdr:col>
          <xdr:colOff>418680</xdr:colOff>
          <xdr:row>13</xdr:row>
          <xdr:rowOff>-9720</xdr:rowOff>
        </xdr:to>
        <xdr:sp>
          <xdr:nvSpPr>
            <xdr:cNvPr id="0" name="ComboBox21"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22</xdr:col>
          <xdr:colOff>0</xdr:colOff>
          <xdr:row>13</xdr:row>
          <xdr:rowOff>0</xdr:rowOff>
        </xdr:from>
        <xdr:to>
          <xdr:col>24</xdr:col>
          <xdr:colOff>418680</xdr:colOff>
          <xdr:row>14</xdr:row>
          <xdr:rowOff>0</xdr:rowOff>
        </xdr:to>
        <xdr:sp>
          <xdr:nvSpPr>
            <xdr:cNvPr id="0" name="ComboBox22"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22</xdr:col>
          <xdr:colOff>0</xdr:colOff>
          <xdr:row>14</xdr:row>
          <xdr:rowOff>0</xdr:rowOff>
        </xdr:from>
        <xdr:to>
          <xdr:col>24</xdr:col>
          <xdr:colOff>418680</xdr:colOff>
          <xdr:row>15</xdr:row>
          <xdr:rowOff>0</xdr:rowOff>
        </xdr:to>
        <xdr:sp>
          <xdr:nvSpPr>
            <xdr:cNvPr id="0" name="ComboBox23"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22</xdr:col>
          <xdr:colOff>0</xdr:colOff>
          <xdr:row>15</xdr:row>
          <xdr:rowOff>0</xdr:rowOff>
        </xdr:from>
        <xdr:to>
          <xdr:col>24</xdr:col>
          <xdr:colOff>418680</xdr:colOff>
          <xdr:row>16</xdr:row>
          <xdr:rowOff>0</xdr:rowOff>
        </xdr:to>
        <xdr:sp>
          <xdr:nvSpPr>
            <xdr:cNvPr id="0" name="ComboBox24"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22</xdr:col>
          <xdr:colOff>0</xdr:colOff>
          <xdr:row>16</xdr:row>
          <xdr:rowOff>0</xdr:rowOff>
        </xdr:from>
        <xdr:to>
          <xdr:col>23</xdr:col>
          <xdr:colOff>-1162080</xdr:colOff>
          <xdr:row>17</xdr:row>
          <xdr:rowOff>0</xdr:rowOff>
        </xdr:to>
        <xdr:sp>
          <xdr:nvSpPr>
            <xdr:cNvPr id="0" name="ComboBox25"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22</xdr:col>
          <xdr:colOff>0</xdr:colOff>
          <xdr:row>12</xdr:row>
          <xdr:rowOff>0</xdr:rowOff>
        </xdr:from>
        <xdr:to>
          <xdr:col>23</xdr:col>
          <xdr:colOff>-1162080</xdr:colOff>
          <xdr:row>13</xdr:row>
          <xdr:rowOff>-9720</xdr:rowOff>
        </xdr:to>
        <xdr:sp>
          <xdr:nvSpPr>
            <xdr:cNvPr id="0" name="ComboBox26"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22</xdr:col>
          <xdr:colOff>0</xdr:colOff>
          <xdr:row>13</xdr:row>
          <xdr:rowOff>0</xdr:rowOff>
        </xdr:from>
        <xdr:to>
          <xdr:col>23</xdr:col>
          <xdr:colOff>-1162080</xdr:colOff>
          <xdr:row>14</xdr:row>
          <xdr:rowOff>0</xdr:rowOff>
        </xdr:to>
        <xdr:sp>
          <xdr:nvSpPr>
            <xdr:cNvPr id="0" name="ComboBox27"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22</xdr:col>
          <xdr:colOff>0</xdr:colOff>
          <xdr:row>14</xdr:row>
          <xdr:rowOff>0</xdr:rowOff>
        </xdr:from>
        <xdr:to>
          <xdr:col>23</xdr:col>
          <xdr:colOff>-1162080</xdr:colOff>
          <xdr:row>15</xdr:row>
          <xdr:rowOff>0</xdr:rowOff>
        </xdr:to>
        <xdr:sp>
          <xdr:nvSpPr>
            <xdr:cNvPr id="0" name="ComboBox28"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22</xdr:col>
          <xdr:colOff>0</xdr:colOff>
          <xdr:row>15</xdr:row>
          <xdr:rowOff>0</xdr:rowOff>
        </xdr:from>
        <xdr:to>
          <xdr:col>23</xdr:col>
          <xdr:colOff>-1162080</xdr:colOff>
          <xdr:row>16</xdr:row>
          <xdr:rowOff>0</xdr:rowOff>
        </xdr:to>
        <xdr:sp>
          <xdr:nvSpPr>
            <xdr:cNvPr id="0" name="ComboBox29" descr="" hidden="0"/>
            <xdr:cNvSpPr/>
          </xdr:nvSpPr>
          <xdr:spPr>
            <a:xfrm>
              <a:off x="0" y="0"/>
              <a:ext cx="0" cy="0"/>
            </a:xfrm>
            <a:prstGeom prst="rect">
              <a:avLst/>
            </a:prstGeom>
          </xdr:spPr>
          <xdr:txBody>
            <a:bodyPr anchor="ctr">
              <a:noAutofit/>
            </a:bodyPr>
            <a:p>
              <a:r>
                <a:t/>
              </a:r>
            </a:p>
          </xdr:txBody>
        </xdr:sp>
        <xdr:clientData/>
      </xdr:twoCellAnchor>
    </mc:Choice>
  </mc:AlternateContent>
</xdr:wsDr>
</file>

<file path=xl/drawings/drawing1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6480</xdr:colOff>
      <xdr:row>46</xdr:row>
      <xdr:rowOff>38160</xdr:rowOff>
    </xdr:from>
    <xdr:to>
      <xdr:col>5</xdr:col>
      <xdr:colOff>797040</xdr:colOff>
      <xdr:row>65</xdr:row>
      <xdr:rowOff>142560</xdr:rowOff>
    </xdr:to>
    <xdr:graphicFrame>
      <xdr:nvGraphicFramePr>
        <xdr:cNvPr id="16" name="Chart 1"/>
        <xdr:cNvGraphicFramePr/>
      </xdr:nvGraphicFramePr>
      <xdr:xfrm>
        <a:off x="1098720" y="10372680"/>
        <a:ext cx="9997920" cy="37238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459000</xdr:colOff>
      <xdr:row>0</xdr:row>
      <xdr:rowOff>25560</xdr:rowOff>
    </xdr:from>
    <xdr:to>
      <xdr:col>6</xdr:col>
      <xdr:colOff>564840</xdr:colOff>
      <xdr:row>0</xdr:row>
      <xdr:rowOff>482400</xdr:rowOff>
    </xdr:to>
    <xdr:pic>
      <xdr:nvPicPr>
        <xdr:cNvPr id="17" name="TDOT logo" descr=""/>
        <xdr:cNvPicPr/>
      </xdr:nvPicPr>
      <xdr:blipFill>
        <a:blip r:embed="rId2"/>
        <a:stretch/>
      </xdr:blipFill>
      <xdr:spPr>
        <a:xfrm>
          <a:off x="10758600" y="25560"/>
          <a:ext cx="1045800" cy="456840"/>
        </a:xfrm>
        <a:prstGeom prst="rect">
          <a:avLst/>
        </a:prstGeom>
        <a:ln w="0">
          <a:noFill/>
        </a:ln>
      </xdr:spPr>
    </xdr:pic>
    <xdr:clientData/>
  </xdr:twoCellAnchor>
  <mc:AlternateContent xmlns:mc="http://schemas.openxmlformats.org/markup-compatibility/2006">
    <mc:Choice xmlns:a14="http://schemas.microsoft.com/office/drawing/2010/main" Requires="a14">
      <xdr:twoCellAnchor editAs="oneCell">
        <xdr:from>
          <xdr:col>2</xdr:col>
          <xdr:colOff>19080</xdr:colOff>
          <xdr:row>16</xdr:row>
          <xdr:rowOff>0</xdr:rowOff>
        </xdr:from>
        <xdr:to>
          <xdr:col>3</xdr:col>
          <xdr:colOff>9720</xdr:colOff>
          <xdr:row>17</xdr:row>
          <xdr:rowOff>-9720</xdr:rowOff>
        </xdr:to>
        <xdr:sp>
          <xdr:nvSpPr>
            <xdr:cNvPr id="0" name="ComboBox2"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19080</xdr:colOff>
          <xdr:row>12</xdr:row>
          <xdr:rowOff>0</xdr:rowOff>
        </xdr:from>
        <xdr:to>
          <xdr:col>3</xdr:col>
          <xdr:colOff>9720</xdr:colOff>
          <xdr:row>13</xdr:row>
          <xdr:rowOff>-9720</xdr:rowOff>
        </xdr:to>
        <xdr:sp>
          <xdr:nvSpPr>
            <xdr:cNvPr id="0" name="ComboBox32"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19080</xdr:colOff>
          <xdr:row>13</xdr:row>
          <xdr:rowOff>0</xdr:rowOff>
        </xdr:from>
        <xdr:to>
          <xdr:col>3</xdr:col>
          <xdr:colOff>9720</xdr:colOff>
          <xdr:row>14</xdr:row>
          <xdr:rowOff>-9720</xdr:rowOff>
        </xdr:to>
        <xdr:sp>
          <xdr:nvSpPr>
            <xdr:cNvPr id="0" name="ComboBox1"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19080</xdr:colOff>
          <xdr:row>14</xdr:row>
          <xdr:rowOff>0</xdr:rowOff>
        </xdr:from>
        <xdr:to>
          <xdr:col>3</xdr:col>
          <xdr:colOff>9720</xdr:colOff>
          <xdr:row>15</xdr:row>
          <xdr:rowOff>-9720</xdr:rowOff>
        </xdr:to>
        <xdr:sp>
          <xdr:nvSpPr>
            <xdr:cNvPr id="0" name="ComboBox3"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19080</xdr:colOff>
          <xdr:row>15</xdr:row>
          <xdr:rowOff>0</xdr:rowOff>
        </xdr:from>
        <xdr:to>
          <xdr:col>3</xdr:col>
          <xdr:colOff>9720</xdr:colOff>
          <xdr:row>16</xdr:row>
          <xdr:rowOff>-9720</xdr:rowOff>
        </xdr:to>
        <xdr:sp>
          <xdr:nvSpPr>
            <xdr:cNvPr id="0" name="ComboBox4"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19080</xdr:colOff>
          <xdr:row>17</xdr:row>
          <xdr:rowOff>0</xdr:rowOff>
        </xdr:from>
        <xdr:to>
          <xdr:col>3</xdr:col>
          <xdr:colOff>9720</xdr:colOff>
          <xdr:row>18</xdr:row>
          <xdr:rowOff>0</xdr:rowOff>
        </xdr:to>
        <xdr:sp>
          <xdr:nvSpPr>
            <xdr:cNvPr id="0" name="ComboBox5"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19080</xdr:colOff>
          <xdr:row>18</xdr:row>
          <xdr:rowOff>0</xdr:rowOff>
        </xdr:from>
        <xdr:to>
          <xdr:col>3</xdr:col>
          <xdr:colOff>9720</xdr:colOff>
          <xdr:row>19</xdr:row>
          <xdr:rowOff>0</xdr:rowOff>
        </xdr:to>
        <xdr:sp>
          <xdr:nvSpPr>
            <xdr:cNvPr id="0" name="ComboBox6"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19080</xdr:colOff>
          <xdr:row>21</xdr:row>
          <xdr:rowOff>0</xdr:rowOff>
        </xdr:from>
        <xdr:to>
          <xdr:col>3</xdr:col>
          <xdr:colOff>9720</xdr:colOff>
          <xdr:row>22</xdr:row>
          <xdr:rowOff>0</xdr:rowOff>
        </xdr:to>
        <xdr:sp>
          <xdr:nvSpPr>
            <xdr:cNvPr id="0" name="ComboBox7"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19080</xdr:colOff>
          <xdr:row>19</xdr:row>
          <xdr:rowOff>0</xdr:rowOff>
        </xdr:from>
        <xdr:to>
          <xdr:col>3</xdr:col>
          <xdr:colOff>9720</xdr:colOff>
          <xdr:row>20</xdr:row>
          <xdr:rowOff>0</xdr:rowOff>
        </xdr:to>
        <xdr:sp>
          <xdr:nvSpPr>
            <xdr:cNvPr id="0" name="ComboBox8"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19080</xdr:colOff>
          <xdr:row>20</xdr:row>
          <xdr:rowOff>0</xdr:rowOff>
        </xdr:from>
        <xdr:to>
          <xdr:col>3</xdr:col>
          <xdr:colOff>9720</xdr:colOff>
          <xdr:row>21</xdr:row>
          <xdr:rowOff>0</xdr:rowOff>
        </xdr:to>
        <xdr:sp>
          <xdr:nvSpPr>
            <xdr:cNvPr id="0" name="ComboBox9"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64</xdr:col>
          <xdr:colOff>19080</xdr:colOff>
          <xdr:row>13</xdr:row>
          <xdr:rowOff>0</xdr:rowOff>
        </xdr:from>
        <xdr:to>
          <xdr:col>65</xdr:col>
          <xdr:colOff>-203040</xdr:colOff>
          <xdr:row>14</xdr:row>
          <xdr:rowOff>-9720</xdr:rowOff>
        </xdr:to>
        <xdr:sp>
          <xdr:nvSpPr>
            <xdr:cNvPr id="0" name="ComboBox14"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64</xdr:col>
          <xdr:colOff>19080</xdr:colOff>
          <xdr:row>14</xdr:row>
          <xdr:rowOff>0</xdr:rowOff>
        </xdr:from>
        <xdr:to>
          <xdr:col>65</xdr:col>
          <xdr:colOff>-203040</xdr:colOff>
          <xdr:row>15</xdr:row>
          <xdr:rowOff>-9720</xdr:rowOff>
        </xdr:to>
        <xdr:sp>
          <xdr:nvSpPr>
            <xdr:cNvPr id="0" name="ComboBox15"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64</xdr:col>
          <xdr:colOff>0</xdr:colOff>
          <xdr:row>13</xdr:row>
          <xdr:rowOff>0</xdr:rowOff>
        </xdr:from>
        <xdr:to>
          <xdr:col>65</xdr:col>
          <xdr:colOff>-203400</xdr:colOff>
          <xdr:row>14</xdr:row>
          <xdr:rowOff>0</xdr:rowOff>
        </xdr:to>
        <xdr:sp>
          <xdr:nvSpPr>
            <xdr:cNvPr id="0" name="ComboBox35"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64</xdr:col>
          <xdr:colOff>0</xdr:colOff>
          <xdr:row>15</xdr:row>
          <xdr:rowOff>0</xdr:rowOff>
        </xdr:from>
        <xdr:to>
          <xdr:col>65</xdr:col>
          <xdr:colOff>-203400</xdr:colOff>
          <xdr:row>16</xdr:row>
          <xdr:rowOff>0</xdr:rowOff>
        </xdr:to>
        <xdr:sp>
          <xdr:nvSpPr>
            <xdr:cNvPr id="0" name="ComboBox36"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64</xdr:col>
          <xdr:colOff>0</xdr:colOff>
          <xdr:row>16</xdr:row>
          <xdr:rowOff>0</xdr:rowOff>
        </xdr:from>
        <xdr:to>
          <xdr:col>65</xdr:col>
          <xdr:colOff>-203400</xdr:colOff>
          <xdr:row>17</xdr:row>
          <xdr:rowOff>0</xdr:rowOff>
        </xdr:to>
        <xdr:sp>
          <xdr:nvSpPr>
            <xdr:cNvPr id="0" name="ComboBox37"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64</xdr:col>
          <xdr:colOff>0</xdr:colOff>
          <xdr:row>12</xdr:row>
          <xdr:rowOff>0</xdr:rowOff>
        </xdr:from>
        <xdr:to>
          <xdr:col>65</xdr:col>
          <xdr:colOff>-203400</xdr:colOff>
          <xdr:row>13</xdr:row>
          <xdr:rowOff>0</xdr:rowOff>
        </xdr:to>
        <xdr:sp>
          <xdr:nvSpPr>
            <xdr:cNvPr id="0" name="ComboBox38"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64</xdr:col>
          <xdr:colOff>0</xdr:colOff>
          <xdr:row>13</xdr:row>
          <xdr:rowOff>0</xdr:rowOff>
        </xdr:from>
        <xdr:to>
          <xdr:col>65</xdr:col>
          <xdr:colOff>-165240</xdr:colOff>
          <xdr:row>14</xdr:row>
          <xdr:rowOff>0</xdr:rowOff>
        </xdr:to>
        <xdr:sp>
          <xdr:nvSpPr>
            <xdr:cNvPr id="0" name="ComboBox10"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64</xdr:col>
          <xdr:colOff>0</xdr:colOff>
          <xdr:row>14</xdr:row>
          <xdr:rowOff>0</xdr:rowOff>
        </xdr:from>
        <xdr:to>
          <xdr:col>65</xdr:col>
          <xdr:colOff>-165240</xdr:colOff>
          <xdr:row>15</xdr:row>
          <xdr:rowOff>0</xdr:rowOff>
        </xdr:to>
        <xdr:sp>
          <xdr:nvSpPr>
            <xdr:cNvPr id="0" name="ComboBox11"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64</xdr:col>
          <xdr:colOff>0</xdr:colOff>
          <xdr:row>13</xdr:row>
          <xdr:rowOff>0</xdr:rowOff>
        </xdr:from>
        <xdr:to>
          <xdr:col>65</xdr:col>
          <xdr:colOff>-174600</xdr:colOff>
          <xdr:row>14</xdr:row>
          <xdr:rowOff>0</xdr:rowOff>
        </xdr:to>
        <xdr:sp>
          <xdr:nvSpPr>
            <xdr:cNvPr id="0" name="ComboBox12"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64</xdr:col>
          <xdr:colOff>0</xdr:colOff>
          <xdr:row>12</xdr:row>
          <xdr:rowOff>0</xdr:rowOff>
        </xdr:from>
        <xdr:to>
          <xdr:col>65</xdr:col>
          <xdr:colOff>-174600</xdr:colOff>
          <xdr:row>13</xdr:row>
          <xdr:rowOff>0</xdr:rowOff>
        </xdr:to>
        <xdr:sp>
          <xdr:nvSpPr>
            <xdr:cNvPr id="0" name="ComboBox13"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64</xdr:col>
          <xdr:colOff>0</xdr:colOff>
          <xdr:row>15</xdr:row>
          <xdr:rowOff>0</xdr:rowOff>
        </xdr:from>
        <xdr:to>
          <xdr:col>65</xdr:col>
          <xdr:colOff>-174600</xdr:colOff>
          <xdr:row>16</xdr:row>
          <xdr:rowOff>0</xdr:rowOff>
        </xdr:to>
        <xdr:sp>
          <xdr:nvSpPr>
            <xdr:cNvPr id="0" name="ComboBox16"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64</xdr:col>
          <xdr:colOff>0</xdr:colOff>
          <xdr:row>14</xdr:row>
          <xdr:rowOff>0</xdr:rowOff>
        </xdr:from>
        <xdr:to>
          <xdr:col>65</xdr:col>
          <xdr:colOff>-174600</xdr:colOff>
          <xdr:row>15</xdr:row>
          <xdr:rowOff>0</xdr:rowOff>
        </xdr:to>
        <xdr:sp>
          <xdr:nvSpPr>
            <xdr:cNvPr id="0" name="ComboBox17"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64</xdr:col>
          <xdr:colOff>0</xdr:colOff>
          <xdr:row>17</xdr:row>
          <xdr:rowOff>0</xdr:rowOff>
        </xdr:from>
        <xdr:to>
          <xdr:col>65</xdr:col>
          <xdr:colOff>-174600</xdr:colOff>
          <xdr:row>18</xdr:row>
          <xdr:rowOff>0</xdr:rowOff>
        </xdr:to>
        <xdr:sp>
          <xdr:nvSpPr>
            <xdr:cNvPr id="0" name="ComboBox18"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64</xdr:col>
          <xdr:colOff>0</xdr:colOff>
          <xdr:row>16</xdr:row>
          <xdr:rowOff>0</xdr:rowOff>
        </xdr:from>
        <xdr:to>
          <xdr:col>65</xdr:col>
          <xdr:colOff>-174600</xdr:colOff>
          <xdr:row>17</xdr:row>
          <xdr:rowOff>0</xdr:rowOff>
        </xdr:to>
        <xdr:sp>
          <xdr:nvSpPr>
            <xdr:cNvPr id="0" name="ComboBox19"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64</xdr:col>
          <xdr:colOff>0</xdr:colOff>
          <xdr:row>14</xdr:row>
          <xdr:rowOff>0</xdr:rowOff>
        </xdr:from>
        <xdr:to>
          <xdr:col>65</xdr:col>
          <xdr:colOff>-165240</xdr:colOff>
          <xdr:row>15</xdr:row>
          <xdr:rowOff>0</xdr:rowOff>
        </xdr:to>
        <xdr:sp>
          <xdr:nvSpPr>
            <xdr:cNvPr id="0" name="ComboBox20"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64</xdr:col>
          <xdr:colOff>0</xdr:colOff>
          <xdr:row>13</xdr:row>
          <xdr:rowOff>0</xdr:rowOff>
        </xdr:from>
        <xdr:to>
          <xdr:col>65</xdr:col>
          <xdr:colOff>-165240</xdr:colOff>
          <xdr:row>14</xdr:row>
          <xdr:rowOff>0</xdr:rowOff>
        </xdr:to>
        <xdr:sp>
          <xdr:nvSpPr>
            <xdr:cNvPr id="0" name="ComboBox21"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64</xdr:col>
          <xdr:colOff>0</xdr:colOff>
          <xdr:row>13</xdr:row>
          <xdr:rowOff>0</xdr:rowOff>
        </xdr:from>
        <xdr:to>
          <xdr:col>65</xdr:col>
          <xdr:colOff>-165240</xdr:colOff>
          <xdr:row>14</xdr:row>
          <xdr:rowOff>0</xdr:rowOff>
        </xdr:to>
        <xdr:sp>
          <xdr:nvSpPr>
            <xdr:cNvPr id="0" name="ComboBox22"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64</xdr:col>
          <xdr:colOff>0</xdr:colOff>
          <xdr:row>12</xdr:row>
          <xdr:rowOff>0</xdr:rowOff>
        </xdr:from>
        <xdr:to>
          <xdr:col>65</xdr:col>
          <xdr:colOff>-165240</xdr:colOff>
          <xdr:row>13</xdr:row>
          <xdr:rowOff>0</xdr:rowOff>
        </xdr:to>
        <xdr:sp>
          <xdr:nvSpPr>
            <xdr:cNvPr id="0" name="ComboBox23"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64</xdr:col>
          <xdr:colOff>0</xdr:colOff>
          <xdr:row>16</xdr:row>
          <xdr:rowOff>0</xdr:rowOff>
        </xdr:from>
        <xdr:to>
          <xdr:col>65</xdr:col>
          <xdr:colOff>-165240</xdr:colOff>
          <xdr:row>17</xdr:row>
          <xdr:rowOff>0</xdr:rowOff>
        </xdr:to>
        <xdr:sp>
          <xdr:nvSpPr>
            <xdr:cNvPr id="0" name="ComboBox24"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64</xdr:col>
          <xdr:colOff>0</xdr:colOff>
          <xdr:row>15</xdr:row>
          <xdr:rowOff>0</xdr:rowOff>
        </xdr:from>
        <xdr:to>
          <xdr:col>65</xdr:col>
          <xdr:colOff>-165240</xdr:colOff>
          <xdr:row>16</xdr:row>
          <xdr:rowOff>0</xdr:rowOff>
        </xdr:to>
        <xdr:sp>
          <xdr:nvSpPr>
            <xdr:cNvPr id="0" name="ComboBox25"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64</xdr:col>
          <xdr:colOff>0</xdr:colOff>
          <xdr:row>14</xdr:row>
          <xdr:rowOff>0</xdr:rowOff>
        </xdr:from>
        <xdr:to>
          <xdr:col>65</xdr:col>
          <xdr:colOff>-165240</xdr:colOff>
          <xdr:row>15</xdr:row>
          <xdr:rowOff>0</xdr:rowOff>
        </xdr:to>
        <xdr:sp>
          <xdr:nvSpPr>
            <xdr:cNvPr id="0" name="ComboBox26"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64</xdr:col>
          <xdr:colOff>0</xdr:colOff>
          <xdr:row>13</xdr:row>
          <xdr:rowOff>0</xdr:rowOff>
        </xdr:from>
        <xdr:to>
          <xdr:col>65</xdr:col>
          <xdr:colOff>-165240</xdr:colOff>
          <xdr:row>14</xdr:row>
          <xdr:rowOff>0</xdr:rowOff>
        </xdr:to>
        <xdr:sp>
          <xdr:nvSpPr>
            <xdr:cNvPr id="0" name="ComboBox27" descr="" hidden="0"/>
            <xdr:cNvSpPr/>
          </xdr:nvSpPr>
          <xdr:spPr>
            <a:xfrm>
              <a:off x="0" y="0"/>
              <a:ext cx="0" cy="0"/>
            </a:xfrm>
            <a:prstGeom prst="rect">
              <a:avLst/>
            </a:prstGeom>
          </xdr:spPr>
          <xdr:txBody>
            <a:bodyPr anchor="ctr">
              <a:noAutofit/>
            </a:bodyPr>
            <a:p>
              <a:r>
                <a:t/>
              </a:r>
            </a:p>
          </xdr:txBody>
        </xdr:sp>
        <xdr:clientData/>
      </xdr:twoCellAnchor>
    </mc:Choice>
  </mc:AlternateContent>
</xdr:wsDr>
</file>

<file path=xl/drawings/drawing12.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0</xdr:colOff>
      <xdr:row>121</xdr:row>
      <xdr:rowOff>78120</xdr:rowOff>
    </xdr:from>
    <xdr:to>
      <xdr:col>12</xdr:col>
      <xdr:colOff>1155240</xdr:colOff>
      <xdr:row>137</xdr:row>
      <xdr:rowOff>155880</xdr:rowOff>
    </xdr:to>
    <xdr:graphicFrame>
      <xdr:nvGraphicFramePr>
        <xdr:cNvPr id="18" name="Chart 1"/>
        <xdr:cNvGraphicFramePr/>
      </xdr:nvGraphicFramePr>
      <xdr:xfrm>
        <a:off x="0" y="25079400"/>
        <a:ext cx="8889480" cy="3238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28</xdr:row>
      <xdr:rowOff>211320</xdr:rowOff>
    </xdr:from>
    <xdr:to>
      <xdr:col>10</xdr:col>
      <xdr:colOff>381960</xdr:colOff>
      <xdr:row>43</xdr:row>
      <xdr:rowOff>86760</xdr:rowOff>
    </xdr:to>
    <xdr:graphicFrame>
      <xdr:nvGraphicFramePr>
        <xdr:cNvPr id="19" name="Summary Chart 1"/>
        <xdr:cNvGraphicFramePr/>
      </xdr:nvGraphicFramePr>
      <xdr:xfrm>
        <a:off x="0" y="6877080"/>
        <a:ext cx="5805000" cy="299952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33480</xdr:colOff>
      <xdr:row>28</xdr:row>
      <xdr:rowOff>211320</xdr:rowOff>
    </xdr:from>
    <xdr:to>
      <xdr:col>16</xdr:col>
      <xdr:colOff>504360</xdr:colOff>
      <xdr:row>43</xdr:row>
      <xdr:rowOff>86760</xdr:rowOff>
    </xdr:to>
    <xdr:graphicFrame>
      <xdr:nvGraphicFramePr>
        <xdr:cNvPr id="20" name="Summary Chart 2"/>
        <xdr:cNvGraphicFramePr/>
      </xdr:nvGraphicFramePr>
      <xdr:xfrm>
        <a:off x="7767720" y="6877080"/>
        <a:ext cx="5805000" cy="299952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0</xdr:colOff>
      <xdr:row>46</xdr:row>
      <xdr:rowOff>78120</xdr:rowOff>
    </xdr:from>
    <xdr:to>
      <xdr:col>7</xdr:col>
      <xdr:colOff>1432440</xdr:colOff>
      <xdr:row>55</xdr:row>
      <xdr:rowOff>163080</xdr:rowOff>
    </xdr:to>
    <xdr:graphicFrame>
      <xdr:nvGraphicFramePr>
        <xdr:cNvPr id="21" name="Summary Chart 3"/>
        <xdr:cNvGraphicFramePr/>
      </xdr:nvGraphicFramePr>
      <xdr:xfrm>
        <a:off x="0" y="10439280"/>
        <a:ext cx="2854800" cy="179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8</xdr:col>
      <xdr:colOff>483480</xdr:colOff>
      <xdr:row>46</xdr:row>
      <xdr:rowOff>78120</xdr:rowOff>
    </xdr:from>
    <xdr:to>
      <xdr:col>10</xdr:col>
      <xdr:colOff>1115640</xdr:colOff>
      <xdr:row>55</xdr:row>
      <xdr:rowOff>163080</xdr:rowOff>
    </xdr:to>
    <xdr:graphicFrame>
      <xdr:nvGraphicFramePr>
        <xdr:cNvPr id="22" name="Summary Chart 4"/>
        <xdr:cNvGraphicFramePr/>
      </xdr:nvGraphicFramePr>
      <xdr:xfrm>
        <a:off x="3683880" y="10439280"/>
        <a:ext cx="2854800" cy="17996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12</xdr:col>
      <xdr:colOff>33480</xdr:colOff>
      <xdr:row>46</xdr:row>
      <xdr:rowOff>78120</xdr:rowOff>
    </xdr:from>
    <xdr:to>
      <xdr:col>14</xdr:col>
      <xdr:colOff>576720</xdr:colOff>
      <xdr:row>55</xdr:row>
      <xdr:rowOff>163080</xdr:rowOff>
    </xdr:to>
    <xdr:graphicFrame>
      <xdr:nvGraphicFramePr>
        <xdr:cNvPr id="23" name="Summary Chart 5"/>
        <xdr:cNvGraphicFramePr/>
      </xdr:nvGraphicFramePr>
      <xdr:xfrm>
        <a:off x="7767720" y="10439280"/>
        <a:ext cx="2854800" cy="179964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6</xdr:col>
      <xdr:colOff>0</xdr:colOff>
      <xdr:row>57</xdr:row>
      <xdr:rowOff>78120</xdr:rowOff>
    </xdr:from>
    <xdr:to>
      <xdr:col>7</xdr:col>
      <xdr:colOff>1432440</xdr:colOff>
      <xdr:row>66</xdr:row>
      <xdr:rowOff>163080</xdr:rowOff>
    </xdr:to>
    <xdr:graphicFrame>
      <xdr:nvGraphicFramePr>
        <xdr:cNvPr id="24" name="Summary Chart 6"/>
        <xdr:cNvGraphicFramePr/>
      </xdr:nvGraphicFramePr>
      <xdr:xfrm>
        <a:off x="0" y="12534840"/>
        <a:ext cx="2854800" cy="17996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8</xdr:col>
      <xdr:colOff>483480</xdr:colOff>
      <xdr:row>57</xdr:row>
      <xdr:rowOff>78120</xdr:rowOff>
    </xdr:from>
    <xdr:to>
      <xdr:col>10</xdr:col>
      <xdr:colOff>1115640</xdr:colOff>
      <xdr:row>66</xdr:row>
      <xdr:rowOff>163080</xdr:rowOff>
    </xdr:to>
    <xdr:graphicFrame>
      <xdr:nvGraphicFramePr>
        <xdr:cNvPr id="25" name="Summary Chart 7"/>
        <xdr:cNvGraphicFramePr/>
      </xdr:nvGraphicFramePr>
      <xdr:xfrm>
        <a:off x="3683880" y="12534840"/>
        <a:ext cx="2854800" cy="179964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15</xdr:col>
      <xdr:colOff>383400</xdr:colOff>
      <xdr:row>46</xdr:row>
      <xdr:rowOff>78120</xdr:rowOff>
    </xdr:from>
    <xdr:to>
      <xdr:col>16</xdr:col>
      <xdr:colOff>1371240</xdr:colOff>
      <xdr:row>55</xdr:row>
      <xdr:rowOff>163080</xdr:rowOff>
    </xdr:to>
    <xdr:graphicFrame>
      <xdr:nvGraphicFramePr>
        <xdr:cNvPr id="26" name="Summary Chart 8"/>
        <xdr:cNvGraphicFramePr/>
      </xdr:nvGraphicFramePr>
      <xdr:xfrm>
        <a:off x="11584800" y="10439280"/>
        <a:ext cx="2854800" cy="179964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6</xdr:col>
      <xdr:colOff>0</xdr:colOff>
      <xdr:row>98</xdr:row>
      <xdr:rowOff>115920</xdr:rowOff>
    </xdr:from>
    <xdr:to>
      <xdr:col>8</xdr:col>
      <xdr:colOff>499320</xdr:colOff>
      <xdr:row>107</xdr:row>
      <xdr:rowOff>82800</xdr:rowOff>
    </xdr:to>
    <xdr:graphicFrame>
      <xdr:nvGraphicFramePr>
        <xdr:cNvPr id="27" name="Summary Chart 9"/>
        <xdr:cNvGraphicFramePr/>
      </xdr:nvGraphicFramePr>
      <xdr:xfrm>
        <a:off x="0" y="20621520"/>
        <a:ext cx="3699720" cy="187164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20</xdr:col>
      <xdr:colOff>916200</xdr:colOff>
      <xdr:row>0</xdr:row>
      <xdr:rowOff>25560</xdr:rowOff>
    </xdr:from>
    <xdr:to>
      <xdr:col>21</xdr:col>
      <xdr:colOff>717120</xdr:colOff>
      <xdr:row>0</xdr:row>
      <xdr:rowOff>482400</xdr:rowOff>
    </xdr:to>
    <xdr:pic>
      <xdr:nvPicPr>
        <xdr:cNvPr id="28" name="TDOT logo" descr=""/>
        <xdr:cNvPicPr/>
      </xdr:nvPicPr>
      <xdr:blipFill>
        <a:blip r:embed="rId11"/>
        <a:stretch/>
      </xdr:blipFill>
      <xdr:spPr>
        <a:xfrm>
          <a:off x="19407240" y="25560"/>
          <a:ext cx="1045800" cy="456840"/>
        </a:xfrm>
        <a:prstGeom prst="rect">
          <a:avLst/>
        </a:prstGeom>
        <a:ln w="0">
          <a:noFill/>
        </a:ln>
      </xdr:spPr>
    </xdr:pic>
    <xdr:clientData/>
  </xdr:twoCellAnchor>
</xdr:wsDr>
</file>

<file path=xl/drawings/drawing13.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1220760</xdr:colOff>
      <xdr:row>0</xdr:row>
      <xdr:rowOff>25560</xdr:rowOff>
    </xdr:from>
    <xdr:to>
      <xdr:col>6</xdr:col>
      <xdr:colOff>2266560</xdr:colOff>
      <xdr:row>0</xdr:row>
      <xdr:rowOff>482400</xdr:rowOff>
    </xdr:to>
    <xdr:pic>
      <xdr:nvPicPr>
        <xdr:cNvPr id="29" name="TDOT logo" descr=""/>
        <xdr:cNvPicPr/>
      </xdr:nvPicPr>
      <xdr:blipFill>
        <a:blip r:embed="rId1"/>
        <a:stretch/>
      </xdr:blipFill>
      <xdr:spPr>
        <a:xfrm>
          <a:off x="13844520" y="25560"/>
          <a:ext cx="1045800" cy="456840"/>
        </a:xfrm>
        <a:prstGeom prst="rect">
          <a:avLst/>
        </a:prstGeom>
        <a:ln w="0">
          <a:noFill/>
        </a:ln>
      </xdr:spPr>
    </xdr:pic>
    <xdr:clientData/>
  </xdr:twoCellAnchor>
</xdr:wsDr>
</file>

<file path=xl/drawings/drawing14.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687600</xdr:colOff>
      <xdr:row>0</xdr:row>
      <xdr:rowOff>25560</xdr:rowOff>
    </xdr:from>
    <xdr:to>
      <xdr:col>4</xdr:col>
      <xdr:colOff>1733400</xdr:colOff>
      <xdr:row>0</xdr:row>
      <xdr:rowOff>482400</xdr:rowOff>
    </xdr:to>
    <xdr:pic>
      <xdr:nvPicPr>
        <xdr:cNvPr id="30" name="TDOT logo" descr=""/>
        <xdr:cNvPicPr/>
      </xdr:nvPicPr>
      <xdr:blipFill>
        <a:blip r:embed="rId1"/>
        <a:stretch/>
      </xdr:blipFill>
      <xdr:spPr>
        <a:xfrm>
          <a:off x="14022720" y="25560"/>
          <a:ext cx="1045800" cy="456840"/>
        </a:xfrm>
        <a:prstGeom prst="rect">
          <a:avLst/>
        </a:prstGeom>
        <a:ln w="0">
          <a:noFill/>
        </a:ln>
      </xdr:spPr>
    </xdr:pic>
    <xdr:clientData/>
  </xdr:twoCellAnchor>
</xdr:wsDr>
</file>

<file path=xl/drawings/drawing15.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6480</xdr:colOff>
      <xdr:row>53</xdr:row>
      <xdr:rowOff>37800</xdr:rowOff>
    </xdr:from>
    <xdr:to>
      <xdr:col>4</xdr:col>
      <xdr:colOff>1927080</xdr:colOff>
      <xdr:row>72</xdr:row>
      <xdr:rowOff>142200</xdr:rowOff>
    </xdr:to>
    <xdr:graphicFrame>
      <xdr:nvGraphicFramePr>
        <xdr:cNvPr id="31" name="Chart 1"/>
        <xdr:cNvGraphicFramePr/>
      </xdr:nvGraphicFramePr>
      <xdr:xfrm>
        <a:off x="1098720" y="11753640"/>
        <a:ext cx="12144240" cy="37238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658800</xdr:colOff>
      <xdr:row>0</xdr:row>
      <xdr:rowOff>25560</xdr:rowOff>
    </xdr:from>
    <xdr:to>
      <xdr:col>6</xdr:col>
      <xdr:colOff>701280</xdr:colOff>
      <xdr:row>0</xdr:row>
      <xdr:rowOff>482400</xdr:rowOff>
    </xdr:to>
    <xdr:pic>
      <xdr:nvPicPr>
        <xdr:cNvPr id="32" name="TDOT logo" descr=""/>
        <xdr:cNvPicPr/>
      </xdr:nvPicPr>
      <xdr:blipFill>
        <a:blip r:embed="rId2"/>
        <a:stretch/>
      </xdr:blipFill>
      <xdr:spPr>
        <a:xfrm>
          <a:off x="14971680" y="25560"/>
          <a:ext cx="1045800" cy="456840"/>
        </a:xfrm>
        <a:prstGeom prst="rect">
          <a:avLst/>
        </a:prstGeom>
        <a:ln w="0">
          <a:noFill/>
        </a:ln>
      </xdr:spPr>
    </xdr:pic>
    <xdr:clientData/>
  </xdr:twoCellAnchor>
  <mc:AlternateContent xmlns:mc="http://schemas.openxmlformats.org/markup-compatibility/2006">
    <mc:Choice xmlns:a14="http://schemas.microsoft.com/office/drawing/2010/main" Requires="a14">
      <xdr:twoCellAnchor editAs="oneCell">
        <xdr:from>
          <xdr:col>2</xdr:col>
          <xdr:colOff>0</xdr:colOff>
          <xdr:row>16</xdr:row>
          <xdr:rowOff>0</xdr:rowOff>
        </xdr:from>
        <xdr:to>
          <xdr:col>3</xdr:col>
          <xdr:colOff>0</xdr:colOff>
          <xdr:row>17</xdr:row>
          <xdr:rowOff>-9720</xdr:rowOff>
        </xdr:to>
        <xdr:sp>
          <xdr:nvSpPr>
            <xdr:cNvPr id="0" name="ComboBox2"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12</xdr:row>
          <xdr:rowOff>19080</xdr:rowOff>
        </xdr:from>
        <xdr:to>
          <xdr:col>3</xdr:col>
          <xdr:colOff>0</xdr:colOff>
          <xdr:row>13</xdr:row>
          <xdr:rowOff>9720</xdr:rowOff>
        </xdr:to>
        <xdr:sp>
          <xdr:nvSpPr>
            <xdr:cNvPr id="0" name="Pay_Item1"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13</xdr:row>
          <xdr:rowOff>0</xdr:rowOff>
        </xdr:from>
        <xdr:to>
          <xdr:col>3</xdr:col>
          <xdr:colOff>0</xdr:colOff>
          <xdr:row>14</xdr:row>
          <xdr:rowOff>-9720</xdr:rowOff>
        </xdr:to>
        <xdr:sp>
          <xdr:nvSpPr>
            <xdr:cNvPr id="0" name="ComboBox1"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14</xdr:row>
          <xdr:rowOff>0</xdr:rowOff>
        </xdr:from>
        <xdr:to>
          <xdr:col>3</xdr:col>
          <xdr:colOff>0</xdr:colOff>
          <xdr:row>15</xdr:row>
          <xdr:rowOff>-9720</xdr:rowOff>
        </xdr:to>
        <xdr:sp>
          <xdr:nvSpPr>
            <xdr:cNvPr id="0" name="ComboBox3"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15</xdr:row>
          <xdr:rowOff>0</xdr:rowOff>
        </xdr:from>
        <xdr:to>
          <xdr:col>3</xdr:col>
          <xdr:colOff>0</xdr:colOff>
          <xdr:row>16</xdr:row>
          <xdr:rowOff>-9720</xdr:rowOff>
        </xdr:to>
        <xdr:sp>
          <xdr:nvSpPr>
            <xdr:cNvPr id="0" name="ComboBox4"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17</xdr:row>
          <xdr:rowOff>0</xdr:rowOff>
        </xdr:from>
        <xdr:to>
          <xdr:col>3</xdr:col>
          <xdr:colOff>0</xdr:colOff>
          <xdr:row>18</xdr:row>
          <xdr:rowOff>0</xdr:rowOff>
        </xdr:to>
        <xdr:sp>
          <xdr:nvSpPr>
            <xdr:cNvPr id="0" name="ComboBox5"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18</xdr:row>
          <xdr:rowOff>0</xdr:rowOff>
        </xdr:from>
        <xdr:to>
          <xdr:col>3</xdr:col>
          <xdr:colOff>0</xdr:colOff>
          <xdr:row>19</xdr:row>
          <xdr:rowOff>0</xdr:rowOff>
        </xdr:to>
        <xdr:sp>
          <xdr:nvSpPr>
            <xdr:cNvPr id="0" name="ComboBox6"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21</xdr:row>
          <xdr:rowOff>0</xdr:rowOff>
        </xdr:from>
        <xdr:to>
          <xdr:col>3</xdr:col>
          <xdr:colOff>0</xdr:colOff>
          <xdr:row>22</xdr:row>
          <xdr:rowOff>0</xdr:rowOff>
        </xdr:to>
        <xdr:sp>
          <xdr:nvSpPr>
            <xdr:cNvPr id="0" name="ComboBox7"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19</xdr:row>
          <xdr:rowOff>0</xdr:rowOff>
        </xdr:from>
        <xdr:to>
          <xdr:col>3</xdr:col>
          <xdr:colOff>-2004120</xdr:colOff>
          <xdr:row>20</xdr:row>
          <xdr:rowOff>0</xdr:rowOff>
        </xdr:to>
        <xdr:sp>
          <xdr:nvSpPr>
            <xdr:cNvPr id="0" name="ComboBox8"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20</xdr:row>
          <xdr:rowOff>0</xdr:rowOff>
        </xdr:from>
        <xdr:to>
          <xdr:col>3</xdr:col>
          <xdr:colOff>-2004120</xdr:colOff>
          <xdr:row>21</xdr:row>
          <xdr:rowOff>0</xdr:rowOff>
        </xdr:to>
        <xdr:sp>
          <xdr:nvSpPr>
            <xdr:cNvPr id="0" name="ComboBox9" descr="" hidden="0"/>
            <xdr:cNvSpPr/>
          </xdr:nvSpPr>
          <xdr:spPr>
            <a:xfrm>
              <a:off x="0" y="0"/>
              <a:ext cx="0" cy="0"/>
            </a:xfrm>
            <a:prstGeom prst="rect">
              <a:avLst/>
            </a:prstGeom>
          </xdr:spPr>
          <xdr:txBody>
            <a:bodyPr anchor="ctr">
              <a:noAutofit/>
            </a:bodyPr>
            <a:p>
              <a:r>
                <a:t/>
              </a:r>
            </a:p>
          </xdr:txBody>
        </xdr:sp>
        <xdr:clientData/>
      </xdr:twoCellAnchor>
    </mc:Choice>
  </mc:AlternateContent>
</xdr:wsDr>
</file>

<file path=xl/drawings/drawing16.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45</xdr:row>
      <xdr:rowOff>104760</xdr:rowOff>
    </xdr:from>
    <xdr:to>
      <xdr:col>4</xdr:col>
      <xdr:colOff>1920600</xdr:colOff>
      <xdr:row>65</xdr:row>
      <xdr:rowOff>18720</xdr:rowOff>
    </xdr:to>
    <xdr:graphicFrame>
      <xdr:nvGraphicFramePr>
        <xdr:cNvPr id="33" name="Chart 1"/>
        <xdr:cNvGraphicFramePr/>
      </xdr:nvGraphicFramePr>
      <xdr:xfrm>
        <a:off x="1092240" y="10248840"/>
        <a:ext cx="9207360" cy="37238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439920</xdr:colOff>
      <xdr:row>0</xdr:row>
      <xdr:rowOff>25560</xdr:rowOff>
    </xdr:from>
    <xdr:to>
      <xdr:col>6</xdr:col>
      <xdr:colOff>1485720</xdr:colOff>
      <xdr:row>0</xdr:row>
      <xdr:rowOff>482400</xdr:rowOff>
    </xdr:to>
    <xdr:pic>
      <xdr:nvPicPr>
        <xdr:cNvPr id="34" name="TDOT logo" descr=""/>
        <xdr:cNvPicPr/>
      </xdr:nvPicPr>
      <xdr:blipFill>
        <a:blip r:embed="rId2"/>
        <a:stretch/>
      </xdr:blipFill>
      <xdr:spPr>
        <a:xfrm>
          <a:off x="13657320" y="25560"/>
          <a:ext cx="1045800" cy="456840"/>
        </a:xfrm>
        <a:prstGeom prst="rect">
          <a:avLst/>
        </a:prstGeom>
        <a:ln w="0">
          <a:noFill/>
        </a:ln>
      </xdr:spPr>
    </xdr:pic>
    <xdr:clientData/>
  </xdr:twoCellAnchor>
  <mc:AlternateContent xmlns:mc="http://schemas.openxmlformats.org/markup-compatibility/2006">
    <mc:Choice xmlns:a14="http://schemas.microsoft.com/office/drawing/2010/main" Requires="a14">
      <xdr:twoCellAnchor editAs="oneCell">
        <xdr:from>
          <xdr:col>2</xdr:col>
          <xdr:colOff>0</xdr:colOff>
          <xdr:row>16</xdr:row>
          <xdr:rowOff>0</xdr:rowOff>
        </xdr:from>
        <xdr:to>
          <xdr:col>3</xdr:col>
          <xdr:colOff>0</xdr:colOff>
          <xdr:row>17</xdr:row>
          <xdr:rowOff>0</xdr:rowOff>
        </xdr:to>
        <xdr:sp>
          <xdr:nvSpPr>
            <xdr:cNvPr id="0" name="ComboBox9"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12</xdr:row>
          <xdr:rowOff>0</xdr:rowOff>
        </xdr:from>
        <xdr:to>
          <xdr:col>3</xdr:col>
          <xdr:colOff>0</xdr:colOff>
          <xdr:row>13</xdr:row>
          <xdr:rowOff>0</xdr:rowOff>
        </xdr:to>
        <xdr:sp>
          <xdr:nvSpPr>
            <xdr:cNvPr id="0" name="ComboBox10"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13</xdr:row>
          <xdr:rowOff>0</xdr:rowOff>
        </xdr:from>
        <xdr:to>
          <xdr:col>3</xdr:col>
          <xdr:colOff>0</xdr:colOff>
          <xdr:row>14</xdr:row>
          <xdr:rowOff>0</xdr:rowOff>
        </xdr:to>
        <xdr:sp>
          <xdr:nvSpPr>
            <xdr:cNvPr id="0" name="ComboBox11"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14</xdr:row>
          <xdr:rowOff>0</xdr:rowOff>
        </xdr:from>
        <xdr:to>
          <xdr:col>3</xdr:col>
          <xdr:colOff>0</xdr:colOff>
          <xdr:row>15</xdr:row>
          <xdr:rowOff>0</xdr:rowOff>
        </xdr:to>
        <xdr:sp>
          <xdr:nvSpPr>
            <xdr:cNvPr id="0" name="ComboBox12"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15</xdr:row>
          <xdr:rowOff>0</xdr:rowOff>
        </xdr:from>
        <xdr:to>
          <xdr:col>3</xdr:col>
          <xdr:colOff>0</xdr:colOff>
          <xdr:row>16</xdr:row>
          <xdr:rowOff>0</xdr:rowOff>
        </xdr:to>
        <xdr:sp>
          <xdr:nvSpPr>
            <xdr:cNvPr id="0" name="ComboBox13"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17</xdr:row>
          <xdr:rowOff>0</xdr:rowOff>
        </xdr:from>
        <xdr:to>
          <xdr:col>3</xdr:col>
          <xdr:colOff>0</xdr:colOff>
          <xdr:row>18</xdr:row>
          <xdr:rowOff>0</xdr:rowOff>
        </xdr:to>
        <xdr:sp>
          <xdr:nvSpPr>
            <xdr:cNvPr id="0" name="ComboBox14"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18</xdr:row>
          <xdr:rowOff>0</xdr:rowOff>
        </xdr:from>
        <xdr:to>
          <xdr:col>3</xdr:col>
          <xdr:colOff>0</xdr:colOff>
          <xdr:row>19</xdr:row>
          <xdr:rowOff>0</xdr:rowOff>
        </xdr:to>
        <xdr:sp>
          <xdr:nvSpPr>
            <xdr:cNvPr id="0" name="ComboBox15"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21</xdr:row>
          <xdr:rowOff>0</xdr:rowOff>
        </xdr:from>
        <xdr:to>
          <xdr:col>3</xdr:col>
          <xdr:colOff>0</xdr:colOff>
          <xdr:row>22</xdr:row>
          <xdr:rowOff>0</xdr:rowOff>
        </xdr:to>
        <xdr:sp>
          <xdr:nvSpPr>
            <xdr:cNvPr id="0" name="ComboBox16"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19</xdr:row>
          <xdr:rowOff>0</xdr:rowOff>
        </xdr:from>
        <xdr:to>
          <xdr:col>3</xdr:col>
          <xdr:colOff>9360</xdr:colOff>
          <xdr:row>20</xdr:row>
          <xdr:rowOff>19080</xdr:rowOff>
        </xdr:to>
        <xdr:sp>
          <xdr:nvSpPr>
            <xdr:cNvPr id="0" name="ComboBox18"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20</xdr:row>
          <xdr:rowOff>0</xdr:rowOff>
        </xdr:from>
        <xdr:to>
          <xdr:col>3</xdr:col>
          <xdr:colOff>19080</xdr:colOff>
          <xdr:row>21</xdr:row>
          <xdr:rowOff>19080</xdr:rowOff>
        </xdr:to>
        <xdr:sp>
          <xdr:nvSpPr>
            <xdr:cNvPr id="0" name="ComboBox20" descr="" hidden="0"/>
            <xdr:cNvSpPr/>
          </xdr:nvSpPr>
          <xdr:spPr>
            <a:xfrm>
              <a:off x="0" y="0"/>
              <a:ext cx="0" cy="0"/>
            </a:xfrm>
            <a:prstGeom prst="rect">
              <a:avLst/>
            </a:prstGeom>
          </xdr:spPr>
          <xdr:txBody>
            <a:bodyPr anchor="ctr">
              <a:noAutofit/>
            </a:bodyPr>
            <a:p>
              <a:r>
                <a:t/>
              </a:r>
            </a:p>
          </xdr:txBody>
        </xdr:sp>
        <xdr:clientData/>
      </xdr:twoCellAnchor>
    </mc:Choice>
  </mc:AlternateContent>
</xdr:wsDr>
</file>

<file path=xl/drawings/drawing17.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45</xdr:row>
      <xdr:rowOff>104760</xdr:rowOff>
    </xdr:from>
    <xdr:to>
      <xdr:col>4</xdr:col>
      <xdr:colOff>1920600</xdr:colOff>
      <xdr:row>65</xdr:row>
      <xdr:rowOff>18720</xdr:rowOff>
    </xdr:to>
    <xdr:graphicFrame>
      <xdr:nvGraphicFramePr>
        <xdr:cNvPr id="35" name="Chart 1"/>
        <xdr:cNvGraphicFramePr/>
      </xdr:nvGraphicFramePr>
      <xdr:xfrm>
        <a:off x="1092240" y="10248840"/>
        <a:ext cx="9207360" cy="37238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439920</xdr:colOff>
      <xdr:row>0</xdr:row>
      <xdr:rowOff>25560</xdr:rowOff>
    </xdr:from>
    <xdr:to>
      <xdr:col>6</xdr:col>
      <xdr:colOff>1485720</xdr:colOff>
      <xdr:row>0</xdr:row>
      <xdr:rowOff>482400</xdr:rowOff>
    </xdr:to>
    <xdr:pic>
      <xdr:nvPicPr>
        <xdr:cNvPr id="36" name="TDOT logo" descr=""/>
        <xdr:cNvPicPr/>
      </xdr:nvPicPr>
      <xdr:blipFill>
        <a:blip r:embed="rId2"/>
        <a:stretch/>
      </xdr:blipFill>
      <xdr:spPr>
        <a:xfrm>
          <a:off x="13657320" y="25560"/>
          <a:ext cx="1045800" cy="456840"/>
        </a:xfrm>
        <a:prstGeom prst="rect">
          <a:avLst/>
        </a:prstGeom>
        <a:ln w="0">
          <a:noFill/>
        </a:ln>
      </xdr:spPr>
    </xdr:pic>
    <xdr:clientData/>
  </xdr:twoCellAnchor>
  <mc:AlternateContent xmlns:mc="http://schemas.openxmlformats.org/markup-compatibility/2006">
    <mc:Choice xmlns:a14="http://schemas.microsoft.com/office/drawing/2010/main" Requires="a14">
      <xdr:twoCellAnchor editAs="oneCell">
        <xdr:from>
          <xdr:col>2</xdr:col>
          <xdr:colOff>0</xdr:colOff>
          <xdr:row>16</xdr:row>
          <xdr:rowOff>0</xdr:rowOff>
        </xdr:from>
        <xdr:to>
          <xdr:col>3</xdr:col>
          <xdr:colOff>0</xdr:colOff>
          <xdr:row>17</xdr:row>
          <xdr:rowOff>0</xdr:rowOff>
        </xdr:to>
        <xdr:sp>
          <xdr:nvSpPr>
            <xdr:cNvPr id="0" name="ComboBox9"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12</xdr:row>
          <xdr:rowOff>0</xdr:rowOff>
        </xdr:from>
        <xdr:to>
          <xdr:col>3</xdr:col>
          <xdr:colOff>0</xdr:colOff>
          <xdr:row>13</xdr:row>
          <xdr:rowOff>0</xdr:rowOff>
        </xdr:to>
        <xdr:sp>
          <xdr:nvSpPr>
            <xdr:cNvPr id="0" name="ComboBox10"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13</xdr:row>
          <xdr:rowOff>0</xdr:rowOff>
        </xdr:from>
        <xdr:to>
          <xdr:col>3</xdr:col>
          <xdr:colOff>0</xdr:colOff>
          <xdr:row>14</xdr:row>
          <xdr:rowOff>0</xdr:rowOff>
        </xdr:to>
        <xdr:sp>
          <xdr:nvSpPr>
            <xdr:cNvPr id="0" name="ComboBox11"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14</xdr:row>
          <xdr:rowOff>0</xdr:rowOff>
        </xdr:from>
        <xdr:to>
          <xdr:col>3</xdr:col>
          <xdr:colOff>0</xdr:colOff>
          <xdr:row>15</xdr:row>
          <xdr:rowOff>0</xdr:rowOff>
        </xdr:to>
        <xdr:sp>
          <xdr:nvSpPr>
            <xdr:cNvPr id="0" name="ComboBox12"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15</xdr:row>
          <xdr:rowOff>0</xdr:rowOff>
        </xdr:from>
        <xdr:to>
          <xdr:col>3</xdr:col>
          <xdr:colOff>0</xdr:colOff>
          <xdr:row>16</xdr:row>
          <xdr:rowOff>0</xdr:rowOff>
        </xdr:to>
        <xdr:sp>
          <xdr:nvSpPr>
            <xdr:cNvPr id="0" name="ComboBox13"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17</xdr:row>
          <xdr:rowOff>0</xdr:rowOff>
        </xdr:from>
        <xdr:to>
          <xdr:col>3</xdr:col>
          <xdr:colOff>0</xdr:colOff>
          <xdr:row>18</xdr:row>
          <xdr:rowOff>0</xdr:rowOff>
        </xdr:to>
        <xdr:sp>
          <xdr:nvSpPr>
            <xdr:cNvPr id="0" name="ComboBox14"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18</xdr:row>
          <xdr:rowOff>0</xdr:rowOff>
        </xdr:from>
        <xdr:to>
          <xdr:col>3</xdr:col>
          <xdr:colOff>0</xdr:colOff>
          <xdr:row>19</xdr:row>
          <xdr:rowOff>0</xdr:rowOff>
        </xdr:to>
        <xdr:sp>
          <xdr:nvSpPr>
            <xdr:cNvPr id="0" name="ComboBox15"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21</xdr:row>
          <xdr:rowOff>0</xdr:rowOff>
        </xdr:from>
        <xdr:to>
          <xdr:col>3</xdr:col>
          <xdr:colOff>0</xdr:colOff>
          <xdr:row>22</xdr:row>
          <xdr:rowOff>0</xdr:rowOff>
        </xdr:to>
        <xdr:sp>
          <xdr:nvSpPr>
            <xdr:cNvPr id="0" name="ComboBox16"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19</xdr:row>
          <xdr:rowOff>0</xdr:rowOff>
        </xdr:from>
        <xdr:to>
          <xdr:col>3</xdr:col>
          <xdr:colOff>9360</xdr:colOff>
          <xdr:row>20</xdr:row>
          <xdr:rowOff>19080</xdr:rowOff>
        </xdr:to>
        <xdr:sp>
          <xdr:nvSpPr>
            <xdr:cNvPr id="0" name="ComboBox18"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20</xdr:row>
          <xdr:rowOff>0</xdr:rowOff>
        </xdr:from>
        <xdr:to>
          <xdr:col>3</xdr:col>
          <xdr:colOff>19080</xdr:colOff>
          <xdr:row>21</xdr:row>
          <xdr:rowOff>19080</xdr:rowOff>
        </xdr:to>
        <xdr:sp>
          <xdr:nvSpPr>
            <xdr:cNvPr id="0" name="ComboBox20" descr="" hidden="0"/>
            <xdr:cNvSpPr/>
          </xdr:nvSpPr>
          <xdr:spPr>
            <a:xfrm>
              <a:off x="0" y="0"/>
              <a:ext cx="0" cy="0"/>
            </a:xfrm>
            <a:prstGeom prst="rect">
              <a:avLst/>
            </a:prstGeom>
          </xdr:spPr>
          <xdr:txBody>
            <a:bodyPr anchor="ctr">
              <a:noAutofit/>
            </a:bodyPr>
            <a:p>
              <a:r>
                <a:t/>
              </a:r>
            </a:p>
          </xdr:txBody>
        </xdr:sp>
        <xdr:clientData/>
      </xdr:twoCellAnchor>
    </mc:Choice>
  </mc:AlternateContent>
</xdr:wsDr>
</file>

<file path=xl/tables/table1.xml><?xml version="1.0" encoding="utf-8"?>
<table xmlns="http://schemas.openxmlformats.org/spreadsheetml/2006/main" id="1" name="Table17" displayName="Table17" ref="L8:Q88" headerRowCount="1" totalsRowCount="0" totalsRowShown="0">
  <autoFilter ref="L8:Q88"/>
  <tableColumns count="6">
    <tableColumn id="1" name="Name"/>
    <tableColumn id="2" name="ID"/>
    <tableColumn id="3" name="City"/>
    <tableColumn id="4" name="County"/>
    <tableColumn id="5" name="Region"/>
    <tableColumn id="6" name="Owner"/>
  </tableColumns>
</table>
</file>

<file path=xl/tables/table2.xml><?xml version="1.0" encoding="utf-8"?>
<table xmlns="http://schemas.openxmlformats.org/spreadsheetml/2006/main" id="2" name="Table2" displayName="Table2" ref="C2:I59" headerRowCount="1" totalsRowCount="0" totalsRowShown="0">
  <autoFilter ref="C2:I59"/>
  <tableColumns count="7">
    <tableColumn id="1" name="Pay Item No."/>
    <tableColumn id="2" name="Pay Item Description"/>
    <tableColumn id="3" name="Units"/>
    <tableColumn id="4" name="Unit Cost"/>
    <tableColumn id="5" name="Middle"/>
    <tableColumn id="6" name="West"/>
    <tableColumn id="7" name="East"/>
  </tableColumns>
</table>
</file>

<file path=xl/tables/table3.xml><?xml version="1.0" encoding="utf-8"?>
<table xmlns="http://schemas.openxmlformats.org/spreadsheetml/2006/main" id="3" name="Table3" displayName="Table3" ref="S8:S12" headerRowCount="1" totalsRowCount="0" totalsRowShown="0">
  <autoFilter ref="S8:S12"/>
  <tableColumns count="1">
    <tableColumn id="1" name="Branch Use"/>
  </tableColumns>
</table>
</file>

<file path=xl/tables/table4.xml><?xml version="1.0" encoding="utf-8"?>
<table xmlns="http://schemas.openxmlformats.org/spreadsheetml/2006/main" id="4" name="Table4" displayName="Table4" ref="S15:S18" headerRowCount="1" totalsRowCount="0" totalsRowShown="0">
  <autoFilter ref="S15:S18"/>
  <tableColumns count="1">
    <tableColumn id="1" name="Markings Type"/>
  </tableColumns>
</table>
</file>

<file path=xl/tables/table5.xml><?xml version="1.0" encoding="utf-8"?>
<table xmlns="http://schemas.openxmlformats.org/spreadsheetml/2006/main" id="5" name="Table7" displayName="Table7" ref="S21:S25" headerRowCount="1" totalsRowCount="0" totalsRowShown="0">
  <autoFilter ref="S21:S25"/>
  <tableColumns count="1">
    <tableColumn id="1" name="Weight Category"/>
  </tableColumns>
</table>
</file>

<file path=xl/theme/theme1.xml><?xml version="1.0" encoding="utf-8"?>
<a:theme xmlns:a="http://schemas.openxmlformats.org/drawingml/2006/main" xmlns:r="http://schemas.openxmlformats.org/officeDocument/2006/relationships"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hyperlink" Target="https://www.tn.gov/tdot/aeronautics.html" TargetMode="External"/><Relationship Id="rId2"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1.vml"/><Relationship Id="rId4" Type="http://schemas.openxmlformats.org/officeDocument/2006/relationships/ctrlProp" Target="../ctrlProps/ctrlProps5.xml"/><Relationship Id="rId5" Type="http://schemas.openxmlformats.org/officeDocument/2006/relationships/table" Target="../tables/table1.xml"/><Relationship Id="rId6" Type="http://schemas.openxmlformats.org/officeDocument/2006/relationships/table" Target="../tables/table3.xml"/><Relationship Id="rId7" Type="http://schemas.openxmlformats.org/officeDocument/2006/relationships/table" Target="../tables/table4.xml"/><Relationship Id="rId8" Type="http://schemas.openxmlformats.org/officeDocument/2006/relationships/table" Target="../tables/table5.xml"/>
</Relationships>
</file>

<file path=xl/worksheets/_rels/sheet5.xml.rels><?xml version="1.0" encoding="UTF-8"?>
<Relationships xmlns="http://schemas.openxmlformats.org/package/2006/relationships"><Relationship Id="rId1" Type="http://schemas.openxmlformats.org/officeDocument/2006/relationships/drawing" Target="../drawings/drawing6.xml"/><Relationship Id="rId2" Type="http://schemas.openxmlformats.org/officeDocument/2006/relationships/table" Target="../tables/table2.xml"/>
</Relationships>
</file>

<file path=xl/worksheets/_rels/sheet7.xml.rels><?xml version="1.0" encoding="UTF-8"?>
<Relationships xmlns="http://schemas.openxmlformats.org/package/2006/relationships"><Relationship Id="rId1" Type="http://schemas.openxmlformats.org/officeDocument/2006/relationships/drawing" Target="../drawings/drawing7.xml"/>
</Relationships>
</file>

<file path=xl/worksheets/_rels/sheet8.xml.rels><?xml version="1.0" encoding="UTF-8"?>
<Relationships xmlns="http://schemas.openxmlformats.org/package/2006/relationships"><Relationship Id="rId1" Type="http://schemas.openxmlformats.org/officeDocument/2006/relationships/drawing" Target="../drawings/drawing8.xml"/>
</Relationships>
</file>

<file path=xl/worksheets/_rels/sheet10.xml.rels><?xml version="1.0" encoding="UTF-8"?>
<Relationships xmlns="http://schemas.openxmlformats.org/package/2006/relationships"><Relationship Id="rId1" Type="http://schemas.openxmlformats.org/officeDocument/2006/relationships/drawing" Target="../drawings/drawing9.xml"/>
</Relationships>
</file>

<file path=xl/worksheets/_rels/sheet11.xml.rels><?xml version="1.0" encoding="UTF-8"?>
<Relationships xmlns="http://schemas.openxmlformats.org/package/2006/relationships"><Relationship Id="rId1" Type="http://schemas.openxmlformats.org/officeDocument/2006/relationships/drawing" Target="../drawings/drawing10.xml"/>
</Relationships>
</file>

<file path=xl/worksheets/_rels/sheet12.xml.rels><?xml version="1.0" encoding="UTF-8"?>
<Relationships xmlns="http://schemas.openxmlformats.org/package/2006/relationships"><Relationship Id="rId1" Type="http://schemas.openxmlformats.org/officeDocument/2006/relationships/drawing" Target="../drawings/drawing11.xml"/>
</Relationships>
</file>

<file path=xl/worksheets/_rels/sheet14.xml.rels><?xml version="1.0" encoding="UTF-8"?>
<Relationships xmlns="http://schemas.openxmlformats.org/package/2006/relationships"><Relationship Id="rId1" Type="http://schemas.openxmlformats.org/officeDocument/2006/relationships/drawing" Target="../drawings/drawing12.xml"/>
</Relationships>
</file>

<file path=xl/worksheets/_rels/sheet15.xml.rels><?xml version="1.0" encoding="UTF-8"?>
<Relationships xmlns="http://schemas.openxmlformats.org/package/2006/relationships"><Relationship Id="rId1" Type="http://schemas.openxmlformats.org/officeDocument/2006/relationships/drawing" Target="../drawings/drawing13.xml"/>
</Relationships>
</file>

<file path=xl/worksheets/_rels/sheet16.xml.rels><?xml version="1.0" encoding="UTF-8"?>
<Relationships xmlns="http://schemas.openxmlformats.org/package/2006/relationships"><Relationship Id="rId1" Type="http://schemas.openxmlformats.org/officeDocument/2006/relationships/drawing" Target="../drawings/drawing14.xml"/>
</Relationships>
</file>

<file path=xl/worksheets/_rels/sheet17.xml.rels><?xml version="1.0" encoding="UTF-8"?>
<Relationships xmlns="http://schemas.openxmlformats.org/package/2006/relationships"><Relationship Id="rId1" Type="http://schemas.openxmlformats.org/officeDocument/2006/relationships/drawing" Target="../drawings/drawing15.xml"/>
</Relationships>
</file>

<file path=xl/worksheets/_rels/sheet18.xml.rels><?xml version="1.0" encoding="UTF-8"?>
<Relationships xmlns="http://schemas.openxmlformats.org/package/2006/relationships"><Relationship Id="rId1" Type="http://schemas.openxmlformats.org/officeDocument/2006/relationships/drawing" Target="../drawings/drawing16.xml"/>
</Relationships>
</file>

<file path=xl/worksheets/_rels/sheet19.xml.rels><?xml version="1.0" encoding="UTF-8"?>
<Relationships xmlns="http://schemas.openxmlformats.org/package/2006/relationships"><Relationship Id="rId1" Type="http://schemas.openxmlformats.org/officeDocument/2006/relationships/drawing" Target="../drawings/drawing17.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true"/>
  </sheetPr>
  <dimension ref="A1:X68"/>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selection pane="topLeft" activeCell="B42" activeCellId="0" sqref="B42"/>
    </sheetView>
  </sheetViews>
  <sheetFormatPr defaultColWidth="8.5390625" defaultRowHeight="15" zeroHeight="false" outlineLevelRow="0" outlineLevelCol="0"/>
  <cols>
    <col collapsed="false" customWidth="true" hidden="false" outlineLevel="0" max="1" min="1" style="0" width="12.29"/>
    <col collapsed="false" customWidth="true" hidden="false" outlineLevel="0" max="2" min="2" style="0" width="19.71"/>
    <col collapsed="false" customWidth="true" hidden="false" outlineLevel="0" max="3" min="3" style="0" width="53.71"/>
    <col collapsed="false" customWidth="true" hidden="false" outlineLevel="0" max="5" min="5" style="0" width="33.72"/>
    <col collapsed="false" customWidth="true" hidden="false" outlineLevel="0" max="6" min="6" style="0" width="20.71"/>
    <col collapsed="false" customWidth="true" hidden="false" outlineLevel="0" max="7" min="7" style="0" width="21.57"/>
    <col collapsed="false" customWidth="true" hidden="true" outlineLevel="0" max="9" min="9" style="0" width="9.14"/>
    <col collapsed="false" customWidth="true" hidden="true" outlineLevel="0" max="11" min="10" style="1" width="13.29"/>
    <col collapsed="false" customWidth="true" hidden="true" outlineLevel="0" max="12" min="12" style="2" width="33.86"/>
    <col collapsed="false" customWidth="true" hidden="true" outlineLevel="0" max="13" min="13" style="1" width="16"/>
    <col collapsed="false" customWidth="true" hidden="true" outlineLevel="0" max="16" min="14" style="1" width="13.29"/>
    <col collapsed="false" customWidth="true" hidden="true" outlineLevel="0" max="17" min="17" style="0" width="3.57"/>
    <col collapsed="false" customWidth="true" hidden="true" outlineLevel="0" max="19" min="18" style="0" width="13.29"/>
    <col collapsed="false" customWidth="true" hidden="true" outlineLevel="0" max="20" min="20" style="0" width="41.28"/>
    <col collapsed="false" customWidth="true" hidden="true" outlineLevel="0" max="22" min="21" style="0" width="13.29"/>
    <col collapsed="false" customWidth="true" hidden="true" outlineLevel="0" max="23" min="23" style="0" width="10"/>
    <col collapsed="false" customWidth="true" hidden="true" outlineLevel="0" max="24" min="24" style="0" width="10.29"/>
    <col collapsed="false" customWidth="true" hidden="true" outlineLevel="0" max="26" min="25" style="0" width="9.14"/>
  </cols>
  <sheetData>
    <row r="1" customFormat="false" ht="39.75" hidden="false" customHeight="true" outlineLevel="0" collapsed="false">
      <c r="A1" s="3" t="str">
        <f aca="false">HYPERLINK("#'General Information'!D9","◄ General Information")</f>
        <v>◄ General Information</v>
      </c>
      <c r="B1" s="3"/>
      <c r="C1" s="4" t="str">
        <f aca="false">HYPERLINK("#Summary!G1","Summary")</f>
        <v>Summary</v>
      </c>
      <c r="D1" s="5" t="str">
        <f aca="false">$A$34</f>
        <v>PCC Reconstruction - Alternative 2</v>
      </c>
      <c r="I1" s="6" t="s">
        <v>0</v>
      </c>
    </row>
    <row r="2" customFormat="false" ht="15" hidden="false" customHeight="false" outlineLevel="0" collapsed="false">
      <c r="A2" s="7" t="s">
        <v>1</v>
      </c>
      <c r="E2" s="8" t="s">
        <v>2</v>
      </c>
      <c r="F2" s="9" t="n">
        <f aca="false">IF('General Information'!$D$38="Yes",SUMIF(RevenueData!$A:$A,'General Information'!$D$10,RevenueData!$B:$B)+SUMIF(RevenueData!$A:$A,'General Information'!$D$10,RevenueData!$C:$C)+SUMIF(RevenueData!$A:$A,'General Information'!$D$10,RevenueData!$D:$D)+SUMIF(RevenueData!$A:$A,'General Information'!$D$10,RevenueData!$E:$E)+SUMIF(RevenueData!$A:$A,'General Information'!$D$10,RevenueData!$F:$F)+SUMIF(RevenueData!$A:$A,'General Information'!$D$10,RevenueData!$G:$G)+SUMIF(RevenueData!$A:$A,'General Information'!$D$10,RevenueData!$H:$H),0)</f>
        <v>5441.17</v>
      </c>
      <c r="G2" s="0" t="str">
        <f aca="false">IF(AND('General Information'!$D$38="Yes",F2=0),"No revenue data for this airport - lost revenue set to $0. Contact Aeronautics.","")</f>
        <v/>
      </c>
      <c r="J2" s="10" t="s">
        <v>3</v>
      </c>
      <c r="R2" s="7" t="s">
        <v>4</v>
      </c>
    </row>
    <row r="3" customFormat="false" ht="25.5" hidden="false" customHeight="true" outlineLevel="0" collapsed="false">
      <c r="A3" s="11" t="s">
        <v>5</v>
      </c>
      <c r="B3" s="11"/>
      <c r="C3" s="11"/>
      <c r="D3" s="11"/>
      <c r="E3" s="11"/>
      <c r="F3" s="11"/>
      <c r="G3" s="11"/>
    </row>
    <row r="4" customFormat="false" ht="15" hidden="false" customHeight="false" outlineLevel="0" collapsed="false">
      <c r="A4" s="12" t="s">
        <v>6</v>
      </c>
      <c r="B4" s="13"/>
      <c r="C4" s="14" t="s">
        <v>7</v>
      </c>
      <c r="D4" s="13"/>
      <c r="E4" s="15" t="s">
        <v>8</v>
      </c>
      <c r="F4" s="16" t="n">
        <f aca="false">ROUNDUP(C5*550/(50*100/9)/10000,0)+ROUNDUP(C5*'Maintenance Policies'!D38/10000,0)+ROUNDUP(C5*'Maintenance Policies'!D39/5000,0)+ROUNDUP(C5*'Maintenance Policies'!D40/5000,0)</f>
        <v>8</v>
      </c>
    </row>
    <row r="5" customFormat="false" ht="15" hidden="false" customHeight="false" outlineLevel="0" collapsed="false">
      <c r="A5" s="12" t="s">
        <v>9</v>
      </c>
      <c r="B5" s="13"/>
      <c r="C5" s="14" t="n">
        <f aca="false">'General Information'!D26</f>
        <v>45883</v>
      </c>
      <c r="D5" s="13" t="s">
        <v>10</v>
      </c>
      <c r="E5" s="17" t="s">
        <v>11</v>
      </c>
      <c r="F5" s="18" t="n">
        <f aca="false">ROUNDUP(C5*550/(50*100/9)/10000,0)+ROUNDUP(C5*'Maintenance Policies'!D44/10000,0)+ROUNDUP(C5*'Maintenance Policies'!D43/5000,0)+ROUNDUP(C5*'Maintenance Policies'!D42/5000,0)+ROUNDUP(C5*'Maintenance Policies'!D41/1000,0)+7</f>
        <v>16</v>
      </c>
    </row>
    <row r="6" customFormat="false" ht="15" hidden="false" customHeight="false" outlineLevel="0" collapsed="false">
      <c r="A6" s="12" t="s">
        <v>12</v>
      </c>
      <c r="B6" s="13"/>
      <c r="C6" s="14" t="n">
        <f aca="false">'General Information'!D25</f>
        <v>2028</v>
      </c>
      <c r="D6" s="13"/>
    </row>
    <row r="7" customFormat="false" ht="15" hidden="false" customHeight="false" outlineLevel="0" collapsed="false">
      <c r="A7" s="12" t="s">
        <v>13</v>
      </c>
      <c r="B7" s="13"/>
      <c r="C7" s="14" t="n">
        <f aca="false">'General Information'!D28</f>
        <v>12000</v>
      </c>
      <c r="D7" s="13" t="s">
        <v>14</v>
      </c>
      <c r="J7" s="1" t="s">
        <v>15</v>
      </c>
      <c r="K7" s="19" t="n">
        <f aca="false">C5/((12.5*12.5)/9)</f>
        <v>2642.8608</v>
      </c>
    </row>
    <row r="8" customFormat="false" ht="15" hidden="false" customHeight="false" outlineLevel="0" collapsed="false">
      <c r="C8" s="20"/>
      <c r="J8" s="1" t="s">
        <v>16</v>
      </c>
      <c r="K8" s="1" t="n">
        <f aca="false">K7*25+((K7/8)*12.5)</f>
        <v>70200.99</v>
      </c>
    </row>
    <row r="9" customFormat="false" ht="15" hidden="false" customHeight="false" outlineLevel="0" collapsed="false">
      <c r="C9" s="20"/>
    </row>
    <row r="10" customFormat="false" ht="15" hidden="false" customHeight="false" outlineLevel="0" collapsed="false">
      <c r="C10" s="20"/>
      <c r="I10" s="21" t="s">
        <v>17</v>
      </c>
    </row>
    <row r="11" customFormat="false" ht="27.75" hidden="false" customHeight="true" outlineLevel="0" collapsed="false">
      <c r="B11" s="22" t="s">
        <v>18</v>
      </c>
      <c r="C11" s="23" t="s">
        <v>19</v>
      </c>
      <c r="D11" s="11" t="str">
        <f aca="false">IF(OR($C$11="Regular",$C$11=""),"Regular is the statewide Unit Cost column on Pay_Items.","Prices from the "&amp;$C$11&amp;" column on Pay_Items: "&amp;SUM($I$13:$I$22)&amp;" of "&amp;COUNT($I$13:$I$22)&amp;" pay items used here have a "&amp;$C$11&amp;" cost, the rest fall back to Unit Cost.")</f>
        <v>Regular is the statewide Unit Cost column on Pay_Items.</v>
      </c>
      <c r="E11" s="11"/>
      <c r="F11" s="11"/>
      <c r="G11" s="11"/>
      <c r="I11" s="21" t="n">
        <f aca="false">IFERROR(MATCH($C$11,PriceSources,0),1)</f>
        <v>1</v>
      </c>
    </row>
    <row r="12" customFormat="false" ht="19.5" hidden="false" customHeight="true" outlineLevel="0" collapsed="false">
      <c r="A12" s="24" t="s">
        <v>20</v>
      </c>
      <c r="B12" s="24" t="s">
        <v>21</v>
      </c>
      <c r="C12" s="24" t="s">
        <v>22</v>
      </c>
      <c r="D12" s="25" t="s">
        <v>23</v>
      </c>
      <c r="E12" s="25" t="s">
        <v>24</v>
      </c>
      <c r="F12" s="25" t="s">
        <v>25</v>
      </c>
      <c r="G12" s="25" t="s">
        <v>26</v>
      </c>
      <c r="J12" s="1" t="s">
        <v>20</v>
      </c>
      <c r="K12" s="1" t="s">
        <v>21</v>
      </c>
      <c r="L12" s="2" t="s">
        <v>22</v>
      </c>
      <c r="M12" s="1" t="s">
        <v>23</v>
      </c>
      <c r="N12" s="1" t="s">
        <v>24</v>
      </c>
      <c r="O12" s="1" t="s">
        <v>25</v>
      </c>
      <c r="P12" s="1" t="s">
        <v>26</v>
      </c>
      <c r="R12" s="6" t="s">
        <v>20</v>
      </c>
      <c r="S12" s="6" t="s">
        <v>21</v>
      </c>
      <c r="T12" s="6" t="s">
        <v>22</v>
      </c>
      <c r="U12" s="6" t="s">
        <v>23</v>
      </c>
      <c r="V12" s="6" t="s">
        <v>24</v>
      </c>
      <c r="W12" s="6" t="s">
        <v>25</v>
      </c>
      <c r="X12" s="6" t="s">
        <v>26</v>
      </c>
    </row>
    <row r="13" customFormat="false" ht="19.5" hidden="false" customHeight="true" outlineLevel="0" collapsed="false">
      <c r="A13" s="0" t="n">
        <v>1</v>
      </c>
      <c r="B13" s="26" t="str">
        <f aca="false">IF(C13="","",VLOOKUP(C13,CHOOSE({1,2},Table2[Pay Item Description],Table2[Pay Item No.]),2,0))</f>
        <v/>
      </c>
      <c r="C13" s="27"/>
      <c r="D13" s="28" t="str">
        <f aca="false">IF(C13="","N/A",VLOOKUP(C13,CHOOSE({1,2},Table2[Pay Item Description],Table2[Units]),2,0))</f>
        <v>N/A</v>
      </c>
      <c r="E13" s="29"/>
      <c r="F13" s="30" t="str">
        <f aca="false">IF(C13="","N/A",IF(INDEX(UnitCostGrid,MATCH(C13,PayItemKeys,0),$I$11)="",INDEX(UnitCostGrid,MATCH(C13,PayItemKeys,0),1),INDEX(UnitCostGrid,MATCH(C13,PayItemKeys,0),$I$11)))</f>
        <v>N/A</v>
      </c>
      <c r="G13" s="31" t="n">
        <f aca="false">IF(C13="",0,F13*E13)</f>
        <v>0</v>
      </c>
      <c r="I13" s="21" t="str">
        <f aca="false">IF(C13="","",IF(INDEX(UnitCostGrid,MATCH(C13,PayItemKeys,0),$I$11)="",0,1))</f>
        <v/>
      </c>
      <c r="J13" s="1" t="n">
        <v>1</v>
      </c>
      <c r="K13" s="1" t="str">
        <f aca="false">IF(L13="",0,VLOOKUP(L13,CHOOSE({1,2},Table2[Pay Item Description],Table2[Pay Item No.]),2,0))</f>
        <v>P-605-5.1a</v>
      </c>
      <c r="L13" s="2" t="str">
        <f aca="false">Pay_Items!D55</f>
        <v>Joint Clean and Reseal, Concrete</v>
      </c>
      <c r="M13" s="1" t="str">
        <f aca="false">IF(L13="","N/A",VLOOKUP(L13,CHOOSE({1,2},Table2[Pay Item Description],Table2[Units]),2,0))</f>
        <v>L.F.</v>
      </c>
      <c r="N13" s="32" t="n">
        <f aca="false">K8*'Maintenance Policies'!D37</f>
        <v>70200.99</v>
      </c>
      <c r="O13" s="33" t="n">
        <f aca="false">IF(L13="","N/A",IF(INDEX(UnitCostGrid,MATCH(L13,PayItemKeys,0),$I$11)="",INDEX(UnitCostGrid,MATCH(L13,PayItemKeys,0),1),INDEX(UnitCostGrid,MATCH(L13,PayItemKeys,0),$I$11)))</f>
        <v>7</v>
      </c>
      <c r="P13" s="34" t="n">
        <f aca="false">O13*N13</f>
        <v>491406.93</v>
      </c>
      <c r="R13" s="0" t="n">
        <v>1</v>
      </c>
      <c r="S13" s="0" t="str">
        <f aca="false">IF(T13="",0,VLOOKUP(T13,CHOOSE({1,2},Table2[Pay Item Description],Table2[Pay Item No.]),2,0))</f>
        <v>P-101-5.5c</v>
      </c>
      <c r="T13" s="0" t="str">
        <f aca="false">Pay_Items!D15</f>
        <v>Slab Replacement, Concrete</v>
      </c>
      <c r="U13" s="0" t="str">
        <f aca="false">IF(T13="","N/A",VLOOKUP(T13,CHOOSE({1,2},Table2[Pay Item Description],Table2[Units]),2,0))</f>
        <v>S.Y.</v>
      </c>
      <c r="V13" s="35" t="n">
        <f aca="false">'Maintenance Policies'!D41*C5</f>
        <v>917.66</v>
      </c>
      <c r="W13" s="36" t="n">
        <f aca="false">IF(T13="","N/A",IF(INDEX(UnitCostGrid,MATCH(T13,PayItemKeys,0),$I$11)="",INDEX(UnitCostGrid,MATCH(T13,PayItemKeys,0),1),INDEX(UnitCostGrid,MATCH(T13,PayItemKeys,0),$I$11)))</f>
        <v>100</v>
      </c>
      <c r="X13" s="37" t="n">
        <f aca="false">W13*V13</f>
        <v>91766</v>
      </c>
    </row>
    <row r="14" customFormat="false" ht="19.5" hidden="false" customHeight="true" outlineLevel="0" collapsed="false">
      <c r="A14" s="0" t="n">
        <v>2</v>
      </c>
      <c r="B14" s="26" t="str">
        <f aca="false">IF(C14="","",VLOOKUP(C14,CHOOSE({1,2},Table2[Pay Item Description],Table2[Pay Item No.]),2,0))</f>
        <v/>
      </c>
      <c r="C14" s="27"/>
      <c r="D14" s="28" t="str">
        <f aca="false">IF(C14="","N/A",VLOOKUP(C14,CHOOSE({1,2},Table2[Pay Item Description],Table2[Units]),2,0))</f>
        <v>N/A</v>
      </c>
      <c r="E14" s="29"/>
      <c r="F14" s="30" t="str">
        <f aca="false">IF(C14="","N/A",IF(INDEX(UnitCostGrid,MATCH(C14,PayItemKeys,0),$I$11)="",INDEX(UnitCostGrid,MATCH(C14,PayItemKeys,0),1),INDEX(UnitCostGrid,MATCH(C14,PayItemKeys,0),$I$11)))</f>
        <v>N/A</v>
      </c>
      <c r="G14" s="31" t="n">
        <f aca="false">IF(C14="",0,F14*E14)</f>
        <v>0</v>
      </c>
      <c r="I14" s="21" t="str">
        <f aca="false">IF(C14="","",IF(INDEX(UnitCostGrid,MATCH(C14,PayItemKeys,0),$I$11)="",0,1))</f>
        <v/>
      </c>
      <c r="J14" s="1" t="n">
        <v>2</v>
      </c>
      <c r="K14" s="1" t="str">
        <f aca="false">VLOOKUP(L14,CHOOSE({1,2},Table2[Pay Item Description],Table2[Pay Item No.]),2,0)</f>
        <v>P-101-5.2c</v>
      </c>
      <c r="L14" s="2" t="str">
        <f aca="false">Pay_Items!D8</f>
        <v>Crack Seal, Concrete</v>
      </c>
      <c r="M14" s="1" t="str">
        <f aca="false">IF(L14="","N/A",VLOOKUP(L14,CHOOSE({1,2},Table2[Pay Item Description],Table2[Units]),2,0))</f>
        <v>L.F.</v>
      </c>
      <c r="N14" s="32" t="n">
        <f aca="false">'Maintenance Policies'!D38*(C5*9)</f>
        <v>1032.3675</v>
      </c>
      <c r="O14" s="33" t="n">
        <f aca="false">IF(L14="","N/A",IF(INDEX(UnitCostGrid,MATCH(L14,PayItemKeys,0),$I$11)="",INDEX(UnitCostGrid,MATCH(L14,PayItemKeys,0),1),INDEX(UnitCostGrid,MATCH(L14,PayItemKeys,0),$I$11)))</f>
        <v>8</v>
      </c>
      <c r="P14" s="34" t="n">
        <f aca="false">O14*N14</f>
        <v>8258.94</v>
      </c>
      <c r="R14" s="0" t="n">
        <v>2</v>
      </c>
      <c r="S14" s="0" t="str">
        <f aca="false">VLOOKUP(T14,CHOOSE({1,2},Table2[Pay Item Description],Table2[Pay Item No.]),2,0)</f>
        <v>P-101-5.5b</v>
      </c>
      <c r="T14" s="0" t="str">
        <f aca="false">Pay_Items!D14</f>
        <v>Full-Depth Repair, Concrete</v>
      </c>
      <c r="U14" s="0" t="str">
        <f aca="false">IF(T14="","N/A",VLOOKUP(T14,CHOOSE({1,2},Table2[Pay Item Description],Table2[Units]),2,0))</f>
        <v>S.Y.</v>
      </c>
      <c r="V14" s="35" t="n">
        <f aca="false">'Maintenance Policies'!D42*C5</f>
        <v>137.649</v>
      </c>
      <c r="W14" s="36" t="n">
        <f aca="false">IF(T14="","N/A",IF(INDEX(UnitCostGrid,MATCH(T14,PayItemKeys,0),$I$11)="",INDEX(UnitCostGrid,MATCH(T14,PayItemKeys,0),1),INDEX(UnitCostGrid,MATCH(T14,PayItemKeys,0),$I$11)))</f>
        <v>120</v>
      </c>
      <c r="X14" s="37" t="n">
        <f aca="false">W14*V14</f>
        <v>16517.88</v>
      </c>
    </row>
    <row r="15" customFormat="false" ht="19.5" hidden="false" customHeight="true" outlineLevel="0" collapsed="false">
      <c r="A15" s="0" t="n">
        <v>3</v>
      </c>
      <c r="B15" s="26" t="str">
        <f aca="false">IF(C15="","",VLOOKUP(C15,CHOOSE({1,2},Table2[Pay Item Description],Table2[Pay Item No.]),2,0))</f>
        <v/>
      </c>
      <c r="C15" s="27"/>
      <c r="D15" s="28" t="str">
        <f aca="false">IF(C15="","N/A",VLOOKUP(C15,CHOOSE({1,2},Table2[Pay Item Description],Table2[Units]),2,0))</f>
        <v>N/A</v>
      </c>
      <c r="E15" s="29"/>
      <c r="F15" s="30" t="str">
        <f aca="false">IF(C15="","N/A",IF(INDEX(UnitCostGrid,MATCH(C15,PayItemKeys,0),$I$11)="",INDEX(UnitCostGrid,MATCH(C15,PayItemKeys,0),1),INDEX(UnitCostGrid,MATCH(C15,PayItemKeys,0),$I$11)))</f>
        <v>N/A</v>
      </c>
      <c r="G15" s="31" t="n">
        <f aca="false">IF(C15="",0,F15*E15)</f>
        <v>0</v>
      </c>
      <c r="I15" s="21" t="str">
        <f aca="false">IF(C15="","",IF(INDEX(UnitCostGrid,MATCH(C15,PayItemKeys,0),$I$11)="",0,1))</f>
        <v/>
      </c>
      <c r="J15" s="1" t="n">
        <v>3</v>
      </c>
      <c r="K15" s="1" t="str">
        <f aca="false">VLOOKUP(L15,CHOOSE({1,2},Table2[Pay Item Description],Table2[Pay Item No.]),2,0)</f>
        <v>P-101-5.5a</v>
      </c>
      <c r="L15" s="2" t="str">
        <f aca="false">Pay_Items!D13</f>
        <v>Spall Repair, Concrete</v>
      </c>
      <c r="M15" s="1" t="str">
        <f aca="false">IF(L15="","N/A",VLOOKUP(L15,CHOOSE({1,2},Table2[Pay Item Description],Table2[Units]),2,0))</f>
        <v>S.F.</v>
      </c>
      <c r="N15" s="32" t="n">
        <f aca="false">'Maintenance Policies'!D39*(C5*9)</f>
        <v>536.8311</v>
      </c>
      <c r="O15" s="33" t="n">
        <f aca="false">IF(L15="","N/A",IF(INDEX(UnitCostGrid,MATCH(L15,PayItemKeys,0),$I$11)="",INDEX(UnitCostGrid,MATCH(L15,PayItemKeys,0),1),INDEX(UnitCostGrid,MATCH(L15,PayItemKeys,0),$I$11)))</f>
        <v>60</v>
      </c>
      <c r="P15" s="34" t="n">
        <f aca="false">O15*N15</f>
        <v>32209.866</v>
      </c>
      <c r="R15" s="0" t="n">
        <v>3</v>
      </c>
      <c r="S15" s="0" t="str">
        <f aca="false">VLOOKUP(T15,CHOOSE({1,2},Table2[Pay Item Description],Table2[Pay Item No.]),2,0)</f>
        <v>P-101-5.5a</v>
      </c>
      <c r="T15" s="0" t="str">
        <f aca="false">Pay_Items!D13</f>
        <v>Spall Repair, Concrete</v>
      </c>
      <c r="U15" s="0" t="str">
        <f aca="false">IF(T15="","N/A",VLOOKUP(T15,CHOOSE({1,2},Table2[Pay Item Description],Table2[Units]),2,0))</f>
        <v>S.F.</v>
      </c>
      <c r="V15" s="35" t="n">
        <f aca="false">'Maintenance Policies'!D43*(C5*9)</f>
        <v>536.8311</v>
      </c>
      <c r="W15" s="36" t="n">
        <f aca="false">IF(T15="","N/A",IF(INDEX(UnitCostGrid,MATCH(T15,PayItemKeys,0),$I$11)="",INDEX(UnitCostGrid,MATCH(T15,PayItemKeys,0),1),INDEX(UnitCostGrid,MATCH(T15,PayItemKeys,0),$I$11)))</f>
        <v>60</v>
      </c>
      <c r="X15" s="37" t="n">
        <f aca="false">W15*V15</f>
        <v>32209.866</v>
      </c>
    </row>
    <row r="16" customFormat="false" ht="19.5" hidden="false" customHeight="true" outlineLevel="0" collapsed="false">
      <c r="A16" s="0" t="n">
        <v>4</v>
      </c>
      <c r="B16" s="26" t="str">
        <f aca="false">IF(C16="","",VLOOKUP(C16,CHOOSE({1,2},Table2[Pay Item Description],Table2[Pay Item No.]),2,0))</f>
        <v/>
      </c>
      <c r="C16" s="27"/>
      <c r="D16" s="28" t="str">
        <f aca="false">IF(C16="","N/A",VLOOKUP(C16,CHOOSE({1,2},Table2[Pay Item Description],Table2[Units]),2,0))</f>
        <v>N/A</v>
      </c>
      <c r="E16" s="29"/>
      <c r="F16" s="30" t="str">
        <f aca="false">IF(C16="","N/A",IF(INDEX(UnitCostGrid,MATCH(C16,PayItemKeys,0),$I$11)="",INDEX(UnitCostGrid,MATCH(C16,PayItemKeys,0),1),INDEX(UnitCostGrid,MATCH(C16,PayItemKeys,0),$I$11)))</f>
        <v>N/A</v>
      </c>
      <c r="G16" s="31" t="n">
        <f aca="false">IF(C16="",0,F16*E16)</f>
        <v>0</v>
      </c>
      <c r="I16" s="21" t="str">
        <f aca="false">IF(C16="","",IF(INDEX(UnitCostGrid,MATCH(C16,PayItemKeys,0),$I$11)="",0,1))</f>
        <v/>
      </c>
      <c r="J16" s="1" t="n">
        <v>4</v>
      </c>
      <c r="K16" s="1" t="str">
        <f aca="false">VLOOKUP(L16,CHOOSE({1,2},Table2[Pay Item Description],Table2[Pay Item No.]),2,0)</f>
        <v>P-101-5.5b</v>
      </c>
      <c r="L16" s="2" t="str">
        <f aca="false">Pay_Items!D14</f>
        <v>Full-Depth Repair, Concrete</v>
      </c>
      <c r="M16" s="1" t="str">
        <f aca="false">IF(L16="","N/A",VLOOKUP(L16,CHOOSE({1,2},Table2[Pay Item Description],Table2[Units]),2,0))</f>
        <v>S.Y.</v>
      </c>
      <c r="N16" s="32" t="n">
        <f aca="false">'Maintenance Policies'!D40*C5</f>
        <v>137.649</v>
      </c>
      <c r="O16" s="33" t="n">
        <f aca="false">IF(L16="","N/A",IF(INDEX(UnitCostGrid,MATCH(L16,PayItemKeys,0),$I$11)="",INDEX(UnitCostGrid,MATCH(L16,PayItemKeys,0),1),INDEX(UnitCostGrid,MATCH(L16,PayItemKeys,0),$I$11)))</f>
        <v>120</v>
      </c>
      <c r="P16" s="34" t="n">
        <f aca="false">O16*N16</f>
        <v>16517.88</v>
      </c>
      <c r="R16" s="0" t="n">
        <v>4</v>
      </c>
      <c r="S16" s="0" t="str">
        <f aca="false">VLOOKUP(T16,CHOOSE({1,2},Table2[Pay Item Description],Table2[Pay Item No.]),2,0)</f>
        <v>P-101-5.2c</v>
      </c>
      <c r="T16" s="0" t="str">
        <f aca="false">Pay_Items!D8</f>
        <v>Crack Seal, Concrete</v>
      </c>
      <c r="U16" s="0" t="str">
        <f aca="false">IF(T16="","N/A",VLOOKUP(T16,CHOOSE({1,2},Table2[Pay Item Description],Table2[Units]),2,0))</f>
        <v>L.F.</v>
      </c>
      <c r="V16" s="35" t="n">
        <f aca="false">'Maintenance Policies'!D44*(C5*9)</f>
        <v>1238.841</v>
      </c>
      <c r="W16" s="36" t="n">
        <f aca="false">IF(T16="","N/A",IF(INDEX(UnitCostGrid,MATCH(T16,PayItemKeys,0),$I$11)="",INDEX(UnitCostGrid,MATCH(T16,PayItemKeys,0),1),INDEX(UnitCostGrid,MATCH(T16,PayItemKeys,0),$I$11)))</f>
        <v>8</v>
      </c>
      <c r="X16" s="37" t="n">
        <f aca="false">W16*V16</f>
        <v>9910.728</v>
      </c>
    </row>
    <row r="17" customFormat="false" ht="19.5" hidden="false" customHeight="true" outlineLevel="0" collapsed="false">
      <c r="A17" s="0" t="n">
        <v>5</v>
      </c>
      <c r="B17" s="26" t="str">
        <f aca="false">IF(C17="","",VLOOKUP(C17,CHOOSE({1,2},Table2[Pay Item Description],Table2[Pay Item No.]),2,0))</f>
        <v/>
      </c>
      <c r="C17" s="27"/>
      <c r="D17" s="28" t="str">
        <f aca="false">IF(C17="","N/A",VLOOKUP(C17,CHOOSE({1,2},Table2[Pay Item Description],Table2[Units]),2,0))</f>
        <v>N/A</v>
      </c>
      <c r="E17" s="29"/>
      <c r="F17" s="30" t="str">
        <f aca="false">IF(C17="","N/A",IF(INDEX(UnitCostGrid,MATCH(C17,PayItemKeys,0),$I$11)="",INDEX(UnitCostGrid,MATCH(C17,PayItemKeys,0),1),INDEX(UnitCostGrid,MATCH(C17,PayItemKeys,0),$I$11)))</f>
        <v>N/A</v>
      </c>
      <c r="G17" s="31" t="n">
        <f aca="false">IF(C17="",0,F17*E17)</f>
        <v>0</v>
      </c>
      <c r="I17" s="21" t="str">
        <f aca="false">IF(C17="","",IF(INDEX(UnitCostGrid,MATCH(C17,PayItemKeys,0),$I$11)="",0,1))</f>
        <v/>
      </c>
      <c r="O17" s="1" t="s">
        <v>27</v>
      </c>
      <c r="P17" s="34" t="n">
        <f aca="false">SUM(P13:P16)</f>
        <v>548393.616</v>
      </c>
      <c r="R17" s="0" t="n">
        <v>5</v>
      </c>
      <c r="S17" s="0" t="str">
        <f aca="false">VLOOKUP(T17,CHOOSE({1,2},Table2[Pay Item Description],Table2[Pay Item No.]),2,0)</f>
        <v>P-605-5.1a</v>
      </c>
      <c r="T17" s="0" t="str">
        <f aca="false">Pay_Items!D55</f>
        <v>Joint Clean and Reseal, Concrete</v>
      </c>
      <c r="U17" s="0" t="str">
        <f aca="false">IF(T17="","N/A",VLOOKUP(T17,CHOOSE({1,2},Table2[Pay Item Description],Table2[Units]),2,0))</f>
        <v>L.F.</v>
      </c>
      <c r="V17" s="35" t="n">
        <f aca="false">'Maintenance Policies'!D45*K8</f>
        <v>70200.99</v>
      </c>
      <c r="W17" s="36" t="n">
        <f aca="false">IF(T17="","N/A",IF(INDEX(UnitCostGrid,MATCH(T17,PayItemKeys,0),$I$11)="",INDEX(UnitCostGrid,MATCH(T17,PayItemKeys,0),1),INDEX(UnitCostGrid,MATCH(T17,PayItemKeys,0),$I$11)))</f>
        <v>7</v>
      </c>
      <c r="X17" s="37" t="n">
        <f aca="false">W17*V17</f>
        <v>491406.93</v>
      </c>
    </row>
    <row r="18" customFormat="false" ht="19.5" hidden="false" customHeight="true" outlineLevel="0" collapsed="false">
      <c r="A18" s="0" t="n">
        <v>6</v>
      </c>
      <c r="B18" s="26" t="str">
        <f aca="false">IF(C18="","",VLOOKUP(C18,CHOOSE({1,2},Table2[Pay Item Description],Table2[Pay Item No.]),2,0))</f>
        <v/>
      </c>
      <c r="C18" s="27"/>
      <c r="D18" s="28" t="str">
        <f aca="false">IF(C18="","N/A",VLOOKUP(C18,CHOOSE({1,2},Table2[Pay Item Description],Table2[Units]),2,0))</f>
        <v>N/A</v>
      </c>
      <c r="E18" s="29"/>
      <c r="F18" s="30" t="str">
        <f aca="false">IF(C18="","N/A",IF(INDEX(UnitCostGrid,MATCH(C18,PayItemKeys,0),$I$11)="",INDEX(UnitCostGrid,MATCH(C18,PayItemKeys,0),1),INDEX(UnitCostGrid,MATCH(C18,PayItemKeys,0),$I$11)))</f>
        <v>N/A</v>
      </c>
      <c r="G18" s="31" t="n">
        <f aca="false">IF(C18="",0,F18*E18)</f>
        <v>0</v>
      </c>
      <c r="I18" s="21" t="str">
        <f aca="false">IF(C18="","",IF(INDEX(UnitCostGrid,MATCH(C18,PayItemKeys,0),$I$11)="",0,1))</f>
        <v/>
      </c>
      <c r="L18" s="2" t="s">
        <v>28</v>
      </c>
      <c r="P18" s="34" t="n">
        <f aca="false">('General Information'!$D$36/100)*P17</f>
        <v>54839.3616</v>
      </c>
      <c r="W18" s="6" t="s">
        <v>27</v>
      </c>
      <c r="X18" s="37" t="n">
        <f aca="false">SUM(X13:X17)</f>
        <v>641811.404</v>
      </c>
    </row>
    <row r="19" customFormat="false" ht="19.5" hidden="false" customHeight="true" outlineLevel="0" collapsed="false">
      <c r="A19" s="0" t="n">
        <v>7</v>
      </c>
      <c r="B19" s="26" t="str">
        <f aca="false">IF(C19="","",VLOOKUP(C19,CHOOSE({1,2},Table2[Pay Item Description],Table2[Pay Item No.]),2,0))</f>
        <v/>
      </c>
      <c r="C19" s="27"/>
      <c r="D19" s="28" t="str">
        <f aca="false">IF(C19="","N/A",VLOOKUP(C19,CHOOSE({1,2},Table2[Pay Item Description],Table2[Units]),2,0))</f>
        <v>N/A</v>
      </c>
      <c r="E19" s="29"/>
      <c r="F19" s="30" t="str">
        <f aca="false">IF(C19="","N/A",IF(INDEX(UnitCostGrid,MATCH(C19,PayItemKeys,0),$I$11)="",INDEX(UnitCostGrid,MATCH(C19,PayItemKeys,0),1),INDEX(UnitCostGrid,MATCH(C19,PayItemKeys,0),$I$11)))</f>
        <v>N/A</v>
      </c>
      <c r="G19" s="31" t="n">
        <f aca="false">IF(C19="",0,F19*E19)</f>
        <v>0</v>
      </c>
      <c r="I19" s="21" t="str">
        <f aca="false">IF(C19="","",IF(INDEX(UnitCostGrid,MATCH(C19,PayItemKeys,0),$I$11)="",0,1))</f>
        <v/>
      </c>
      <c r="L19" s="2" t="s">
        <v>29</v>
      </c>
      <c r="P19" s="34" t="n">
        <f aca="false">('General Information'!$D$37/100)*P17</f>
        <v>27419.6808</v>
      </c>
      <c r="T19" s="6" t="s">
        <v>28</v>
      </c>
      <c r="X19" s="37" t="n">
        <f aca="false">('General Information'!$D$36/100)*X18</f>
        <v>64181.1404</v>
      </c>
    </row>
    <row r="20" customFormat="false" ht="19.5" hidden="false" customHeight="true" outlineLevel="0" collapsed="false">
      <c r="A20" s="0" t="n">
        <v>8</v>
      </c>
      <c r="B20" s="26" t="str">
        <f aca="false">IF(C20="","",VLOOKUP(C20,CHOOSE({1,2},Table2[Pay Item Description],Table2[Pay Item No.]),2,0))</f>
        <v/>
      </c>
      <c r="C20" s="27"/>
      <c r="D20" s="28" t="str">
        <f aca="false">IF(C20="","N/A",VLOOKUP(C20,CHOOSE({1,2},Table2[Pay Item Description],Table2[Units]),2,0))</f>
        <v>N/A</v>
      </c>
      <c r="E20" s="29"/>
      <c r="F20" s="30" t="str">
        <f aca="false">IF(C20="","N/A",IF(INDEX(UnitCostGrid,MATCH(C20,PayItemKeys,0),$I$11)="",INDEX(UnitCostGrid,MATCH(C20,PayItemKeys,0),1),INDEX(UnitCostGrid,MATCH(C20,PayItemKeys,0),$I$11)))</f>
        <v>N/A</v>
      </c>
      <c r="G20" s="31" t="n">
        <f aca="false">IF(C20="",0,F20*E20)</f>
        <v>0</v>
      </c>
      <c r="I20" s="21" t="str">
        <f aca="false">IF(C20="","",IF(INDEX(UnitCostGrid,MATCH(C20,PayItemKeys,0),$I$11)="",0,1))</f>
        <v/>
      </c>
      <c r="O20" s="1" t="s">
        <v>30</v>
      </c>
      <c r="P20" s="34" t="n">
        <f aca="false">SUM(P17:P19)</f>
        <v>630652.6584</v>
      </c>
      <c r="T20" s="6" t="s">
        <v>29</v>
      </c>
      <c r="X20" s="37" t="n">
        <f aca="false">('General Information'!$D$37/100)*X18</f>
        <v>32090.5702</v>
      </c>
    </row>
    <row r="21" customFormat="false" ht="19.5" hidden="false" customHeight="true" outlineLevel="0" collapsed="false">
      <c r="A21" s="0" t="n">
        <v>9</v>
      </c>
      <c r="B21" s="26" t="str">
        <f aca="false">IF(C21="","",VLOOKUP(C21,CHOOSE({1,2},Table2[Pay Item Description],Table2[Pay Item No.]),2,0))</f>
        <v/>
      </c>
      <c r="C21" s="27"/>
      <c r="D21" s="28" t="str">
        <f aca="false">IF(C21="","N/A",VLOOKUP(C21,CHOOSE({1,2},Table2[Pay Item Description],Table2[Units]),2,0))</f>
        <v>N/A</v>
      </c>
      <c r="E21" s="29"/>
      <c r="F21" s="30" t="str">
        <f aca="false">IF(C21="","N/A",IF(INDEX(UnitCostGrid,MATCH(C21,PayItemKeys,0),$I$11)="",INDEX(UnitCostGrid,MATCH(C21,PayItemKeys,0),1),INDEX(UnitCostGrid,MATCH(C21,PayItemKeys,0),$I$11)))</f>
        <v>N/A</v>
      </c>
      <c r="G21" s="31" t="n">
        <f aca="false">IF(C21="",0,F21*E21)</f>
        <v>0</v>
      </c>
      <c r="I21" s="21" t="str">
        <f aca="false">IF(C21="","",IF(INDEX(UnitCostGrid,MATCH(C21,PayItemKeys,0),$I$11)="",0,1))</f>
        <v/>
      </c>
      <c r="W21" s="6" t="s">
        <v>30</v>
      </c>
      <c r="X21" s="37" t="n">
        <f aca="false">SUM(X18:X20)</f>
        <v>738083.1146</v>
      </c>
    </row>
    <row r="22" customFormat="false" ht="19.5" hidden="false" customHeight="true" outlineLevel="0" collapsed="false">
      <c r="A22" s="0" t="n">
        <v>10</v>
      </c>
      <c r="B22" s="26" t="str">
        <f aca="false">IF(C22="","",VLOOKUP(C22,CHOOSE({1,2},Table2[Pay Item Description],Table2[Pay Item No.]),2,0))</f>
        <v/>
      </c>
      <c r="C22" s="27"/>
      <c r="D22" s="28" t="str">
        <f aca="false">IF(C22="","N/A",VLOOKUP(C22,CHOOSE({1,2},Table2[Pay Item Description],Table2[Units]),2,0))</f>
        <v>N/A</v>
      </c>
      <c r="E22" s="29"/>
      <c r="F22" s="30" t="str">
        <f aca="false">IF(C22="","N/A",IF(INDEX(UnitCostGrid,MATCH(C22,PayItemKeys,0),$I$11)="",INDEX(UnitCostGrid,MATCH(C22,PayItemKeys,0),1),INDEX(UnitCostGrid,MATCH(C22,PayItemKeys,0),$I$11)))</f>
        <v>N/A</v>
      </c>
      <c r="G22" s="31" t="n">
        <f aca="false">IF(C22="",0,F22*E22)</f>
        <v>0</v>
      </c>
      <c r="I22" s="21" t="str">
        <f aca="false">IF(C22="","",IF(INDEX(UnitCostGrid,MATCH(C22,PayItemKeys,0),$I$11)="",0,1))</f>
        <v/>
      </c>
    </row>
    <row r="23" customFormat="false" ht="15" hidden="false" customHeight="false" outlineLevel="0" collapsed="false">
      <c r="G23" s="37"/>
    </row>
    <row r="24" customFormat="false" ht="15" hidden="false" customHeight="false" outlineLevel="0" collapsed="false">
      <c r="A24" s="38" t="s">
        <v>27</v>
      </c>
      <c r="B24" s="38"/>
      <c r="G24" s="31" t="n">
        <f aca="false">SUM(G13:G22)</f>
        <v>0</v>
      </c>
    </row>
    <row r="25" customFormat="false" ht="15" hidden="false" customHeight="false" outlineLevel="0" collapsed="false">
      <c r="A25" s="38"/>
      <c r="B25" s="38" t="s">
        <v>28</v>
      </c>
      <c r="G25" s="31" t="n">
        <f aca="false">('General Information'!$D$36/100)*G24</f>
        <v>0</v>
      </c>
    </row>
    <row r="26" customFormat="false" ht="15" hidden="false" customHeight="false" outlineLevel="0" collapsed="false">
      <c r="A26" s="38"/>
      <c r="B26" s="38" t="s">
        <v>29</v>
      </c>
      <c r="G26" s="31" t="n">
        <f aca="false">('General Information'!$D$37/100)*G24</f>
        <v>0</v>
      </c>
    </row>
    <row r="27" s="7" customFormat="true" ht="21.75" hidden="false" customHeight="true" outlineLevel="0" collapsed="false">
      <c r="A27" s="39" t="s">
        <v>30</v>
      </c>
      <c r="B27" s="39"/>
      <c r="C27" s="39"/>
      <c r="D27" s="39"/>
      <c r="E27" s="39"/>
      <c r="F27" s="39"/>
      <c r="G27" s="40" t="n">
        <f aca="false">SUM(G24:G26)</f>
        <v>0</v>
      </c>
      <c r="J27" s="10"/>
      <c r="K27" s="10"/>
      <c r="L27" s="41"/>
      <c r="M27" s="10"/>
      <c r="N27" s="10"/>
      <c r="O27" s="10"/>
      <c r="P27" s="10"/>
    </row>
    <row r="33" customFormat="false" ht="15" hidden="false" customHeight="false" outlineLevel="0" collapsed="false">
      <c r="A33" s="7" t="s">
        <v>31</v>
      </c>
    </row>
    <row r="34" customFormat="false" ht="19.5" hidden="false" customHeight="true" outlineLevel="0" collapsed="false">
      <c r="A34" s="42" t="s">
        <v>32</v>
      </c>
      <c r="I34" s="6" t="s">
        <v>0</v>
      </c>
    </row>
    <row r="36" customFormat="false" ht="19.5" hidden="false" customHeight="true" outlineLevel="0" collapsed="false">
      <c r="B36" s="24" t="s">
        <v>33</v>
      </c>
      <c r="C36" s="25" t="s">
        <v>34</v>
      </c>
      <c r="D36" s="25" t="s">
        <v>35</v>
      </c>
      <c r="E36" s="25" t="s">
        <v>36</v>
      </c>
    </row>
    <row r="37" customFormat="false" ht="15" hidden="false" customHeight="false" outlineLevel="0" collapsed="false">
      <c r="B37" s="43" t="s">
        <v>37</v>
      </c>
      <c r="C37" s="44" t="n">
        <f aca="false">C6</f>
        <v>2028</v>
      </c>
      <c r="D37" s="45" t="n">
        <f aca="false">G27</f>
        <v>0</v>
      </c>
      <c r="E37" s="46" t="n">
        <f aca="false">D37</f>
        <v>0</v>
      </c>
      <c r="K37" s="1" t="s">
        <v>38</v>
      </c>
      <c r="L37" s="2" t="s">
        <v>39</v>
      </c>
      <c r="M37" s="1" t="s">
        <v>40</v>
      </c>
      <c r="N37" s="1" t="s">
        <v>41</v>
      </c>
    </row>
    <row r="38" customFormat="false" ht="15" hidden="false" customHeight="false" outlineLevel="0" collapsed="false">
      <c r="B38" s="47" t="s">
        <v>3</v>
      </c>
      <c r="C38" s="48" t="n">
        <f aca="false">'Maintenance Policies'!E37</f>
        <v>19</v>
      </c>
      <c r="D38" s="49" t="n">
        <f aca="false">P20</f>
        <v>630652.6584</v>
      </c>
      <c r="E38" s="50" t="n">
        <f aca="false">IF(C38&gt;'General Information'!$D$33,0,D38/(1+('General Information'!$D$34/100))^C38)</f>
        <v>359652.398857314</v>
      </c>
      <c r="K38" s="1" t="n">
        <f aca="false">C6</f>
        <v>2028</v>
      </c>
      <c r="L38" s="2" t="n">
        <f aca="false">IF(K38-$C$6&gt;'General Information'!$D$33,0,IF(K38=$C$6,$D$37,0)+SUMIFS($D$38:$D$42,$C$38:$C$42,K38-$C$6,$B$38:$B$42,"&lt;&gt;*Indirect*"))</f>
        <v>0</v>
      </c>
      <c r="M38" s="2" t="n">
        <f aca="false">IF(K38-$C$6&gt;'General Information'!$D$33,0,SUMIFS($D$38:$D$42,$C$38:$C$42,K38-$C$6,$B$38:$B$42,"*Indirect*"))</f>
        <v>0</v>
      </c>
      <c r="N38" s="2" t="n">
        <f aca="false">IF(K38-$C$6&gt;'General Information'!$D$33,0,IF(K38=$C$6,$E$37,0)+SUMIF($C$38:$C$42,K38-$C$6,$E$38:$E$42))</f>
        <v>0</v>
      </c>
    </row>
    <row r="39" customFormat="false" ht="15" hidden="false" customHeight="false" outlineLevel="0" collapsed="false">
      <c r="B39" s="51" t="s">
        <v>42</v>
      </c>
      <c r="C39" s="48" t="n">
        <f aca="false">'Maintenance Policies'!E37</f>
        <v>19</v>
      </c>
      <c r="D39" s="49" t="n">
        <f aca="false">F2*F4</f>
        <v>43529.36</v>
      </c>
      <c r="E39" s="50" t="n">
        <f aca="false">IF(C39&gt;'General Information'!$D$33,0,D39/(1+('General Information'!$D$34/100))^C39)</f>
        <v>24824.1857640659</v>
      </c>
      <c r="K39" s="1" t="n">
        <f aca="false">K38+1</f>
        <v>2029</v>
      </c>
      <c r="L39" s="2" t="n">
        <f aca="false">IF(K39-$C$6&gt;'General Information'!$D$33,0,IF(K39=$C$6,$D$37,0)+SUMIFS($D$38:$D$42,$C$38:$C$42,K39-$C$6,$B$38:$B$42,"&lt;&gt;*Indirect*"))</f>
        <v>0</v>
      </c>
      <c r="M39" s="2" t="n">
        <f aca="false">IF(K39-$C$6&gt;'General Information'!$D$33,0,SUMIFS($D$38:$D$42,$C$38:$C$42,K39-$C$6,$B$38:$B$42,"*Indirect*"))</f>
        <v>0</v>
      </c>
      <c r="N39" s="2" t="n">
        <f aca="false">IF(K39-$C$6&gt;'General Information'!$D$33,0,IF(K39=$C$6,$E$37,0)+SUMIF($C$38:$C$42,K39-$C$6,$E$38:$E$42))</f>
        <v>0</v>
      </c>
    </row>
    <row r="40" customFormat="false" ht="15" hidden="false" customHeight="false" outlineLevel="0" collapsed="false">
      <c r="B40" s="52" t="s">
        <v>4</v>
      </c>
      <c r="C40" s="53" t="n">
        <f aca="false">'Maintenance Policies'!E41</f>
        <v>27</v>
      </c>
      <c r="D40" s="54" t="n">
        <f aca="false">X21</f>
        <v>738083.1146</v>
      </c>
      <c r="E40" s="54" t="n">
        <f aca="false">IF(C40&gt;'General Information'!$D$33,0,D40/(1+('General Information'!$D$34/100))^C40)</f>
        <v>332276.940438261</v>
      </c>
      <c r="K40" s="1" t="n">
        <f aca="false">K39+1</f>
        <v>2030</v>
      </c>
      <c r="L40" s="2" t="n">
        <f aca="false">IF(K40-$C$6&gt;'General Information'!$D$33,0,IF(K40=$C$6,$D$37,0)+SUMIFS($D$38:$D$42,$C$38:$C$42,K40-$C$6,$B$38:$B$42,"&lt;&gt;*Indirect*"))</f>
        <v>0</v>
      </c>
      <c r="M40" s="2" t="n">
        <f aca="false">IF(K40-$C$6&gt;'General Information'!$D$33,0,SUMIFS($D$38:$D$42,$C$38:$C$42,K40-$C$6,$B$38:$B$42,"*Indirect*"))</f>
        <v>0</v>
      </c>
      <c r="N40" s="2" t="n">
        <f aca="false">IF(K40-$C$6&gt;'General Information'!$D$33,0,IF(K40=$C$6,$E$37,0)+SUMIF($C$38:$C$42,K40-$C$6,$E$38:$E$42))</f>
        <v>0</v>
      </c>
    </row>
    <row r="41" customFormat="false" ht="15" hidden="false" customHeight="false" outlineLevel="0" collapsed="false">
      <c r="B41" s="51" t="s">
        <v>43</v>
      </c>
      <c r="C41" s="48" t="n">
        <f aca="false">'Maintenance Policies'!E41</f>
        <v>27</v>
      </c>
      <c r="D41" s="49" t="n">
        <f aca="false">F2*F5</f>
        <v>87058.72</v>
      </c>
      <c r="E41" s="50" t="n">
        <f aca="false">IF(C41&gt;'General Information'!$D$33,0,D41/(1+('General Information'!$D$34/100))^C41)</f>
        <v>39192.8829529563</v>
      </c>
      <c r="K41" s="1" t="n">
        <f aca="false">K40+1</f>
        <v>2031</v>
      </c>
      <c r="L41" s="2" t="n">
        <f aca="false">IF(K41-$C$6&gt;'General Information'!$D$33,0,IF(K41=$C$6,$D$37,0)+SUMIFS($D$38:$D$42,$C$38:$C$42,K41-$C$6,$B$38:$B$42,"&lt;&gt;*Indirect*"))</f>
        <v>0</v>
      </c>
      <c r="M41" s="2" t="n">
        <f aca="false">IF(K41-$C$6&gt;'General Information'!$D$33,0,SUMIFS($D$38:$D$42,$C$38:$C$42,K41-$C$6,$B$38:$B$42,"*Indirect*"))</f>
        <v>0</v>
      </c>
      <c r="N41" s="2" t="n">
        <f aca="false">IF(K41-$C$6&gt;'General Information'!$D$33,0,IF(K41=$C$6,$E$37,0)+SUMIF($C$38:$C$42,K41-$C$6,$E$38:$E$42))</f>
        <v>0</v>
      </c>
    </row>
    <row r="42" customFormat="false" ht="15" hidden="false" customHeight="false" outlineLevel="0" collapsed="false">
      <c r="B42" s="55" t="s">
        <v>44</v>
      </c>
      <c r="C42" s="56" t="n">
        <f aca="false">'General Information'!D33</f>
        <v>30</v>
      </c>
      <c r="D42" s="57" t="n">
        <f aca="false">-'Maintenance Policies'!D46*G27</f>
        <v>-0</v>
      </c>
      <c r="E42" s="57" t="n">
        <f aca="false">IF(C42&gt;'General Information'!$D$33,0,D42/(1+('General Information'!$D$34/100))^C42)</f>
        <v>-0</v>
      </c>
      <c r="K42" s="1" t="n">
        <f aca="false">K41+1</f>
        <v>2032</v>
      </c>
      <c r="L42" s="2" t="n">
        <f aca="false">IF(K42-$C$6&gt;'General Information'!$D$33,0,IF(K42=$C$6,$D$37,0)+SUMIFS($D$38:$D$42,$C$38:$C$42,K42-$C$6,$B$38:$B$42,"&lt;&gt;*Indirect*"))</f>
        <v>0</v>
      </c>
      <c r="M42" s="2" t="n">
        <f aca="false">IF(K42-$C$6&gt;'General Information'!$D$33,0,SUMIFS($D$38:$D$42,$C$38:$C$42,K42-$C$6,$B$38:$B$42,"*Indirect*"))</f>
        <v>0</v>
      </c>
      <c r="N42" s="2" t="n">
        <f aca="false">IF(K42-$C$6&gt;'General Information'!$D$33,0,IF(K42=$C$6,$E$37,0)+SUMIF($C$38:$C$42,K42-$C$6,$E$38:$E$42))</f>
        <v>0</v>
      </c>
    </row>
    <row r="43" customFormat="false" ht="25.5" hidden="false" customHeight="true" outlineLevel="0" collapsed="false">
      <c r="B43" s="58" t="s">
        <v>31</v>
      </c>
      <c r="C43" s="59"/>
      <c r="D43" s="59"/>
      <c r="E43" s="60" t="n">
        <f aca="false">SUM(E37:E42)</f>
        <v>755946.408012598</v>
      </c>
      <c r="K43" s="1" t="n">
        <f aca="false">K42+1</f>
        <v>2033</v>
      </c>
      <c r="L43" s="2" t="n">
        <f aca="false">IF(K43-$C$6&gt;'General Information'!$D$33,0,IF(K43=$C$6,$D$37,0)+SUMIFS($D$38:$D$42,$C$38:$C$42,K43-$C$6,$B$38:$B$42,"&lt;&gt;*Indirect*"))</f>
        <v>0</v>
      </c>
      <c r="M43" s="2" t="n">
        <f aca="false">IF(K43-$C$6&gt;'General Information'!$D$33,0,SUMIFS($D$38:$D$42,$C$38:$C$42,K43-$C$6,$B$38:$B$42,"*Indirect*"))</f>
        <v>0</v>
      </c>
      <c r="N43" s="2" t="n">
        <f aca="false">IF(K43-$C$6&gt;'General Information'!$D$33,0,IF(K43=$C$6,$E$37,0)+SUMIF($C$38:$C$42,K43-$C$6,$E$38:$E$42))</f>
        <v>0</v>
      </c>
    </row>
    <row r="44" customFormat="false" ht="15" hidden="false" customHeight="false" outlineLevel="0" collapsed="false">
      <c r="K44" s="1" t="n">
        <f aca="false">K43+1</f>
        <v>2034</v>
      </c>
      <c r="L44" s="2" t="n">
        <f aca="false">IF(K44-$C$6&gt;'General Information'!$D$33,0,IF(K44=$C$6,$D$37,0)+SUMIFS($D$38:$D$42,$C$38:$C$42,K44-$C$6,$B$38:$B$42,"&lt;&gt;*Indirect*"))</f>
        <v>0</v>
      </c>
      <c r="M44" s="2" t="n">
        <f aca="false">IF(K44-$C$6&gt;'General Information'!$D$33,0,SUMIFS($D$38:$D$42,$C$38:$C$42,K44-$C$6,$B$38:$B$42,"*Indirect*"))</f>
        <v>0</v>
      </c>
      <c r="N44" s="2" t="n">
        <f aca="false">IF(K44-$C$6&gt;'General Information'!$D$33,0,IF(K44=$C$6,$E$37,0)+SUMIF($C$38:$C$42,K44-$C$6,$E$38:$E$42))</f>
        <v>0</v>
      </c>
    </row>
    <row r="45" customFormat="false" ht="15" hidden="false" customHeight="false" outlineLevel="0" collapsed="false">
      <c r="K45" s="1" t="n">
        <f aca="false">K44+1</f>
        <v>2035</v>
      </c>
      <c r="L45" s="2" t="n">
        <f aca="false">IF(K45-$C$6&gt;'General Information'!$D$33,0,IF(K45=$C$6,$D$37,0)+SUMIFS($D$38:$D$42,$C$38:$C$42,K45-$C$6,$B$38:$B$42,"&lt;&gt;*Indirect*"))</f>
        <v>0</v>
      </c>
      <c r="M45" s="2" t="n">
        <f aca="false">IF(K45-$C$6&gt;'General Information'!$D$33,0,SUMIFS($D$38:$D$42,$C$38:$C$42,K45-$C$6,$B$38:$B$42,"*Indirect*"))</f>
        <v>0</v>
      </c>
      <c r="N45" s="2" t="n">
        <f aca="false">IF(K45-$C$6&gt;'General Information'!$D$33,0,IF(K45=$C$6,$E$37,0)+SUMIF($C$38:$C$42,K45-$C$6,$E$38:$E$42))</f>
        <v>0</v>
      </c>
    </row>
    <row r="46" customFormat="false" ht="15" hidden="false" customHeight="false" outlineLevel="0" collapsed="false">
      <c r="K46" s="1" t="n">
        <f aca="false">K45+1</f>
        <v>2036</v>
      </c>
      <c r="L46" s="2" t="n">
        <f aca="false">IF(K46-$C$6&gt;'General Information'!$D$33,0,IF(K46=$C$6,$D$37,0)+SUMIFS($D$38:$D$42,$C$38:$C$42,K46-$C$6,$B$38:$B$42,"&lt;&gt;*Indirect*"))</f>
        <v>0</v>
      </c>
      <c r="M46" s="2" t="n">
        <f aca="false">IF(K46-$C$6&gt;'General Information'!$D$33,0,SUMIFS($D$38:$D$42,$C$38:$C$42,K46-$C$6,$B$38:$B$42,"*Indirect*"))</f>
        <v>0</v>
      </c>
      <c r="N46" s="2" t="n">
        <f aca="false">IF(K46-$C$6&gt;'General Information'!$D$33,0,IF(K46=$C$6,$E$37,0)+SUMIF($C$38:$C$42,K46-$C$6,$E$38:$E$42))</f>
        <v>0</v>
      </c>
    </row>
    <row r="47" customFormat="false" ht="15" hidden="false" customHeight="false" outlineLevel="0" collapsed="false">
      <c r="K47" s="1" t="n">
        <f aca="false">K46+1</f>
        <v>2037</v>
      </c>
      <c r="L47" s="2" t="n">
        <f aca="false">IF(K47-$C$6&gt;'General Information'!$D$33,0,IF(K47=$C$6,$D$37,0)+SUMIFS($D$38:$D$42,$C$38:$C$42,K47-$C$6,$B$38:$B$42,"&lt;&gt;*Indirect*"))</f>
        <v>0</v>
      </c>
      <c r="M47" s="2" t="n">
        <f aca="false">IF(K47-$C$6&gt;'General Information'!$D$33,0,SUMIFS($D$38:$D$42,$C$38:$C$42,K47-$C$6,$B$38:$B$42,"*Indirect*"))</f>
        <v>0</v>
      </c>
      <c r="N47" s="2" t="n">
        <f aca="false">IF(K47-$C$6&gt;'General Information'!$D$33,0,IF(K47=$C$6,$E$37,0)+SUMIF($C$38:$C$42,K47-$C$6,$E$38:$E$42))</f>
        <v>0</v>
      </c>
    </row>
    <row r="48" customFormat="false" ht="15" hidden="false" customHeight="false" outlineLevel="0" collapsed="false">
      <c r="K48" s="1" t="n">
        <f aca="false">K47+1</f>
        <v>2038</v>
      </c>
      <c r="L48" s="2" t="n">
        <f aca="false">IF(K48-$C$6&gt;'General Information'!$D$33,0,IF(K48=$C$6,$D$37,0)+SUMIFS($D$38:$D$42,$C$38:$C$42,K48-$C$6,$B$38:$B$42,"&lt;&gt;*Indirect*"))</f>
        <v>0</v>
      </c>
      <c r="M48" s="2" t="n">
        <f aca="false">IF(K48-$C$6&gt;'General Information'!$D$33,0,SUMIFS($D$38:$D$42,$C$38:$C$42,K48-$C$6,$B$38:$B$42,"*Indirect*"))</f>
        <v>0</v>
      </c>
      <c r="N48" s="2" t="n">
        <f aca="false">IF(K48-$C$6&gt;'General Information'!$D$33,0,IF(K48=$C$6,$E$37,0)+SUMIF($C$38:$C$42,K48-$C$6,$E$38:$E$42))</f>
        <v>0</v>
      </c>
    </row>
    <row r="49" customFormat="false" ht="15" hidden="false" customHeight="false" outlineLevel="0" collapsed="false">
      <c r="K49" s="1" t="n">
        <f aca="false">K48+1</f>
        <v>2039</v>
      </c>
      <c r="L49" s="2" t="n">
        <f aca="false">IF(K49-$C$6&gt;'General Information'!$D$33,0,IF(K49=$C$6,$D$37,0)+SUMIFS($D$38:$D$42,$C$38:$C$42,K49-$C$6,$B$38:$B$42,"&lt;&gt;*Indirect*"))</f>
        <v>0</v>
      </c>
      <c r="M49" s="2" t="n">
        <f aca="false">IF(K49-$C$6&gt;'General Information'!$D$33,0,SUMIFS($D$38:$D$42,$C$38:$C$42,K49-$C$6,$B$38:$B$42,"*Indirect*"))</f>
        <v>0</v>
      </c>
      <c r="N49" s="2" t="n">
        <f aca="false">IF(K49-$C$6&gt;'General Information'!$D$33,0,IF(K49=$C$6,$E$37,0)+SUMIF($C$38:$C$42,K49-$C$6,$E$38:$E$42))</f>
        <v>0</v>
      </c>
    </row>
    <row r="50" customFormat="false" ht="15" hidden="false" customHeight="false" outlineLevel="0" collapsed="false">
      <c r="K50" s="1" t="n">
        <f aca="false">K49+1</f>
        <v>2040</v>
      </c>
      <c r="L50" s="2" t="n">
        <f aca="false">IF(K50-$C$6&gt;'General Information'!$D$33,0,IF(K50=$C$6,$D$37,0)+SUMIFS($D$38:$D$42,$C$38:$C$42,K50-$C$6,$B$38:$B$42,"&lt;&gt;*Indirect*"))</f>
        <v>0</v>
      </c>
      <c r="M50" s="2" t="n">
        <f aca="false">IF(K50-$C$6&gt;'General Information'!$D$33,0,SUMIFS($D$38:$D$42,$C$38:$C$42,K50-$C$6,$B$38:$B$42,"*Indirect*"))</f>
        <v>0</v>
      </c>
      <c r="N50" s="2" t="n">
        <f aca="false">IF(K50-$C$6&gt;'General Information'!$D$33,0,IF(K50=$C$6,$E$37,0)+SUMIF($C$38:$C$42,K50-$C$6,$E$38:$E$42))</f>
        <v>0</v>
      </c>
    </row>
    <row r="51" customFormat="false" ht="15" hidden="false" customHeight="false" outlineLevel="0" collapsed="false">
      <c r="K51" s="1" t="n">
        <f aca="false">K50+1</f>
        <v>2041</v>
      </c>
      <c r="L51" s="2" t="n">
        <f aca="false">IF(K51-$C$6&gt;'General Information'!$D$33,0,IF(K51=$C$6,$D$37,0)+SUMIFS($D$38:$D$42,$C$38:$C$42,K51-$C$6,$B$38:$B$42,"&lt;&gt;*Indirect*"))</f>
        <v>0</v>
      </c>
      <c r="M51" s="2" t="n">
        <f aca="false">IF(K51-$C$6&gt;'General Information'!$D$33,0,SUMIFS($D$38:$D$42,$C$38:$C$42,K51-$C$6,$B$38:$B$42,"*Indirect*"))</f>
        <v>0</v>
      </c>
      <c r="N51" s="2" t="n">
        <f aca="false">IF(K51-$C$6&gt;'General Information'!$D$33,0,IF(K51=$C$6,$E$37,0)+SUMIF($C$38:$C$42,K51-$C$6,$E$38:$E$42))</f>
        <v>0</v>
      </c>
    </row>
    <row r="52" customFormat="false" ht="15" hidden="false" customHeight="false" outlineLevel="0" collapsed="false">
      <c r="K52" s="1" t="n">
        <f aca="false">K51+1</f>
        <v>2042</v>
      </c>
      <c r="L52" s="2" t="n">
        <f aca="false">IF(K52-$C$6&gt;'General Information'!$D$33,0,IF(K52=$C$6,$D$37,0)+SUMIFS($D$38:$D$42,$C$38:$C$42,K52-$C$6,$B$38:$B$42,"&lt;&gt;*Indirect*"))</f>
        <v>0</v>
      </c>
      <c r="M52" s="2" t="n">
        <f aca="false">IF(K52-$C$6&gt;'General Information'!$D$33,0,SUMIFS($D$38:$D$42,$C$38:$C$42,K52-$C$6,$B$38:$B$42,"*Indirect*"))</f>
        <v>0</v>
      </c>
      <c r="N52" s="2" t="n">
        <f aca="false">IF(K52-$C$6&gt;'General Information'!$D$33,0,IF(K52=$C$6,$E$37,0)+SUMIF($C$38:$C$42,K52-$C$6,$E$38:$E$42))</f>
        <v>0</v>
      </c>
    </row>
    <row r="53" customFormat="false" ht="15" hidden="false" customHeight="false" outlineLevel="0" collapsed="false">
      <c r="K53" s="1" t="n">
        <f aca="false">K52+1</f>
        <v>2043</v>
      </c>
      <c r="L53" s="2" t="n">
        <f aca="false">IF(K53-$C$6&gt;'General Information'!$D$33,0,IF(K53=$C$6,$D$37,0)+SUMIFS($D$38:$D$42,$C$38:$C$42,K53-$C$6,$B$38:$B$42,"&lt;&gt;*Indirect*"))</f>
        <v>0</v>
      </c>
      <c r="M53" s="2" t="n">
        <f aca="false">IF(K53-$C$6&gt;'General Information'!$D$33,0,SUMIFS($D$38:$D$42,$C$38:$C$42,K53-$C$6,$B$38:$B$42,"*Indirect*"))</f>
        <v>0</v>
      </c>
      <c r="N53" s="2" t="n">
        <f aca="false">IF(K53-$C$6&gt;'General Information'!$D$33,0,IF(K53=$C$6,$E$37,0)+SUMIF($C$38:$C$42,K53-$C$6,$E$38:$E$42))</f>
        <v>0</v>
      </c>
    </row>
    <row r="54" customFormat="false" ht="15" hidden="false" customHeight="false" outlineLevel="0" collapsed="false">
      <c r="K54" s="1" t="n">
        <f aca="false">K53+1</f>
        <v>2044</v>
      </c>
      <c r="L54" s="2" t="n">
        <f aca="false">IF(K54-$C$6&gt;'General Information'!$D$33,0,IF(K54=$C$6,$D$37,0)+SUMIFS($D$38:$D$42,$C$38:$C$42,K54-$C$6,$B$38:$B$42,"&lt;&gt;*Indirect*"))</f>
        <v>0</v>
      </c>
      <c r="M54" s="2" t="n">
        <f aca="false">IF(K54-$C$6&gt;'General Information'!$D$33,0,SUMIFS($D$38:$D$42,$C$38:$C$42,K54-$C$6,$B$38:$B$42,"*Indirect*"))</f>
        <v>0</v>
      </c>
      <c r="N54" s="2" t="n">
        <f aca="false">IF(K54-$C$6&gt;'General Information'!$D$33,0,IF(K54=$C$6,$E$37,0)+SUMIF($C$38:$C$42,K54-$C$6,$E$38:$E$42))</f>
        <v>0</v>
      </c>
    </row>
    <row r="55" customFormat="false" ht="15" hidden="false" customHeight="false" outlineLevel="0" collapsed="false">
      <c r="K55" s="1" t="n">
        <f aca="false">K54+1</f>
        <v>2045</v>
      </c>
      <c r="L55" s="2" t="n">
        <f aca="false">IF(K55-$C$6&gt;'General Information'!$D$33,0,IF(K55=$C$6,$D$37,0)+SUMIFS($D$38:$D$42,$C$38:$C$42,K55-$C$6,$B$38:$B$42,"&lt;&gt;*Indirect*"))</f>
        <v>0</v>
      </c>
      <c r="M55" s="2" t="n">
        <f aca="false">IF(K55-$C$6&gt;'General Information'!$D$33,0,SUMIFS($D$38:$D$42,$C$38:$C$42,K55-$C$6,$B$38:$B$42,"*Indirect*"))</f>
        <v>0</v>
      </c>
      <c r="N55" s="2" t="n">
        <f aca="false">IF(K55-$C$6&gt;'General Information'!$D$33,0,IF(K55=$C$6,$E$37,0)+SUMIF($C$38:$C$42,K55-$C$6,$E$38:$E$42))</f>
        <v>0</v>
      </c>
    </row>
    <row r="56" customFormat="false" ht="15" hidden="false" customHeight="false" outlineLevel="0" collapsed="false">
      <c r="K56" s="1" t="n">
        <f aca="false">K55+1</f>
        <v>2046</v>
      </c>
      <c r="L56" s="2" t="n">
        <f aca="false">IF(K56-$C$6&gt;'General Information'!$D$33,0,IF(K56=$C$6,$D$37,0)+SUMIFS($D$38:$D$42,$C$38:$C$42,K56-$C$6,$B$38:$B$42,"&lt;&gt;*Indirect*"))</f>
        <v>0</v>
      </c>
      <c r="M56" s="2" t="n">
        <f aca="false">IF(K56-$C$6&gt;'General Information'!$D$33,0,SUMIFS($D$38:$D$42,$C$38:$C$42,K56-$C$6,$B$38:$B$42,"*Indirect*"))</f>
        <v>0</v>
      </c>
      <c r="N56" s="2" t="n">
        <f aca="false">IF(K56-$C$6&gt;'General Information'!$D$33,0,IF(K56=$C$6,$E$37,0)+SUMIF($C$38:$C$42,K56-$C$6,$E$38:$E$42))</f>
        <v>0</v>
      </c>
    </row>
    <row r="57" customFormat="false" ht="15" hidden="false" customHeight="false" outlineLevel="0" collapsed="false">
      <c r="K57" s="1" t="n">
        <f aca="false">K56+1</f>
        <v>2047</v>
      </c>
      <c r="L57" s="2" t="n">
        <f aca="false">IF(K57-$C$6&gt;'General Information'!$D$33,0,IF(K57=$C$6,$D$37,0)+SUMIFS($D$38:$D$42,$C$38:$C$42,K57-$C$6,$B$38:$B$42,"&lt;&gt;*Indirect*"))</f>
        <v>630652.6584</v>
      </c>
      <c r="M57" s="2" t="n">
        <f aca="false">IF(K57-$C$6&gt;'General Information'!$D$33,0,SUMIFS($D$38:$D$42,$C$38:$C$42,K57-$C$6,$B$38:$B$42,"*Indirect*"))</f>
        <v>43529.36</v>
      </c>
      <c r="N57" s="2" t="n">
        <f aca="false">IF(K57-$C$6&gt;'General Information'!$D$33,0,IF(K57=$C$6,$E$37,0)+SUMIF($C$38:$C$42,K57-$C$6,$E$38:$E$42))</f>
        <v>384476.58462138</v>
      </c>
    </row>
    <row r="58" customFormat="false" ht="15" hidden="false" customHeight="false" outlineLevel="0" collapsed="false">
      <c r="K58" s="1" t="n">
        <f aca="false">K57+1</f>
        <v>2048</v>
      </c>
      <c r="L58" s="2" t="n">
        <f aca="false">IF(K58-$C$6&gt;'General Information'!$D$33,0,IF(K58=$C$6,$D$37,0)+SUMIFS($D$38:$D$42,$C$38:$C$42,K58-$C$6,$B$38:$B$42,"&lt;&gt;*Indirect*"))</f>
        <v>0</v>
      </c>
      <c r="M58" s="2" t="n">
        <f aca="false">IF(K58-$C$6&gt;'General Information'!$D$33,0,SUMIFS($D$38:$D$42,$C$38:$C$42,K58-$C$6,$B$38:$B$42,"*Indirect*"))</f>
        <v>0</v>
      </c>
      <c r="N58" s="2" t="n">
        <f aca="false">IF(K58-$C$6&gt;'General Information'!$D$33,0,IF(K58=$C$6,$E$37,0)+SUMIF($C$38:$C$42,K58-$C$6,$E$38:$E$42))</f>
        <v>0</v>
      </c>
    </row>
    <row r="59" customFormat="false" ht="15" hidden="false" customHeight="false" outlineLevel="0" collapsed="false">
      <c r="K59" s="1" t="n">
        <f aca="false">K58+1</f>
        <v>2049</v>
      </c>
      <c r="L59" s="2" t="n">
        <f aca="false">IF(K59-$C$6&gt;'General Information'!$D$33,0,IF(K59=$C$6,$D$37,0)+SUMIFS($D$38:$D$42,$C$38:$C$42,K59-$C$6,$B$38:$B$42,"&lt;&gt;*Indirect*"))</f>
        <v>0</v>
      </c>
      <c r="M59" s="2" t="n">
        <f aca="false">IF(K59-$C$6&gt;'General Information'!$D$33,0,SUMIFS($D$38:$D$42,$C$38:$C$42,K59-$C$6,$B$38:$B$42,"*Indirect*"))</f>
        <v>0</v>
      </c>
      <c r="N59" s="2" t="n">
        <f aca="false">IF(K59-$C$6&gt;'General Information'!$D$33,0,IF(K59=$C$6,$E$37,0)+SUMIF($C$38:$C$42,K59-$C$6,$E$38:$E$42))</f>
        <v>0</v>
      </c>
    </row>
    <row r="60" customFormat="false" ht="15" hidden="false" customHeight="false" outlineLevel="0" collapsed="false">
      <c r="K60" s="1" t="n">
        <f aca="false">K59+1</f>
        <v>2050</v>
      </c>
      <c r="L60" s="2" t="n">
        <f aca="false">IF(K60-$C$6&gt;'General Information'!$D$33,0,IF(K60=$C$6,$D$37,0)+SUMIFS($D$38:$D$42,$C$38:$C$42,K60-$C$6,$B$38:$B$42,"&lt;&gt;*Indirect*"))</f>
        <v>0</v>
      </c>
      <c r="M60" s="2" t="n">
        <f aca="false">IF(K60-$C$6&gt;'General Information'!$D$33,0,SUMIFS($D$38:$D$42,$C$38:$C$42,K60-$C$6,$B$38:$B$42,"*Indirect*"))</f>
        <v>0</v>
      </c>
      <c r="N60" s="2" t="n">
        <f aca="false">IF(K60-$C$6&gt;'General Information'!$D$33,0,IF(K60=$C$6,$E$37,0)+SUMIF($C$38:$C$42,K60-$C$6,$E$38:$E$42))</f>
        <v>0</v>
      </c>
    </row>
    <row r="61" customFormat="false" ht="15" hidden="false" customHeight="false" outlineLevel="0" collapsed="false">
      <c r="K61" s="1" t="n">
        <f aca="false">K60+1</f>
        <v>2051</v>
      </c>
      <c r="L61" s="2" t="n">
        <f aca="false">IF(K61-$C$6&gt;'General Information'!$D$33,0,IF(K61=$C$6,$D$37,0)+SUMIFS($D$38:$D$42,$C$38:$C$42,K61-$C$6,$B$38:$B$42,"&lt;&gt;*Indirect*"))</f>
        <v>0</v>
      </c>
      <c r="M61" s="2" t="n">
        <f aca="false">IF(K61-$C$6&gt;'General Information'!$D$33,0,SUMIFS($D$38:$D$42,$C$38:$C$42,K61-$C$6,$B$38:$B$42,"*Indirect*"))</f>
        <v>0</v>
      </c>
      <c r="N61" s="2" t="n">
        <f aca="false">IF(K61-$C$6&gt;'General Information'!$D$33,0,IF(K61=$C$6,$E$37,0)+SUMIF($C$38:$C$42,K61-$C$6,$E$38:$E$42))</f>
        <v>0</v>
      </c>
    </row>
    <row r="62" customFormat="false" ht="15" hidden="false" customHeight="false" outlineLevel="0" collapsed="false">
      <c r="K62" s="1" t="n">
        <f aca="false">K61+1</f>
        <v>2052</v>
      </c>
      <c r="L62" s="2" t="n">
        <f aca="false">IF(K62-$C$6&gt;'General Information'!$D$33,0,IF(K62=$C$6,$D$37,0)+SUMIFS($D$38:$D$42,$C$38:$C$42,K62-$C$6,$B$38:$B$42,"&lt;&gt;*Indirect*"))</f>
        <v>0</v>
      </c>
      <c r="M62" s="2" t="n">
        <f aca="false">IF(K62-$C$6&gt;'General Information'!$D$33,0,SUMIFS($D$38:$D$42,$C$38:$C$42,K62-$C$6,$B$38:$B$42,"*Indirect*"))</f>
        <v>0</v>
      </c>
      <c r="N62" s="2" t="n">
        <f aca="false">IF(K62-$C$6&gt;'General Information'!$D$33,0,IF(K62=$C$6,$E$37,0)+SUMIF($C$38:$C$42,K62-$C$6,$E$38:$E$42))</f>
        <v>0</v>
      </c>
    </row>
    <row r="63" customFormat="false" ht="15" hidden="false" customHeight="false" outlineLevel="0" collapsed="false">
      <c r="K63" s="1" t="n">
        <f aca="false">K62+1</f>
        <v>2053</v>
      </c>
      <c r="L63" s="2" t="n">
        <f aca="false">IF(K63-$C$6&gt;'General Information'!$D$33,0,IF(K63=$C$6,$D$37,0)+SUMIFS($D$38:$D$42,$C$38:$C$42,K63-$C$6,$B$38:$B$42,"&lt;&gt;*Indirect*"))</f>
        <v>0</v>
      </c>
      <c r="M63" s="2" t="n">
        <f aca="false">IF(K63-$C$6&gt;'General Information'!$D$33,0,SUMIFS($D$38:$D$42,$C$38:$C$42,K63-$C$6,$B$38:$B$42,"*Indirect*"))</f>
        <v>0</v>
      </c>
      <c r="N63" s="2" t="n">
        <f aca="false">IF(K63-$C$6&gt;'General Information'!$D$33,0,IF(K63=$C$6,$E$37,0)+SUMIF($C$38:$C$42,K63-$C$6,$E$38:$E$42))</f>
        <v>0</v>
      </c>
    </row>
    <row r="64" customFormat="false" ht="15" hidden="false" customHeight="false" outlineLevel="0" collapsed="false">
      <c r="K64" s="1" t="n">
        <f aca="false">K63+1</f>
        <v>2054</v>
      </c>
      <c r="L64" s="2" t="n">
        <f aca="false">IF(K64-$C$6&gt;'General Information'!$D$33,0,IF(K64=$C$6,$D$37,0)+SUMIFS($D$38:$D$42,$C$38:$C$42,K64-$C$6,$B$38:$B$42,"&lt;&gt;*Indirect*"))</f>
        <v>0</v>
      </c>
      <c r="M64" s="2" t="n">
        <f aca="false">IF(K64-$C$6&gt;'General Information'!$D$33,0,SUMIFS($D$38:$D$42,$C$38:$C$42,K64-$C$6,$B$38:$B$42,"*Indirect*"))</f>
        <v>0</v>
      </c>
      <c r="N64" s="2" t="n">
        <f aca="false">IF(K64-$C$6&gt;'General Information'!$D$33,0,IF(K64=$C$6,$E$37,0)+SUMIF($C$38:$C$42,K64-$C$6,$E$38:$E$42))</f>
        <v>0</v>
      </c>
    </row>
    <row r="65" customFormat="false" ht="15" hidden="false" customHeight="false" outlineLevel="0" collapsed="false">
      <c r="K65" s="1" t="n">
        <f aca="false">K64+1</f>
        <v>2055</v>
      </c>
      <c r="L65" s="2" t="n">
        <f aca="false">IF(K65-$C$6&gt;'General Information'!$D$33,0,IF(K65=$C$6,$D$37,0)+SUMIFS($D$38:$D$42,$C$38:$C$42,K65-$C$6,$B$38:$B$42,"&lt;&gt;*Indirect*"))</f>
        <v>738083.1146</v>
      </c>
      <c r="M65" s="2" t="n">
        <f aca="false">IF(K65-$C$6&gt;'General Information'!$D$33,0,SUMIFS($D$38:$D$42,$C$38:$C$42,K65-$C$6,$B$38:$B$42,"*Indirect*"))</f>
        <v>87058.72</v>
      </c>
      <c r="N65" s="2" t="n">
        <f aca="false">IF(K65-$C$6&gt;'General Information'!$D$33,0,IF(K65=$C$6,$E$37,0)+SUMIF($C$38:$C$42,K65-$C$6,$E$38:$E$42))</f>
        <v>371469.823391218</v>
      </c>
    </row>
    <row r="66" customFormat="false" ht="15" hidden="false" customHeight="false" outlineLevel="0" collapsed="false">
      <c r="K66" s="1" t="n">
        <f aca="false">K65+1</f>
        <v>2056</v>
      </c>
      <c r="L66" s="2" t="n">
        <f aca="false">IF(K66-$C$6&gt;'General Information'!$D$33,0,IF(K66=$C$6,$D$37,0)+SUMIFS($D$38:$D$42,$C$38:$C$42,K66-$C$6,$B$38:$B$42,"&lt;&gt;*Indirect*"))</f>
        <v>0</v>
      </c>
      <c r="M66" s="2" t="n">
        <f aca="false">IF(K66-$C$6&gt;'General Information'!$D$33,0,SUMIFS($D$38:$D$42,$C$38:$C$42,K66-$C$6,$B$38:$B$42,"*Indirect*"))</f>
        <v>0</v>
      </c>
      <c r="N66" s="2" t="n">
        <f aca="false">IF(K66-$C$6&gt;'General Information'!$D$33,0,IF(K66=$C$6,$E$37,0)+SUMIF($C$38:$C$42,K66-$C$6,$E$38:$E$42))</f>
        <v>0</v>
      </c>
    </row>
    <row r="67" customFormat="false" ht="15" hidden="false" customHeight="false" outlineLevel="0" collapsed="false">
      <c r="K67" s="1" t="n">
        <f aca="false">K66+1</f>
        <v>2057</v>
      </c>
      <c r="L67" s="2" t="n">
        <f aca="false">IF(K67-$C$6&gt;'General Information'!$D$33,0,IF(K67=$C$6,$D$37,0)+SUMIFS($D$38:$D$42,$C$38:$C$42,K67-$C$6,$B$38:$B$42,"&lt;&gt;*Indirect*"))</f>
        <v>0</v>
      </c>
      <c r="M67" s="2" t="n">
        <f aca="false">IF(K67-$C$6&gt;'General Information'!$D$33,0,SUMIFS($D$38:$D$42,$C$38:$C$42,K67-$C$6,$B$38:$B$42,"*Indirect*"))</f>
        <v>0</v>
      </c>
      <c r="N67" s="2" t="n">
        <f aca="false">IF(K67-$C$6&gt;'General Information'!$D$33,0,IF(K67=$C$6,$E$37,0)+SUMIF($C$38:$C$42,K67-$C$6,$E$38:$E$42))</f>
        <v>0</v>
      </c>
    </row>
    <row r="68" customFormat="false" ht="15" hidden="false" customHeight="false" outlineLevel="0" collapsed="false">
      <c r="K68" s="1" t="n">
        <f aca="false">K67+1</f>
        <v>2058</v>
      </c>
      <c r="L68" s="2" t="n">
        <f aca="false">IF(K68-$C$6&gt;'General Information'!$D$33,0,IF(K68=$C$6,$D$37,0)+SUMIFS($D$38:$D$42,$C$38:$C$42,K68-$C$6,$B$38:$B$42,"&lt;&gt;*Indirect*"))</f>
        <v>0</v>
      </c>
      <c r="M68" s="2" t="n">
        <f aca="false">IF(K68-$C$6&gt;'General Information'!$D$33,0,SUMIFS($D$38:$D$42,$C$38:$C$42,K68-$C$6,$B$38:$B$42,"*Indirect*"))</f>
        <v>0</v>
      </c>
      <c r="N68" s="2" t="n">
        <f aca="false">IF(K68-$C$6&gt;'General Information'!$D$33,0,IF(K68=$C$6,$E$37,0)+SUMIF($C$38:$C$42,K68-$C$6,$E$38:$E$42))</f>
        <v>0</v>
      </c>
    </row>
  </sheetData>
  <mergeCells count="3">
    <mergeCell ref="A1:B1"/>
    <mergeCell ref="A3:G3"/>
    <mergeCell ref="D11:G11"/>
  </mergeCells>
  <dataValidations count="1">
    <dataValidation allowBlank="false" error="Choose Regular, Middle, West or East." errorStyle="stop" errorTitle="Pricing source" operator="between" prompt="Which unit cost column on Pay_Items this alternative is priced from. Regular is the statewide Unit Cost column." promptTitle="Price from" showDropDown="false" showErrorMessage="true" showInputMessage="true" sqref="C11" type="list">
      <formula1>"Regular,Middle,West,East"</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95959"/>
    <pageSetUpPr fitToPage="true"/>
  </sheetPr>
  <dimension ref="B1:M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2.75" zeroHeight="false" outlineLevelRow="0" outlineLevelCol="0"/>
  <cols>
    <col collapsed="false" customWidth="true" hidden="false" outlineLevel="0" max="1" min="1" style="61" width="1.5"/>
    <col collapsed="false" customWidth="true" hidden="false" outlineLevel="0" max="13" min="2" style="61" width="14.71"/>
    <col collapsed="false" customWidth="false" hidden="false" outlineLevel="0" max="16384" min="14" style="61" width="8.71"/>
  </cols>
  <sheetData>
    <row r="1" customFormat="false" ht="39.75" hidden="false" customHeight="true" outlineLevel="0" collapsed="false">
      <c r="B1" s="3" t="str">
        <f aca="false">HYPERLINK("#'General Information'!D9","◄ General Information")</f>
        <v>◄ General Information</v>
      </c>
      <c r="C1" s="3"/>
      <c r="D1" s="3"/>
      <c r="E1" s="4" t="str">
        <f aca="false">HYPERLINK("#Summary!G1","Summary")</f>
        <v>Summary</v>
      </c>
      <c r="F1" s="4"/>
      <c r="G1" s="42" t="s">
        <v>45</v>
      </c>
    </row>
    <row r="2" customFormat="false" ht="15.75" hidden="false" customHeight="true" outlineLevel="0" collapsed="false">
      <c r="B2" s="62" t="s">
        <v>46</v>
      </c>
      <c r="C2" s="62"/>
      <c r="D2" s="62"/>
      <c r="E2" s="62"/>
      <c r="F2" s="62"/>
      <c r="G2" s="62"/>
      <c r="H2" s="62"/>
      <c r="I2" s="62"/>
      <c r="J2" s="62"/>
      <c r="K2" s="62"/>
      <c r="L2" s="62"/>
      <c r="M2" s="62"/>
    </row>
    <row r="3" customFormat="false" ht="6" hidden="false" customHeight="true" outlineLevel="0" collapsed="false"/>
    <row r="4" customFormat="false" ht="25.5" hidden="false" customHeight="true" outlineLevel="0" collapsed="false">
      <c r="B4" s="63" t="s">
        <v>47</v>
      </c>
      <c r="C4" s="63"/>
      <c r="D4" s="63"/>
      <c r="E4" s="63"/>
      <c r="F4" s="63"/>
      <c r="G4" s="63"/>
      <c r="H4" s="63"/>
      <c r="I4" s="63"/>
      <c r="J4" s="63"/>
      <c r="K4" s="63"/>
      <c r="L4" s="63"/>
      <c r="M4" s="63"/>
    </row>
    <row r="5" customFormat="false" ht="16.5" hidden="false" customHeight="true" outlineLevel="0" collapsed="false">
      <c r="B5" s="64" t="s">
        <v>48</v>
      </c>
      <c r="C5" s="64"/>
      <c r="D5" s="64"/>
      <c r="E5" s="64"/>
      <c r="F5" s="64"/>
      <c r="G5" s="64"/>
      <c r="H5" s="64"/>
      <c r="I5" s="64"/>
      <c r="J5" s="64"/>
      <c r="K5" s="64"/>
      <c r="L5" s="64"/>
      <c r="M5" s="64"/>
    </row>
    <row r="6" customFormat="false" ht="16.5" hidden="false" customHeight="true" outlineLevel="0" collapsed="false">
      <c r="B6" s="64"/>
      <c r="C6" s="64"/>
      <c r="D6" s="64"/>
      <c r="E6" s="64"/>
      <c r="F6" s="64"/>
      <c r="G6" s="64"/>
      <c r="H6" s="64"/>
      <c r="I6" s="64"/>
      <c r="J6" s="64"/>
      <c r="K6" s="64"/>
      <c r="L6" s="64"/>
      <c r="M6" s="64"/>
    </row>
    <row r="7" customFormat="false" ht="7.5" hidden="false" customHeight="true" outlineLevel="0" collapsed="false"/>
    <row r="8" customFormat="false" ht="19.5" hidden="false" customHeight="true" outlineLevel="0" collapsed="false">
      <c r="B8" s="65" t="s">
        <v>49</v>
      </c>
      <c r="C8" s="65"/>
      <c r="D8" s="65"/>
      <c r="E8" s="65"/>
      <c r="F8" s="65" t="s">
        <v>50</v>
      </c>
      <c r="G8" s="65"/>
      <c r="H8" s="65"/>
      <c r="I8" s="65"/>
      <c r="J8" s="65" t="s">
        <v>51</v>
      </c>
      <c r="K8" s="65"/>
      <c r="L8" s="65"/>
      <c r="M8" s="65"/>
    </row>
    <row r="9" customFormat="false" ht="15" hidden="false" customHeight="true" outlineLevel="0" collapsed="false">
      <c r="B9" s="66" t="s">
        <v>52</v>
      </c>
      <c r="C9" s="66"/>
      <c r="D9" s="66"/>
      <c r="E9" s="66"/>
      <c r="F9" s="66" t="s">
        <v>53</v>
      </c>
      <c r="G9" s="66"/>
      <c r="H9" s="66"/>
      <c r="I9" s="66"/>
      <c r="J9" s="66" t="s">
        <v>54</v>
      </c>
      <c r="K9" s="66"/>
      <c r="L9" s="66"/>
      <c r="M9" s="66"/>
    </row>
    <row r="10" customFormat="false" ht="15" hidden="false" customHeight="true" outlineLevel="0" collapsed="false">
      <c r="B10" s="66" t="s">
        <v>55</v>
      </c>
      <c r="C10" s="66"/>
      <c r="D10" s="66"/>
      <c r="E10" s="66"/>
      <c r="F10" s="66" t="s">
        <v>56</v>
      </c>
      <c r="G10" s="66"/>
      <c r="H10" s="66"/>
      <c r="I10" s="66"/>
      <c r="J10" s="66" t="s">
        <v>57</v>
      </c>
      <c r="K10" s="66"/>
      <c r="L10" s="66"/>
      <c r="M10" s="66"/>
    </row>
    <row r="11" customFormat="false" ht="15" hidden="false" customHeight="true" outlineLevel="0" collapsed="false">
      <c r="B11" s="66" t="s">
        <v>58</v>
      </c>
      <c r="C11" s="66"/>
      <c r="D11" s="66"/>
      <c r="E11" s="66"/>
      <c r="F11" s="66" t="s">
        <v>59</v>
      </c>
      <c r="G11" s="66"/>
      <c r="H11" s="66"/>
      <c r="I11" s="66"/>
      <c r="J11" s="66" t="s">
        <v>60</v>
      </c>
      <c r="K11" s="66"/>
      <c r="L11" s="66"/>
      <c r="M11" s="66"/>
    </row>
    <row r="12" customFormat="false" ht="15" hidden="false" customHeight="true" outlineLevel="0" collapsed="false">
      <c r="B12" s="67" t="s">
        <v>61</v>
      </c>
      <c r="C12" s="67"/>
      <c r="D12" s="67"/>
      <c r="E12" s="67"/>
      <c r="F12" s="67" t="s">
        <v>62</v>
      </c>
      <c r="G12" s="67"/>
      <c r="H12" s="67"/>
      <c r="I12" s="67"/>
      <c r="J12" s="67" t="s">
        <v>63</v>
      </c>
      <c r="K12" s="67"/>
      <c r="L12" s="67"/>
      <c r="M12" s="67"/>
    </row>
    <row r="13" customFormat="false" ht="7.5" hidden="false" customHeight="true" outlineLevel="0" collapsed="false"/>
    <row r="14" customFormat="false" ht="13.5" hidden="false" customHeight="true" outlineLevel="0" collapsed="false">
      <c r="B14" s="68" t="s">
        <v>64</v>
      </c>
      <c r="C14" s="68"/>
      <c r="D14" s="68"/>
      <c r="E14" s="68"/>
      <c r="F14" s="68"/>
      <c r="G14" s="68"/>
      <c r="H14" s="68"/>
      <c r="I14" s="68"/>
      <c r="J14" s="68"/>
      <c r="K14" s="68"/>
      <c r="L14" s="68"/>
      <c r="M14" s="68"/>
    </row>
    <row r="15" customFormat="false" ht="21.75" hidden="false" customHeight="true" outlineLevel="0" collapsed="false">
      <c r="B15" s="69" t="str">
        <f aca="false">IF('General Information'!$D$33="","30",'General Information'!$D$33)&amp;" years"</f>
        <v>30 years</v>
      </c>
      <c r="C15" s="69"/>
      <c r="D15" s="69"/>
      <c r="E15" s="70" t="str">
        <f aca="false">IF('General Information'!$D$34="","3",'General Information'!$D$34)&amp;"%"</f>
        <v>3%</v>
      </c>
      <c r="F15" s="70"/>
      <c r="G15" s="70"/>
      <c r="H15" s="70" t="str">
        <f aca="false">IF('General Information'!$D$36="","10",'General Information'!$D$36)&amp;" / "&amp;IF('General Information'!$D$37="","5",'General Information'!$D$37)&amp;"%"</f>
        <v>10 / 5%</v>
      </c>
      <c r="I15" s="70"/>
      <c r="J15" s="70"/>
      <c r="K15" s="71" t="s">
        <v>65</v>
      </c>
      <c r="L15" s="71"/>
      <c r="M15" s="71"/>
    </row>
    <row r="16" customFormat="false" ht="19.5" hidden="false" customHeight="true" outlineLevel="0" collapsed="false">
      <c r="B16" s="72" t="s">
        <v>66</v>
      </c>
      <c r="C16" s="72"/>
      <c r="D16" s="72"/>
      <c r="E16" s="73" t="s">
        <v>67</v>
      </c>
      <c r="F16" s="73"/>
      <c r="G16" s="73"/>
      <c r="H16" s="73" t="s">
        <v>68</v>
      </c>
      <c r="I16" s="73"/>
      <c r="J16" s="73"/>
      <c r="K16" s="74" t="s">
        <v>69</v>
      </c>
      <c r="L16" s="74"/>
      <c r="M16" s="74"/>
    </row>
    <row r="17" customFormat="false" ht="7.5" hidden="false" customHeight="true" outlineLevel="0" collapsed="false"/>
    <row r="18" customFormat="false" ht="13.5" hidden="false" customHeight="true" outlineLevel="0" collapsed="false">
      <c r="B18" s="68" t="s">
        <v>70</v>
      </c>
      <c r="C18" s="68"/>
      <c r="D18" s="68"/>
      <c r="E18" s="68"/>
      <c r="F18" s="68"/>
      <c r="G18" s="68"/>
      <c r="H18" s="68"/>
      <c r="I18" s="68"/>
      <c r="J18" s="68"/>
      <c r="K18" s="68"/>
      <c r="L18" s="68"/>
      <c r="M18" s="68"/>
    </row>
    <row r="19" customFormat="false" ht="19.5" hidden="false" customHeight="true" outlineLevel="0" collapsed="false">
      <c r="B19" s="75" t="str">
        <f aca="false">HYPERLINK("#Instructions!B1","1  Overview &amp; Instructions")</f>
        <v>1  Overview &amp; Instructions</v>
      </c>
      <c r="C19" s="75"/>
      <c r="D19" s="75"/>
      <c r="E19" s="76" t="str">
        <f aca="false">HYPERLINK("#'General Information'!D9","2  General Information")</f>
        <v>2  General Information</v>
      </c>
      <c r="F19" s="76"/>
      <c r="G19" s="76" t="str">
        <f aca="false">HYPERLINK("#Pay_Items!A1","3  Pay Items")</f>
        <v>3  Pay Items</v>
      </c>
      <c r="H19" s="76"/>
      <c r="I19" s="76" t="str">
        <f aca="false">HYPERLINK("#'General Information'!D9","4  Alternatives")</f>
        <v>4  Alternatives</v>
      </c>
      <c r="J19" s="76"/>
      <c r="K19" s="76" t="str">
        <f aca="false">HYPERLINK("#Summary!G1","5  Summary")</f>
        <v>5  Summary</v>
      </c>
      <c r="L19" s="76"/>
      <c r="M19" s="76"/>
    </row>
    <row r="20" customFormat="false" ht="7.5" hidden="false" customHeight="true" outlineLevel="0" collapsed="false"/>
    <row r="21" customFormat="false" ht="19.5" hidden="false" customHeight="true" outlineLevel="0" collapsed="false">
      <c r="B21" s="65" t="s">
        <v>71</v>
      </c>
      <c r="C21" s="65"/>
      <c r="D21" s="65"/>
      <c r="E21" s="65"/>
      <c r="F21" s="65"/>
      <c r="H21" s="77" t="s">
        <v>72</v>
      </c>
      <c r="I21" s="77"/>
      <c r="J21" s="77"/>
      <c r="K21" s="77"/>
      <c r="L21" s="77"/>
      <c r="M21" s="77"/>
    </row>
    <row r="22" customFormat="false" ht="15" hidden="false" customHeight="true" outlineLevel="0" collapsed="false">
      <c r="B22" s="66" t="s">
        <v>73</v>
      </c>
      <c r="C22" s="66"/>
      <c r="D22" s="66"/>
      <c r="E22" s="66"/>
      <c r="F22" s="66"/>
      <c r="H22" s="78" t="s">
        <v>74</v>
      </c>
      <c r="I22" s="78"/>
      <c r="J22" s="78"/>
      <c r="K22" s="78"/>
      <c r="L22" s="78"/>
      <c r="M22" s="78"/>
    </row>
    <row r="23" customFormat="false" ht="15" hidden="false" customHeight="true" outlineLevel="0" collapsed="false">
      <c r="B23" s="66" t="s">
        <v>75</v>
      </c>
      <c r="C23" s="66"/>
      <c r="D23" s="66"/>
      <c r="E23" s="66"/>
      <c r="F23" s="66"/>
      <c r="H23" s="78"/>
      <c r="I23" s="78"/>
      <c r="J23" s="78"/>
      <c r="K23" s="78"/>
      <c r="L23" s="78"/>
      <c r="M23" s="78"/>
    </row>
    <row r="24" customFormat="false" ht="15" hidden="false" customHeight="true" outlineLevel="0" collapsed="false">
      <c r="B24" s="66" t="s">
        <v>76</v>
      </c>
      <c r="C24" s="66"/>
      <c r="D24" s="66"/>
      <c r="E24" s="66"/>
      <c r="F24" s="66"/>
      <c r="H24" s="78"/>
      <c r="I24" s="78"/>
      <c r="J24" s="78"/>
      <c r="K24" s="78"/>
      <c r="L24" s="78"/>
      <c r="M24" s="78"/>
    </row>
    <row r="25" customFormat="false" ht="15" hidden="false" customHeight="true" outlineLevel="0" collapsed="false">
      <c r="B25" s="79" t="s">
        <v>77</v>
      </c>
      <c r="C25" s="79"/>
      <c r="D25" s="79"/>
      <c r="E25" s="79"/>
      <c r="F25" s="79"/>
      <c r="H25" s="78"/>
      <c r="I25" s="78"/>
      <c r="J25" s="78"/>
      <c r="K25" s="78"/>
      <c r="L25" s="78"/>
      <c r="M25" s="78"/>
    </row>
    <row r="26" customFormat="false" ht="9.75" hidden="false" customHeight="true" outlineLevel="0" collapsed="false"/>
    <row r="27" customFormat="false" ht="19.5" hidden="false" customHeight="true" outlineLevel="0" collapsed="false">
      <c r="B27" s="80" t="s">
        <v>78</v>
      </c>
      <c r="C27" s="80"/>
      <c r="D27" s="80"/>
      <c r="E27" s="80"/>
      <c r="F27" s="80"/>
      <c r="G27" s="80"/>
      <c r="H27" s="80"/>
      <c r="I27" s="80"/>
      <c r="J27" s="80"/>
      <c r="K27" s="80"/>
      <c r="L27" s="80"/>
      <c r="M27" s="80"/>
    </row>
    <row r="28" customFormat="false" ht="12.75" hidden="false" customHeight="false" outlineLevel="0" collapsed="false">
      <c r="B28" s="81"/>
    </row>
  </sheetData>
  <mergeCells count="43">
    <mergeCell ref="B1:D1"/>
    <mergeCell ref="E1:F1"/>
    <mergeCell ref="B2:M2"/>
    <mergeCell ref="B4:M4"/>
    <mergeCell ref="B5:M6"/>
    <mergeCell ref="B8:E8"/>
    <mergeCell ref="F8:I8"/>
    <mergeCell ref="J8:M8"/>
    <mergeCell ref="B9:E9"/>
    <mergeCell ref="F9:I9"/>
    <mergeCell ref="J9:M9"/>
    <mergeCell ref="B10:E10"/>
    <mergeCell ref="F10:I10"/>
    <mergeCell ref="J10:M10"/>
    <mergeCell ref="B11:E11"/>
    <mergeCell ref="F11:I11"/>
    <mergeCell ref="J11:M11"/>
    <mergeCell ref="B12:E12"/>
    <mergeCell ref="F12:I12"/>
    <mergeCell ref="J12:M12"/>
    <mergeCell ref="B14:M14"/>
    <mergeCell ref="B15:D15"/>
    <mergeCell ref="E15:G15"/>
    <mergeCell ref="H15:J15"/>
    <mergeCell ref="K15:M15"/>
    <mergeCell ref="B16:D16"/>
    <mergeCell ref="E16:G16"/>
    <mergeCell ref="H16:J16"/>
    <mergeCell ref="K16:M16"/>
    <mergeCell ref="B18:M18"/>
    <mergeCell ref="B19:D19"/>
    <mergeCell ref="E19:F19"/>
    <mergeCell ref="G19:H19"/>
    <mergeCell ref="I19:J19"/>
    <mergeCell ref="K19:M19"/>
    <mergeCell ref="B21:F21"/>
    <mergeCell ref="H21:M21"/>
    <mergeCell ref="B22:F22"/>
    <mergeCell ref="H22:M25"/>
    <mergeCell ref="B23:F23"/>
    <mergeCell ref="B24:F24"/>
    <mergeCell ref="B25:F25"/>
    <mergeCell ref="B27:M27"/>
  </mergeCells>
  <hyperlinks>
    <hyperlink ref="B25" r:id="rId1" display="tn.gov/tdot/aeronautics.html"/>
  </hyperlinks>
  <printOptions headings="false" gridLines="false" gridLinesSet="true" horizontalCentered="false" verticalCentered="false"/>
  <pageMargins left="0.7" right="0.7" top="0.75" bottom="0.7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95959"/>
    <pageSetUpPr fitToPage="true"/>
  </sheetPr>
  <dimension ref="B1:M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2.75" zeroHeight="false" outlineLevelRow="0" outlineLevelCol="0"/>
  <cols>
    <col collapsed="false" customWidth="true" hidden="false" outlineLevel="0" max="1" min="1" style="61" width="1.5"/>
    <col collapsed="false" customWidth="true" hidden="false" outlineLevel="0" max="13" min="2" style="61" width="14.71"/>
    <col collapsed="false" customWidth="false" hidden="false" outlineLevel="0" max="16384" min="14" style="61" width="8.71"/>
  </cols>
  <sheetData>
    <row r="1" customFormat="false" ht="39.75" hidden="false" customHeight="true" outlineLevel="0" collapsed="false">
      <c r="B1" s="3" t="str">
        <f aca="false">HYPERLINK("#'General Information'!D9","◄ General Information")</f>
        <v>◄ General Information</v>
      </c>
      <c r="C1" s="3"/>
      <c r="D1" s="3"/>
      <c r="E1" s="4" t="str">
        <f aca="false">HYPERLINK("#Summary!G1","Summary")</f>
        <v>Summary</v>
      </c>
      <c r="F1" s="4"/>
      <c r="G1" s="42" t="s">
        <v>79</v>
      </c>
    </row>
    <row r="2" customFormat="false" ht="15.75" hidden="false" customHeight="true" outlineLevel="0" collapsed="false">
      <c r="B2" s="62" t="s">
        <v>80</v>
      </c>
      <c r="C2" s="62"/>
      <c r="D2" s="62"/>
      <c r="E2" s="62"/>
      <c r="F2" s="62"/>
      <c r="G2" s="62"/>
      <c r="H2" s="62"/>
      <c r="I2" s="62"/>
      <c r="J2" s="62"/>
      <c r="K2" s="62"/>
      <c r="L2" s="62"/>
      <c r="M2" s="62"/>
    </row>
    <row r="3" customFormat="false" ht="6" hidden="false" customHeight="true" outlineLevel="0" collapsed="false"/>
    <row r="4" customFormat="false" ht="18" hidden="false" customHeight="true" outlineLevel="0" collapsed="false">
      <c r="B4" s="82" t="s">
        <v>81</v>
      </c>
      <c r="C4" s="82"/>
      <c r="D4" s="82"/>
      <c r="E4" s="82"/>
      <c r="F4" s="82"/>
      <c r="G4" s="82"/>
      <c r="H4" s="82"/>
      <c r="I4" s="82"/>
      <c r="J4" s="82"/>
      <c r="K4" s="82"/>
      <c r="L4" s="82"/>
      <c r="M4" s="82"/>
    </row>
    <row r="5" customFormat="false" ht="15.75" hidden="false" customHeight="true" outlineLevel="0" collapsed="false">
      <c r="B5" s="83" t="s">
        <v>82</v>
      </c>
      <c r="C5" s="83"/>
      <c r="D5" s="83"/>
      <c r="E5" s="83"/>
      <c r="F5" s="83"/>
      <c r="G5" s="83"/>
      <c r="H5" s="83"/>
      <c r="I5" s="83"/>
      <c r="J5" s="83"/>
      <c r="K5" s="83"/>
      <c r="L5" s="83"/>
      <c r="M5" s="83"/>
    </row>
    <row r="6" customFormat="false" ht="7.5" hidden="false" customHeight="true" outlineLevel="0" collapsed="false"/>
    <row r="7" customFormat="false" ht="19.5" hidden="false" customHeight="true" outlineLevel="0" collapsed="false">
      <c r="B7" s="65" t="s">
        <v>83</v>
      </c>
      <c r="C7" s="65"/>
      <c r="D7" s="65"/>
      <c r="E7" s="65"/>
      <c r="F7" s="65"/>
      <c r="G7" s="65"/>
      <c r="H7" s="65" t="s">
        <v>84</v>
      </c>
      <c r="I7" s="65"/>
      <c r="J7" s="65"/>
      <c r="K7" s="65"/>
      <c r="L7" s="65"/>
      <c r="M7" s="65"/>
    </row>
    <row r="8" customFormat="false" ht="15" hidden="false" customHeight="true" outlineLevel="0" collapsed="false">
      <c r="B8" s="84" t="s">
        <v>85</v>
      </c>
      <c r="C8" s="85" t="s">
        <v>86</v>
      </c>
      <c r="D8" s="85"/>
      <c r="E8" s="85"/>
      <c r="F8" s="85"/>
      <c r="G8" s="85"/>
      <c r="H8" s="84" t="s">
        <v>87</v>
      </c>
      <c r="I8" s="85" t="s">
        <v>88</v>
      </c>
      <c r="J8" s="85"/>
      <c r="K8" s="85"/>
      <c r="L8" s="85"/>
      <c r="M8" s="85"/>
    </row>
    <row r="9" customFormat="false" ht="13.5" hidden="false" customHeight="true" outlineLevel="0" collapsed="false">
      <c r="B9" s="84"/>
      <c r="C9" s="86" t="s">
        <v>89</v>
      </c>
      <c r="D9" s="86"/>
      <c r="E9" s="86"/>
      <c r="F9" s="86"/>
      <c r="G9" s="86"/>
      <c r="H9" s="84"/>
      <c r="I9" s="86" t="s">
        <v>90</v>
      </c>
      <c r="J9" s="86"/>
      <c r="K9" s="86"/>
      <c r="L9" s="86"/>
      <c r="M9" s="86"/>
    </row>
    <row r="10" customFormat="false" ht="13.5" hidden="false" customHeight="true" outlineLevel="0" collapsed="false">
      <c r="B10" s="84"/>
      <c r="C10" s="86"/>
      <c r="D10" s="86"/>
      <c r="E10" s="86"/>
      <c r="F10" s="86"/>
      <c r="G10" s="86"/>
      <c r="H10" s="84"/>
      <c r="I10" s="86"/>
      <c r="J10" s="86"/>
      <c r="K10" s="86"/>
      <c r="L10" s="86"/>
      <c r="M10" s="86"/>
    </row>
    <row r="11" customFormat="false" ht="6" hidden="false" customHeight="true" outlineLevel="0" collapsed="false">
      <c r="B11" s="87"/>
      <c r="C11" s="88"/>
      <c r="D11" s="88"/>
      <c r="E11" s="88"/>
      <c r="F11" s="88"/>
      <c r="G11" s="89"/>
      <c r="H11" s="87"/>
      <c r="I11" s="88"/>
      <c r="J11" s="88"/>
      <c r="K11" s="88"/>
      <c r="L11" s="88"/>
      <c r="M11" s="89"/>
    </row>
    <row r="12" customFormat="false" ht="15" hidden="false" customHeight="true" outlineLevel="0" collapsed="false">
      <c r="B12" s="84" t="s">
        <v>91</v>
      </c>
      <c r="C12" s="85" t="s">
        <v>92</v>
      </c>
      <c r="D12" s="85"/>
      <c r="E12" s="85"/>
      <c r="F12" s="85"/>
      <c r="G12" s="85"/>
      <c r="H12" s="84" t="s">
        <v>93</v>
      </c>
      <c r="I12" s="85" t="s">
        <v>94</v>
      </c>
      <c r="J12" s="85"/>
      <c r="K12" s="85"/>
      <c r="L12" s="85"/>
      <c r="M12" s="85"/>
    </row>
    <row r="13" customFormat="false" ht="13.5" hidden="false" customHeight="true" outlineLevel="0" collapsed="false">
      <c r="B13" s="84"/>
      <c r="C13" s="86" t="s">
        <v>95</v>
      </c>
      <c r="D13" s="86"/>
      <c r="E13" s="86"/>
      <c r="F13" s="86"/>
      <c r="G13" s="86"/>
      <c r="H13" s="84"/>
      <c r="I13" s="86" t="s">
        <v>96</v>
      </c>
      <c r="J13" s="86"/>
      <c r="K13" s="86"/>
      <c r="L13" s="86"/>
      <c r="M13" s="86"/>
    </row>
    <row r="14" customFormat="false" ht="13.5" hidden="false" customHeight="true" outlineLevel="0" collapsed="false">
      <c r="B14" s="84"/>
      <c r="C14" s="86"/>
      <c r="D14" s="86"/>
      <c r="E14" s="86"/>
      <c r="F14" s="86"/>
      <c r="G14" s="86"/>
      <c r="H14" s="84"/>
      <c r="I14" s="86"/>
      <c r="J14" s="86"/>
      <c r="K14" s="86"/>
      <c r="L14" s="86"/>
      <c r="M14" s="86"/>
    </row>
    <row r="15" customFormat="false" ht="6" hidden="false" customHeight="true" outlineLevel="0" collapsed="false">
      <c r="B15" s="87"/>
      <c r="C15" s="88"/>
      <c r="D15" s="88"/>
      <c r="E15" s="88"/>
      <c r="F15" s="88"/>
      <c r="G15" s="89"/>
      <c r="H15" s="87"/>
      <c r="I15" s="88"/>
      <c r="J15" s="88"/>
      <c r="K15" s="88"/>
      <c r="L15" s="88"/>
      <c r="M15" s="89"/>
    </row>
    <row r="16" customFormat="false" ht="15" hidden="false" customHeight="true" outlineLevel="0" collapsed="false">
      <c r="B16" s="84" t="s">
        <v>97</v>
      </c>
      <c r="C16" s="85" t="s">
        <v>98</v>
      </c>
      <c r="D16" s="85"/>
      <c r="E16" s="85"/>
      <c r="F16" s="85"/>
      <c r="G16" s="85"/>
      <c r="H16" s="84" t="s">
        <v>99</v>
      </c>
      <c r="I16" s="85" t="s">
        <v>100</v>
      </c>
      <c r="J16" s="85"/>
      <c r="K16" s="85"/>
      <c r="L16" s="85"/>
      <c r="M16" s="85"/>
    </row>
    <row r="17" customFormat="false" ht="13.5" hidden="false" customHeight="true" outlineLevel="0" collapsed="false">
      <c r="B17" s="84"/>
      <c r="C17" s="86" t="s">
        <v>101</v>
      </c>
      <c r="D17" s="86"/>
      <c r="E17" s="86"/>
      <c r="F17" s="86"/>
      <c r="G17" s="86"/>
      <c r="H17" s="84"/>
      <c r="I17" s="86" t="s">
        <v>102</v>
      </c>
      <c r="J17" s="86"/>
      <c r="K17" s="86"/>
      <c r="L17" s="86"/>
      <c r="M17" s="86"/>
    </row>
    <row r="18" customFormat="false" ht="13.5" hidden="false" customHeight="true" outlineLevel="0" collapsed="false">
      <c r="B18" s="84"/>
      <c r="C18" s="86"/>
      <c r="D18" s="86"/>
      <c r="E18" s="86"/>
      <c r="F18" s="86"/>
      <c r="G18" s="86"/>
      <c r="H18" s="84"/>
      <c r="I18" s="86"/>
      <c r="J18" s="86"/>
      <c r="K18" s="86"/>
      <c r="L18" s="86"/>
      <c r="M18" s="86"/>
    </row>
    <row r="19" customFormat="false" ht="6" hidden="false" customHeight="true" outlineLevel="0" collapsed="false">
      <c r="B19" s="90"/>
      <c r="C19" s="91"/>
      <c r="D19" s="91"/>
      <c r="E19" s="91"/>
      <c r="F19" s="91"/>
      <c r="G19" s="92"/>
      <c r="H19" s="90"/>
      <c r="I19" s="91"/>
      <c r="J19" s="91"/>
      <c r="K19" s="91"/>
      <c r="L19" s="91"/>
      <c r="M19" s="92"/>
    </row>
    <row r="20" customFormat="false" ht="7.5" hidden="false" customHeight="true" outlineLevel="0" collapsed="false"/>
    <row r="21" customFormat="false" ht="19.5" hidden="false" customHeight="true" outlineLevel="0" collapsed="false">
      <c r="B21" s="65" t="s">
        <v>103</v>
      </c>
      <c r="C21" s="65"/>
      <c r="D21" s="65"/>
      <c r="E21" s="65"/>
      <c r="F21" s="65" t="s">
        <v>104</v>
      </c>
      <c r="G21" s="65"/>
      <c r="H21" s="65"/>
      <c r="I21" s="65"/>
      <c r="J21" s="65" t="s">
        <v>105</v>
      </c>
      <c r="K21" s="65"/>
      <c r="L21" s="65"/>
      <c r="M21" s="65"/>
    </row>
    <row r="22" customFormat="false" ht="21.75" hidden="false" customHeight="true" outlineLevel="0" collapsed="false">
      <c r="B22" s="93" t="s">
        <v>106</v>
      </c>
      <c r="C22" s="93"/>
      <c r="D22" s="93"/>
      <c r="E22" s="93"/>
      <c r="F22" s="93" t="s">
        <v>107</v>
      </c>
      <c r="G22" s="93"/>
      <c r="H22" s="93"/>
      <c r="I22" s="93"/>
      <c r="J22" s="93" t="s">
        <v>108</v>
      </c>
      <c r="K22" s="93"/>
      <c r="L22" s="93"/>
      <c r="M22" s="93"/>
    </row>
    <row r="23" customFormat="false" ht="21.75" hidden="false" customHeight="true" outlineLevel="0" collapsed="false">
      <c r="B23" s="94" t="s">
        <v>109</v>
      </c>
      <c r="C23" s="94"/>
      <c r="D23" s="94"/>
      <c r="E23" s="94"/>
      <c r="F23" s="94" t="s">
        <v>110</v>
      </c>
      <c r="G23" s="94"/>
      <c r="H23" s="94"/>
      <c r="I23" s="94"/>
      <c r="J23" s="94" t="s">
        <v>111</v>
      </c>
      <c r="K23" s="94"/>
      <c r="L23" s="94"/>
      <c r="M23" s="94"/>
    </row>
    <row r="24" customFormat="false" ht="4.5" hidden="false" customHeight="true" outlineLevel="0" collapsed="false"/>
    <row r="25" customFormat="false" ht="4.5" hidden="false" customHeight="true" outlineLevel="0" collapsed="false"/>
    <row r="26" customFormat="false" ht="19.5" hidden="false" customHeight="true" outlineLevel="0" collapsed="false">
      <c r="B26" s="80" t="s">
        <v>112</v>
      </c>
      <c r="C26" s="80"/>
      <c r="D26" s="80"/>
      <c r="E26" s="80"/>
      <c r="F26" s="80"/>
      <c r="G26" s="80"/>
      <c r="H26" s="80"/>
      <c r="I26" s="80"/>
      <c r="J26" s="80"/>
      <c r="K26" s="80"/>
      <c r="L26" s="80"/>
      <c r="M26" s="80"/>
    </row>
  </sheetData>
  <mergeCells count="35">
    <mergeCell ref="B1:D1"/>
    <mergeCell ref="E1:F1"/>
    <mergeCell ref="B2:M2"/>
    <mergeCell ref="B4:M4"/>
    <mergeCell ref="B5:M5"/>
    <mergeCell ref="B7:G7"/>
    <mergeCell ref="H7:M7"/>
    <mergeCell ref="B8:B10"/>
    <mergeCell ref="C8:G8"/>
    <mergeCell ref="H8:H10"/>
    <mergeCell ref="I8:M8"/>
    <mergeCell ref="C9:G10"/>
    <mergeCell ref="I9:M10"/>
    <mergeCell ref="B12:B14"/>
    <mergeCell ref="C12:G12"/>
    <mergeCell ref="H12:H14"/>
    <mergeCell ref="I12:M12"/>
    <mergeCell ref="C13:G14"/>
    <mergeCell ref="I13:M14"/>
    <mergeCell ref="B16:B18"/>
    <mergeCell ref="C16:G16"/>
    <mergeCell ref="H16:H18"/>
    <mergeCell ref="I16:M16"/>
    <mergeCell ref="C17:G18"/>
    <mergeCell ref="I17:M18"/>
    <mergeCell ref="B21:E21"/>
    <mergeCell ref="F21:I21"/>
    <mergeCell ref="J21:M21"/>
    <mergeCell ref="B22:E22"/>
    <mergeCell ref="F22:I22"/>
    <mergeCell ref="J22:M22"/>
    <mergeCell ref="B23:E23"/>
    <mergeCell ref="F23:I23"/>
    <mergeCell ref="J23:M23"/>
    <mergeCell ref="B26:M26"/>
  </mergeCells>
  <printOptions headings="false" gridLines="false" gridLinesSet="true" horizontalCentered="false" verticalCentered="false"/>
  <pageMargins left="0.7" right="0.7" top="0.75" bottom="0.7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D2733"/>
    <pageSetUpPr fitToPage="true"/>
  </sheetPr>
  <dimension ref="B1:S8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D38" activeCellId="0" sqref="D38"/>
    </sheetView>
  </sheetViews>
  <sheetFormatPr defaultColWidth="8.71484375" defaultRowHeight="12.75" zeroHeight="false" outlineLevelRow="0" outlineLevelCol="0"/>
  <cols>
    <col collapsed="false" customWidth="false" hidden="false" outlineLevel="0" max="2" min="1" style="61" width="8.71"/>
    <col collapsed="false" customWidth="true" hidden="false" outlineLevel="0" max="3" min="3" style="61" width="26.71"/>
    <col collapsed="false" customWidth="true" hidden="false" outlineLevel="0" max="4" min="4" style="61" width="35.43"/>
    <col collapsed="false" customWidth="true" hidden="false" outlineLevel="0" max="5" min="5" style="0" width="2.4"/>
    <col collapsed="false" customWidth="true" hidden="false" outlineLevel="0" max="10" min="6" style="0" width="13"/>
    <col collapsed="false" customWidth="true" hidden="true" outlineLevel="0" max="11" min="11" style="61" width="9.14"/>
    <col collapsed="false" customWidth="true" hidden="true" outlineLevel="0" max="12" min="12" style="61" width="35.71"/>
    <col collapsed="false" customWidth="true" hidden="true" outlineLevel="0" max="13" min="13" style="61" width="9.14"/>
    <col collapsed="false" customWidth="true" hidden="true" outlineLevel="0" max="14" min="14" style="61" width="21.28"/>
    <col collapsed="false" customWidth="true" hidden="true" outlineLevel="0" max="15" min="15" style="61" width="9.14"/>
    <col collapsed="false" customWidth="false" hidden="true" outlineLevel="0" max="16" min="16" style="61" width="8.71"/>
    <col collapsed="false" customWidth="true" hidden="true" outlineLevel="0" max="18" min="17" style="61" width="9.14"/>
    <col collapsed="false" customWidth="true" hidden="true" outlineLevel="0" max="19" min="19" style="61" width="16.29"/>
    <col collapsed="false" customWidth="true" hidden="true" outlineLevel="0" max="21" min="20" style="61" width="9.14"/>
    <col collapsed="false" customWidth="false" hidden="false" outlineLevel="0" max="16384" min="22" style="61" width="8.71"/>
  </cols>
  <sheetData>
    <row r="1" customFormat="false" ht="39.75" hidden="false" customHeight="true" outlineLevel="0" collapsed="false">
      <c r="C1" s="42" t="s">
        <v>113</v>
      </c>
      <c r="D1" s="95" t="s">
        <v>114</v>
      </c>
    </row>
    <row r="2" customFormat="false" ht="13.8" hidden="false" customHeight="false" outlineLevel="0" collapsed="false">
      <c r="B2" s="95" t="s">
        <v>115</v>
      </c>
      <c r="F2" s="65" t="s">
        <v>116</v>
      </c>
      <c r="G2" s="65"/>
      <c r="H2" s="65"/>
      <c r="I2" s="65"/>
      <c r="J2" s="65"/>
    </row>
    <row r="3" customFormat="false" ht="21.75" hidden="false" customHeight="true" outlineLevel="0" collapsed="false">
      <c r="F3" s="96" t="s">
        <v>117</v>
      </c>
      <c r="G3" s="96"/>
      <c r="H3" s="96"/>
      <c r="I3" s="96"/>
      <c r="J3" s="96"/>
    </row>
    <row r="4" customFormat="false" ht="21.75" hidden="false" customHeight="true" outlineLevel="0" collapsed="false">
      <c r="B4" s="97" t="s">
        <v>118</v>
      </c>
      <c r="F4" s="96"/>
      <c r="G4" s="96"/>
      <c r="H4" s="96"/>
      <c r="I4" s="96"/>
      <c r="J4" s="96"/>
    </row>
    <row r="5" customFormat="false" ht="21.75" hidden="false" customHeight="true" outlineLevel="0" collapsed="false">
      <c r="F5" s="96"/>
      <c r="G5" s="96"/>
      <c r="H5" s="96"/>
      <c r="I5" s="96"/>
      <c r="J5" s="96"/>
    </row>
    <row r="6" customFormat="false" ht="21.75" hidden="false" customHeight="true" outlineLevel="0" collapsed="false">
      <c r="F6" s="96"/>
      <c r="G6" s="96"/>
      <c r="H6" s="96"/>
      <c r="I6" s="96"/>
      <c r="J6" s="96"/>
    </row>
    <row r="7" customFormat="false" ht="21.75" hidden="false" customHeight="true" outlineLevel="0" collapsed="false">
      <c r="F7" s="96"/>
      <c r="G7" s="96"/>
      <c r="H7" s="96"/>
      <c r="I7" s="96"/>
      <c r="J7" s="96"/>
      <c r="K7" s="61" t="s">
        <v>0</v>
      </c>
    </row>
    <row r="8" customFormat="false" ht="19.5" hidden="false" customHeight="true" outlineLevel="0" collapsed="false">
      <c r="B8" s="65" t="s">
        <v>119</v>
      </c>
      <c r="C8" s="65"/>
      <c r="D8" s="65"/>
      <c r="E8" s="98"/>
      <c r="L8" s="99" t="s">
        <v>120</v>
      </c>
      <c r="M8" s="99" t="s">
        <v>121</v>
      </c>
      <c r="N8" s="99" t="s">
        <v>122</v>
      </c>
      <c r="O8" s="99" t="s">
        <v>123</v>
      </c>
      <c r="P8" s="99" t="s">
        <v>124</v>
      </c>
      <c r="Q8" s="99" t="s">
        <v>125</v>
      </c>
      <c r="S8" s="61" t="s">
        <v>126</v>
      </c>
    </row>
    <row r="9" customFormat="false" ht="27.75" hidden="false" customHeight="true" outlineLevel="0" collapsed="false">
      <c r="B9" s="87"/>
      <c r="C9" s="100" t="s">
        <v>127</v>
      </c>
      <c r="D9" s="101" t="s">
        <v>128</v>
      </c>
      <c r="F9" s="102" t="str">
        <f aca="false">IF(LEN(IF(D9="","Airport Name, ","")&amp;IF(D25="","Construction Year, ","")&amp;IF(D26="","Mainline Area, ","")&amp;IF(D28="","Markings Area, ","")&amp;IF(D33="","Analysis Period, ","")&amp;IF(D34="","Discount Rate, ",""))=0,"All required inputs are filled. Next: click Alternative Setup.","Still needed: "&amp;LEFT(IF(D9="","Airport Name, ","")&amp;IF(D25="","Construction Year, ","")&amp;IF(D26="","Mainline Area, ","")&amp;IF(D28="","Markings Area, ","")&amp;IF(D33="","Analysis Period, ","")&amp;IF(D34="","Discount Rate, ",""),LEN(IF(D9="","Airport Name, ","")&amp;IF(D25="","Construction Year, ","")&amp;IF(D26="","Mainline Area, ","")&amp;IF(D28="","Markings Area, ","")&amp;IF(D33="","Analysis Period, ","")&amp;IF(D34="","Discount Rate, ",""))-2))</f>
        <v>All required inputs are filled. Next: click Alternative Setup.</v>
      </c>
      <c r="G9" s="102"/>
      <c r="H9" s="102"/>
      <c r="I9" s="102"/>
      <c r="J9" s="102"/>
      <c r="L9" s="99"/>
      <c r="M9" s="99"/>
      <c r="N9" s="99" t="s">
        <v>129</v>
      </c>
      <c r="O9" s="99" t="s">
        <v>129</v>
      </c>
      <c r="P9" s="99"/>
      <c r="Q9" s="28"/>
    </row>
    <row r="10" customFormat="false" ht="13.8" hidden="false" customHeight="false" outlineLevel="0" collapsed="false">
      <c r="B10" s="87"/>
      <c r="C10" s="100" t="s">
        <v>130</v>
      </c>
      <c r="D10" s="103" t="str">
        <f aca="false">IF(D9="","N/A",VLOOKUP(Airport_Name,Table17[],2))</f>
        <v>GKT</v>
      </c>
      <c r="L10" s="61" t="s">
        <v>131</v>
      </c>
      <c r="M10" s="61" t="s">
        <v>132</v>
      </c>
      <c r="N10" s="61" t="s">
        <v>133</v>
      </c>
      <c r="O10" s="61" t="s">
        <v>134</v>
      </c>
      <c r="P10" s="61" t="s">
        <v>135</v>
      </c>
      <c r="S10" s="61" t="s">
        <v>136</v>
      </c>
    </row>
    <row r="11" customFormat="false" ht="13.8" hidden="false" customHeight="false" outlineLevel="0" collapsed="false">
      <c r="B11" s="87"/>
      <c r="C11" s="100" t="s">
        <v>137</v>
      </c>
      <c r="D11" s="103" t="str">
        <f aca="false">IF(D9="","N/A",VLOOKUP(Airport_Name,Table17[],3))</f>
        <v>Sevierville</v>
      </c>
      <c r="L11" s="61" t="s">
        <v>138</v>
      </c>
      <c r="M11" s="61" t="s">
        <v>139</v>
      </c>
      <c r="N11" s="61" t="s">
        <v>140</v>
      </c>
      <c r="O11" s="61" t="s">
        <v>141</v>
      </c>
      <c r="P11" s="61" t="s">
        <v>142</v>
      </c>
      <c r="S11" s="61" t="s">
        <v>143</v>
      </c>
    </row>
    <row r="12" customFormat="false" ht="13.8" hidden="false" customHeight="false" outlineLevel="0" collapsed="false">
      <c r="B12" s="87"/>
      <c r="C12" s="100" t="s">
        <v>144</v>
      </c>
      <c r="D12" s="103" t="str">
        <f aca="false">IF(D9="","N/A",VLOOKUP(Airport_Name,Table17[],4))</f>
        <v>Sevier</v>
      </c>
      <c r="L12" s="61" t="s">
        <v>145</v>
      </c>
      <c r="M12" s="61" t="s">
        <v>146</v>
      </c>
      <c r="N12" s="61" t="s">
        <v>147</v>
      </c>
      <c r="O12" s="61" t="s">
        <v>148</v>
      </c>
      <c r="P12" s="61" t="s">
        <v>142</v>
      </c>
      <c r="S12" s="61" t="s">
        <v>149</v>
      </c>
    </row>
    <row r="13" customFormat="false" ht="13.8" hidden="false" customHeight="false" outlineLevel="0" collapsed="false">
      <c r="B13" s="87"/>
      <c r="C13" s="100" t="s">
        <v>150</v>
      </c>
      <c r="D13" s="103" t="str">
        <f aca="false">IF(D9="","N/A",VLOOKUP(Airport_Name,Table17[],5))</f>
        <v>East</v>
      </c>
      <c r="L13" s="61" t="s">
        <v>151</v>
      </c>
      <c r="M13" s="61" t="s">
        <v>152</v>
      </c>
      <c r="N13" s="61" t="s">
        <v>153</v>
      </c>
      <c r="O13" s="61" t="s">
        <v>154</v>
      </c>
      <c r="P13" s="61" t="s">
        <v>142</v>
      </c>
    </row>
    <row r="14" customFormat="false" ht="13.8" hidden="false" customHeight="false" outlineLevel="0" collapsed="false">
      <c r="B14" s="87"/>
      <c r="C14" s="100" t="s">
        <v>155</v>
      </c>
      <c r="D14" s="23" t="s">
        <v>156</v>
      </c>
      <c r="L14" s="61" t="s">
        <v>157</v>
      </c>
      <c r="M14" s="61" t="s">
        <v>158</v>
      </c>
      <c r="N14" s="61" t="s">
        <v>159</v>
      </c>
      <c r="O14" s="61" t="s">
        <v>160</v>
      </c>
      <c r="P14" s="61" t="s">
        <v>135</v>
      </c>
    </row>
    <row r="15" customFormat="false" ht="13.8" hidden="false" customHeight="false" outlineLevel="0" collapsed="false">
      <c r="B15" s="87"/>
      <c r="C15" s="100" t="s">
        <v>161</v>
      </c>
      <c r="D15" s="104" t="s">
        <v>162</v>
      </c>
      <c r="L15" s="61" t="s">
        <v>163</v>
      </c>
      <c r="M15" s="61" t="s">
        <v>164</v>
      </c>
      <c r="N15" s="61" t="s">
        <v>165</v>
      </c>
      <c r="O15" s="61" t="s">
        <v>166</v>
      </c>
      <c r="P15" s="61" t="s">
        <v>142</v>
      </c>
      <c r="S15" s="61" t="s">
        <v>167</v>
      </c>
    </row>
    <row r="16" customFormat="false" ht="13.8" hidden="false" customHeight="false" outlineLevel="0" collapsed="false">
      <c r="B16" s="87"/>
      <c r="C16" s="100" t="s">
        <v>168</v>
      </c>
      <c r="D16" s="23" t="s">
        <v>169</v>
      </c>
      <c r="L16" s="61" t="s">
        <v>170</v>
      </c>
      <c r="M16" s="61" t="s">
        <v>171</v>
      </c>
      <c r="N16" s="61" t="s">
        <v>172</v>
      </c>
      <c r="O16" s="61" t="s">
        <v>173</v>
      </c>
      <c r="P16" s="61" t="s">
        <v>135</v>
      </c>
    </row>
    <row r="17" customFormat="false" ht="13.8" hidden="false" customHeight="false" outlineLevel="0" collapsed="false">
      <c r="B17" s="90"/>
      <c r="C17" s="105" t="s">
        <v>174</v>
      </c>
      <c r="D17" s="23"/>
      <c r="L17" s="61" t="s">
        <v>175</v>
      </c>
      <c r="M17" s="61" t="s">
        <v>176</v>
      </c>
      <c r="N17" s="61" t="s">
        <v>177</v>
      </c>
      <c r="O17" s="61" t="s">
        <v>178</v>
      </c>
      <c r="P17" s="61" t="s">
        <v>142</v>
      </c>
      <c r="S17" s="61" t="s">
        <v>179</v>
      </c>
    </row>
    <row r="18" customFormat="false" ht="13.8" hidden="false" customHeight="false" outlineLevel="0" collapsed="false">
      <c r="L18" s="61" t="s">
        <v>180</v>
      </c>
      <c r="M18" s="61" t="s">
        <v>181</v>
      </c>
      <c r="N18" s="61" t="s">
        <v>154</v>
      </c>
      <c r="O18" s="61" t="s">
        <v>182</v>
      </c>
      <c r="P18" s="61" t="s">
        <v>183</v>
      </c>
      <c r="S18" s="61" t="s">
        <v>184</v>
      </c>
    </row>
    <row r="19" customFormat="false" ht="13.8" hidden="false" customHeight="false" outlineLevel="0" collapsed="false">
      <c r="L19" s="61" t="s">
        <v>185</v>
      </c>
      <c r="M19" s="61" t="s">
        <v>186</v>
      </c>
      <c r="N19" s="61" t="s">
        <v>187</v>
      </c>
      <c r="O19" s="61" t="s">
        <v>188</v>
      </c>
      <c r="P19" s="61" t="s">
        <v>183</v>
      </c>
    </row>
    <row r="20" customFormat="false" ht="19.5" hidden="false" customHeight="true" outlineLevel="0" collapsed="false">
      <c r="B20" s="65" t="s">
        <v>189</v>
      </c>
      <c r="C20" s="65"/>
      <c r="D20" s="65"/>
      <c r="E20" s="98"/>
      <c r="L20" s="61" t="s">
        <v>190</v>
      </c>
      <c r="M20" s="61" t="s">
        <v>191</v>
      </c>
      <c r="N20" s="61" t="s">
        <v>192</v>
      </c>
      <c r="O20" s="61" t="s">
        <v>193</v>
      </c>
      <c r="P20" s="61" t="s">
        <v>183</v>
      </c>
    </row>
    <row r="21" customFormat="false" ht="13.8" hidden="false" customHeight="false" outlineLevel="0" collapsed="false">
      <c r="B21" s="87"/>
      <c r="C21" s="100" t="s">
        <v>194</v>
      </c>
      <c r="D21" s="23" t="s">
        <v>136</v>
      </c>
      <c r="L21" s="61" t="s">
        <v>195</v>
      </c>
      <c r="M21" s="61" t="s">
        <v>196</v>
      </c>
      <c r="N21" s="61" t="s">
        <v>197</v>
      </c>
      <c r="O21" s="61" t="s">
        <v>198</v>
      </c>
      <c r="P21" s="61" t="s">
        <v>183</v>
      </c>
      <c r="S21" s="61" t="s">
        <v>199</v>
      </c>
    </row>
    <row r="22" customFormat="false" ht="13.8" hidden="false" customHeight="false" outlineLevel="0" collapsed="false">
      <c r="B22" s="87"/>
      <c r="C22" s="100" t="s">
        <v>200</v>
      </c>
      <c r="D22" s="23" t="s">
        <v>201</v>
      </c>
      <c r="L22" s="61" t="s">
        <v>202</v>
      </c>
      <c r="M22" s="61" t="s">
        <v>203</v>
      </c>
      <c r="N22" s="61" t="s">
        <v>204</v>
      </c>
      <c r="O22" s="61" t="s">
        <v>205</v>
      </c>
      <c r="P22" s="61" t="s">
        <v>142</v>
      </c>
    </row>
    <row r="23" customFormat="false" ht="13.8" hidden="false" customHeight="false" outlineLevel="0" collapsed="false">
      <c r="B23" s="87"/>
      <c r="C23" s="100" t="s">
        <v>206</v>
      </c>
      <c r="D23" s="23" t="s">
        <v>207</v>
      </c>
      <c r="L23" s="61" t="s">
        <v>208</v>
      </c>
      <c r="M23" s="61" t="s">
        <v>209</v>
      </c>
      <c r="N23" s="61" t="s">
        <v>210</v>
      </c>
      <c r="O23" s="61" t="s">
        <v>211</v>
      </c>
      <c r="P23" s="61" t="s">
        <v>183</v>
      </c>
      <c r="S23" s="61" t="s">
        <v>212</v>
      </c>
    </row>
    <row r="24" customFormat="false" ht="13.8" hidden="false" customHeight="false" outlineLevel="0" collapsed="false">
      <c r="B24" s="87"/>
      <c r="C24" s="100" t="s">
        <v>213</v>
      </c>
      <c r="D24" s="23" t="s">
        <v>214</v>
      </c>
      <c r="L24" s="61" t="s">
        <v>215</v>
      </c>
      <c r="M24" s="61" t="s">
        <v>216</v>
      </c>
      <c r="N24" s="61" t="s">
        <v>217</v>
      </c>
      <c r="O24" s="61" t="s">
        <v>193</v>
      </c>
      <c r="P24" s="61" t="s">
        <v>183</v>
      </c>
      <c r="S24" s="61" t="s">
        <v>218</v>
      </c>
    </row>
    <row r="25" customFormat="false" ht="13.8" hidden="false" customHeight="false" outlineLevel="0" collapsed="false">
      <c r="B25" s="87"/>
      <c r="C25" s="100" t="s">
        <v>12</v>
      </c>
      <c r="D25" s="101" t="n">
        <v>2028</v>
      </c>
      <c r="F25" s="106" t="s">
        <v>219</v>
      </c>
      <c r="L25" s="61" t="s">
        <v>220</v>
      </c>
      <c r="M25" s="61" t="s">
        <v>221</v>
      </c>
      <c r="N25" s="61" t="s">
        <v>222</v>
      </c>
      <c r="O25" s="61" t="s">
        <v>222</v>
      </c>
      <c r="P25" s="61" t="s">
        <v>135</v>
      </c>
      <c r="S25" s="61" t="s">
        <v>223</v>
      </c>
    </row>
    <row r="26" customFormat="false" ht="13.8" hidden="false" customHeight="false" outlineLevel="0" collapsed="false">
      <c r="B26" s="87"/>
      <c r="C26" s="100" t="s">
        <v>224</v>
      </c>
      <c r="D26" s="101" t="n">
        <v>45883</v>
      </c>
      <c r="F26" s="106" t="s">
        <v>225</v>
      </c>
      <c r="L26" s="61" t="s">
        <v>226</v>
      </c>
      <c r="M26" s="61" t="s">
        <v>227</v>
      </c>
      <c r="N26" s="61" t="s">
        <v>228</v>
      </c>
      <c r="O26" s="61" t="s">
        <v>229</v>
      </c>
      <c r="P26" s="61" t="s">
        <v>142</v>
      </c>
    </row>
    <row r="27" customFormat="false" ht="13.8" hidden="false" customHeight="false" outlineLevel="0" collapsed="false">
      <c r="B27" s="87"/>
      <c r="C27" s="100" t="s">
        <v>230</v>
      </c>
      <c r="D27" s="101" t="n">
        <v>0</v>
      </c>
      <c r="F27" s="106" t="s">
        <v>231</v>
      </c>
      <c r="L27" s="61" t="s">
        <v>232</v>
      </c>
      <c r="M27" s="61" t="s">
        <v>233</v>
      </c>
      <c r="N27" s="61" t="s">
        <v>234</v>
      </c>
      <c r="O27" s="61" t="s">
        <v>235</v>
      </c>
      <c r="P27" s="61" t="s">
        <v>183</v>
      </c>
    </row>
    <row r="28" customFormat="false" ht="13.8" hidden="false" customHeight="false" outlineLevel="0" collapsed="false">
      <c r="B28" s="87"/>
      <c r="C28" s="100" t="s">
        <v>236</v>
      </c>
      <c r="D28" s="101" t="n">
        <v>12000</v>
      </c>
      <c r="F28" s="106" t="s">
        <v>237</v>
      </c>
      <c r="L28" s="61" t="s">
        <v>238</v>
      </c>
      <c r="M28" s="61" t="s">
        <v>239</v>
      </c>
      <c r="N28" s="61" t="s">
        <v>240</v>
      </c>
      <c r="O28" s="61" t="s">
        <v>241</v>
      </c>
      <c r="P28" s="61" t="s">
        <v>135</v>
      </c>
    </row>
    <row r="29" customFormat="false" ht="13.8" hidden="false" customHeight="false" outlineLevel="0" collapsed="false">
      <c r="B29" s="90"/>
      <c r="C29" s="105" t="s">
        <v>242</v>
      </c>
      <c r="D29" s="101" t="s">
        <v>179</v>
      </c>
      <c r="L29" s="61" t="s">
        <v>243</v>
      </c>
      <c r="M29" s="61" t="s">
        <v>244</v>
      </c>
      <c r="N29" s="61" t="s">
        <v>245</v>
      </c>
      <c r="O29" s="61" t="s">
        <v>246</v>
      </c>
      <c r="P29" s="61" t="s">
        <v>142</v>
      </c>
    </row>
    <row r="30" customFormat="false" ht="13.8" hidden="false" customHeight="false" outlineLevel="0" collapsed="false">
      <c r="L30" s="61" t="s">
        <v>247</v>
      </c>
      <c r="M30" s="61" t="s">
        <v>248</v>
      </c>
      <c r="N30" s="61" t="s">
        <v>249</v>
      </c>
      <c r="O30" s="61" t="s">
        <v>250</v>
      </c>
      <c r="P30" s="61" t="s">
        <v>142</v>
      </c>
    </row>
    <row r="31" customFormat="false" ht="13.8" hidden="false" customHeight="false" outlineLevel="0" collapsed="false">
      <c r="L31" s="61" t="s">
        <v>251</v>
      </c>
      <c r="M31" s="61" t="s">
        <v>252</v>
      </c>
      <c r="N31" s="61" t="s">
        <v>253</v>
      </c>
      <c r="O31" s="61" t="s">
        <v>254</v>
      </c>
      <c r="P31" s="61" t="s">
        <v>135</v>
      </c>
    </row>
    <row r="32" customFormat="false" ht="19.5" hidden="false" customHeight="true" outlineLevel="0" collapsed="false">
      <c r="B32" s="65" t="s">
        <v>255</v>
      </c>
      <c r="C32" s="65"/>
      <c r="D32" s="65"/>
      <c r="E32" s="98"/>
      <c r="L32" s="61" t="s">
        <v>256</v>
      </c>
      <c r="M32" s="61" t="s">
        <v>257</v>
      </c>
      <c r="N32" s="61" t="s">
        <v>258</v>
      </c>
      <c r="O32" s="61" t="s">
        <v>259</v>
      </c>
      <c r="P32" s="61" t="s">
        <v>135</v>
      </c>
    </row>
    <row r="33" customFormat="false" ht="13.8" hidden="false" customHeight="false" outlineLevel="0" collapsed="false">
      <c r="B33" s="87"/>
      <c r="C33" s="100" t="s">
        <v>260</v>
      </c>
      <c r="D33" s="107" t="n">
        <v>30</v>
      </c>
      <c r="F33" s="106" t="s">
        <v>261</v>
      </c>
      <c r="L33" s="61" t="s">
        <v>128</v>
      </c>
      <c r="M33" s="61" t="s">
        <v>262</v>
      </c>
      <c r="N33" s="61" t="s">
        <v>263</v>
      </c>
      <c r="O33" s="61" t="s">
        <v>264</v>
      </c>
      <c r="P33" s="61" t="s">
        <v>183</v>
      </c>
    </row>
    <row r="34" customFormat="false" ht="13.8" hidden="false" customHeight="false" outlineLevel="0" collapsed="false">
      <c r="B34" s="87"/>
      <c r="C34" s="100" t="s">
        <v>265</v>
      </c>
      <c r="D34" s="107" t="n">
        <v>3</v>
      </c>
      <c r="F34" s="106" t="s">
        <v>266</v>
      </c>
      <c r="L34" s="61" t="s">
        <v>267</v>
      </c>
      <c r="M34" s="61" t="s">
        <v>268</v>
      </c>
      <c r="N34" s="61" t="s">
        <v>269</v>
      </c>
      <c r="O34" s="61" t="s">
        <v>178</v>
      </c>
      <c r="P34" s="61" t="s">
        <v>142</v>
      </c>
    </row>
    <row r="35" customFormat="false" ht="13.8" hidden="false" customHeight="false" outlineLevel="0" collapsed="false">
      <c r="B35" s="87"/>
      <c r="C35" s="100" t="s">
        <v>270</v>
      </c>
      <c r="F35" s="95" t="s">
        <v>271</v>
      </c>
      <c r="L35" s="61" t="s">
        <v>272</v>
      </c>
      <c r="M35" s="61" t="s">
        <v>273</v>
      </c>
      <c r="N35" s="61" t="s">
        <v>274</v>
      </c>
      <c r="O35" s="61" t="s">
        <v>275</v>
      </c>
      <c r="P35" s="61" t="s">
        <v>142</v>
      </c>
    </row>
    <row r="36" customFormat="false" ht="13.8" hidden="false" customHeight="false" outlineLevel="0" collapsed="false">
      <c r="B36" s="87"/>
      <c r="C36" s="100" t="s">
        <v>276</v>
      </c>
      <c r="D36" s="107" t="n">
        <v>10</v>
      </c>
      <c r="F36" s="106" t="s">
        <v>277</v>
      </c>
      <c r="L36" s="61" t="s">
        <v>278</v>
      </c>
      <c r="M36" s="61" t="s">
        <v>279</v>
      </c>
      <c r="N36" s="61" t="s">
        <v>280</v>
      </c>
      <c r="O36" s="61" t="s">
        <v>281</v>
      </c>
      <c r="P36" s="61" t="s">
        <v>183</v>
      </c>
    </row>
    <row r="37" customFormat="false" ht="13.8" hidden="false" customHeight="false" outlineLevel="0" collapsed="false">
      <c r="B37" s="87"/>
      <c r="C37" s="100" t="s">
        <v>282</v>
      </c>
      <c r="D37" s="107" t="n">
        <v>5</v>
      </c>
      <c r="F37" s="106" t="s">
        <v>283</v>
      </c>
      <c r="L37" s="61" t="s">
        <v>284</v>
      </c>
      <c r="M37" s="61" t="s">
        <v>285</v>
      </c>
      <c r="N37" s="61" t="s">
        <v>286</v>
      </c>
      <c r="O37" s="61" t="s">
        <v>287</v>
      </c>
      <c r="P37" s="61" t="s">
        <v>135</v>
      </c>
    </row>
    <row r="38" customFormat="false" ht="13.8" hidden="false" customHeight="false" outlineLevel="0" collapsed="false">
      <c r="B38" s="87"/>
      <c r="C38" s="100" t="s">
        <v>288</v>
      </c>
      <c r="D38" s="108" t="s">
        <v>289</v>
      </c>
      <c r="F38" s="106" t="s">
        <v>290</v>
      </c>
      <c r="L38" s="61" t="s">
        <v>291</v>
      </c>
      <c r="M38" s="61" t="s">
        <v>292</v>
      </c>
      <c r="N38" s="61" t="s">
        <v>293</v>
      </c>
      <c r="O38" s="61" t="s">
        <v>294</v>
      </c>
      <c r="P38" s="61" t="s">
        <v>183</v>
      </c>
    </row>
    <row r="39" customFormat="false" ht="13.8" hidden="false" customHeight="false" outlineLevel="0" collapsed="false">
      <c r="B39" s="90"/>
      <c r="C39" s="105" t="s">
        <v>295</v>
      </c>
      <c r="D39" s="109" t="n">
        <f aca="false">IF(D38&lt;&gt;"Yes","",IF(COUNTIF(RevenueData!$A:$A,$D$10)=0,"Missing Airport Revenue",SUMIF(RevenueData!$A:$A,$D$10,RevenueData!$B:$B)+SUMIF(RevenueData!$A:$A,$D$10,RevenueData!$C:$C)+SUMIF(RevenueData!$A:$A,$D$10,RevenueData!$D:$D)+SUMIF(RevenueData!$A:$A,$D$10,RevenueData!$E:$E)+SUMIF(RevenueData!$A:$A,$D$10,RevenueData!$F:$F)+SUMIF(RevenueData!$A:$A,$D$10,RevenueData!$G:$G)+SUMIF(RevenueData!$A:$A,$D$10,RevenueData!$H:$H)))</f>
        <v>5441.17</v>
      </c>
      <c r="L39" s="61" t="s">
        <v>296</v>
      </c>
      <c r="M39" s="61" t="s">
        <v>297</v>
      </c>
      <c r="N39" s="61" t="s">
        <v>298</v>
      </c>
      <c r="O39" s="61" t="s">
        <v>299</v>
      </c>
      <c r="P39" s="61" t="s">
        <v>142</v>
      </c>
    </row>
    <row r="40" customFormat="false" ht="13.8" hidden="false" customHeight="false" outlineLevel="0" collapsed="false">
      <c r="L40" s="61" t="s">
        <v>300</v>
      </c>
      <c r="M40" s="61" t="s">
        <v>301</v>
      </c>
      <c r="N40" s="61" t="s">
        <v>302</v>
      </c>
      <c r="O40" s="61" t="s">
        <v>303</v>
      </c>
      <c r="P40" s="61" t="s">
        <v>135</v>
      </c>
    </row>
    <row r="41" customFormat="false" ht="19.5" hidden="false" customHeight="true" outlineLevel="0" collapsed="false">
      <c r="B41" s="65" t="s">
        <v>304</v>
      </c>
      <c r="C41" s="65"/>
      <c r="E41" s="98"/>
      <c r="L41" s="61" t="s">
        <v>305</v>
      </c>
      <c r="M41" s="61" t="s">
        <v>306</v>
      </c>
      <c r="N41" s="61" t="s">
        <v>307</v>
      </c>
      <c r="O41" s="61" t="s">
        <v>275</v>
      </c>
      <c r="P41" s="61" t="s">
        <v>142</v>
      </c>
    </row>
    <row r="42" customFormat="false" ht="13.8" hidden="false" customHeight="false" outlineLevel="0" collapsed="false">
      <c r="L42" s="61" t="s">
        <v>308</v>
      </c>
      <c r="M42" s="61" t="s">
        <v>309</v>
      </c>
      <c r="N42" s="61" t="s">
        <v>310</v>
      </c>
      <c r="O42" s="61" t="s">
        <v>311</v>
      </c>
      <c r="P42" s="61" t="s">
        <v>135</v>
      </c>
    </row>
    <row r="43" customFormat="false" ht="19.5" hidden="false" customHeight="true" outlineLevel="0" collapsed="false">
      <c r="B43" s="65" t="s">
        <v>312</v>
      </c>
      <c r="C43" s="65"/>
      <c r="D43" s="65"/>
      <c r="L43" s="61" t="s">
        <v>313</v>
      </c>
      <c r="M43" s="61" t="s">
        <v>314</v>
      </c>
      <c r="N43" s="61" t="s">
        <v>315</v>
      </c>
      <c r="O43" s="61" t="s">
        <v>316</v>
      </c>
      <c r="P43" s="61" t="s">
        <v>135</v>
      </c>
    </row>
    <row r="44" customFormat="false" ht="18.75" hidden="false" customHeight="true" outlineLevel="0" collapsed="false">
      <c r="B44" s="110" t="s">
        <v>317</v>
      </c>
      <c r="C44" s="110"/>
      <c r="D44" s="111" t="str">
        <f aca="false">HYPERLINK("#Summary!G1","View Summary  ►")</f>
        <v>View Summary  ►</v>
      </c>
      <c r="L44" s="61" t="s">
        <v>318</v>
      </c>
      <c r="M44" s="61" t="s">
        <v>319</v>
      </c>
      <c r="N44" s="61" t="s">
        <v>320</v>
      </c>
      <c r="O44" s="61" t="s">
        <v>321</v>
      </c>
      <c r="P44" s="61" t="s">
        <v>135</v>
      </c>
    </row>
    <row r="45" customFormat="false" ht="18.75" hidden="false" customHeight="true" outlineLevel="0" collapsed="false">
      <c r="B45" s="110" t="s">
        <v>322</v>
      </c>
      <c r="C45" s="110"/>
      <c r="D45" s="111" t="str">
        <f aca="false">HYPERLINK("#'Typical Values'!A1","Typical Values  ►")</f>
        <v>Typical Values  ►</v>
      </c>
      <c r="L45" s="61" t="s">
        <v>323</v>
      </c>
      <c r="M45" s="61" t="s">
        <v>324</v>
      </c>
      <c r="N45" s="61" t="s">
        <v>325</v>
      </c>
      <c r="O45" s="61" t="s">
        <v>326</v>
      </c>
      <c r="P45" s="61" t="s">
        <v>135</v>
      </c>
    </row>
    <row r="46" customFormat="false" ht="18.75" hidden="false" customHeight="true" outlineLevel="0" collapsed="false">
      <c r="B46" s="110" t="s">
        <v>327</v>
      </c>
      <c r="C46" s="110"/>
      <c r="D46" s="111" t="str">
        <f aca="false">HYPERLINK("#Method!A1","Method  ►")</f>
        <v>Method  ►</v>
      </c>
      <c r="L46" s="61" t="s">
        <v>328</v>
      </c>
      <c r="M46" s="61" t="s">
        <v>329</v>
      </c>
      <c r="N46" s="61" t="s">
        <v>330</v>
      </c>
      <c r="O46" s="61" t="s">
        <v>331</v>
      </c>
      <c r="P46" s="61" t="s">
        <v>135</v>
      </c>
    </row>
    <row r="47" customFormat="false" ht="18.75" hidden="false" customHeight="true" outlineLevel="0" collapsed="false">
      <c r="B47" s="110" t="s">
        <v>332</v>
      </c>
      <c r="C47" s="110"/>
      <c r="D47" s="111" t="str">
        <f aca="false">HYPERLINK("#Pay_Items!A1","Pay_Items  ►")</f>
        <v>Pay_Items  ►</v>
      </c>
      <c r="L47" s="61" t="s">
        <v>333</v>
      </c>
      <c r="M47" s="61" t="s">
        <v>334</v>
      </c>
      <c r="N47" s="61" t="s">
        <v>335</v>
      </c>
      <c r="O47" s="61" t="s">
        <v>336</v>
      </c>
      <c r="P47" s="61" t="s">
        <v>135</v>
      </c>
    </row>
    <row r="48" customFormat="false" ht="18.75" hidden="false" customHeight="true" outlineLevel="0" collapsed="false">
      <c r="B48" s="110" t="s">
        <v>337</v>
      </c>
      <c r="C48" s="110"/>
      <c r="D48" s="111" t="str">
        <f aca="false">HYPERLINK("#'Maintenance Policies'!C2","Maintenance Policies  ►")</f>
        <v>Maintenance Policies  ►</v>
      </c>
      <c r="L48" s="61" t="s">
        <v>338</v>
      </c>
      <c r="M48" s="61" t="s">
        <v>339</v>
      </c>
      <c r="N48" s="61" t="s">
        <v>340</v>
      </c>
      <c r="O48" s="61" t="s">
        <v>341</v>
      </c>
      <c r="P48" s="61" t="s">
        <v>183</v>
      </c>
    </row>
    <row r="49" customFormat="false" ht="12.75" hidden="false" customHeight="false" outlineLevel="0" collapsed="false">
      <c r="L49" s="61" t="s">
        <v>342</v>
      </c>
      <c r="M49" s="61" t="s">
        <v>343</v>
      </c>
      <c r="N49" s="61" t="s">
        <v>344</v>
      </c>
      <c r="O49" s="61" t="s">
        <v>345</v>
      </c>
      <c r="P49" s="61" t="s">
        <v>183</v>
      </c>
    </row>
    <row r="50" customFormat="false" ht="12.75" hidden="false" customHeight="false" outlineLevel="0" collapsed="false">
      <c r="L50" s="61" t="s">
        <v>346</v>
      </c>
      <c r="M50" s="61" t="s">
        <v>347</v>
      </c>
      <c r="N50" s="61" t="s">
        <v>348</v>
      </c>
      <c r="O50" s="61" t="s">
        <v>349</v>
      </c>
      <c r="P50" s="61" t="s">
        <v>183</v>
      </c>
    </row>
    <row r="51" customFormat="false" ht="12.75" hidden="false" customHeight="false" outlineLevel="0" collapsed="false">
      <c r="L51" s="61" t="s">
        <v>350</v>
      </c>
      <c r="M51" s="61" t="s">
        <v>351</v>
      </c>
      <c r="N51" s="61" t="s">
        <v>352</v>
      </c>
      <c r="O51" s="61" t="s">
        <v>353</v>
      </c>
      <c r="P51" s="61" t="s">
        <v>135</v>
      </c>
    </row>
    <row r="52" customFormat="false" ht="12.75" hidden="false" customHeight="false" outlineLevel="0" collapsed="false">
      <c r="L52" s="61" t="s">
        <v>354</v>
      </c>
      <c r="M52" s="61" t="s">
        <v>355</v>
      </c>
      <c r="N52" s="61" t="s">
        <v>356</v>
      </c>
      <c r="O52" s="61" t="s">
        <v>357</v>
      </c>
      <c r="P52" s="61" t="s">
        <v>135</v>
      </c>
    </row>
    <row r="53" customFormat="false" ht="12.75" hidden="false" customHeight="false" outlineLevel="0" collapsed="false">
      <c r="L53" s="61" t="s">
        <v>358</v>
      </c>
      <c r="M53" s="61" t="s">
        <v>359</v>
      </c>
      <c r="N53" s="61" t="s">
        <v>360</v>
      </c>
      <c r="O53" s="61" t="s">
        <v>361</v>
      </c>
      <c r="P53" s="61" t="s">
        <v>135</v>
      </c>
    </row>
    <row r="54" customFormat="false" ht="12.75" hidden="false" customHeight="false" outlineLevel="0" collapsed="false">
      <c r="L54" s="61" t="s">
        <v>362</v>
      </c>
      <c r="M54" s="61" t="s">
        <v>363</v>
      </c>
      <c r="N54" s="61" t="s">
        <v>364</v>
      </c>
      <c r="O54" s="61" t="s">
        <v>365</v>
      </c>
      <c r="P54" s="61" t="s">
        <v>135</v>
      </c>
    </row>
    <row r="55" customFormat="false" ht="12.75" hidden="false" customHeight="false" outlineLevel="0" collapsed="false">
      <c r="L55" s="61" t="s">
        <v>366</v>
      </c>
      <c r="M55" s="61" t="s">
        <v>367</v>
      </c>
      <c r="N55" s="61" t="s">
        <v>217</v>
      </c>
      <c r="O55" s="61" t="s">
        <v>193</v>
      </c>
      <c r="P55" s="61" t="s">
        <v>183</v>
      </c>
    </row>
    <row r="56" customFormat="false" ht="12.75" hidden="false" customHeight="false" outlineLevel="0" collapsed="false">
      <c r="L56" s="61" t="s">
        <v>368</v>
      </c>
      <c r="M56" s="61" t="s">
        <v>369</v>
      </c>
      <c r="N56" s="61" t="s">
        <v>370</v>
      </c>
      <c r="O56" s="61" t="s">
        <v>371</v>
      </c>
      <c r="P56" s="61" t="s">
        <v>183</v>
      </c>
    </row>
    <row r="57" customFormat="false" ht="12.75" hidden="false" customHeight="false" outlineLevel="0" collapsed="false">
      <c r="L57" s="61" t="s">
        <v>372</v>
      </c>
      <c r="M57" s="61" t="s">
        <v>373</v>
      </c>
      <c r="N57" s="61" t="s">
        <v>374</v>
      </c>
      <c r="O57" s="61" t="s">
        <v>375</v>
      </c>
      <c r="P57" s="61" t="s">
        <v>183</v>
      </c>
    </row>
    <row r="58" customFormat="false" ht="12.75" hidden="false" customHeight="false" outlineLevel="0" collapsed="false">
      <c r="L58" s="61" t="s">
        <v>376</v>
      </c>
      <c r="M58" s="61" t="s">
        <v>377</v>
      </c>
      <c r="N58" s="61" t="s">
        <v>378</v>
      </c>
      <c r="O58" s="61" t="s">
        <v>182</v>
      </c>
      <c r="P58" s="61" t="s">
        <v>183</v>
      </c>
    </row>
    <row r="59" customFormat="false" ht="12.75" hidden="false" customHeight="false" outlineLevel="0" collapsed="false">
      <c r="L59" s="61" t="s">
        <v>379</v>
      </c>
      <c r="M59" s="61" t="s">
        <v>380</v>
      </c>
      <c r="N59" s="61" t="s">
        <v>381</v>
      </c>
      <c r="O59" s="61" t="s">
        <v>382</v>
      </c>
      <c r="P59" s="61" t="s">
        <v>135</v>
      </c>
    </row>
    <row r="60" customFormat="false" ht="12.75" hidden="false" customHeight="false" outlineLevel="0" collapsed="false">
      <c r="L60" s="61" t="s">
        <v>383</v>
      </c>
      <c r="M60" s="61" t="s">
        <v>384</v>
      </c>
      <c r="N60" s="61" t="s">
        <v>348</v>
      </c>
      <c r="O60" s="61" t="s">
        <v>385</v>
      </c>
      <c r="P60" s="61" t="s">
        <v>183</v>
      </c>
    </row>
    <row r="61" customFormat="false" ht="12.75" hidden="false" customHeight="false" outlineLevel="0" collapsed="false">
      <c r="L61" s="61" t="s">
        <v>386</v>
      </c>
      <c r="M61" s="61" t="s">
        <v>387</v>
      </c>
      <c r="N61" s="61" t="s">
        <v>316</v>
      </c>
      <c r="O61" s="61" t="s">
        <v>388</v>
      </c>
      <c r="P61" s="61" t="s">
        <v>142</v>
      </c>
    </row>
    <row r="62" customFormat="false" ht="12.75" hidden="false" customHeight="false" outlineLevel="0" collapsed="false">
      <c r="L62" s="61" t="s">
        <v>389</v>
      </c>
      <c r="M62" s="61" t="s">
        <v>390</v>
      </c>
      <c r="N62" s="61" t="s">
        <v>391</v>
      </c>
      <c r="O62" s="61" t="s">
        <v>392</v>
      </c>
      <c r="P62" s="61" t="s">
        <v>183</v>
      </c>
    </row>
    <row r="63" customFormat="false" ht="12.75" hidden="false" customHeight="false" outlineLevel="0" collapsed="false">
      <c r="L63" s="61" t="s">
        <v>393</v>
      </c>
      <c r="M63" s="61" t="s">
        <v>394</v>
      </c>
      <c r="N63" s="61" t="s">
        <v>269</v>
      </c>
      <c r="O63" s="61" t="s">
        <v>178</v>
      </c>
      <c r="P63" s="61" t="s">
        <v>142</v>
      </c>
    </row>
    <row r="64" customFormat="false" ht="12.75" hidden="false" customHeight="false" outlineLevel="0" collapsed="false">
      <c r="L64" s="61" t="s">
        <v>395</v>
      </c>
      <c r="M64" s="61" t="s">
        <v>396</v>
      </c>
      <c r="N64" s="61" t="s">
        <v>177</v>
      </c>
      <c r="O64" s="61" t="s">
        <v>178</v>
      </c>
      <c r="P64" s="61" t="s">
        <v>142</v>
      </c>
    </row>
    <row r="65" customFormat="false" ht="12.75" hidden="false" customHeight="false" outlineLevel="0" collapsed="false">
      <c r="L65" s="61" t="s">
        <v>397</v>
      </c>
      <c r="M65" s="61" t="s">
        <v>398</v>
      </c>
      <c r="N65" s="61" t="s">
        <v>399</v>
      </c>
      <c r="O65" s="61" t="s">
        <v>400</v>
      </c>
      <c r="P65" s="61" t="s">
        <v>183</v>
      </c>
    </row>
    <row r="66" customFormat="false" ht="12.75" hidden="false" customHeight="false" outlineLevel="0" collapsed="false">
      <c r="L66" s="61" t="s">
        <v>401</v>
      </c>
      <c r="M66" s="61" t="s">
        <v>402</v>
      </c>
      <c r="N66" s="61" t="s">
        <v>403</v>
      </c>
      <c r="O66" s="61" t="s">
        <v>404</v>
      </c>
      <c r="P66" s="61" t="s">
        <v>183</v>
      </c>
    </row>
    <row r="67" customFormat="false" ht="12.75" hidden="false" customHeight="false" outlineLevel="0" collapsed="false">
      <c r="L67" s="61" t="s">
        <v>405</v>
      </c>
      <c r="M67" s="61" t="s">
        <v>406</v>
      </c>
      <c r="N67" s="61" t="s">
        <v>407</v>
      </c>
      <c r="O67" s="61" t="s">
        <v>408</v>
      </c>
      <c r="P67" s="61" t="s">
        <v>135</v>
      </c>
    </row>
    <row r="68" customFormat="false" ht="12.75" hidden="false" customHeight="false" outlineLevel="0" collapsed="false">
      <c r="L68" s="61" t="s">
        <v>409</v>
      </c>
      <c r="M68" s="61" t="s">
        <v>410</v>
      </c>
      <c r="N68" s="61" t="s">
        <v>411</v>
      </c>
      <c r="O68" s="61" t="s">
        <v>412</v>
      </c>
      <c r="P68" s="61" t="s">
        <v>135</v>
      </c>
    </row>
    <row r="69" customFormat="false" ht="12.75" hidden="false" customHeight="false" outlineLevel="0" collapsed="false">
      <c r="L69" s="61" t="s">
        <v>413</v>
      </c>
      <c r="M69" s="61" t="s">
        <v>414</v>
      </c>
      <c r="N69" s="61" t="s">
        <v>335</v>
      </c>
      <c r="O69" s="61" t="s">
        <v>336</v>
      </c>
      <c r="P69" s="61" t="s">
        <v>135</v>
      </c>
    </row>
    <row r="70" customFormat="false" ht="12.75" hidden="false" customHeight="false" outlineLevel="0" collapsed="false">
      <c r="L70" s="61" t="s">
        <v>415</v>
      </c>
      <c r="M70" s="61" t="s">
        <v>416</v>
      </c>
      <c r="N70" s="61" t="s">
        <v>417</v>
      </c>
      <c r="O70" s="61" t="s">
        <v>418</v>
      </c>
      <c r="P70" s="61" t="s">
        <v>183</v>
      </c>
    </row>
    <row r="71" customFormat="false" ht="12.75" hidden="false" customHeight="false" outlineLevel="0" collapsed="false">
      <c r="L71" s="61" t="s">
        <v>419</v>
      </c>
      <c r="M71" s="61" t="s">
        <v>420</v>
      </c>
      <c r="N71" s="61" t="s">
        <v>421</v>
      </c>
      <c r="O71" s="61" t="s">
        <v>422</v>
      </c>
      <c r="P71" s="61" t="s">
        <v>135</v>
      </c>
    </row>
    <row r="72" customFormat="false" ht="12.75" hidden="false" customHeight="false" outlineLevel="0" collapsed="false">
      <c r="L72" s="61" t="s">
        <v>423</v>
      </c>
      <c r="M72" s="61" t="s">
        <v>424</v>
      </c>
      <c r="N72" s="61" t="s">
        <v>425</v>
      </c>
      <c r="O72" s="61" t="s">
        <v>412</v>
      </c>
      <c r="P72" s="61" t="s">
        <v>135</v>
      </c>
    </row>
    <row r="73" customFormat="false" ht="12.75" hidden="false" customHeight="false" outlineLevel="0" collapsed="false">
      <c r="L73" s="61" t="s">
        <v>426</v>
      </c>
      <c r="M73" s="61" t="s">
        <v>427</v>
      </c>
      <c r="N73" s="61" t="s">
        <v>428</v>
      </c>
      <c r="O73" s="61" t="s">
        <v>160</v>
      </c>
      <c r="P73" s="61" t="s">
        <v>135</v>
      </c>
    </row>
    <row r="74" customFormat="false" ht="12.75" hidden="false" customHeight="false" outlineLevel="0" collapsed="false">
      <c r="L74" s="61" t="s">
        <v>429</v>
      </c>
      <c r="M74" s="61" t="s">
        <v>430</v>
      </c>
      <c r="N74" s="61" t="s">
        <v>431</v>
      </c>
      <c r="O74" s="61" t="s">
        <v>432</v>
      </c>
      <c r="P74" s="61" t="s">
        <v>142</v>
      </c>
    </row>
    <row r="75" customFormat="false" ht="12.75" hidden="false" customHeight="false" outlineLevel="0" collapsed="false">
      <c r="L75" s="61" t="s">
        <v>433</v>
      </c>
      <c r="M75" s="61" t="s">
        <v>434</v>
      </c>
      <c r="N75" s="61" t="s">
        <v>435</v>
      </c>
      <c r="O75" s="61" t="s">
        <v>436</v>
      </c>
      <c r="P75" s="61" t="s">
        <v>142</v>
      </c>
    </row>
    <row r="76" customFormat="false" ht="12.75" hidden="false" customHeight="false" outlineLevel="0" collapsed="false">
      <c r="L76" s="61" t="s">
        <v>437</v>
      </c>
      <c r="M76" s="61" t="s">
        <v>438</v>
      </c>
      <c r="N76" s="61" t="s">
        <v>439</v>
      </c>
      <c r="O76" s="61" t="s">
        <v>440</v>
      </c>
      <c r="P76" s="61" t="s">
        <v>183</v>
      </c>
    </row>
    <row r="77" customFormat="false" ht="12.75" hidden="false" customHeight="false" outlineLevel="0" collapsed="false">
      <c r="L77" s="61" t="s">
        <v>441</v>
      </c>
      <c r="M77" s="61" t="s">
        <v>442</v>
      </c>
      <c r="N77" s="61" t="s">
        <v>443</v>
      </c>
      <c r="O77" s="61" t="s">
        <v>444</v>
      </c>
      <c r="P77" s="61" t="s">
        <v>142</v>
      </c>
    </row>
    <row r="78" customFormat="false" ht="12.75" hidden="false" customHeight="false" outlineLevel="0" collapsed="false">
      <c r="L78" s="61" t="s">
        <v>445</v>
      </c>
      <c r="M78" s="61" t="s">
        <v>446</v>
      </c>
      <c r="N78" s="61" t="s">
        <v>447</v>
      </c>
      <c r="O78" s="61" t="s">
        <v>448</v>
      </c>
      <c r="P78" s="61" t="s">
        <v>183</v>
      </c>
    </row>
    <row r="79" customFormat="false" ht="12.75" hidden="false" customHeight="false" outlineLevel="0" collapsed="false">
      <c r="L79" s="61" t="s">
        <v>449</v>
      </c>
      <c r="M79" s="61" t="s">
        <v>450</v>
      </c>
      <c r="N79" s="61" t="s">
        <v>451</v>
      </c>
      <c r="O79" s="61" t="s">
        <v>452</v>
      </c>
      <c r="P79" s="61" t="s">
        <v>135</v>
      </c>
    </row>
    <row r="80" customFormat="false" ht="12.75" hidden="false" customHeight="false" outlineLevel="0" collapsed="false">
      <c r="L80" s="61" t="s">
        <v>453</v>
      </c>
      <c r="M80" s="61" t="s">
        <v>454</v>
      </c>
      <c r="N80" s="61" t="s">
        <v>455</v>
      </c>
      <c r="O80" s="61" t="s">
        <v>408</v>
      </c>
      <c r="P80" s="61" t="s">
        <v>135</v>
      </c>
    </row>
    <row r="81" customFormat="false" ht="12.75" hidden="false" customHeight="false" outlineLevel="0" collapsed="false">
      <c r="L81" s="61" t="s">
        <v>456</v>
      </c>
      <c r="M81" s="61" t="s">
        <v>457</v>
      </c>
      <c r="N81" s="61" t="s">
        <v>458</v>
      </c>
      <c r="O81" s="61" t="s">
        <v>459</v>
      </c>
      <c r="P81" s="61" t="s">
        <v>135</v>
      </c>
    </row>
    <row r="82" customFormat="false" ht="12.75" hidden="false" customHeight="false" outlineLevel="0" collapsed="false">
      <c r="L82" s="61" t="s">
        <v>460</v>
      </c>
      <c r="M82" s="61" t="s">
        <v>461</v>
      </c>
      <c r="N82" s="61" t="s">
        <v>462</v>
      </c>
      <c r="O82" s="61" t="s">
        <v>463</v>
      </c>
      <c r="P82" s="61" t="s">
        <v>183</v>
      </c>
    </row>
    <row r="83" customFormat="false" ht="12.75" hidden="false" customHeight="false" outlineLevel="0" collapsed="false">
      <c r="L83" s="61" t="s">
        <v>464</v>
      </c>
      <c r="M83" s="61" t="s">
        <v>465</v>
      </c>
      <c r="N83" s="61" t="s">
        <v>466</v>
      </c>
      <c r="O83" s="61" t="s">
        <v>467</v>
      </c>
      <c r="P83" s="61" t="s">
        <v>135</v>
      </c>
    </row>
    <row r="84" customFormat="false" ht="12.75" hidden="false" customHeight="false" outlineLevel="0" collapsed="false">
      <c r="L84" s="61" t="s">
        <v>468</v>
      </c>
      <c r="M84" s="61" t="s">
        <v>469</v>
      </c>
      <c r="N84" s="61" t="s">
        <v>470</v>
      </c>
      <c r="O84" s="61" t="s">
        <v>471</v>
      </c>
      <c r="P84" s="61" t="s">
        <v>135</v>
      </c>
    </row>
    <row r="85" customFormat="false" ht="12.75" hidden="false" customHeight="false" outlineLevel="0" collapsed="false">
      <c r="L85" s="61" t="s">
        <v>472</v>
      </c>
      <c r="M85" s="61" t="s">
        <v>473</v>
      </c>
      <c r="N85" s="61" t="s">
        <v>474</v>
      </c>
      <c r="O85" s="61" t="s">
        <v>475</v>
      </c>
      <c r="P85" s="61" t="s">
        <v>135</v>
      </c>
    </row>
    <row r="86" customFormat="false" ht="12.75" hidden="false" customHeight="false" outlineLevel="0" collapsed="false">
      <c r="L86" s="61" t="s">
        <v>476</v>
      </c>
      <c r="M86" s="61" t="s">
        <v>477</v>
      </c>
      <c r="N86" s="61" t="s">
        <v>478</v>
      </c>
      <c r="O86" s="61" t="s">
        <v>479</v>
      </c>
      <c r="P86" s="61" t="s">
        <v>142</v>
      </c>
    </row>
    <row r="87" customFormat="false" ht="12.75" hidden="false" customHeight="false" outlineLevel="0" collapsed="false">
      <c r="L87" s="61" t="s">
        <v>480</v>
      </c>
      <c r="M87" s="61" t="s">
        <v>481</v>
      </c>
      <c r="N87" s="61" t="s">
        <v>482</v>
      </c>
      <c r="O87" s="61" t="s">
        <v>259</v>
      </c>
      <c r="P87" s="61" t="s">
        <v>135</v>
      </c>
    </row>
    <row r="88" customFormat="false" ht="12.75" hidden="false" customHeight="false" outlineLevel="0" collapsed="false">
      <c r="L88" s="61" t="s">
        <v>483</v>
      </c>
      <c r="M88" s="61" t="s">
        <v>484</v>
      </c>
      <c r="N88" s="61" t="s">
        <v>485</v>
      </c>
      <c r="O88" s="61" t="s">
        <v>250</v>
      </c>
      <c r="P88" s="61" t="s">
        <v>142</v>
      </c>
    </row>
  </sheetData>
  <mergeCells count="13">
    <mergeCell ref="F2:J2"/>
    <mergeCell ref="F3:J7"/>
    <mergeCell ref="B8:D8"/>
    <mergeCell ref="F9:J9"/>
    <mergeCell ref="B20:D20"/>
    <mergeCell ref="B32:D32"/>
    <mergeCell ref="B41:C41"/>
    <mergeCell ref="B43:D43"/>
    <mergeCell ref="B44:C44"/>
    <mergeCell ref="B45:C45"/>
    <mergeCell ref="B46:C46"/>
    <mergeCell ref="B47:C47"/>
    <mergeCell ref="B48:C48"/>
  </mergeCells>
  <conditionalFormatting sqref="F9:J9">
    <cfRule type="expression" priority="2" aboveAverage="0" equalAverage="0" bottom="0" percent="0" rank="0" text="" dxfId="2">
      <formula>LEFT($F$9,3)="All"</formula>
    </cfRule>
    <cfRule type="expression" priority="3" aboveAverage="0" equalAverage="0" bottom="0" percent="0" rank="0" text="" dxfId="3">
      <formula>LEFT($F$9,3)&lt;&gt;"All"</formula>
    </cfRule>
  </conditionalFormatting>
  <dataValidations count="4">
    <dataValidation allowBlank="true" errorStyle="stop" operator="between" prompt="Select Branch Use" promptTitle="Branch Use" showDropDown="false" showErrorMessage="true" showInputMessage="true" sqref="D21" type="list">
      <formula1>$S$9:$S$12</formula1>
      <formula2>0</formula2>
    </dataValidation>
    <dataValidation allowBlank="true" errorStyle="stop" operator="between" prompt="Select Markings Type" promptTitle="Select Type" showDropDown="false" showErrorMessage="true" showInputMessage="true" sqref="D29" type="list">
      <formula1>$S$16:$S$18</formula1>
      <formula2>0</formula2>
    </dataValidation>
    <dataValidation allowBlank="false" error="Select Airport Name from List" errorStyle="stop" operator="between" prompt="Select Airport" promptTitle="Airport Name" showDropDown="false" showErrorMessage="true" showInputMessage="true" sqref="D9" type="list">
      <formula1>$L$10:$L$88</formula1>
      <formula2>0</formula2>
    </dataValidation>
    <dataValidation allowBlank="true" errorStyle="stop" operator="between" showDropDown="false" showErrorMessage="true" showInputMessage="true" sqref="D38" type="list">
      <formula1>"No,Yes"</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001" r:id="rId4" name="cmdWsSetup">
              <controlPr defaultSize="0" print="true" autoFill="0" autoPict="0">
                <anchor moveWithCells="true" sizeWithCells="false">
                  <from>
                    <xdr:col>3</xdr:col>
                    <xdr:colOff>133200</xdr:colOff>
                    <xdr:row>37</xdr:row>
                    <xdr:rowOff>68400</xdr:rowOff>
                  </from>
                  <to>
                    <xdr:col>4</xdr:col>
                    <xdr:colOff>-1911600</xdr:colOff>
                    <xdr:row>39</xdr:row>
                    <xdr:rowOff>165600</xdr:rowOff>
                  </to>
                </anchor>
              </controlPr>
            </control>
          </mc:Choice>
        </mc:AlternateContent>
      </controls>
    </mc:Choice>
  </mc:AlternateContent>
  <tableParts>
    <tablePart r:id="rId5"/>
    <tablePart r:id="rId6"/>
    <tablePart r:id="rId7"/>
    <tablePart r:id="rId8"/>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true"/>
  </sheetPr>
  <dimension ref="A1:J6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71484375" defaultRowHeight="12.75" zeroHeight="false" outlineLevelRow="0" outlineLevelCol="0"/>
  <cols>
    <col collapsed="false" customWidth="true" hidden="false" outlineLevel="0" max="1" min="1" style="61" width="19"/>
    <col collapsed="false" customWidth="true" hidden="false" outlineLevel="0" max="2" min="2" style="61" width="18"/>
    <col collapsed="false" customWidth="true" hidden="false" outlineLevel="0" max="3" min="3" style="61" width="13"/>
    <col collapsed="false" customWidth="true" hidden="false" outlineLevel="0" max="4" min="4" style="61" width="63"/>
    <col collapsed="false" customWidth="true" hidden="false" outlineLevel="0" max="5" min="5" style="61" width="7"/>
    <col collapsed="false" customWidth="true" hidden="false" outlineLevel="0" max="6" min="6" style="61" width="11"/>
    <col collapsed="false" customWidth="true" hidden="false" outlineLevel="0" max="9" min="7" style="61" width="10"/>
    <col collapsed="false" customWidth="true" hidden="false" outlineLevel="0" max="10" min="10" style="61" width="15"/>
    <col collapsed="false" customWidth="false" hidden="false" outlineLevel="0" max="16384" min="11" style="61" width="8.71"/>
  </cols>
  <sheetData>
    <row r="1" customFormat="false" ht="39.75" hidden="false" customHeight="true" outlineLevel="0" collapsed="false">
      <c r="A1" s="3" t="str">
        <f aca="false">HYPERLINK("#'General Information'!D9","◄ General Information")</f>
        <v>◄ General Information</v>
      </c>
      <c r="B1" s="4" t="str">
        <f aca="false">HYPERLINK("#Summary!G1","Summary")</f>
        <v>Summary</v>
      </c>
      <c r="C1" s="42" t="s">
        <v>486</v>
      </c>
      <c r="D1" s="112" t="str">
        <f aca="false">IF(COUNTBLANK($F$4:$F$59)=0,"Every pay item carries a unit cost.",COUNTBLANK($F$4:$F$59)&amp;" of "&amp;COUNTA($D$4:$D$59)&amp;" pay items carry no unit cost, flagged amber below.")</f>
        <v>28 of 56 pay items carry no unit cost, flagged amber below.</v>
      </c>
      <c r="E1" s="112"/>
      <c r="F1" s="113" t="s">
        <v>487</v>
      </c>
      <c r="G1" s="114" t="s">
        <v>488</v>
      </c>
      <c r="H1" s="114"/>
      <c r="I1" s="114"/>
    </row>
    <row r="2" customFormat="false" ht="21.75" hidden="false" customHeight="true" outlineLevel="0" collapsed="false">
      <c r="A2" s="24" t="s">
        <v>489</v>
      </c>
      <c r="B2" s="24" t="s">
        <v>490</v>
      </c>
      <c r="C2" s="24" t="s">
        <v>491</v>
      </c>
      <c r="D2" s="24" t="s">
        <v>492</v>
      </c>
      <c r="E2" s="25" t="s">
        <v>493</v>
      </c>
      <c r="F2" s="25" t="s">
        <v>25</v>
      </c>
      <c r="G2" s="25" t="s">
        <v>135</v>
      </c>
      <c r="H2" s="25" t="s">
        <v>142</v>
      </c>
      <c r="I2" s="25" t="s">
        <v>183</v>
      </c>
      <c r="J2" s="24" t="s">
        <v>494</v>
      </c>
    </row>
    <row r="3" customFormat="false" ht="12.75" hidden="false" customHeight="false" outlineLevel="0" collapsed="false">
      <c r="A3" s="81"/>
      <c r="B3" s="61" t="s">
        <v>495</v>
      </c>
      <c r="C3" s="81"/>
      <c r="D3" s="81"/>
      <c r="E3" s="81" t="s">
        <v>129</v>
      </c>
      <c r="F3" s="115" t="s">
        <v>129</v>
      </c>
      <c r="G3" s="116"/>
      <c r="H3" s="116"/>
      <c r="I3" s="116"/>
    </row>
    <row r="4" customFormat="false" ht="12.75" hidden="false" customHeight="false" outlineLevel="0" collapsed="false">
      <c r="A4" s="117" t="s">
        <v>496</v>
      </c>
      <c r="B4" s="61" t="s">
        <v>497</v>
      </c>
      <c r="C4" s="118" t="s">
        <v>498</v>
      </c>
      <c r="D4" s="119" t="s">
        <v>499</v>
      </c>
      <c r="E4" s="28" t="s">
        <v>10</v>
      </c>
      <c r="F4" s="115" t="n">
        <v>4.2</v>
      </c>
      <c r="G4" s="116"/>
      <c r="H4" s="116"/>
      <c r="I4" s="116"/>
      <c r="J4" s="61" t="s">
        <v>500</v>
      </c>
    </row>
    <row r="5" customFormat="false" ht="12.75" hidden="false" customHeight="false" outlineLevel="0" collapsed="false">
      <c r="B5" s="61" t="s">
        <v>497</v>
      </c>
      <c r="C5" s="118" t="s">
        <v>501</v>
      </c>
      <c r="D5" s="119" t="s">
        <v>502</v>
      </c>
      <c r="E5" s="28" t="s">
        <v>10</v>
      </c>
      <c r="F5" s="115"/>
      <c r="G5" s="116"/>
      <c r="H5" s="116"/>
      <c r="I5" s="116"/>
      <c r="J5" s="61" t="s">
        <v>500</v>
      </c>
    </row>
    <row r="6" customFormat="false" ht="12.75" hidden="false" customHeight="false" outlineLevel="0" collapsed="false">
      <c r="B6" s="61" t="s">
        <v>497</v>
      </c>
      <c r="C6" s="118" t="s">
        <v>503</v>
      </c>
      <c r="D6" s="119" t="s">
        <v>504</v>
      </c>
      <c r="E6" s="28" t="s">
        <v>505</v>
      </c>
      <c r="F6" s="115" t="n">
        <v>4</v>
      </c>
      <c r="G6" s="116"/>
      <c r="H6" s="116"/>
      <c r="I6" s="116"/>
    </row>
    <row r="7" customFormat="false" ht="12.75" hidden="false" customHeight="false" outlineLevel="0" collapsed="false">
      <c r="B7" s="61" t="s">
        <v>497</v>
      </c>
      <c r="C7" s="118" t="s">
        <v>506</v>
      </c>
      <c r="D7" s="119" t="s">
        <v>507</v>
      </c>
      <c r="E7" s="28" t="s">
        <v>505</v>
      </c>
      <c r="F7" s="115" t="n">
        <v>6.5</v>
      </c>
      <c r="G7" s="116"/>
      <c r="H7" s="116"/>
      <c r="I7" s="116"/>
    </row>
    <row r="8" customFormat="false" ht="12.75" hidden="false" customHeight="false" outlineLevel="0" collapsed="false">
      <c r="B8" s="61" t="s">
        <v>497</v>
      </c>
      <c r="C8" s="118" t="s">
        <v>508</v>
      </c>
      <c r="D8" s="119" t="s">
        <v>509</v>
      </c>
      <c r="E8" s="28" t="s">
        <v>505</v>
      </c>
      <c r="F8" s="115" t="n">
        <v>8</v>
      </c>
      <c r="G8" s="116"/>
      <c r="H8" s="116"/>
      <c r="I8" s="116"/>
    </row>
    <row r="9" customFormat="false" ht="12.75" hidden="false" customHeight="false" outlineLevel="0" collapsed="false">
      <c r="B9" s="61" t="s">
        <v>497</v>
      </c>
      <c r="C9" s="118" t="s">
        <v>510</v>
      </c>
      <c r="D9" s="119" t="s">
        <v>511</v>
      </c>
      <c r="E9" s="28" t="s">
        <v>505</v>
      </c>
      <c r="F9" s="115" t="n">
        <v>8.5</v>
      </c>
      <c r="G9" s="116"/>
      <c r="H9" s="116"/>
      <c r="I9" s="116"/>
    </row>
    <row r="10" customFormat="false" ht="12.75" hidden="false" customHeight="false" outlineLevel="0" collapsed="false">
      <c r="B10" s="61" t="s">
        <v>497</v>
      </c>
      <c r="C10" s="118" t="s">
        <v>512</v>
      </c>
      <c r="D10" s="119" t="s">
        <v>513</v>
      </c>
      <c r="E10" s="28" t="s">
        <v>14</v>
      </c>
      <c r="F10" s="115" t="n">
        <f aca="false">7/9</f>
        <v>0.777777777777778</v>
      </c>
      <c r="G10" s="116"/>
      <c r="H10" s="116"/>
      <c r="I10" s="116"/>
    </row>
    <row r="11" customFormat="false" ht="12.75" hidden="false" customHeight="false" outlineLevel="0" collapsed="false">
      <c r="B11" s="61" t="s">
        <v>497</v>
      </c>
      <c r="C11" s="118" t="s">
        <v>514</v>
      </c>
      <c r="D11" s="119" t="s">
        <v>515</v>
      </c>
      <c r="E11" s="28" t="s">
        <v>14</v>
      </c>
      <c r="F11" s="115" t="n">
        <v>8.5</v>
      </c>
      <c r="G11" s="116"/>
      <c r="H11" s="116"/>
      <c r="I11" s="116"/>
      <c r="J11" s="61" t="s">
        <v>500</v>
      </c>
    </row>
    <row r="12" customFormat="false" ht="12.75" hidden="false" customHeight="false" outlineLevel="0" collapsed="false">
      <c r="B12" s="61" t="s">
        <v>497</v>
      </c>
      <c r="C12" s="118" t="s">
        <v>516</v>
      </c>
      <c r="D12" s="119" t="s">
        <v>517</v>
      </c>
      <c r="E12" s="28" t="s">
        <v>14</v>
      </c>
      <c r="F12" s="115"/>
      <c r="G12" s="116"/>
      <c r="H12" s="116"/>
      <c r="I12" s="116"/>
      <c r="J12" s="61" t="s">
        <v>518</v>
      </c>
    </row>
    <row r="13" customFormat="false" ht="12.75" hidden="false" customHeight="false" outlineLevel="0" collapsed="false">
      <c r="B13" s="61" t="s">
        <v>497</v>
      </c>
      <c r="C13" s="118" t="s">
        <v>519</v>
      </c>
      <c r="D13" s="119" t="s">
        <v>520</v>
      </c>
      <c r="E13" s="28" t="s">
        <v>14</v>
      </c>
      <c r="F13" s="115" t="n">
        <v>60</v>
      </c>
      <c r="G13" s="116"/>
      <c r="H13" s="116"/>
      <c r="I13" s="116"/>
      <c r="J13" s="61" t="s">
        <v>500</v>
      </c>
    </row>
    <row r="14" customFormat="false" ht="12.75" hidden="false" customHeight="false" outlineLevel="0" collapsed="false">
      <c r="B14" s="61" t="s">
        <v>497</v>
      </c>
      <c r="C14" s="118" t="s">
        <v>521</v>
      </c>
      <c r="D14" s="119" t="s">
        <v>522</v>
      </c>
      <c r="E14" s="28" t="s">
        <v>10</v>
      </c>
      <c r="F14" s="115" t="n">
        <v>120</v>
      </c>
      <c r="G14" s="116"/>
      <c r="H14" s="116"/>
      <c r="I14" s="116"/>
      <c r="J14" s="61" t="s">
        <v>500</v>
      </c>
    </row>
    <row r="15" customFormat="false" ht="12.75" hidden="false" customHeight="false" outlineLevel="0" collapsed="false">
      <c r="B15" s="61" t="s">
        <v>497</v>
      </c>
      <c r="C15" s="118" t="s">
        <v>523</v>
      </c>
      <c r="D15" s="119" t="s">
        <v>524</v>
      </c>
      <c r="E15" s="28" t="s">
        <v>10</v>
      </c>
      <c r="F15" s="115" t="n">
        <v>100</v>
      </c>
      <c r="G15" s="116"/>
      <c r="H15" s="116"/>
      <c r="I15" s="116"/>
    </row>
    <row r="16" customFormat="false" ht="12.75" hidden="false" customHeight="false" outlineLevel="0" collapsed="false">
      <c r="B16" s="61" t="s">
        <v>497</v>
      </c>
      <c r="C16" s="118" t="s">
        <v>525</v>
      </c>
      <c r="D16" s="119" t="s">
        <v>526</v>
      </c>
      <c r="E16" s="28" t="s">
        <v>10</v>
      </c>
      <c r="F16" s="115" t="n">
        <f aca="false">10/2</f>
        <v>5</v>
      </c>
      <c r="G16" s="116"/>
      <c r="H16" s="116"/>
      <c r="I16" s="116"/>
      <c r="J16" s="61" t="s">
        <v>500</v>
      </c>
    </row>
    <row r="17" customFormat="false" ht="12.75" hidden="false" customHeight="false" outlineLevel="0" collapsed="false">
      <c r="B17" s="61" t="s">
        <v>497</v>
      </c>
      <c r="C17" s="118" t="s">
        <v>527</v>
      </c>
      <c r="D17" s="119" t="s">
        <v>528</v>
      </c>
      <c r="E17" s="28" t="s">
        <v>529</v>
      </c>
      <c r="F17" s="115" t="n">
        <v>12</v>
      </c>
      <c r="G17" s="116"/>
      <c r="H17" s="116"/>
      <c r="I17" s="116"/>
    </row>
    <row r="18" customFormat="false" ht="12.75" hidden="false" customHeight="false" outlineLevel="0" collapsed="false">
      <c r="B18" s="61" t="s">
        <v>497</v>
      </c>
      <c r="C18" s="118" t="s">
        <v>530</v>
      </c>
      <c r="D18" s="119" t="s">
        <v>531</v>
      </c>
      <c r="E18" s="28" t="s">
        <v>529</v>
      </c>
      <c r="F18" s="115"/>
      <c r="G18" s="116"/>
      <c r="H18" s="116"/>
      <c r="I18" s="116"/>
    </row>
    <row r="19" customFormat="false" ht="12.75" hidden="false" customHeight="false" outlineLevel="0" collapsed="false">
      <c r="B19" s="61" t="s">
        <v>497</v>
      </c>
      <c r="C19" s="118" t="s">
        <v>532</v>
      </c>
      <c r="D19" s="119" t="s">
        <v>533</v>
      </c>
      <c r="E19" s="28" t="s">
        <v>529</v>
      </c>
      <c r="F19" s="115" t="n">
        <v>55</v>
      </c>
      <c r="G19" s="116"/>
      <c r="H19" s="116"/>
      <c r="I19" s="116"/>
    </row>
    <row r="20" customFormat="false" ht="12.75" hidden="false" customHeight="false" outlineLevel="0" collapsed="false">
      <c r="B20" s="61" t="s">
        <v>497</v>
      </c>
      <c r="C20" s="118" t="s">
        <v>534</v>
      </c>
      <c r="D20" s="119" t="s">
        <v>535</v>
      </c>
      <c r="E20" s="28" t="s">
        <v>10</v>
      </c>
      <c r="F20" s="115"/>
      <c r="G20" s="116"/>
      <c r="H20" s="116"/>
      <c r="I20" s="116"/>
    </row>
    <row r="21" customFormat="false" ht="12.75" hidden="false" customHeight="false" outlineLevel="0" collapsed="false">
      <c r="B21" s="61" t="s">
        <v>497</v>
      </c>
      <c r="C21" s="118" t="s">
        <v>536</v>
      </c>
      <c r="D21" s="119" t="s">
        <v>537</v>
      </c>
      <c r="E21" s="28" t="s">
        <v>10</v>
      </c>
      <c r="F21" s="115" t="n">
        <v>10</v>
      </c>
      <c r="G21" s="116"/>
      <c r="H21" s="116"/>
      <c r="I21" s="116"/>
      <c r="J21" s="61" t="s">
        <v>500</v>
      </c>
    </row>
    <row r="22" customFormat="false" ht="12.75" hidden="false" customHeight="false" outlineLevel="0" collapsed="false">
      <c r="B22" s="61" t="s">
        <v>497</v>
      </c>
      <c r="C22" s="118" t="s">
        <v>538</v>
      </c>
      <c r="D22" s="119" t="s">
        <v>539</v>
      </c>
      <c r="E22" s="28" t="s">
        <v>10</v>
      </c>
      <c r="F22" s="115"/>
      <c r="G22" s="116"/>
      <c r="H22" s="116"/>
      <c r="I22" s="116"/>
      <c r="J22" s="61" t="s">
        <v>500</v>
      </c>
    </row>
    <row r="23" customFormat="false" ht="12.75" hidden="false" customHeight="false" outlineLevel="0" collapsed="false">
      <c r="B23" s="61" t="s">
        <v>497</v>
      </c>
      <c r="C23" s="118" t="s">
        <v>540</v>
      </c>
      <c r="D23" s="119" t="s">
        <v>541</v>
      </c>
      <c r="E23" s="28" t="s">
        <v>10</v>
      </c>
      <c r="F23" s="115"/>
      <c r="G23" s="116"/>
      <c r="H23" s="116"/>
      <c r="I23" s="116"/>
      <c r="J23" s="61" t="s">
        <v>500</v>
      </c>
    </row>
    <row r="24" customFormat="false" ht="12.75" hidden="false" customHeight="false" outlineLevel="0" collapsed="false">
      <c r="B24" s="61" t="s">
        <v>497</v>
      </c>
      <c r="C24" s="118" t="s">
        <v>542</v>
      </c>
      <c r="D24" s="119" t="s">
        <v>543</v>
      </c>
      <c r="E24" s="28" t="s">
        <v>10</v>
      </c>
      <c r="F24" s="115"/>
      <c r="G24" s="116"/>
      <c r="H24" s="116"/>
      <c r="I24" s="116"/>
      <c r="J24" s="61" t="s">
        <v>500</v>
      </c>
    </row>
    <row r="25" customFormat="false" ht="12.75" hidden="false" customHeight="false" outlineLevel="0" collapsed="false">
      <c r="B25" s="61" t="s">
        <v>497</v>
      </c>
      <c r="C25" s="118" t="s">
        <v>544</v>
      </c>
      <c r="D25" s="119" t="s">
        <v>545</v>
      </c>
      <c r="E25" s="28" t="s">
        <v>10</v>
      </c>
      <c r="F25" s="115"/>
      <c r="G25" s="116"/>
      <c r="H25" s="116"/>
      <c r="I25" s="116"/>
      <c r="J25" s="61" t="s">
        <v>500</v>
      </c>
    </row>
    <row r="26" customFormat="false" ht="12" hidden="false" customHeight="true" outlineLevel="0" collapsed="false">
      <c r="A26" s="117" t="s">
        <v>546</v>
      </c>
      <c r="B26" s="61" t="s">
        <v>547</v>
      </c>
      <c r="C26" s="118" t="s">
        <v>548</v>
      </c>
      <c r="D26" s="119" t="s">
        <v>549</v>
      </c>
      <c r="E26" s="28" t="s">
        <v>10</v>
      </c>
      <c r="F26" s="115"/>
      <c r="G26" s="116"/>
      <c r="H26" s="116"/>
      <c r="I26" s="116"/>
      <c r="J26" s="61" t="s">
        <v>500</v>
      </c>
    </row>
    <row r="27" customFormat="false" ht="12.75" hidden="false" customHeight="false" outlineLevel="0" collapsed="false">
      <c r="B27" s="61" t="s">
        <v>547</v>
      </c>
      <c r="C27" s="118" t="s">
        <v>550</v>
      </c>
      <c r="D27" s="119" t="s">
        <v>551</v>
      </c>
      <c r="E27" s="28" t="s">
        <v>529</v>
      </c>
      <c r="F27" s="115"/>
      <c r="G27" s="116"/>
      <c r="H27" s="116"/>
      <c r="I27" s="116"/>
    </row>
    <row r="28" customFormat="false" ht="12.75" hidden="false" customHeight="false" outlineLevel="0" collapsed="false">
      <c r="B28" s="61" t="s">
        <v>547</v>
      </c>
      <c r="C28" s="118" t="s">
        <v>552</v>
      </c>
      <c r="D28" s="119" t="s">
        <v>553</v>
      </c>
      <c r="E28" s="28" t="s">
        <v>10</v>
      </c>
      <c r="F28" s="115"/>
      <c r="G28" s="116"/>
      <c r="H28" s="116"/>
      <c r="I28" s="116"/>
    </row>
    <row r="29" customFormat="false" ht="12.75" hidden="false" customHeight="false" outlineLevel="0" collapsed="false">
      <c r="B29" s="61" t="s">
        <v>547</v>
      </c>
      <c r="C29" s="118" t="s">
        <v>554</v>
      </c>
      <c r="D29" s="119" t="s">
        <v>555</v>
      </c>
      <c r="E29" s="28" t="s">
        <v>529</v>
      </c>
      <c r="F29" s="115" t="n">
        <v>65</v>
      </c>
      <c r="G29" s="116"/>
      <c r="H29" s="116"/>
      <c r="I29" s="116"/>
    </row>
    <row r="30" customFormat="false" ht="12.75" hidden="false" customHeight="false" outlineLevel="0" collapsed="false">
      <c r="B30" s="61" t="s">
        <v>547</v>
      </c>
      <c r="C30" s="118" t="s">
        <v>556</v>
      </c>
      <c r="D30" s="119" t="s">
        <v>557</v>
      </c>
      <c r="E30" s="28" t="s">
        <v>10</v>
      </c>
      <c r="F30" s="115"/>
      <c r="G30" s="116"/>
      <c r="H30" s="116"/>
      <c r="I30" s="116"/>
    </row>
    <row r="31" customFormat="false" ht="12.75" hidden="false" customHeight="false" outlineLevel="0" collapsed="false">
      <c r="B31" s="61" t="s">
        <v>547</v>
      </c>
      <c r="C31" s="118" t="s">
        <v>558</v>
      </c>
      <c r="D31" s="119" t="s">
        <v>559</v>
      </c>
      <c r="E31" s="28" t="s">
        <v>529</v>
      </c>
      <c r="F31" s="115"/>
      <c r="G31" s="116"/>
      <c r="H31" s="116"/>
      <c r="I31" s="116"/>
    </row>
    <row r="32" customFormat="false" ht="12.75" hidden="false" customHeight="false" outlineLevel="0" collapsed="false">
      <c r="B32" s="61" t="s">
        <v>547</v>
      </c>
      <c r="C32" s="118" t="s">
        <v>560</v>
      </c>
      <c r="D32" s="119" t="s">
        <v>561</v>
      </c>
      <c r="E32" s="28" t="s">
        <v>10</v>
      </c>
      <c r="F32" s="115"/>
      <c r="G32" s="116"/>
      <c r="H32" s="116"/>
      <c r="I32" s="116"/>
    </row>
    <row r="33" customFormat="false" ht="12.75" hidden="false" customHeight="false" outlineLevel="0" collapsed="false">
      <c r="B33" s="61" t="s">
        <v>547</v>
      </c>
      <c r="C33" s="118" t="s">
        <v>562</v>
      </c>
      <c r="D33" s="119" t="s">
        <v>563</v>
      </c>
      <c r="E33" s="28" t="s">
        <v>10</v>
      </c>
      <c r="F33" s="115"/>
      <c r="G33" s="116"/>
      <c r="H33" s="116"/>
      <c r="I33" s="116"/>
      <c r="J33" s="61" t="s">
        <v>500</v>
      </c>
    </row>
    <row r="34" customFormat="false" ht="23.85" hidden="false" customHeight="false" outlineLevel="0" collapsed="false">
      <c r="A34" s="117" t="s">
        <v>564</v>
      </c>
      <c r="B34" s="61" t="s">
        <v>565</v>
      </c>
      <c r="C34" s="118" t="s">
        <v>566</v>
      </c>
      <c r="D34" s="119" t="s">
        <v>567</v>
      </c>
      <c r="E34" s="28" t="s">
        <v>529</v>
      </c>
      <c r="F34" s="115"/>
      <c r="G34" s="116"/>
      <c r="H34" s="116"/>
      <c r="I34" s="116"/>
      <c r="J34" s="61" t="s">
        <v>568</v>
      </c>
    </row>
    <row r="35" customFormat="false" ht="12.75" hidden="false" customHeight="false" outlineLevel="0" collapsed="false">
      <c r="B35" s="61" t="s">
        <v>565</v>
      </c>
      <c r="C35" s="118" t="s">
        <v>569</v>
      </c>
      <c r="D35" s="119" t="s">
        <v>570</v>
      </c>
      <c r="E35" s="28" t="s">
        <v>529</v>
      </c>
      <c r="F35" s="115"/>
      <c r="G35" s="116"/>
      <c r="H35" s="116"/>
      <c r="I35" s="116"/>
      <c r="J35" s="61" t="s">
        <v>568</v>
      </c>
    </row>
    <row r="36" customFormat="false" ht="12.75" hidden="false" customHeight="false" outlineLevel="0" collapsed="false">
      <c r="B36" s="61" t="s">
        <v>565</v>
      </c>
      <c r="C36" s="118" t="s">
        <v>571</v>
      </c>
      <c r="D36" s="119" t="s">
        <v>572</v>
      </c>
      <c r="E36" s="28" t="s">
        <v>529</v>
      </c>
      <c r="F36" s="115"/>
      <c r="G36" s="116"/>
      <c r="H36" s="116"/>
      <c r="I36" s="116"/>
      <c r="J36" s="61" t="s">
        <v>568</v>
      </c>
    </row>
    <row r="37" customFormat="false" ht="23.85" hidden="false" customHeight="false" outlineLevel="0" collapsed="false">
      <c r="A37" s="117" t="s">
        <v>573</v>
      </c>
      <c r="B37" s="61" t="s">
        <v>574</v>
      </c>
      <c r="C37" s="118" t="s">
        <v>575</v>
      </c>
      <c r="D37" s="119" t="s">
        <v>576</v>
      </c>
      <c r="E37" s="28" t="s">
        <v>577</v>
      </c>
      <c r="F37" s="115" t="n">
        <v>130</v>
      </c>
      <c r="G37" s="116"/>
      <c r="H37" s="116"/>
      <c r="I37" s="116"/>
    </row>
    <row r="38" customFormat="false" ht="12.75" hidden="false" customHeight="false" outlineLevel="0" collapsed="false">
      <c r="B38" s="61" t="s">
        <v>574</v>
      </c>
      <c r="C38" s="118" t="s">
        <v>578</v>
      </c>
      <c r="D38" s="119" t="s">
        <v>579</v>
      </c>
      <c r="E38" s="28" t="s">
        <v>577</v>
      </c>
      <c r="F38" s="115" t="n">
        <v>120</v>
      </c>
      <c r="G38" s="116"/>
      <c r="H38" s="116"/>
      <c r="I38" s="116"/>
    </row>
    <row r="39" customFormat="false" ht="12.75" hidden="false" customHeight="false" outlineLevel="0" collapsed="false">
      <c r="B39" s="61" t="s">
        <v>574</v>
      </c>
      <c r="C39" s="118" t="s">
        <v>580</v>
      </c>
      <c r="D39" s="119" t="s">
        <v>581</v>
      </c>
      <c r="E39" s="28" t="s">
        <v>577</v>
      </c>
      <c r="F39" s="115" t="n">
        <v>110</v>
      </c>
      <c r="G39" s="116"/>
      <c r="H39" s="116"/>
      <c r="I39" s="116"/>
    </row>
    <row r="40" customFormat="false" ht="12.75" hidden="false" customHeight="false" outlineLevel="0" collapsed="false">
      <c r="B40" s="61" t="s">
        <v>574</v>
      </c>
      <c r="C40" s="118" t="s">
        <v>582</v>
      </c>
      <c r="D40" s="119" t="s">
        <v>583</v>
      </c>
      <c r="E40" s="28" t="s">
        <v>577</v>
      </c>
      <c r="F40" s="115"/>
      <c r="G40" s="116"/>
      <c r="H40" s="116"/>
      <c r="I40" s="116"/>
    </row>
    <row r="41" customFormat="false" ht="12.75" hidden="false" customHeight="false" outlineLevel="0" collapsed="false">
      <c r="B41" s="61" t="s">
        <v>574</v>
      </c>
      <c r="C41" s="118" t="s">
        <v>584</v>
      </c>
      <c r="D41" s="119" t="s">
        <v>585</v>
      </c>
      <c r="E41" s="28" t="s">
        <v>577</v>
      </c>
      <c r="F41" s="115"/>
      <c r="G41" s="116"/>
      <c r="H41" s="116"/>
      <c r="I41" s="116"/>
    </row>
    <row r="42" customFormat="false" ht="12.75" hidden="false" customHeight="false" outlineLevel="0" collapsed="false">
      <c r="B42" s="61" t="s">
        <v>574</v>
      </c>
      <c r="C42" s="118" t="s">
        <v>586</v>
      </c>
      <c r="D42" s="119" t="s">
        <v>587</v>
      </c>
      <c r="E42" s="28" t="s">
        <v>577</v>
      </c>
      <c r="F42" s="115"/>
      <c r="G42" s="116"/>
      <c r="H42" s="116"/>
      <c r="I42" s="116"/>
    </row>
    <row r="43" customFormat="false" ht="12.75" hidden="false" customHeight="false" outlineLevel="0" collapsed="false">
      <c r="B43" s="61" t="s">
        <v>574</v>
      </c>
      <c r="C43" s="118" t="s">
        <v>588</v>
      </c>
      <c r="D43" s="119" t="s">
        <v>589</v>
      </c>
      <c r="E43" s="28" t="s">
        <v>577</v>
      </c>
      <c r="F43" s="115"/>
      <c r="G43" s="116"/>
      <c r="H43" s="116"/>
      <c r="I43" s="116"/>
    </row>
    <row r="44" customFormat="false" ht="12.75" hidden="false" customHeight="false" outlineLevel="0" collapsed="false">
      <c r="A44" s="117" t="s">
        <v>590</v>
      </c>
      <c r="B44" s="61" t="s">
        <v>591</v>
      </c>
      <c r="C44" s="118" t="s">
        <v>592</v>
      </c>
      <c r="D44" s="119" t="s">
        <v>593</v>
      </c>
      <c r="E44" s="28" t="s">
        <v>10</v>
      </c>
      <c r="F44" s="115" t="n">
        <v>79</v>
      </c>
      <c r="G44" s="116"/>
      <c r="H44" s="116"/>
      <c r="I44" s="116"/>
      <c r="J44" s="61" t="s">
        <v>500</v>
      </c>
    </row>
    <row r="45" customFormat="false" ht="12.75" hidden="false" customHeight="false" outlineLevel="0" collapsed="false">
      <c r="A45" s="81"/>
      <c r="B45" s="61" t="s">
        <v>591</v>
      </c>
      <c r="C45" s="118" t="s">
        <v>594</v>
      </c>
      <c r="D45" s="119" t="s">
        <v>595</v>
      </c>
      <c r="E45" s="28" t="s">
        <v>10</v>
      </c>
      <c r="F45" s="115" t="n">
        <v>82</v>
      </c>
      <c r="G45" s="116"/>
      <c r="H45" s="116"/>
      <c r="I45" s="116"/>
      <c r="J45" s="61" t="s">
        <v>500</v>
      </c>
    </row>
    <row r="46" customFormat="false" ht="12.75" hidden="false" customHeight="false" outlineLevel="0" collapsed="false">
      <c r="A46" s="81"/>
      <c r="B46" s="61" t="s">
        <v>591</v>
      </c>
      <c r="C46" s="118" t="s">
        <v>596</v>
      </c>
      <c r="D46" s="119" t="s">
        <v>597</v>
      </c>
      <c r="E46" s="28" t="s">
        <v>10</v>
      </c>
      <c r="F46" s="115" t="n">
        <v>85</v>
      </c>
      <c r="G46" s="116"/>
      <c r="H46" s="116"/>
      <c r="I46" s="116"/>
      <c r="J46" s="61" t="s">
        <v>500</v>
      </c>
    </row>
    <row r="47" customFormat="false" ht="12.75" hidden="false" customHeight="false" outlineLevel="0" collapsed="false">
      <c r="A47" s="81"/>
      <c r="B47" s="61" t="s">
        <v>591</v>
      </c>
      <c r="C47" s="118" t="s">
        <v>598</v>
      </c>
      <c r="D47" s="119" t="s">
        <v>599</v>
      </c>
      <c r="E47" s="28" t="s">
        <v>10</v>
      </c>
      <c r="F47" s="115" t="n">
        <v>91</v>
      </c>
      <c r="G47" s="116"/>
      <c r="H47" s="116"/>
      <c r="I47" s="116"/>
      <c r="J47" s="61" t="s">
        <v>500</v>
      </c>
    </row>
    <row r="48" customFormat="false" ht="23.85" hidden="false" customHeight="false" outlineLevel="0" collapsed="false">
      <c r="A48" s="117" t="s">
        <v>600</v>
      </c>
      <c r="B48" s="61" t="s">
        <v>601</v>
      </c>
      <c r="C48" s="118" t="s">
        <v>602</v>
      </c>
      <c r="D48" s="119" t="s">
        <v>603</v>
      </c>
      <c r="E48" s="28" t="s">
        <v>10</v>
      </c>
      <c r="F48" s="115" t="n">
        <v>4</v>
      </c>
      <c r="G48" s="116"/>
      <c r="H48" s="116"/>
      <c r="I48" s="116"/>
    </row>
    <row r="49" customFormat="false" ht="12.75" hidden="false" customHeight="false" outlineLevel="0" collapsed="false">
      <c r="B49" s="61" t="s">
        <v>601</v>
      </c>
      <c r="C49" s="118" t="s">
        <v>604</v>
      </c>
      <c r="D49" s="119" t="s">
        <v>605</v>
      </c>
      <c r="E49" s="28" t="s">
        <v>10</v>
      </c>
      <c r="F49" s="115" t="n">
        <v>5</v>
      </c>
      <c r="G49" s="116"/>
      <c r="H49" s="116"/>
      <c r="I49" s="116"/>
    </row>
    <row r="50" customFormat="false" ht="12.75" hidden="false" customHeight="false" outlineLevel="0" collapsed="false">
      <c r="B50" s="61" t="s">
        <v>601</v>
      </c>
      <c r="C50" s="118" t="s">
        <v>606</v>
      </c>
      <c r="D50" s="119" t="s">
        <v>607</v>
      </c>
      <c r="E50" s="28" t="s">
        <v>10</v>
      </c>
      <c r="F50" s="115" t="n">
        <v>7</v>
      </c>
      <c r="G50" s="116"/>
      <c r="H50" s="116"/>
      <c r="I50" s="116"/>
    </row>
    <row r="51" customFormat="false" ht="12.75" hidden="false" customHeight="false" outlineLevel="0" collapsed="false">
      <c r="B51" s="61" t="s">
        <v>601</v>
      </c>
      <c r="C51" s="118" t="s">
        <v>608</v>
      </c>
      <c r="D51" s="119" t="s">
        <v>609</v>
      </c>
      <c r="E51" s="28" t="s">
        <v>10</v>
      </c>
      <c r="F51" s="115"/>
      <c r="G51" s="116"/>
      <c r="H51" s="116"/>
      <c r="I51" s="116"/>
    </row>
    <row r="52" customFormat="false" ht="12" hidden="false" customHeight="true" outlineLevel="0" collapsed="false">
      <c r="B52" s="61" t="s">
        <v>601</v>
      </c>
      <c r="C52" s="118" t="s">
        <v>610</v>
      </c>
      <c r="D52" s="119" t="s">
        <v>611</v>
      </c>
      <c r="E52" s="28" t="s">
        <v>10</v>
      </c>
      <c r="F52" s="115"/>
      <c r="G52" s="116"/>
      <c r="H52" s="116"/>
      <c r="I52" s="116"/>
    </row>
    <row r="53" customFormat="false" ht="12" hidden="false" customHeight="true" outlineLevel="0" collapsed="false">
      <c r="B53" s="61" t="s">
        <v>601</v>
      </c>
      <c r="C53" s="118" t="s">
        <v>612</v>
      </c>
      <c r="D53" s="119" t="s">
        <v>613</v>
      </c>
      <c r="E53" s="28" t="s">
        <v>10</v>
      </c>
      <c r="F53" s="115"/>
      <c r="G53" s="116"/>
      <c r="H53" s="116"/>
      <c r="I53" s="116"/>
    </row>
    <row r="54" customFormat="false" ht="12.75" hidden="false" customHeight="false" outlineLevel="0" collapsed="false">
      <c r="A54" s="117" t="s">
        <v>614</v>
      </c>
      <c r="B54" s="61" t="s">
        <v>615</v>
      </c>
      <c r="C54" s="118" t="s">
        <v>616</v>
      </c>
      <c r="D54" s="119" t="s">
        <v>617</v>
      </c>
      <c r="E54" s="28" t="s">
        <v>618</v>
      </c>
      <c r="F54" s="115" t="n">
        <v>4.5</v>
      </c>
      <c r="G54" s="116"/>
      <c r="H54" s="116"/>
      <c r="I54" s="116"/>
      <c r="J54" s="61" t="s">
        <v>619</v>
      </c>
    </row>
    <row r="55" customFormat="false" ht="12.75" hidden="false" customHeight="false" outlineLevel="0" collapsed="false">
      <c r="B55" s="61" t="s">
        <v>620</v>
      </c>
      <c r="C55" s="118" t="s">
        <v>621</v>
      </c>
      <c r="D55" s="119" t="s">
        <v>622</v>
      </c>
      <c r="E55" s="28" t="s">
        <v>505</v>
      </c>
      <c r="F55" s="115" t="n">
        <v>7</v>
      </c>
      <c r="G55" s="116"/>
      <c r="H55" s="116"/>
      <c r="I55" s="116"/>
      <c r="J55" s="61" t="s">
        <v>623</v>
      </c>
    </row>
    <row r="56" customFormat="false" ht="12.75" hidden="false" customHeight="false" outlineLevel="0" collapsed="false">
      <c r="B56" s="61" t="s">
        <v>624</v>
      </c>
      <c r="C56" s="118" t="s">
        <v>625</v>
      </c>
      <c r="D56" s="119" t="s">
        <v>626</v>
      </c>
      <c r="E56" s="28" t="s">
        <v>14</v>
      </c>
      <c r="F56" s="115" t="n">
        <f aca="false">6/9</f>
        <v>0.666666666666667</v>
      </c>
      <c r="G56" s="116"/>
      <c r="H56" s="116"/>
      <c r="I56" s="116"/>
    </row>
    <row r="57" customFormat="false" ht="12.75" hidden="false" customHeight="false" outlineLevel="0" collapsed="false">
      <c r="B57" s="61" t="s">
        <v>624</v>
      </c>
      <c r="C57" s="118" t="s">
        <v>627</v>
      </c>
      <c r="D57" s="119" t="s">
        <v>628</v>
      </c>
      <c r="E57" s="28" t="s">
        <v>14</v>
      </c>
      <c r="F57" s="115"/>
      <c r="G57" s="116"/>
      <c r="H57" s="116"/>
      <c r="I57" s="116"/>
    </row>
    <row r="58" customFormat="false" ht="12.75" hidden="false" customHeight="false" outlineLevel="0" collapsed="false">
      <c r="B58" s="61" t="s">
        <v>629</v>
      </c>
      <c r="C58" s="118" t="s">
        <v>630</v>
      </c>
      <c r="D58" s="119" t="s">
        <v>631</v>
      </c>
      <c r="E58" s="28" t="s">
        <v>10</v>
      </c>
      <c r="F58" s="115"/>
      <c r="G58" s="116"/>
      <c r="H58" s="116"/>
      <c r="I58" s="116"/>
    </row>
    <row r="59" customFormat="false" ht="12.75" hidden="false" customHeight="false" outlineLevel="0" collapsed="false">
      <c r="B59" s="61" t="s">
        <v>629</v>
      </c>
      <c r="C59" s="118" t="s">
        <v>632</v>
      </c>
      <c r="D59" s="119" t="s">
        <v>633</v>
      </c>
      <c r="E59" s="28" t="s">
        <v>10</v>
      </c>
      <c r="F59" s="115"/>
      <c r="G59" s="116"/>
      <c r="H59" s="116"/>
      <c r="I59" s="116"/>
    </row>
    <row r="61" customFormat="false" ht="30" hidden="false" customHeight="true" outlineLevel="0" collapsed="false">
      <c r="A61" s="11" t="s">
        <v>634</v>
      </c>
      <c r="B61" s="11"/>
      <c r="C61" s="11"/>
      <c r="D61" s="11"/>
      <c r="E61" s="11"/>
      <c r="F61" s="11"/>
      <c r="G61" s="11"/>
      <c r="H61" s="11"/>
      <c r="I61" s="11"/>
      <c r="J61" s="11"/>
    </row>
    <row r="62" customFormat="false" ht="30" hidden="false" customHeight="true" outlineLevel="0" collapsed="false">
      <c r="A62" s="11" t="s">
        <v>635</v>
      </c>
      <c r="B62" s="11"/>
      <c r="C62" s="11"/>
      <c r="D62" s="11"/>
      <c r="E62" s="11"/>
      <c r="F62" s="11"/>
      <c r="G62" s="11"/>
      <c r="H62" s="11"/>
      <c r="I62" s="11"/>
      <c r="J62" s="11"/>
    </row>
    <row r="63" customFormat="false" ht="30" hidden="false" customHeight="true" outlineLevel="0" collapsed="false">
      <c r="A63" s="120" t="s">
        <v>636</v>
      </c>
      <c r="B63" s="120"/>
      <c r="C63" s="120"/>
      <c r="D63" s="120"/>
      <c r="E63" s="120"/>
      <c r="F63" s="120"/>
      <c r="G63" s="120"/>
      <c r="H63" s="120"/>
      <c r="I63" s="120"/>
      <c r="J63" s="120"/>
    </row>
    <row r="64" customFormat="false" ht="30" hidden="false" customHeight="true" outlineLevel="0" collapsed="false">
      <c r="A64" s="11" t="s">
        <v>637</v>
      </c>
      <c r="B64" s="11"/>
      <c r="C64" s="11"/>
      <c r="D64" s="11"/>
      <c r="E64" s="11"/>
      <c r="F64" s="11"/>
      <c r="G64" s="11"/>
      <c r="H64" s="11"/>
      <c r="I64" s="11"/>
      <c r="J64" s="11"/>
    </row>
  </sheetData>
  <mergeCells count="6">
    <mergeCell ref="D1:E1"/>
    <mergeCell ref="G1:I1"/>
    <mergeCell ref="A61:J61"/>
    <mergeCell ref="A62:J62"/>
    <mergeCell ref="A63:J63"/>
    <mergeCell ref="A64:J64"/>
  </mergeCells>
  <conditionalFormatting sqref="F4:F59">
    <cfRule type="expression" priority="2" aboveAverage="0" equalAverage="0" bottom="0" percent="0" rank="0" text="" dxfId="10">
      <formula>LEN(TRIM(F4))=0</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tableParts>
    <tablePart r:id="rId2"/>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12" activeCellId="0" sqref="E12"/>
    </sheetView>
  </sheetViews>
  <sheetFormatPr defaultColWidth="8.5390625" defaultRowHeight="15" zeroHeight="false" outlineLevelRow="0" outlineLevelCol="0"/>
  <cols>
    <col collapsed="false" customWidth="true" hidden="false" outlineLevel="0" max="1" min="1" style="0" width="40.43"/>
    <col collapsed="false" customWidth="true" hidden="false" outlineLevel="0" max="2" min="2" style="0" width="26.71"/>
    <col collapsed="false" customWidth="true" hidden="false" outlineLevel="0" max="6" min="3" style="0" width="15"/>
  </cols>
  <sheetData>
    <row r="1" customFormat="false" ht="15" hidden="false" customHeight="false" outlineLevel="0" collapsed="false">
      <c r="A1" s="7" t="s">
        <v>638</v>
      </c>
    </row>
    <row r="3" s="121" customFormat="true" ht="28.35" hidden="false" customHeight="false" outlineLevel="0" collapsed="false">
      <c r="A3" s="121" t="s">
        <v>120</v>
      </c>
      <c r="B3" s="121" t="s">
        <v>639</v>
      </c>
      <c r="C3" s="121" t="s">
        <v>22</v>
      </c>
      <c r="D3" s="121" t="s">
        <v>640</v>
      </c>
    </row>
    <row r="4" customFormat="false" ht="15" hidden="false" customHeight="false" outlineLevel="0" collapsed="false">
      <c r="A4" s="0" t="s">
        <v>641</v>
      </c>
      <c r="B4" s="0" t="s">
        <v>642</v>
      </c>
      <c r="C4" s="0" t="s">
        <v>643</v>
      </c>
      <c r="D4" s="0" t="s">
        <v>644</v>
      </c>
    </row>
    <row r="5" customFormat="false" ht="15" hidden="false" customHeight="false" outlineLevel="0" collapsed="false">
      <c r="A5" s="0" t="s">
        <v>645</v>
      </c>
      <c r="B5" s="0" t="s">
        <v>646</v>
      </c>
      <c r="C5" s="0" t="s">
        <v>7</v>
      </c>
      <c r="D5" s="0" t="s">
        <v>647</v>
      </c>
    </row>
    <row r="6" customFormat="false" ht="15" hidden="false" customHeight="false" outlineLevel="0" collapsed="false">
      <c r="A6" s="0" t="s">
        <v>648</v>
      </c>
      <c r="B6" s="0" t="s">
        <v>646</v>
      </c>
      <c r="C6" s="0" t="s">
        <v>7</v>
      </c>
      <c r="D6" s="0" t="s">
        <v>649</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true"/>
  </sheetPr>
  <dimension ref="B1:F8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71484375" defaultRowHeight="12.75" zeroHeight="false" outlineLevelRow="0" outlineLevelCol="0"/>
  <cols>
    <col collapsed="false" customWidth="true" hidden="false" outlineLevel="0" max="1" min="1" style="61" width="3"/>
    <col collapsed="false" customWidth="true" hidden="false" outlineLevel="0" max="2" min="2" style="61" width="29.43"/>
    <col collapsed="false" customWidth="true" hidden="false" outlineLevel="0" max="3" min="3" style="61" width="56"/>
    <col collapsed="false" customWidth="true" hidden="false" outlineLevel="0" max="6" min="4" style="61" width="13.71"/>
    <col collapsed="false" customWidth="false" hidden="false" outlineLevel="0" max="16384" min="7" style="61" width="8.71"/>
  </cols>
  <sheetData>
    <row r="1" customFormat="false" ht="39.75" hidden="false" customHeight="true" outlineLevel="0" collapsed="false">
      <c r="B1" s="3" t="str">
        <f aca="false">HYPERLINK("#'General Information'!D9","◄ General Information")</f>
        <v>◄ General Information</v>
      </c>
      <c r="C1" s="4" t="str">
        <f aca="false">HYPERLINK("#Summary!G1","Summary")</f>
        <v>Summary</v>
      </c>
    </row>
    <row r="2" customFormat="false" ht="21.75" hidden="false" customHeight="true" outlineLevel="0" collapsed="false">
      <c r="B2" s="42" t="s">
        <v>650</v>
      </c>
    </row>
    <row r="3" customFormat="false" ht="39.75" hidden="false" customHeight="true" outlineLevel="0" collapsed="false">
      <c r="B3" s="122" t="s">
        <v>651</v>
      </c>
      <c r="C3" s="122"/>
      <c r="D3" s="122"/>
      <c r="E3" s="122"/>
      <c r="F3" s="122"/>
    </row>
    <row r="4" customFormat="false" ht="27.75" hidden="false" customHeight="true" outlineLevel="0" collapsed="false">
      <c r="B4" s="11" t="s">
        <v>652</v>
      </c>
      <c r="C4" s="11"/>
      <c r="D4" s="11"/>
      <c r="E4" s="11"/>
      <c r="F4" s="11"/>
    </row>
    <row r="5" customFormat="false" ht="15.75" hidden="false" customHeight="true" outlineLevel="0" collapsed="false">
      <c r="B5" s="11" t="s">
        <v>653</v>
      </c>
      <c r="C5" s="11"/>
      <c r="D5" s="11"/>
      <c r="E5" s="11"/>
      <c r="F5" s="11"/>
    </row>
    <row r="6" customFormat="false" ht="18" hidden="false" customHeight="true" outlineLevel="0" collapsed="false">
      <c r="B6" s="123" t="s">
        <v>654</v>
      </c>
      <c r="C6" s="124" t="s">
        <v>655</v>
      </c>
      <c r="D6" s="125" t="s">
        <v>656</v>
      </c>
      <c r="E6" s="11" t="s">
        <v>657</v>
      </c>
      <c r="F6" s="11"/>
    </row>
    <row r="7" customFormat="false" ht="6" hidden="false" customHeight="true" outlineLevel="0" collapsed="false"/>
    <row r="8" customFormat="false" ht="13.5" hidden="false" customHeight="false" outlineLevel="0" collapsed="false">
      <c r="B8" s="5" t="s">
        <v>658</v>
      </c>
    </row>
    <row r="9" customFormat="false" ht="19.5" hidden="false" customHeight="true" outlineLevel="0" collapsed="false">
      <c r="B9" s="24" t="s">
        <v>659</v>
      </c>
      <c r="C9" s="24" t="s">
        <v>660</v>
      </c>
      <c r="D9" s="25" t="s">
        <v>661</v>
      </c>
      <c r="E9" s="25" t="s">
        <v>34</v>
      </c>
      <c r="F9" s="25" t="s">
        <v>662</v>
      </c>
    </row>
    <row r="10" customFormat="false" ht="12.75" hidden="false" customHeight="true" outlineLevel="0" collapsed="false">
      <c r="B10" s="126" t="s">
        <v>3</v>
      </c>
      <c r="C10" s="127" t="s">
        <v>663</v>
      </c>
      <c r="D10" s="128" t="n">
        <v>1</v>
      </c>
      <c r="E10" s="129" t="n">
        <v>4</v>
      </c>
    </row>
    <row r="11" customFormat="false" ht="12.75" hidden="false" customHeight="true" outlineLevel="0" collapsed="false">
      <c r="B11" s="130"/>
      <c r="C11" s="131" t="s">
        <v>664</v>
      </c>
      <c r="D11" s="128" t="n">
        <v>1</v>
      </c>
      <c r="E11" s="132"/>
    </row>
    <row r="12" customFormat="false" ht="12" hidden="false" customHeight="true" outlineLevel="0" collapsed="false">
      <c r="B12" s="133" t="s">
        <v>665</v>
      </c>
      <c r="C12" s="127" t="s">
        <v>663</v>
      </c>
      <c r="D12" s="128" t="n">
        <v>1</v>
      </c>
      <c r="E12" s="129" t="n">
        <v>8</v>
      </c>
    </row>
    <row r="13" customFormat="false" ht="12.75" hidden="false" customHeight="true" outlineLevel="0" collapsed="false">
      <c r="B13" s="130"/>
      <c r="C13" s="131" t="s">
        <v>664</v>
      </c>
      <c r="D13" s="128" t="n">
        <v>1</v>
      </c>
      <c r="E13" s="132"/>
    </row>
    <row r="14" customFormat="false" ht="12" hidden="false" customHeight="true" outlineLevel="0" collapsed="false">
      <c r="B14" s="133" t="s">
        <v>666</v>
      </c>
      <c r="C14" s="127" t="s">
        <v>667</v>
      </c>
      <c r="D14" s="128" t="n">
        <v>0.0075</v>
      </c>
      <c r="E14" s="129" t="n">
        <v>12</v>
      </c>
    </row>
    <row r="15" customFormat="false" ht="12" hidden="false" customHeight="true" outlineLevel="0" collapsed="false">
      <c r="B15" s="134"/>
      <c r="C15" s="127" t="s">
        <v>668</v>
      </c>
      <c r="D15" s="128" t="n">
        <v>0.0325</v>
      </c>
      <c r="E15" s="135"/>
    </row>
    <row r="16" customFormat="false" ht="12" hidden="false" customHeight="true" outlineLevel="0" collapsed="false">
      <c r="B16" s="134"/>
      <c r="C16" s="127" t="s">
        <v>669</v>
      </c>
      <c r="D16" s="128" t="n">
        <v>1</v>
      </c>
      <c r="E16" s="135"/>
    </row>
    <row r="17" customFormat="false" ht="12.75" hidden="false" customHeight="true" outlineLevel="0" collapsed="false">
      <c r="B17" s="130"/>
      <c r="C17" s="131" t="s">
        <v>670</v>
      </c>
      <c r="D17" s="128" t="n">
        <v>1</v>
      </c>
      <c r="E17" s="132"/>
    </row>
    <row r="18" customFormat="false" ht="12" hidden="false" customHeight="true" outlineLevel="0" collapsed="false">
      <c r="B18" s="133" t="s">
        <v>671</v>
      </c>
      <c r="C18" s="127" t="s">
        <v>672</v>
      </c>
      <c r="D18" s="128" t="n">
        <v>0.01</v>
      </c>
      <c r="E18" s="129" t="n">
        <v>16</v>
      </c>
    </row>
    <row r="19" customFormat="false" ht="12" hidden="false" customHeight="true" outlineLevel="0" collapsed="false">
      <c r="B19" s="134"/>
      <c r="C19" s="127" t="s">
        <v>673</v>
      </c>
      <c r="D19" s="128" t="n">
        <v>0.035</v>
      </c>
      <c r="E19" s="135"/>
    </row>
    <row r="20" customFormat="false" ht="12" hidden="false" customHeight="true" outlineLevel="0" collapsed="false">
      <c r="B20" s="134"/>
      <c r="C20" s="127" t="s">
        <v>669</v>
      </c>
      <c r="D20" s="128" t="n">
        <v>1</v>
      </c>
      <c r="E20" s="135"/>
    </row>
    <row r="21" customFormat="false" ht="12.75" hidden="false" customHeight="true" outlineLevel="0" collapsed="false">
      <c r="B21" s="130"/>
      <c r="C21" s="131" t="s">
        <v>670</v>
      </c>
      <c r="D21" s="128" t="n">
        <v>1</v>
      </c>
      <c r="E21" s="132"/>
    </row>
    <row r="22" customFormat="false" ht="12" hidden="false" customHeight="true" outlineLevel="0" collapsed="false">
      <c r="B22" s="136" t="s">
        <v>4</v>
      </c>
      <c r="C22" s="137" t="s">
        <v>674</v>
      </c>
      <c r="D22" s="128" t="n">
        <v>1</v>
      </c>
      <c r="E22" s="138" t="n">
        <v>20</v>
      </c>
      <c r="F22" s="137"/>
    </row>
    <row r="23" customFormat="false" ht="12" hidden="false" customHeight="true" outlineLevel="0" collapsed="false">
      <c r="B23" s="139"/>
      <c r="C23" s="140" t="s">
        <v>675</v>
      </c>
      <c r="D23" s="128" t="n">
        <v>0.015</v>
      </c>
      <c r="E23" s="141"/>
      <c r="F23" s="140"/>
    </row>
    <row r="24" customFormat="false" ht="12" hidden="false" customHeight="true" outlineLevel="0" collapsed="false">
      <c r="B24" s="139"/>
      <c r="C24" s="140" t="s">
        <v>676</v>
      </c>
      <c r="D24" s="128" t="n">
        <v>0.005</v>
      </c>
      <c r="E24" s="141"/>
      <c r="F24" s="140"/>
    </row>
    <row r="25" customFormat="false" ht="12.75" hidden="false" customHeight="true" outlineLevel="0" collapsed="false">
      <c r="B25" s="142"/>
      <c r="C25" s="143" t="s">
        <v>670</v>
      </c>
      <c r="D25" s="128" t="n">
        <v>1</v>
      </c>
      <c r="E25" s="144"/>
      <c r="F25" s="143"/>
    </row>
    <row r="26" customFormat="false" ht="12" hidden="false" customHeight="true" outlineLevel="0" collapsed="false">
      <c r="B26" s="133" t="s">
        <v>677</v>
      </c>
      <c r="C26" s="127" t="s">
        <v>669</v>
      </c>
      <c r="D26" s="128" t="n">
        <v>1</v>
      </c>
      <c r="E26" s="129" t="n">
        <v>24</v>
      </c>
    </row>
    <row r="27" customFormat="false" ht="12.75" hidden="false" customHeight="true" outlineLevel="0" collapsed="false">
      <c r="B27" s="130"/>
      <c r="C27" s="131" t="s">
        <v>670</v>
      </c>
      <c r="D27" s="128" t="n">
        <v>1</v>
      </c>
      <c r="E27" s="132"/>
    </row>
    <row r="28" customFormat="false" ht="12" hidden="false" customHeight="true" outlineLevel="0" collapsed="false">
      <c r="B28" s="133" t="s">
        <v>678</v>
      </c>
      <c r="C28" s="127" t="s">
        <v>679</v>
      </c>
      <c r="D28" s="128" t="n">
        <v>0.0125</v>
      </c>
      <c r="E28" s="129" t="n">
        <v>28</v>
      </c>
    </row>
    <row r="29" customFormat="false" ht="12" hidden="false" customHeight="true" outlineLevel="0" collapsed="false">
      <c r="B29" s="134"/>
      <c r="C29" s="127" t="s">
        <v>680</v>
      </c>
      <c r="D29" s="128" t="n">
        <v>0.04</v>
      </c>
      <c r="E29" s="135"/>
    </row>
    <row r="30" customFormat="false" ht="12" hidden="false" customHeight="true" outlineLevel="0" collapsed="false">
      <c r="B30" s="134"/>
      <c r="C30" s="127" t="s">
        <v>669</v>
      </c>
      <c r="D30" s="128" t="n">
        <v>1</v>
      </c>
      <c r="E30" s="135"/>
    </row>
    <row r="31" customFormat="false" ht="12.75" hidden="false" customHeight="true" outlineLevel="0" collapsed="false">
      <c r="B31" s="130"/>
      <c r="C31" s="131" t="s">
        <v>670</v>
      </c>
      <c r="D31" s="128" t="n">
        <v>1</v>
      </c>
      <c r="E31" s="132"/>
    </row>
    <row r="32" customFormat="false" ht="12.75" hidden="false" customHeight="false" outlineLevel="0" collapsed="false">
      <c r="B32" s="124" t="s">
        <v>44</v>
      </c>
      <c r="C32" s="145" t="str">
        <f aca="false">"Salvage value: "&amp;TEXT(D32*F32,"0.#")&amp;" of 16 years left on the mill and overlay"&amp;" placed in year "&amp;E22&amp;" ("&amp;TEXT(D32,"0.0%")&amp;" of its cost) at the "&amp;'General Information'!$D$33&amp;"-year analysis period"</f>
        <v>Salvage value: 6 of 16 years left on the mill and overlay placed in year 20 (37.5% of its cost) at the 30-year analysis period</v>
      </c>
      <c r="D32" s="146" t="n">
        <f aca="false">IF(E22&gt;'General Information'!$D$33,0,MAX(0,MIN(1,(E22+F32-'General Information'!$D$33)/F32)))</f>
        <v>0.375</v>
      </c>
      <c r="E32" s="147" t="n">
        <f aca="false">'General Information'!$D$33</f>
        <v>30</v>
      </c>
      <c r="F32" s="145" t="n">
        <v>16</v>
      </c>
    </row>
    <row r="35" customFormat="false" ht="13.5" hidden="false" customHeight="false" outlineLevel="0" collapsed="false">
      <c r="B35" s="5" t="s">
        <v>681</v>
      </c>
    </row>
    <row r="36" customFormat="false" ht="19.5" hidden="false" customHeight="true" outlineLevel="0" collapsed="false">
      <c r="B36" s="24" t="s">
        <v>682</v>
      </c>
      <c r="C36" s="24" t="s">
        <v>660</v>
      </c>
      <c r="D36" s="25" t="s">
        <v>661</v>
      </c>
      <c r="E36" s="25" t="s">
        <v>34</v>
      </c>
      <c r="F36" s="25" t="s">
        <v>662</v>
      </c>
    </row>
    <row r="37" customFormat="false" ht="12.75" hidden="false" customHeight="true" outlineLevel="0" collapsed="false">
      <c r="B37" s="148" t="s">
        <v>3</v>
      </c>
      <c r="C37" s="149" t="s">
        <v>683</v>
      </c>
      <c r="D37" s="128" t="n">
        <v>1</v>
      </c>
      <c r="E37" s="129" t="n">
        <v>19</v>
      </c>
    </row>
    <row r="38" customFormat="false" ht="12" hidden="false" customHeight="true" outlineLevel="0" collapsed="false">
      <c r="B38" s="150"/>
      <c r="C38" s="149" t="s">
        <v>684</v>
      </c>
      <c r="D38" s="128" t="n">
        <v>0.0025</v>
      </c>
      <c r="E38" s="135"/>
    </row>
    <row r="39" customFormat="false" ht="12" hidden="false" customHeight="true" outlineLevel="0" collapsed="false">
      <c r="B39" s="150"/>
      <c r="C39" s="149" t="s">
        <v>685</v>
      </c>
      <c r="D39" s="128" t="n">
        <v>0.0013</v>
      </c>
      <c r="E39" s="135"/>
    </row>
    <row r="40" customFormat="false" ht="12.75" hidden="false" customHeight="true" outlineLevel="0" collapsed="false">
      <c r="B40" s="151"/>
      <c r="C40" s="152" t="s">
        <v>686</v>
      </c>
      <c r="D40" s="128" t="n">
        <v>0.003</v>
      </c>
      <c r="E40" s="132"/>
    </row>
    <row r="41" customFormat="false" ht="12" hidden="false" customHeight="true" outlineLevel="0" collapsed="false">
      <c r="B41" s="136" t="s">
        <v>4</v>
      </c>
      <c r="C41" s="137" t="s">
        <v>687</v>
      </c>
      <c r="D41" s="128" t="n">
        <v>0.02</v>
      </c>
      <c r="E41" s="138" t="n">
        <v>27</v>
      </c>
      <c r="F41" s="137"/>
    </row>
    <row r="42" customFormat="false" ht="12" hidden="false" customHeight="true" outlineLevel="0" collapsed="false">
      <c r="B42" s="139"/>
      <c r="C42" s="140" t="s">
        <v>686</v>
      </c>
      <c r="D42" s="128" t="n">
        <v>0.003</v>
      </c>
      <c r="E42" s="141"/>
      <c r="F42" s="140"/>
    </row>
    <row r="43" customFormat="false" ht="12" hidden="false" customHeight="true" outlineLevel="0" collapsed="false">
      <c r="B43" s="139"/>
      <c r="C43" s="140" t="s">
        <v>685</v>
      </c>
      <c r="D43" s="128" t="n">
        <v>0.0013</v>
      </c>
      <c r="E43" s="141"/>
      <c r="F43" s="140"/>
    </row>
    <row r="44" customFormat="false" ht="12" hidden="false" customHeight="true" outlineLevel="0" collapsed="false">
      <c r="B44" s="139"/>
      <c r="C44" s="140" t="s">
        <v>688</v>
      </c>
      <c r="D44" s="128" t="n">
        <v>0.003</v>
      </c>
      <c r="E44" s="141"/>
      <c r="F44" s="140"/>
    </row>
    <row r="45" customFormat="false" ht="12.75" hidden="false" customHeight="true" outlineLevel="0" collapsed="false">
      <c r="B45" s="142"/>
      <c r="C45" s="143" t="s">
        <v>689</v>
      </c>
      <c r="D45" s="128" t="n">
        <v>1</v>
      </c>
      <c r="E45" s="144"/>
      <c r="F45" s="143"/>
    </row>
    <row r="46" customFormat="false" ht="12.75" hidden="false" customHeight="false" outlineLevel="0" collapsed="false">
      <c r="B46" s="124" t="s">
        <v>44</v>
      </c>
      <c r="C46" s="145" t="str">
        <f aca="false">"Salvage value: "&amp;TEXT(D46*F46,"0.#")&amp;" of 40 years left on the initial construction"&amp;" ("&amp;TEXT(D46,"0.0%")&amp;" of its cost) at the "&amp;'General Information'!$D$33&amp;"-year analysis period"</f>
        <v>Salvage value: 10 of 40 years left on the initial construction (25.0% of its cost) at the 30-year analysis period</v>
      </c>
      <c r="D46" s="146" t="n">
        <f aca="false">MAX(0,MIN(1,(0+F46-'General Information'!$D$33)/F46))</f>
        <v>0.25</v>
      </c>
      <c r="E46" s="147" t="n">
        <f aca="false">'General Information'!$D$33</f>
        <v>30</v>
      </c>
      <c r="F46" s="145" t="n">
        <v>40</v>
      </c>
    </row>
    <row r="49" customFormat="false" ht="13.5" hidden="false" customHeight="false" outlineLevel="0" collapsed="false">
      <c r="B49" s="5" t="s">
        <v>690</v>
      </c>
    </row>
    <row r="50" customFormat="false" ht="19.5" hidden="false" customHeight="true" outlineLevel="0" collapsed="false">
      <c r="B50" s="24" t="s">
        <v>659</v>
      </c>
      <c r="C50" s="24" t="s">
        <v>660</v>
      </c>
      <c r="D50" s="25" t="s">
        <v>661</v>
      </c>
      <c r="E50" s="25" t="s">
        <v>34</v>
      </c>
      <c r="F50" s="25" t="s">
        <v>662</v>
      </c>
    </row>
    <row r="51" customFormat="false" ht="12.75" hidden="false" customHeight="false" outlineLevel="0" collapsed="false">
      <c r="B51" s="133" t="s">
        <v>3</v>
      </c>
      <c r="C51" s="127" t="s">
        <v>669</v>
      </c>
      <c r="D51" s="128" t="n">
        <v>1</v>
      </c>
      <c r="E51" s="129" t="n">
        <v>4</v>
      </c>
    </row>
    <row r="52" customFormat="false" ht="13.5" hidden="false" customHeight="false" outlineLevel="0" collapsed="false">
      <c r="B52" s="130"/>
      <c r="C52" s="131" t="s">
        <v>670</v>
      </c>
      <c r="D52" s="128" t="n">
        <v>1</v>
      </c>
      <c r="E52" s="132"/>
    </row>
    <row r="53" customFormat="false" ht="12.75" hidden="false" customHeight="false" outlineLevel="0" collapsed="false">
      <c r="B53" s="133" t="s">
        <v>665</v>
      </c>
      <c r="C53" s="127" t="s">
        <v>679</v>
      </c>
      <c r="D53" s="128" t="n">
        <v>0.0125</v>
      </c>
      <c r="E53" s="129" t="n">
        <v>8</v>
      </c>
    </row>
    <row r="54" customFormat="false" ht="13.8" hidden="false" customHeight="false" outlineLevel="0" collapsed="false">
      <c r="B54" s="134"/>
      <c r="C54" s="127" t="s">
        <v>680</v>
      </c>
      <c r="D54" s="128" t="n">
        <v>0.04</v>
      </c>
      <c r="E54" s="135"/>
    </row>
    <row r="55" customFormat="false" ht="13.8" hidden="false" customHeight="false" outlineLevel="0" collapsed="false">
      <c r="B55" s="134"/>
      <c r="C55" s="127" t="s">
        <v>669</v>
      </c>
      <c r="D55" s="128" t="n">
        <v>1</v>
      </c>
      <c r="E55" s="135"/>
    </row>
    <row r="56" customFormat="false" ht="13.8" hidden="false" customHeight="false" outlineLevel="0" collapsed="false">
      <c r="B56" s="130"/>
      <c r="C56" s="131" t="s">
        <v>670</v>
      </c>
      <c r="D56" s="128" t="n">
        <v>1</v>
      </c>
      <c r="E56" s="132"/>
    </row>
    <row r="57" customFormat="false" ht="12.75" hidden="false" customHeight="false" outlineLevel="0" collapsed="false">
      <c r="B57" s="133" t="s">
        <v>666</v>
      </c>
      <c r="C57" s="127" t="s">
        <v>663</v>
      </c>
      <c r="D57" s="128" t="n">
        <v>1</v>
      </c>
      <c r="E57" s="129" t="n">
        <v>12</v>
      </c>
    </row>
    <row r="58" customFormat="false" ht="13.5" hidden="false" customHeight="false" outlineLevel="0" collapsed="false">
      <c r="B58" s="130"/>
      <c r="C58" s="131" t="s">
        <v>664</v>
      </c>
      <c r="D58" s="128" t="n">
        <v>1</v>
      </c>
      <c r="E58" s="132"/>
    </row>
    <row r="59" customFormat="false" ht="12.75" hidden="false" customHeight="false" outlineLevel="0" collapsed="false">
      <c r="B59" s="136" t="s">
        <v>691</v>
      </c>
      <c r="C59" s="137" t="s">
        <v>674</v>
      </c>
      <c r="D59" s="128" t="n">
        <v>1</v>
      </c>
      <c r="E59" s="138" t="n">
        <v>16</v>
      </c>
      <c r="F59" s="137"/>
    </row>
    <row r="60" customFormat="false" ht="13.8" hidden="false" customHeight="false" outlineLevel="0" collapsed="false">
      <c r="B60" s="139"/>
      <c r="C60" s="140" t="s">
        <v>692</v>
      </c>
      <c r="D60" s="128" t="n">
        <v>0.015</v>
      </c>
      <c r="E60" s="141"/>
      <c r="F60" s="140"/>
    </row>
    <row r="61" customFormat="false" ht="13.8" hidden="false" customHeight="false" outlineLevel="0" collapsed="false">
      <c r="B61" s="139"/>
      <c r="C61" s="140" t="s">
        <v>693</v>
      </c>
      <c r="D61" s="128" t="n">
        <v>0.005</v>
      </c>
      <c r="E61" s="141"/>
      <c r="F61" s="140"/>
    </row>
    <row r="62" customFormat="false" ht="13.8" hidden="false" customHeight="false" outlineLevel="0" collapsed="false">
      <c r="B62" s="142"/>
      <c r="C62" s="143" t="s">
        <v>670</v>
      </c>
      <c r="D62" s="128" t="n">
        <v>1</v>
      </c>
      <c r="E62" s="144"/>
      <c r="F62" s="143"/>
    </row>
    <row r="63" customFormat="false" ht="12.75" hidden="false" customHeight="false" outlineLevel="0" collapsed="false">
      <c r="B63" s="133" t="s">
        <v>671</v>
      </c>
      <c r="C63" s="127" t="s">
        <v>669</v>
      </c>
      <c r="D63" s="128" t="n">
        <v>1</v>
      </c>
      <c r="E63" s="129" t="n">
        <v>20</v>
      </c>
    </row>
    <row r="64" customFormat="false" ht="13.5" hidden="false" customHeight="false" outlineLevel="0" collapsed="false">
      <c r="B64" s="130"/>
      <c r="C64" s="131" t="s">
        <v>670</v>
      </c>
      <c r="D64" s="128" t="n">
        <v>1</v>
      </c>
      <c r="E64" s="132"/>
    </row>
    <row r="65" customFormat="false" ht="12.75" hidden="false" customHeight="false" outlineLevel="0" collapsed="false">
      <c r="B65" s="133" t="s">
        <v>677</v>
      </c>
      <c r="C65" s="127" t="s">
        <v>679</v>
      </c>
      <c r="D65" s="128" t="n">
        <v>0.0125</v>
      </c>
      <c r="E65" s="129" t="n">
        <v>24</v>
      </c>
    </row>
    <row r="66" customFormat="false" ht="13.8" hidden="false" customHeight="false" outlineLevel="0" collapsed="false">
      <c r="B66" s="134"/>
      <c r="C66" s="127" t="s">
        <v>680</v>
      </c>
      <c r="D66" s="128" t="n">
        <v>0.04</v>
      </c>
      <c r="E66" s="135"/>
    </row>
    <row r="67" customFormat="false" ht="13.8" hidden="false" customHeight="false" outlineLevel="0" collapsed="false">
      <c r="B67" s="134"/>
      <c r="C67" s="127" t="s">
        <v>669</v>
      </c>
      <c r="D67" s="128" t="n">
        <v>1</v>
      </c>
      <c r="E67" s="135"/>
    </row>
    <row r="68" customFormat="false" ht="13.8" hidden="false" customHeight="false" outlineLevel="0" collapsed="false">
      <c r="B68" s="130"/>
      <c r="C68" s="131" t="s">
        <v>670</v>
      </c>
      <c r="D68" s="128" t="n">
        <v>1</v>
      </c>
      <c r="E68" s="132"/>
    </row>
    <row r="69" customFormat="false" ht="12.75" hidden="false" customHeight="false" outlineLevel="0" collapsed="false">
      <c r="B69" s="133" t="s">
        <v>678</v>
      </c>
      <c r="C69" s="127" t="s">
        <v>669</v>
      </c>
      <c r="D69" s="128" t="n">
        <v>1</v>
      </c>
      <c r="E69" s="129" t="n">
        <v>28</v>
      </c>
    </row>
    <row r="70" customFormat="false" ht="13.5" hidden="false" customHeight="false" outlineLevel="0" collapsed="false">
      <c r="B70" s="130"/>
      <c r="C70" s="131" t="s">
        <v>670</v>
      </c>
      <c r="D70" s="128" t="n">
        <v>1</v>
      </c>
      <c r="E70" s="132"/>
    </row>
    <row r="71" customFormat="false" ht="12.75" hidden="false" customHeight="false" outlineLevel="0" collapsed="false">
      <c r="B71" s="125" t="s">
        <v>44</v>
      </c>
      <c r="C71" s="153" t="s">
        <v>694</v>
      </c>
      <c r="D71" s="146" t="n">
        <v>0</v>
      </c>
      <c r="E71" s="154" t="n">
        <f aca="false">'General Information'!$D$33</f>
        <v>30</v>
      </c>
      <c r="F71" s="153"/>
    </row>
    <row r="74" customFormat="false" ht="13.5" hidden="false" customHeight="false" outlineLevel="0" collapsed="false">
      <c r="B74" s="5" t="s">
        <v>695</v>
      </c>
    </row>
    <row r="75" customFormat="false" ht="19.5" hidden="false" customHeight="true" outlineLevel="0" collapsed="false">
      <c r="B75" s="24" t="s">
        <v>682</v>
      </c>
      <c r="C75" s="24" t="s">
        <v>660</v>
      </c>
      <c r="D75" s="25" t="s">
        <v>661</v>
      </c>
      <c r="E75" s="25" t="s">
        <v>34</v>
      </c>
      <c r="F75" s="25" t="s">
        <v>662</v>
      </c>
    </row>
    <row r="76" customFormat="false" ht="12.75" hidden="false" customHeight="false" outlineLevel="0" collapsed="false">
      <c r="B76" s="148" t="s">
        <v>3</v>
      </c>
      <c r="C76" s="149" t="s">
        <v>683</v>
      </c>
      <c r="D76" s="128" t="n">
        <v>1</v>
      </c>
      <c r="E76" s="129" t="n">
        <v>15</v>
      </c>
    </row>
    <row r="77" customFormat="false" ht="13.8" hidden="false" customHeight="false" outlineLevel="0" collapsed="false">
      <c r="B77" s="150"/>
      <c r="C77" s="149" t="s">
        <v>696</v>
      </c>
      <c r="D77" s="128" t="n">
        <v>0.0035</v>
      </c>
      <c r="E77" s="135"/>
    </row>
    <row r="78" customFormat="false" ht="13.8" hidden="false" customHeight="false" outlineLevel="0" collapsed="false">
      <c r="B78" s="150"/>
      <c r="C78" s="149" t="s">
        <v>697</v>
      </c>
      <c r="D78" s="128" t="n">
        <v>0.002</v>
      </c>
      <c r="E78" s="135"/>
    </row>
    <row r="79" customFormat="false" ht="13.8" hidden="false" customHeight="false" outlineLevel="0" collapsed="false">
      <c r="B79" s="151"/>
      <c r="C79" s="152" t="s">
        <v>686</v>
      </c>
      <c r="D79" s="128" t="n">
        <v>0.003</v>
      </c>
      <c r="E79" s="132"/>
    </row>
    <row r="80" customFormat="false" ht="12.75" hidden="false" customHeight="false" outlineLevel="0" collapsed="false">
      <c r="B80" s="136" t="s">
        <v>4</v>
      </c>
      <c r="C80" s="137" t="s">
        <v>698</v>
      </c>
      <c r="D80" s="128" t="n">
        <v>0.05</v>
      </c>
      <c r="E80" s="138" t="n">
        <v>25</v>
      </c>
      <c r="F80" s="137"/>
    </row>
    <row r="81" customFormat="false" ht="13.8" hidden="false" customHeight="false" outlineLevel="0" collapsed="false">
      <c r="B81" s="139"/>
      <c r="C81" s="140" t="s">
        <v>686</v>
      </c>
      <c r="D81" s="128" t="n">
        <v>0.003</v>
      </c>
      <c r="E81" s="141"/>
      <c r="F81" s="140"/>
    </row>
    <row r="82" customFormat="false" ht="13.8" hidden="false" customHeight="false" outlineLevel="0" collapsed="false">
      <c r="B82" s="139"/>
      <c r="C82" s="140" t="s">
        <v>699</v>
      </c>
      <c r="D82" s="128" t="n">
        <v>0.0015</v>
      </c>
      <c r="E82" s="141"/>
      <c r="F82" s="140"/>
    </row>
    <row r="83" customFormat="false" ht="13.8" hidden="false" customHeight="false" outlineLevel="0" collapsed="false">
      <c r="B83" s="139"/>
      <c r="C83" s="140" t="s">
        <v>688</v>
      </c>
      <c r="D83" s="128" t="n">
        <v>0.003</v>
      </c>
      <c r="E83" s="141"/>
      <c r="F83" s="140"/>
    </row>
    <row r="84" customFormat="false" ht="13.8" hidden="false" customHeight="false" outlineLevel="0" collapsed="false">
      <c r="B84" s="142"/>
      <c r="C84" s="143" t="s">
        <v>689</v>
      </c>
      <c r="D84" s="128" t="n">
        <v>1</v>
      </c>
      <c r="E84" s="144"/>
      <c r="F84" s="143"/>
    </row>
    <row r="85" customFormat="false" ht="12.75" hidden="false" customHeight="false" outlineLevel="0" collapsed="false">
      <c r="B85" s="125" t="s">
        <v>44</v>
      </c>
      <c r="C85" s="153" t="s">
        <v>694</v>
      </c>
      <c r="D85" s="155" t="n">
        <v>0</v>
      </c>
      <c r="E85" s="154" t="n">
        <f aca="false">'General Information'!$D$33</f>
        <v>30</v>
      </c>
      <c r="F85" s="153"/>
    </row>
    <row r="86" customFormat="false" ht="13.5" hidden="false" customHeight="false" outlineLevel="0" collapsed="false"/>
  </sheetData>
  <mergeCells count="4">
    <mergeCell ref="B3:F3"/>
    <mergeCell ref="B4:F4"/>
    <mergeCell ref="B5:F5"/>
    <mergeCell ref="E6:F6"/>
  </mergeCells>
  <printOptions headings="false" gridLines="false" gridLinesSet="true" horizontalCentered="false" verticalCentered="false"/>
  <pageMargins left="0.7" right="0.7" top="0.75" bottom="0.7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true"/>
  </sheetPr>
  <dimension ref="A1:BL67"/>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selection pane="topLeft" activeCell="A32" activeCellId="0" sqref="A32"/>
    </sheetView>
  </sheetViews>
  <sheetFormatPr defaultColWidth="8.5390625" defaultRowHeight="15" zeroHeight="false" outlineLevelRow="0" outlineLevelCol="0"/>
  <cols>
    <col collapsed="false" customWidth="true" hidden="false" outlineLevel="0" max="1" min="1" style="0" width="12.29"/>
    <col collapsed="false" customWidth="true" hidden="false" outlineLevel="0" max="2" min="2" style="0" width="19.71"/>
    <col collapsed="false" customWidth="true" hidden="false" outlineLevel="0" max="3" min="3" style="0" width="53.71"/>
    <col collapsed="false" customWidth="true" hidden="false" outlineLevel="0" max="4" min="4" style="0" width="41.57"/>
    <col collapsed="false" customWidth="true" hidden="false" outlineLevel="0" max="5" min="5" style="0" width="33.72"/>
    <col collapsed="false" customWidth="true" hidden="false" outlineLevel="0" max="6" min="6" style="0" width="11.29"/>
    <col collapsed="false" customWidth="true" hidden="false" outlineLevel="0" max="7" min="7" style="0" width="12.86"/>
    <col collapsed="false" customWidth="true" hidden="true" outlineLevel="0" max="9" min="9" style="0" width="9.14"/>
    <col collapsed="false" customWidth="true" hidden="true" outlineLevel="0" max="11" min="10" style="1" width="13.29"/>
    <col collapsed="false" customWidth="true" hidden="true" outlineLevel="0" max="12" min="12" style="1" width="21.71"/>
    <col collapsed="false" customWidth="true" hidden="true" outlineLevel="0" max="16" min="13" style="1" width="13.29"/>
    <col collapsed="false" customWidth="true" hidden="true" outlineLevel="0" max="17" min="17" style="0" width="3.57"/>
    <col collapsed="false" customWidth="true" hidden="true" outlineLevel="0" max="19" min="18" style="0" width="13.29"/>
    <col collapsed="false" customWidth="true" hidden="true" outlineLevel="0" max="20" min="20" style="0" width="41.43"/>
    <col collapsed="false" customWidth="true" hidden="true" outlineLevel="0" max="24" min="21" style="0" width="13.29"/>
    <col collapsed="false" customWidth="true" hidden="true" outlineLevel="0" max="25" min="25" style="0" width="3.57"/>
    <col collapsed="false" customWidth="true" hidden="true" outlineLevel="0" max="27" min="26" style="1" width="13.29"/>
    <col collapsed="false" customWidth="true" hidden="true" outlineLevel="0" max="28" min="28" style="1" width="41.28"/>
    <col collapsed="false" customWidth="true" hidden="true" outlineLevel="0" max="32" min="29" style="1" width="13.29"/>
    <col collapsed="false" customWidth="true" hidden="true" outlineLevel="0" max="33" min="33" style="0" width="3.57"/>
    <col collapsed="false" customWidth="true" hidden="true" outlineLevel="0" max="35" min="34" style="0" width="13.29"/>
    <col collapsed="false" customWidth="true" hidden="true" outlineLevel="0" max="36" min="36" style="0" width="41.28"/>
    <col collapsed="false" customWidth="true" hidden="true" outlineLevel="0" max="40" min="37" style="0" width="13.29"/>
    <col collapsed="false" customWidth="true" hidden="true" outlineLevel="0" max="41" min="41" style="0" width="3.57"/>
    <col collapsed="false" customWidth="true" hidden="true" outlineLevel="0" max="43" min="42" style="1" width="13.29"/>
    <col collapsed="false" customWidth="true" hidden="true" outlineLevel="0" max="44" min="44" style="1" width="41.57"/>
    <col collapsed="false" customWidth="true" hidden="true" outlineLevel="0" max="48" min="45" style="1" width="13.29"/>
    <col collapsed="false" customWidth="true" hidden="true" outlineLevel="0" max="49" min="49" style="0" width="3.57"/>
    <col collapsed="false" customWidth="true" hidden="true" outlineLevel="0" max="51" min="50" style="0" width="13.29"/>
    <col collapsed="false" customWidth="true" hidden="true" outlineLevel="0" max="52" min="52" style="0" width="41.43"/>
    <col collapsed="false" customWidth="true" hidden="true" outlineLevel="0" max="56" min="53" style="0" width="13.29"/>
    <col collapsed="false" customWidth="true" hidden="true" outlineLevel="0" max="57" min="57" style="0" width="3.57"/>
    <col collapsed="false" customWidth="true" hidden="true" outlineLevel="0" max="59" min="58" style="1" width="13.29"/>
    <col collapsed="false" customWidth="true" hidden="true" outlineLevel="0" max="60" min="60" style="1" width="41.43"/>
    <col collapsed="false" customWidth="true" hidden="true" outlineLevel="0" max="64" min="61" style="1" width="13.29"/>
  </cols>
  <sheetData>
    <row r="1" customFormat="false" ht="39.75" hidden="false" customHeight="true" outlineLevel="0" collapsed="false">
      <c r="A1" s="3" t="str">
        <f aca="false">HYPERLINK("#'General Information'!D9","◄ General Information")</f>
        <v>◄ General Information</v>
      </c>
      <c r="B1" s="3"/>
      <c r="C1" s="4" t="str">
        <f aca="false">HYPERLINK("#Summary!G1","Summary")</f>
        <v>Summary</v>
      </c>
      <c r="D1" s="5" t="str">
        <f aca="false">$A$33</f>
        <v>HMA Reconstruction - Alternative 1</v>
      </c>
      <c r="I1" s="6" t="s">
        <v>0</v>
      </c>
    </row>
    <row r="2" customFormat="false" ht="15" hidden="false" customHeight="false" outlineLevel="0" collapsed="false">
      <c r="A2" s="7" t="s">
        <v>1</v>
      </c>
      <c r="E2" s="8" t="s">
        <v>700</v>
      </c>
      <c r="F2" s="9" t="n">
        <f aca="false">IF('General Information'!$D$38="Yes",SUMIF(RevenueData!$A:$A,'General Information'!$D$10,RevenueData!$B:$B)+SUMIF(RevenueData!$A:$A,'General Information'!$D$10,RevenueData!$C:$C)+SUMIF(RevenueData!$A:$A,'General Information'!$D$10,RevenueData!$D:$D)+SUMIF(RevenueData!$A:$A,'General Information'!$D$10,RevenueData!$E:$E)+SUMIF(RevenueData!$A:$A,'General Information'!$D$10,RevenueData!$F:$F)+SUMIF(RevenueData!$A:$A,'General Information'!$D$10,RevenueData!$G:$G)+SUMIF(RevenueData!$A:$A,'General Information'!$D$10,RevenueData!$H:$H),0)</f>
        <v>5441.17</v>
      </c>
      <c r="G2" s="0" t="str">
        <f aca="false">IF(AND('General Information'!$D$38="Yes",F2=0),"No revenue data for this airport - lost revenue set to $0. Contact Aeronautics.","")</f>
        <v/>
      </c>
      <c r="J2" s="10" t="s">
        <v>3</v>
      </c>
      <c r="R2" s="7" t="s">
        <v>665</v>
      </c>
      <c r="Z2" s="10" t="s">
        <v>666</v>
      </c>
      <c r="AH2" s="7" t="s">
        <v>671</v>
      </c>
      <c r="AP2" s="10" t="s">
        <v>4</v>
      </c>
      <c r="AX2" s="7" t="s">
        <v>677</v>
      </c>
      <c r="BF2" s="10" t="s">
        <v>678</v>
      </c>
    </row>
    <row r="3" customFormat="false" ht="25.5" hidden="false" customHeight="true" outlineLevel="0" collapsed="false">
      <c r="A3" s="11" t="s">
        <v>701</v>
      </c>
      <c r="B3" s="11"/>
      <c r="C3" s="11"/>
      <c r="D3" s="11"/>
      <c r="E3" s="11"/>
      <c r="F3" s="11"/>
      <c r="G3" s="11"/>
    </row>
    <row r="4" customFormat="false" ht="15" hidden="false" customHeight="false" outlineLevel="0" collapsed="false">
      <c r="A4" s="12" t="s">
        <v>6</v>
      </c>
      <c r="B4" s="13"/>
      <c r="C4" s="14" t="s">
        <v>643</v>
      </c>
      <c r="D4" s="13"/>
      <c r="E4" s="15" t="s">
        <v>8</v>
      </c>
      <c r="F4" s="16" t="n">
        <f aca="false">ROUNDUP((C5/15000),0)+ROUNDUP((C8/20000),0)+ROUNDUP((C8/50000),0)</f>
        <v>6</v>
      </c>
    </row>
    <row r="5" customFormat="false" ht="15" hidden="false" customHeight="false" outlineLevel="0" collapsed="false">
      <c r="A5" s="12" t="s">
        <v>9</v>
      </c>
      <c r="B5" s="13"/>
      <c r="C5" s="14" t="n">
        <f aca="false">'General Information'!D26</f>
        <v>45883</v>
      </c>
      <c r="D5" s="13" t="s">
        <v>10</v>
      </c>
      <c r="E5" s="15" t="s">
        <v>702</v>
      </c>
      <c r="F5" s="16" t="n">
        <f aca="false">ROUNDUP((C5/15000),0)+ROUNDUP((C8/20000),0)+ROUNDUP((C8/50000),0)</f>
        <v>6</v>
      </c>
    </row>
    <row r="6" customFormat="false" ht="15" hidden="false" customHeight="false" outlineLevel="0" collapsed="false">
      <c r="A6" s="12" t="s">
        <v>12</v>
      </c>
      <c r="B6" s="13"/>
      <c r="C6" s="14" t="n">
        <f aca="false">'General Information'!D25</f>
        <v>2028</v>
      </c>
      <c r="D6" s="13"/>
      <c r="E6" s="15" t="s">
        <v>703</v>
      </c>
      <c r="F6" s="16" t="n">
        <f aca="false">ROUNDUP((C5/15000),0)+ROUNDUP((C8/20000),0)+ROUNDUP((C8/50000),0)+ROUNDUP((C5*'Maintenance Policies'!D15/10000),0)+ROUNDUP((C5*'Maintenance Policies'!D14/5000),0)</f>
        <v>8</v>
      </c>
      <c r="AP6" s="1" t="s">
        <v>704</v>
      </c>
      <c r="AQ6" s="1" t="n">
        <v>2</v>
      </c>
      <c r="AR6" s="1" t="s">
        <v>705</v>
      </c>
    </row>
    <row r="7" customFormat="false" ht="15" hidden="false" customHeight="false" outlineLevel="0" collapsed="false">
      <c r="A7" s="12" t="s">
        <v>706</v>
      </c>
      <c r="B7" s="13"/>
      <c r="C7" s="14" t="s">
        <v>603</v>
      </c>
      <c r="D7" s="13" t="s">
        <v>707</v>
      </c>
      <c r="E7" s="15" t="s">
        <v>708</v>
      </c>
      <c r="F7" s="16" t="n">
        <f aca="false">ROUNDUP((C5/15000),0)+ROUNDUP((C8/20000),0)+ROUNDUP((C8/50000),0)+ROUNDUP((C5*'Maintenance Policies'!D18/10000),0)+ROUNDUP((C5*'Maintenance Policies'!D19/5000),0)</f>
        <v>8</v>
      </c>
      <c r="AP7" s="1" t="s">
        <v>709</v>
      </c>
      <c r="AQ7" s="1" t="n">
        <v>120</v>
      </c>
      <c r="AR7" s="1" t="s">
        <v>710</v>
      </c>
    </row>
    <row r="8" customFormat="false" ht="15" hidden="false" customHeight="false" outlineLevel="0" collapsed="false">
      <c r="A8" s="12" t="s">
        <v>13</v>
      </c>
      <c r="B8" s="13"/>
      <c r="C8" s="14" t="n">
        <f aca="false">'General Information'!D28</f>
        <v>12000</v>
      </c>
      <c r="D8" s="13" t="s">
        <v>14</v>
      </c>
      <c r="E8" s="15" t="s">
        <v>11</v>
      </c>
      <c r="F8" s="16" t="n">
        <f aca="false">ROUNDUP((C5/3800),0)+ROUNDUP((C8/50000),0)</f>
        <v>14</v>
      </c>
    </row>
    <row r="9" customFormat="false" ht="15" hidden="false" customHeight="false" outlineLevel="0" collapsed="false">
      <c r="C9" s="156"/>
      <c r="E9" s="15" t="s">
        <v>711</v>
      </c>
      <c r="F9" s="16" t="n">
        <f aca="false">ROUNDUP((C5/15000),0)+ROUNDUP((C8/20000),0)+ROUNDUP((C8/50000),0)</f>
        <v>6</v>
      </c>
      <c r="AP9" s="1" t="s">
        <v>712</v>
      </c>
      <c r="AQ9" s="1" t="n">
        <v>0.1</v>
      </c>
      <c r="AR9" s="1" t="s">
        <v>713</v>
      </c>
    </row>
    <row r="10" customFormat="false" ht="15" hidden="false" customHeight="false" outlineLevel="0" collapsed="false">
      <c r="D10" s="20"/>
      <c r="E10" s="17" t="s">
        <v>714</v>
      </c>
      <c r="F10" s="18" t="n">
        <f aca="false">ROUNDUP((C5/15000),0)+ROUNDUP((C8/20000),0)+ROUNDUP((C8/50000),0)+ROUNDUP((C5*'Maintenance Policies'!D28/10000),0)+ROUNDUP((C5*'Maintenance Policies'!D29/5000),0)</f>
        <v>8</v>
      </c>
      <c r="I10" s="21" t="s">
        <v>17</v>
      </c>
    </row>
    <row r="11" customFormat="false" ht="27.75" hidden="false" customHeight="true" outlineLevel="0" collapsed="false">
      <c r="B11" s="22" t="s">
        <v>18</v>
      </c>
      <c r="C11" s="23" t="s">
        <v>19</v>
      </c>
      <c r="D11" s="11" t="str">
        <f aca="false">IF(OR($C$11="Regular",$C$11=""),"Regular is the statewide Unit Cost column on Pay_Items.","Prices from the "&amp;$C$11&amp;" column on Pay_Items: "&amp;SUM($I$13:$I$22)&amp;" of "&amp;COUNT($I$13:$I$22)&amp;" pay items used here have a "&amp;$C$11&amp;" cost, the rest fall back to Unit Cost.")</f>
        <v>Regular is the statewide Unit Cost column on Pay_Items.</v>
      </c>
      <c r="E11" s="11"/>
      <c r="F11" s="11"/>
      <c r="G11" s="11"/>
      <c r="I11" s="21" t="n">
        <f aca="false">IFERROR(MATCH($C$11,PriceSources,0),1)</f>
        <v>1</v>
      </c>
    </row>
    <row r="12" customFormat="false" ht="19.5" hidden="false" customHeight="true" outlineLevel="0" collapsed="false">
      <c r="A12" s="24" t="s">
        <v>20</v>
      </c>
      <c r="B12" s="24" t="s">
        <v>21</v>
      </c>
      <c r="C12" s="24" t="s">
        <v>22</v>
      </c>
      <c r="D12" s="25" t="s">
        <v>23</v>
      </c>
      <c r="E12" s="25" t="s">
        <v>24</v>
      </c>
      <c r="F12" s="25" t="s">
        <v>25</v>
      </c>
      <c r="G12" s="25" t="s">
        <v>26</v>
      </c>
      <c r="J12" s="1" t="s">
        <v>20</v>
      </c>
      <c r="K12" s="1" t="s">
        <v>21</v>
      </c>
      <c r="L12" s="1" t="s">
        <v>22</v>
      </c>
      <c r="M12" s="1" t="s">
        <v>23</v>
      </c>
      <c r="N12" s="1" t="s">
        <v>24</v>
      </c>
      <c r="O12" s="1" t="s">
        <v>25</v>
      </c>
      <c r="P12" s="1" t="s">
        <v>26</v>
      </c>
      <c r="R12" s="6" t="s">
        <v>20</v>
      </c>
      <c r="S12" s="6" t="s">
        <v>21</v>
      </c>
      <c r="T12" s="6" t="s">
        <v>22</v>
      </c>
      <c r="U12" s="6" t="s">
        <v>23</v>
      </c>
      <c r="V12" s="6" t="s">
        <v>24</v>
      </c>
      <c r="W12" s="6" t="s">
        <v>25</v>
      </c>
      <c r="X12" s="6" t="s">
        <v>26</v>
      </c>
      <c r="Z12" s="1" t="s">
        <v>20</v>
      </c>
      <c r="AA12" s="1" t="s">
        <v>21</v>
      </c>
      <c r="AB12" s="1" t="s">
        <v>22</v>
      </c>
      <c r="AC12" s="1" t="s">
        <v>23</v>
      </c>
      <c r="AD12" s="1" t="s">
        <v>24</v>
      </c>
      <c r="AE12" s="1" t="s">
        <v>25</v>
      </c>
      <c r="AF12" s="1" t="s">
        <v>26</v>
      </c>
      <c r="AH12" s="6" t="s">
        <v>20</v>
      </c>
      <c r="AI12" s="6" t="s">
        <v>21</v>
      </c>
      <c r="AJ12" s="6" t="s">
        <v>22</v>
      </c>
      <c r="AK12" s="6" t="s">
        <v>23</v>
      </c>
      <c r="AL12" s="6" t="s">
        <v>24</v>
      </c>
      <c r="AM12" s="6" t="s">
        <v>25</v>
      </c>
      <c r="AN12" s="6" t="s">
        <v>26</v>
      </c>
      <c r="AP12" s="1" t="s">
        <v>20</v>
      </c>
      <c r="AQ12" s="1" t="s">
        <v>21</v>
      </c>
      <c r="AR12" s="1" t="s">
        <v>22</v>
      </c>
      <c r="AS12" s="1" t="s">
        <v>23</v>
      </c>
      <c r="AT12" s="1" t="s">
        <v>24</v>
      </c>
      <c r="AU12" s="1" t="s">
        <v>25</v>
      </c>
      <c r="AV12" s="1" t="s">
        <v>26</v>
      </c>
      <c r="AX12" s="6" t="s">
        <v>20</v>
      </c>
      <c r="AY12" s="6" t="s">
        <v>21</v>
      </c>
      <c r="AZ12" s="6" t="s">
        <v>22</v>
      </c>
      <c r="BA12" s="6" t="s">
        <v>23</v>
      </c>
      <c r="BB12" s="6" t="s">
        <v>24</v>
      </c>
      <c r="BC12" s="6" t="s">
        <v>25</v>
      </c>
      <c r="BD12" s="6" t="s">
        <v>26</v>
      </c>
      <c r="BF12" s="1" t="s">
        <v>20</v>
      </c>
      <c r="BG12" s="1" t="s">
        <v>21</v>
      </c>
      <c r="BH12" s="1" t="s">
        <v>22</v>
      </c>
      <c r="BI12" s="1" t="s">
        <v>23</v>
      </c>
      <c r="BJ12" s="1" t="s">
        <v>24</v>
      </c>
      <c r="BK12" s="1" t="s">
        <v>25</v>
      </c>
      <c r="BL12" s="1" t="s">
        <v>26</v>
      </c>
    </row>
    <row r="13" customFormat="false" ht="19.5" hidden="false" customHeight="true" outlineLevel="0" collapsed="false">
      <c r="A13" s="0" t="n">
        <v>1</v>
      </c>
      <c r="B13" s="26" t="str">
        <f aca="false">IF(C13="","",VLOOKUP(C13,CHOOSE({1,2},Table2[Pay Item Description],Table2[Pay Item No.]),2,0))</f>
        <v/>
      </c>
      <c r="C13" s="27"/>
      <c r="D13" s="28" t="str">
        <f aca="false">IF(C13="","N/A",VLOOKUP(C13,CHOOSE({1,2},Table2[Pay Item Description],Table2[Units]),2,0))</f>
        <v>N/A</v>
      </c>
      <c r="E13" s="157"/>
      <c r="F13" s="30" t="str">
        <f aca="false">IF(C13="","N/A",IF(INDEX(UnitCostGrid,MATCH(C13,PayItemKeys,0),$I$11)="",INDEX(UnitCostGrid,MATCH(C13,PayItemKeys,0),1),INDEX(UnitCostGrid,MATCH(C13,PayItemKeys,0),$I$11)))</f>
        <v>N/A</v>
      </c>
      <c r="G13" s="31" t="n">
        <f aca="false">IF(C13="",0,F13*E13)</f>
        <v>0</v>
      </c>
      <c r="I13" s="21" t="str">
        <f aca="false">IF(C13="","",IF(INDEX(UnitCostGrid,MATCH(C13,PayItemKeys,0),$I$11)="",0,1))</f>
        <v/>
      </c>
      <c r="J13" s="1" t="n">
        <v>1</v>
      </c>
      <c r="K13" s="158" t="str">
        <f aca="false">IF(L13="",0,VLOOKUP(L13,CHOOSE({1,2},Table2[Pay Item Description],Table2[Pay Item No.]),2,0))</f>
        <v>P-608-8.1</v>
      </c>
      <c r="L13" s="1" t="str">
        <f aca="false">C7</f>
        <v>Emulsified Asphalt Surface Treatment</v>
      </c>
      <c r="M13" s="159" t="str">
        <f aca="false">VLOOKUP(L13,CHOOSE({1,2},Table2[Pay Item Description],Table2[Units]),2,0)</f>
        <v>S.Y.</v>
      </c>
      <c r="N13" s="160" t="n">
        <f aca="false">'Maintenance Policies'!D10*$C$5</f>
        <v>45883</v>
      </c>
      <c r="O13" s="161" t="n">
        <f aca="false">IF(L13="","N/A",IF(INDEX(UnitCostGrid,MATCH(L13,PayItemKeys,0),$I$11)="",INDEX(UnitCostGrid,MATCH(L13,PayItemKeys,0),1),INDEX(UnitCostGrid,MATCH(L13,PayItemKeys,0),$I$11)))</f>
        <v>4</v>
      </c>
      <c r="P13" s="34" t="n">
        <f aca="false">O13*N13</f>
        <v>183532</v>
      </c>
      <c r="R13" s="0" t="n">
        <v>1</v>
      </c>
      <c r="S13" s="26" t="str">
        <f aca="false">IF(T13="",0,VLOOKUP(T13,CHOOSE({1,2},Table2[Pay Item Description],Table2[Pay Item No.]),2,0))</f>
        <v>P-608-8.1</v>
      </c>
      <c r="T13" s="0" t="str">
        <f aca="false">C7</f>
        <v>Emulsified Asphalt Surface Treatment</v>
      </c>
      <c r="U13" s="28" t="str">
        <f aca="false">VLOOKUP(T13,CHOOSE({1,2},Table2[Pay Item Description],Table2[Units]),2,0)</f>
        <v>S.Y.</v>
      </c>
      <c r="V13" s="162" t="n">
        <f aca="false">'Maintenance Policies'!D12*$C$5</f>
        <v>45883</v>
      </c>
      <c r="W13" s="163" t="n">
        <f aca="false">IF(T13="","N/A",IF(INDEX(UnitCostGrid,MATCH(T13,PayItemKeys,0),$I$11)="",INDEX(UnitCostGrid,MATCH(T13,PayItemKeys,0),1),INDEX(UnitCostGrid,MATCH(T13,PayItemKeys,0),$I$11)))</f>
        <v>4</v>
      </c>
      <c r="X13" s="37" t="n">
        <f aca="false">W13*V13</f>
        <v>183532</v>
      </c>
      <c r="Z13" s="1" t="n">
        <v>1</v>
      </c>
      <c r="AA13" s="1" t="str">
        <f aca="false">IF(AB13="",0,VLOOKUP(AB13,CHOOSE({1,2},Table2[Pay Item Description],Table2[Pay Item No.]),2,0))</f>
        <v>P-101-5.4a</v>
      </c>
      <c r="AB13" s="1" t="str">
        <f aca="false">Pay_Items!D11</f>
        <v>Spall Repair, Asphalt</v>
      </c>
      <c r="AC13" s="164" t="str">
        <f aca="false">IF(AB13="","N/A",VLOOKUP(AB13,CHOOSE({1,2},Table2[Pay Item Description],Table2[Units]),2,0))</f>
        <v>S.F.</v>
      </c>
      <c r="AD13" s="160" t="n">
        <f aca="false">'Maintenance Policies'!D14*($C$5*9)</f>
        <v>3097.1025</v>
      </c>
      <c r="AE13" s="165" t="n">
        <f aca="false">IF(AB13="","N/A",IF(INDEX(UnitCostGrid,MATCH(AB13,PayItemKeys,0),$I$11)="",INDEX(UnitCostGrid,MATCH(AB13,PayItemKeys,0),1),INDEX(UnitCostGrid,MATCH(AB13,PayItemKeys,0),$I$11)))</f>
        <v>8.5</v>
      </c>
      <c r="AF13" s="34" t="n">
        <f aca="false">AE13*AD13</f>
        <v>26325.37125</v>
      </c>
      <c r="AH13" s="0" t="n">
        <v>1</v>
      </c>
      <c r="AI13" s="0" t="str">
        <f aca="false">IF(AJ13="",0,VLOOKUP(AJ13,CHOOSE({1,2},Table2[Pay Item Description],Table2[Pay Item No.]),2,0))</f>
        <v>P-101-5.4a</v>
      </c>
      <c r="AJ13" s="0" t="str">
        <f aca="false">Pay_Items!D11</f>
        <v>Spall Repair, Asphalt</v>
      </c>
      <c r="AK13" s="166" t="str">
        <f aca="false">IF(AJ13="","N/A",VLOOKUP(AJ13,CHOOSE({1,2},Table2[Pay Item Description],Table2[Units]),2,0))</f>
        <v>S.F.</v>
      </c>
      <c r="AL13" s="162" t="n">
        <f aca="false">'Maintenance Policies'!D18*($C$5*9)</f>
        <v>4129.47</v>
      </c>
      <c r="AM13" s="167" t="n">
        <f aca="false">IF(AJ13="","N/A",IF(INDEX(UnitCostGrid,MATCH(AJ13,PayItemKeys,0),$I$11)="",INDEX(UnitCostGrid,MATCH(AJ13,PayItemKeys,0),1),INDEX(UnitCostGrid,MATCH(AJ13,PayItemKeys,0),$I$11)))</f>
        <v>8.5</v>
      </c>
      <c r="AN13" s="37" t="n">
        <f aca="false">AM13*AL13</f>
        <v>35100.495</v>
      </c>
      <c r="AP13" s="1" t="n">
        <v>1</v>
      </c>
      <c r="AQ13" s="1" t="str">
        <f aca="false">IF(AR13="",0,VLOOKUP(AR13,CHOOSE({1,2},Table2[Pay Item Description],Table2[Pay Item No.]),2,0))</f>
        <v>P-101-5.6</v>
      </c>
      <c r="AR13" s="1" t="str">
        <f aca="false">Pay_Items!D16</f>
        <v>Cold Milling</v>
      </c>
      <c r="AS13" s="164" t="str">
        <f aca="false">IF(AR13="","N/A",VLOOKUP(AR13,CHOOSE({1,2},Table2[Pay Item Description],Table2[Units]),2,0))</f>
        <v>S.Y.</v>
      </c>
      <c r="AT13" s="160" t="n">
        <f aca="false">'Maintenance Policies'!D22*$C$5</f>
        <v>45883</v>
      </c>
      <c r="AU13" s="165" t="n">
        <f aca="false">IF(AR13="","N/A",IF(INDEX(UnitCostGrid,MATCH(AR13,PayItemKeys,0),$I$11)="",INDEX(UnitCostGrid,MATCH(AR13,PayItemKeys,0),1),INDEX(UnitCostGrid,MATCH(AR13,PayItemKeys,0),$I$11)))</f>
        <v>5</v>
      </c>
      <c r="AV13" s="34" t="n">
        <f aca="false">AU13*AT13</f>
        <v>229415</v>
      </c>
      <c r="AX13" s="0" t="n">
        <v>1</v>
      </c>
      <c r="AY13" s="26" t="str">
        <f aca="false">IF(AZ13="",0,VLOOKUP(AZ13,CHOOSE({1,2},Table2[Pay Item Description],Table2[Pay Item No.]),2,0))</f>
        <v>P-608-8.1</v>
      </c>
      <c r="AZ13" s="0" t="str">
        <f aca="false">C7</f>
        <v>Emulsified Asphalt Surface Treatment</v>
      </c>
      <c r="BA13" s="28" t="str">
        <f aca="false">IF(AZ13="","N/A",VLOOKUP(AZ13,CHOOSE({1,2},Table2[Pay Item Description],Table2[Units]),2,0))</f>
        <v>S.Y.</v>
      </c>
      <c r="BB13" s="162" t="n">
        <f aca="false">'Maintenance Policies'!D26*$C$5</f>
        <v>45883</v>
      </c>
      <c r="BC13" s="163" t="n">
        <f aca="false">IF(AZ13="","N/A",IF(INDEX(UnitCostGrid,MATCH(AZ13,PayItemKeys,0),$I$11)="",INDEX(UnitCostGrid,MATCH(AZ13,PayItemKeys,0),1),INDEX(UnitCostGrid,MATCH(AZ13,PayItemKeys,0),$I$11)))</f>
        <v>4</v>
      </c>
      <c r="BD13" s="37" t="n">
        <f aca="false">BC13*BB13</f>
        <v>183532</v>
      </c>
      <c r="BF13" s="1" t="n">
        <v>1</v>
      </c>
      <c r="BG13" s="1" t="str">
        <f aca="false">IF(BH13="",0,VLOOKUP(BH13,CHOOSE({1,2},Table2[Pay Item Description],Table2[Pay Item No.]),2,0))</f>
        <v>P-101-5.4a</v>
      </c>
      <c r="BH13" s="1" t="str">
        <f aca="false">Pay_Items!D11</f>
        <v>Spall Repair, Asphalt</v>
      </c>
      <c r="BI13" s="164" t="str">
        <f aca="false">IF(BH13="","N/A",VLOOKUP(BH13,CHOOSE({1,2},Table2[Pay Item Description],Table2[Units]),2,0))</f>
        <v>S.F.</v>
      </c>
      <c r="BJ13" s="160" t="n">
        <f aca="false">'Maintenance Policies'!D28*($C$5*9)</f>
        <v>5161.8375</v>
      </c>
      <c r="BK13" s="165" t="n">
        <f aca="false">IF(BH13="","N/A",IF(INDEX(UnitCostGrid,MATCH(BH13,PayItemKeys,0),$I$11)="",INDEX(UnitCostGrid,MATCH(BH13,PayItemKeys,0),1),INDEX(UnitCostGrid,MATCH(BH13,PayItemKeys,0),$I$11)))</f>
        <v>8.5</v>
      </c>
      <c r="BL13" s="34" t="n">
        <f aca="false">BK13*BJ13</f>
        <v>43875.61875</v>
      </c>
    </row>
    <row r="14" customFormat="false" ht="19.5" hidden="false" customHeight="true" outlineLevel="0" collapsed="false">
      <c r="A14" s="0" t="n">
        <v>2</v>
      </c>
      <c r="B14" s="26" t="str">
        <f aca="false">IF(C14="","",VLOOKUP(C14,CHOOSE({1,2},Table2[Pay Item Description],Table2[Pay Item No.]),2,0))</f>
        <v/>
      </c>
      <c r="C14" s="27"/>
      <c r="D14" s="28" t="str">
        <f aca="false">IF(C14="","N/A",VLOOKUP(C14,CHOOSE({1,2},Table2[Pay Item Description],Table2[Units]),2,0))</f>
        <v>N/A</v>
      </c>
      <c r="E14" s="157"/>
      <c r="F14" s="30" t="str">
        <f aca="false">IF(C14="","N/A",IF(INDEX(UnitCostGrid,MATCH(C14,PayItemKeys,0),$I$11)="",INDEX(UnitCostGrid,MATCH(C14,PayItemKeys,0),1),INDEX(UnitCostGrid,MATCH(C14,PayItemKeys,0),$I$11)))</f>
        <v>N/A</v>
      </c>
      <c r="G14" s="31" t="n">
        <f aca="false">IF(C14="",0,F14*E14)</f>
        <v>0</v>
      </c>
      <c r="I14" s="21" t="str">
        <f aca="false">IF(C14="","",IF(INDEX(UnitCostGrid,MATCH(C14,PayItemKeys,0),$I$11)="",0,1))</f>
        <v/>
      </c>
      <c r="J14" s="1" t="n">
        <v>2</v>
      </c>
      <c r="K14" s="1" t="str">
        <f aca="false">IF(L14="",0,VLOOKUP(L14,CHOOSE({1,2},Table2[Pay Item Description],Table2[Pay Item No.]),2,0))</f>
        <v>P-101-5.3</v>
      </c>
      <c r="L14" s="1" t="str">
        <f aca="false">Pay_Items!D10</f>
        <v>Markings Removal</v>
      </c>
      <c r="M14" s="164" t="str">
        <f aca="false">IF(L14="","N/A",VLOOKUP(L14,CHOOSE({1,2},Table2[Pay Item Description],Table2[Units]),2,0))</f>
        <v>S.F.</v>
      </c>
      <c r="N14" s="160" t="n">
        <f aca="false">'Maintenance Policies'!D10*$C$8</f>
        <v>12000</v>
      </c>
      <c r="O14" s="165" t="n">
        <f aca="false">IF(L14="","N/A",IF(INDEX(UnitCostGrid,MATCH(L14,PayItemKeys,0),$I$11)="",INDEX(UnitCostGrid,MATCH(L14,PayItemKeys,0),1),INDEX(UnitCostGrid,MATCH(L14,PayItemKeys,0),$I$11)))</f>
        <v>0.777777777777778</v>
      </c>
      <c r="P14" s="34" t="n">
        <f aca="false">O14*N14</f>
        <v>9333.33333333333</v>
      </c>
      <c r="R14" s="0" t="n">
        <v>2</v>
      </c>
      <c r="S14" s="0" t="str">
        <f aca="false">IF(T14="",0,VLOOKUP(T14,CHOOSE({1,2},Table2[Pay Item Description],Table2[Pay Item No.]),2,0))</f>
        <v>P-101-5.3</v>
      </c>
      <c r="T14" s="0" t="str">
        <f aca="false">Pay_Items!D10</f>
        <v>Markings Removal</v>
      </c>
      <c r="U14" s="166" t="str">
        <f aca="false">IF(T14="","N/A",VLOOKUP(T14,CHOOSE({1,2},Table2[Pay Item Description],Table2[Units]),2,0))</f>
        <v>S.F.</v>
      </c>
      <c r="V14" s="162" t="n">
        <f aca="false">'Maintenance Policies'!D12*$C$8</f>
        <v>12000</v>
      </c>
      <c r="W14" s="167" t="n">
        <f aca="false">IF(T14="","N/A",IF(INDEX(UnitCostGrid,MATCH(T14,PayItemKeys,0),$I$11)="",INDEX(UnitCostGrid,MATCH(T14,PayItemKeys,0),1),INDEX(UnitCostGrid,MATCH(T14,PayItemKeys,0),$I$11)))</f>
        <v>0.777777777777778</v>
      </c>
      <c r="X14" s="37" t="n">
        <f aca="false">W14*V14</f>
        <v>9333.33333333333</v>
      </c>
      <c r="Z14" s="1" t="n">
        <v>2</v>
      </c>
      <c r="AA14" s="1" t="str">
        <f aca="false">IF(AB14="",0,VLOOKUP(AB14,CHOOSE({1,2},Table2[Pay Item Description],Table2[Pay Item No.]),2,0))</f>
        <v>P-101-5.2a</v>
      </c>
      <c r="AB14" s="1" t="str">
        <f aca="false">Pay_Items!D6</f>
        <v>Crack Repair (Type I), Asphalt</v>
      </c>
      <c r="AC14" s="164" t="str">
        <f aca="false">IF(AB14="","N/A",VLOOKUP(AB14,CHOOSE({1,2},Table2[Pay Item Description],Table2[Units]),2,0))</f>
        <v>L.F.</v>
      </c>
      <c r="AD14" s="160" t="n">
        <f aca="false">'Maintenance Policies'!D15*($C$5*9)</f>
        <v>13420.7775</v>
      </c>
      <c r="AE14" s="165" t="n">
        <f aca="false">IF(AB14="","N/A",IF(INDEX(UnitCostGrid,MATCH(AB14,PayItemKeys,0),$I$11)="",INDEX(UnitCostGrid,MATCH(AB14,PayItemKeys,0),1),INDEX(UnitCostGrid,MATCH(AB14,PayItemKeys,0),$I$11)))</f>
        <v>4</v>
      </c>
      <c r="AF14" s="34" t="n">
        <f aca="false">AE14*AD14</f>
        <v>53683.11</v>
      </c>
      <c r="AH14" s="0" t="n">
        <v>2</v>
      </c>
      <c r="AI14" s="0" t="str">
        <f aca="false">IF(AJ14="",0,VLOOKUP(AJ14,CHOOSE({1,2},Table2[Pay Item Description],Table2[Pay Item No.]),2,0))</f>
        <v>P-101-5.2a</v>
      </c>
      <c r="AJ14" s="0" t="str">
        <f aca="false">Pay_Items!D6</f>
        <v>Crack Repair (Type I), Asphalt</v>
      </c>
      <c r="AK14" s="166" t="str">
        <f aca="false">IF(AJ14="","N/A",VLOOKUP(AJ14,CHOOSE({1,2},Table2[Pay Item Description],Table2[Units]),2,0))</f>
        <v>L.F.</v>
      </c>
      <c r="AL14" s="162" t="n">
        <f aca="false">'Maintenance Policies'!D19*($C$5*9)</f>
        <v>14453.145</v>
      </c>
      <c r="AM14" s="167" t="n">
        <f aca="false">IF(AJ14="","N/A",IF(INDEX(UnitCostGrid,MATCH(AJ14,PayItemKeys,0),$I$11)="",INDEX(UnitCostGrid,MATCH(AJ14,PayItemKeys,0),1),INDEX(UnitCostGrid,MATCH(AJ14,PayItemKeys,0),$I$11)))</f>
        <v>4</v>
      </c>
      <c r="AN14" s="37" t="n">
        <f aca="false">AM14*AL14</f>
        <v>57812.58</v>
      </c>
      <c r="AP14" s="1" t="n">
        <v>2</v>
      </c>
      <c r="AQ14" s="1" t="str">
        <f aca="false">IF(AR14="",0,VLOOKUP(AR14,CHOOSE({1,2},Table2[Pay Item Description],Table2[Pay Item No.]),2,0))</f>
        <v>P-603-5.1</v>
      </c>
      <c r="AR14" s="1" t="str">
        <f aca="false">Pay_Items!D54</f>
        <v>Emulsified Asphalt Tack Coat</v>
      </c>
      <c r="AS14" s="164" t="str">
        <f aca="false">IF(AR14="","N/A",VLOOKUP(AR14,CHOOSE({1,2},Table2[Pay Item Description],Table2[Units]),2,0))</f>
        <v>GAL</v>
      </c>
      <c r="AT14" s="160" t="n">
        <f aca="false">'Maintenance Policies'!D22*$C$5*AQ9</f>
        <v>4588.3</v>
      </c>
      <c r="AU14" s="165" t="n">
        <f aca="false">IF(AR14="","N/A",IF(INDEX(UnitCostGrid,MATCH(AR14,PayItemKeys,0),$I$11)="",INDEX(UnitCostGrid,MATCH(AR14,PayItemKeys,0),1),INDEX(UnitCostGrid,MATCH(AR14,PayItemKeys,0),$I$11)))</f>
        <v>4.5</v>
      </c>
      <c r="AV14" s="34" t="n">
        <f aca="false">AU14*AT14</f>
        <v>20647.35</v>
      </c>
      <c r="AX14" s="0" t="n">
        <v>2</v>
      </c>
      <c r="AY14" s="0" t="str">
        <f aca="false">IF(AZ14="",0,VLOOKUP(AZ14,CHOOSE({1,2},Table2[Pay Item Description],Table2[Pay Item No.]),2,0))</f>
        <v>P-101-5.3</v>
      </c>
      <c r="AZ14" s="0" t="str">
        <f aca="false">Pay_Items!D10</f>
        <v>Markings Removal</v>
      </c>
      <c r="BA14" s="166" t="str">
        <f aca="false">IF(AZ14="","N/A",VLOOKUP(AZ14,CHOOSE({1,2},Table2[Pay Item Description],Table2[Units]),2,0))</f>
        <v>S.F.</v>
      </c>
      <c r="BB14" s="162" t="n">
        <f aca="false">'Maintenance Policies'!D26*$C$8</f>
        <v>12000</v>
      </c>
      <c r="BC14" s="167" t="n">
        <f aca="false">IF(AZ14="","N/A",IF(INDEX(UnitCostGrid,MATCH(AZ14,PayItemKeys,0),$I$11)="",INDEX(UnitCostGrid,MATCH(AZ14,PayItemKeys,0),1),INDEX(UnitCostGrid,MATCH(AZ14,PayItemKeys,0),$I$11)))</f>
        <v>0.777777777777778</v>
      </c>
      <c r="BD14" s="37" t="n">
        <f aca="false">BC14*BB14</f>
        <v>9333.33333333333</v>
      </c>
      <c r="BF14" s="1" t="n">
        <v>2</v>
      </c>
      <c r="BG14" s="1" t="str">
        <f aca="false">IF(BH14="",0,VLOOKUP(BH14,CHOOSE({1,2},Table2[Pay Item Description],Table2[Pay Item No.]),2,0))</f>
        <v>P-101-5.2a</v>
      </c>
      <c r="BH14" s="1" t="str">
        <f aca="false">Pay_Items!D6</f>
        <v>Crack Repair (Type I), Asphalt</v>
      </c>
      <c r="BI14" s="164" t="str">
        <f aca="false">IF(BH14="","N/A",VLOOKUP(BH14,CHOOSE({1,2},Table2[Pay Item Description],Table2[Units]),2,0))</f>
        <v>L.F.</v>
      </c>
      <c r="BJ14" s="160" t="n">
        <f aca="false">'Maintenance Policies'!D29*($C$5*9)</f>
        <v>16517.88</v>
      </c>
      <c r="BK14" s="165" t="n">
        <f aca="false">IF(BH14="","N/A",IF(INDEX(UnitCostGrid,MATCH(BH14,PayItemKeys,0),$I$11)="",INDEX(UnitCostGrid,MATCH(BH14,PayItemKeys,0),1),INDEX(UnitCostGrid,MATCH(BH14,PayItemKeys,0),$I$11)))</f>
        <v>4</v>
      </c>
      <c r="BL14" s="34" t="n">
        <f aca="false">BK14*BJ14</f>
        <v>66071.52</v>
      </c>
    </row>
    <row r="15" customFormat="false" ht="19.5" hidden="false" customHeight="true" outlineLevel="0" collapsed="false">
      <c r="A15" s="0" t="n">
        <v>3</v>
      </c>
      <c r="B15" s="26" t="str">
        <f aca="false">IF(C15="","",VLOOKUP(C15,CHOOSE({1,2},Table2[Pay Item Description],Table2[Pay Item No.]),2,0))</f>
        <v/>
      </c>
      <c r="C15" s="27"/>
      <c r="D15" s="28" t="str">
        <f aca="false">IF(C15="","N/A",VLOOKUP(C15,CHOOSE({1,2},Table2[Pay Item Description],Table2[Units]),2,0))</f>
        <v>N/A</v>
      </c>
      <c r="E15" s="157"/>
      <c r="F15" s="30" t="str">
        <f aca="false">IF(C15="","N/A",IF(INDEX(UnitCostGrid,MATCH(C15,PayItemKeys,0),$I$11)="",INDEX(UnitCostGrid,MATCH(C15,PayItemKeys,0),1),INDEX(UnitCostGrid,MATCH(C15,PayItemKeys,0),$I$11)))</f>
        <v>N/A</v>
      </c>
      <c r="G15" s="31" t="n">
        <f aca="false">IF(C15="",0,F15*E15)</f>
        <v>0</v>
      </c>
      <c r="I15" s="21" t="str">
        <f aca="false">IF(C15="","",IF(INDEX(UnitCostGrid,MATCH(C15,PayItemKeys,0),$I$11)="",0,1))</f>
        <v/>
      </c>
      <c r="J15" s="1" t="n">
        <v>3</v>
      </c>
      <c r="K15" s="1" t="str">
        <f aca="false">IF(L15="",0,VLOOKUP(L15,CHOOSE({1,2},Table2[Pay Item Description],Table2[Pay Item No.]),2,0))</f>
        <v>P-620-5.1a</v>
      </c>
      <c r="L15" s="1" t="str">
        <f aca="false">Pay_Items!D56</f>
        <v>Markings (prep, markings, reflective media)</v>
      </c>
      <c r="M15" s="164" t="str">
        <f aca="false">IF(L15="","N/A",VLOOKUP(L15,CHOOSE({1,2},Table2[Pay Item Description],Table2[Units]),2,0))</f>
        <v>S.F.</v>
      </c>
      <c r="N15" s="160" t="n">
        <f aca="false">'Maintenance Policies'!D11*$C$8</f>
        <v>12000</v>
      </c>
      <c r="O15" s="165" t="n">
        <f aca="false">IF(L15="","N/A",IF(INDEX(UnitCostGrid,MATCH(L15,PayItemKeys,0),$I$11)="",INDEX(UnitCostGrid,MATCH(L15,PayItemKeys,0),1),INDEX(UnitCostGrid,MATCH(L15,PayItemKeys,0),$I$11)))</f>
        <v>0.666666666666667</v>
      </c>
      <c r="P15" s="34" t="n">
        <f aca="false">O15*N15</f>
        <v>8000</v>
      </c>
      <c r="R15" s="0" t="n">
        <v>3</v>
      </c>
      <c r="S15" s="0" t="str">
        <f aca="false">IF(T15="",0,VLOOKUP(T15,CHOOSE({1,2},Table2[Pay Item Description],Table2[Pay Item No.]),2,0))</f>
        <v>P-620-5.1a</v>
      </c>
      <c r="T15" s="0" t="str">
        <f aca="false">Pay_Items!D56</f>
        <v>Markings (prep, markings, reflective media)</v>
      </c>
      <c r="U15" s="166" t="str">
        <f aca="false">Pay_Items!E56</f>
        <v>S.F.</v>
      </c>
      <c r="V15" s="162" t="n">
        <f aca="false">'Maintenance Policies'!D13*$C$8</f>
        <v>12000</v>
      </c>
      <c r="W15" s="167" t="n">
        <f aca="false">IF(T15="","N/A",IF(INDEX(UnitCostGrid,MATCH(T15,PayItemKeys,0),$I$11)="",INDEX(UnitCostGrid,MATCH(T15,PayItemKeys,0),1),INDEX(UnitCostGrid,MATCH(T15,PayItemKeys,0),$I$11)))</f>
        <v>0.666666666666667</v>
      </c>
      <c r="X15" s="37" t="n">
        <f aca="false">W15*V15</f>
        <v>8000</v>
      </c>
      <c r="Z15" s="1" t="n">
        <v>3</v>
      </c>
      <c r="AA15" s="158" t="str">
        <f aca="false">IF(AB15="",0,VLOOKUP(AB15,CHOOSE({1,2},Table2[Pay Item Description],Table2[Pay Item No.]),2,0))</f>
        <v>P-608-8.1</v>
      </c>
      <c r="AB15" s="1" t="str">
        <f aca="false">C7</f>
        <v>Emulsified Asphalt Surface Treatment</v>
      </c>
      <c r="AC15" s="159" t="str">
        <f aca="false">IF(AB15="","N/A",VLOOKUP(AB15,CHOOSE({1,2},Table2[Pay Item Description],Table2[Units]),2,0))</f>
        <v>S.Y.</v>
      </c>
      <c r="AD15" s="160" t="n">
        <f aca="false">'Maintenance Policies'!D16*$C$5</f>
        <v>45883</v>
      </c>
      <c r="AE15" s="161" t="n">
        <f aca="false">IF(AB15="","N/A",IF(INDEX(UnitCostGrid,MATCH(AB15,PayItemKeys,0),$I$11)="",INDEX(UnitCostGrid,MATCH(AB15,PayItemKeys,0),1),INDEX(UnitCostGrid,MATCH(AB15,PayItemKeys,0),$I$11)))</f>
        <v>4</v>
      </c>
      <c r="AF15" s="34" t="n">
        <f aca="false">AE15*AD15</f>
        <v>183532</v>
      </c>
      <c r="AH15" s="0" t="n">
        <v>3</v>
      </c>
      <c r="AI15" s="26" t="str">
        <f aca="false">IF(AJ15="",0,VLOOKUP(AJ15,CHOOSE({1,2},Table2[Pay Item Description],Table2[Pay Item No.]),2,0))</f>
        <v>P-608-8.1</v>
      </c>
      <c r="AJ15" s="0" t="str">
        <f aca="false">C7</f>
        <v>Emulsified Asphalt Surface Treatment</v>
      </c>
      <c r="AK15" s="28" t="str">
        <f aca="false">IF(AJ15="","N/A",VLOOKUP(AJ15,CHOOSE({1,2},Table2[Pay Item Description],Table2[Units]),2,0))</f>
        <v>S.Y.</v>
      </c>
      <c r="AL15" s="162" t="n">
        <f aca="false">'Maintenance Policies'!D20*$C$5</f>
        <v>45883</v>
      </c>
      <c r="AM15" s="163" t="n">
        <f aca="false">IF(AJ15="","N/A",IF(INDEX(UnitCostGrid,MATCH(AJ15,PayItemKeys,0),$I$11)="",INDEX(UnitCostGrid,MATCH(AJ15,PayItemKeys,0),1),INDEX(UnitCostGrid,MATCH(AJ15,PayItemKeys,0),$I$11)))</f>
        <v>4</v>
      </c>
      <c r="AN15" s="37" t="n">
        <f aca="false">AM15*AL15</f>
        <v>183532</v>
      </c>
      <c r="AP15" s="1" t="n">
        <v>3</v>
      </c>
      <c r="AQ15" s="1" t="str">
        <f aca="false">IF(AR15="",0,VLOOKUP(AR15,CHOOSE({1,2},Table2[Pay Item Description],Table2[Pay Item No.]),2,0))</f>
        <v>P-401-8.1a</v>
      </c>
      <c r="AR15" s="1" t="str">
        <f aca="false">Pay_Items!D37</f>
        <v>Asphalt Surface Course</v>
      </c>
      <c r="AS15" s="164" t="str">
        <f aca="false">IF(AR15="","N/A",VLOOKUP(AR15,CHOOSE({1,2},Table2[Pay Item Description],Table2[Units]),2,0))</f>
        <v>TON</v>
      </c>
      <c r="AT15" s="160" t="n">
        <f aca="false">'Maintenance Policies'!D22*$C$5*AQ6*AQ7/2000</f>
        <v>5505.96</v>
      </c>
      <c r="AU15" s="165" t="n">
        <f aca="false">IF(AR15="","N/A",IF(INDEX(UnitCostGrid,MATCH(AR15,PayItemKeys,0),$I$11)="",INDEX(UnitCostGrid,MATCH(AR15,PayItemKeys,0),1),INDEX(UnitCostGrid,MATCH(AR15,PayItemKeys,0),$I$11)))</f>
        <v>130</v>
      </c>
      <c r="AV15" s="34" t="n">
        <f aca="false">AU15*AT15</f>
        <v>715774.8</v>
      </c>
      <c r="AX15" s="0" t="n">
        <v>3</v>
      </c>
      <c r="AY15" s="0" t="str">
        <f aca="false">IF(AZ15="",0,VLOOKUP(AZ15,CHOOSE({1,2},Table2[Pay Item Description],Table2[Pay Item No.]),2,0))</f>
        <v>P-620-5.1a</v>
      </c>
      <c r="AZ15" s="0" t="str">
        <f aca="false">Pay_Items!D56</f>
        <v>Markings (prep, markings, reflective media)</v>
      </c>
      <c r="BA15" s="166" t="str">
        <f aca="false">IF(AZ15="","N/A",VLOOKUP(AZ15,CHOOSE({1,2},Table2[Pay Item Description],Table2[Units]),2,0))</f>
        <v>S.F.</v>
      </c>
      <c r="BB15" s="162" t="n">
        <f aca="false">'Maintenance Policies'!D27*$C$8</f>
        <v>12000</v>
      </c>
      <c r="BC15" s="167" t="n">
        <f aca="false">IF(AZ15="","N/A",IF(INDEX(UnitCostGrid,MATCH(AZ15,PayItemKeys,0),$I$11)="",INDEX(UnitCostGrid,MATCH(AZ15,PayItemKeys,0),1),INDEX(UnitCostGrid,MATCH(AZ15,PayItemKeys,0),$I$11)))</f>
        <v>0.666666666666667</v>
      </c>
      <c r="BD15" s="37" t="n">
        <f aca="false">BC15*BB15</f>
        <v>8000</v>
      </c>
      <c r="BF15" s="1" t="n">
        <v>3</v>
      </c>
      <c r="BG15" s="158" t="str">
        <f aca="false">IF(BH15="",0,VLOOKUP(BH15,CHOOSE({1,2},Table2[Pay Item Description],Table2[Pay Item No.]),2,0))</f>
        <v>P-608-8.1</v>
      </c>
      <c r="BH15" s="1" t="str">
        <f aca="false">C7</f>
        <v>Emulsified Asphalt Surface Treatment</v>
      </c>
      <c r="BI15" s="159" t="str">
        <f aca="false">IF(BH15="","N/A",VLOOKUP(BH15,CHOOSE({1,2},Table2[Pay Item Description],Table2[Units]),2,0))</f>
        <v>S.Y.</v>
      </c>
      <c r="BJ15" s="160" t="n">
        <f aca="false">'Maintenance Policies'!D30*$C$5</f>
        <v>45883</v>
      </c>
      <c r="BK15" s="161" t="n">
        <f aca="false">IF(BH15="","N/A",IF(INDEX(UnitCostGrid,MATCH(BH15,PayItemKeys,0),$I$11)="",INDEX(UnitCostGrid,MATCH(BH15,PayItemKeys,0),1),INDEX(UnitCostGrid,MATCH(BH15,PayItemKeys,0),$I$11)))</f>
        <v>4</v>
      </c>
      <c r="BL15" s="34" t="n">
        <f aca="false">BK15*BJ15</f>
        <v>183532</v>
      </c>
    </row>
    <row r="16" customFormat="false" ht="19.5" hidden="false" customHeight="true" outlineLevel="0" collapsed="false">
      <c r="A16" s="0" t="n">
        <v>4</v>
      </c>
      <c r="B16" s="26" t="str">
        <f aca="false">IF(C16="","",VLOOKUP(C16,CHOOSE({1,2},Table2[Pay Item Description],Table2[Pay Item No.]),2,0))</f>
        <v/>
      </c>
      <c r="C16" s="27"/>
      <c r="D16" s="28" t="str">
        <f aca="false">IF(C16="","N/A",VLOOKUP(C16,CHOOSE({1,2},Table2[Pay Item Description],Table2[Units]),2,0))</f>
        <v>N/A</v>
      </c>
      <c r="E16" s="157"/>
      <c r="F16" s="30" t="str">
        <f aca="false">IF(C16="","N/A",IF(INDEX(UnitCostGrid,MATCH(C16,PayItemKeys,0),$I$11)="",INDEX(UnitCostGrid,MATCH(C16,PayItemKeys,0),1),INDEX(UnitCostGrid,MATCH(C16,PayItemKeys,0),$I$11)))</f>
        <v>N/A</v>
      </c>
      <c r="G16" s="31" t="n">
        <f aca="false">IF(C16="",0,F16*E16)</f>
        <v>0</v>
      </c>
      <c r="I16" s="21" t="str">
        <f aca="false">IF(C16="","",IF(INDEX(UnitCostGrid,MATCH(C16,PayItemKeys,0),$I$11)="",0,1))</f>
        <v/>
      </c>
      <c r="O16" s="1" t="s">
        <v>27</v>
      </c>
      <c r="P16" s="34" t="n">
        <f aca="false">SUM(P13:P15)</f>
        <v>200865.333333333</v>
      </c>
      <c r="W16" s="6" t="s">
        <v>27</v>
      </c>
      <c r="X16" s="37" t="n">
        <f aca="false">SUM(X13:X15)</f>
        <v>200865.333333333</v>
      </c>
      <c r="Z16" s="1" t="n">
        <v>4</v>
      </c>
      <c r="AA16" s="1" t="str">
        <f aca="false">IF(AB16="",0,VLOOKUP(AB16,CHOOSE({1,2},Table2[Pay Item Description],Table2[Pay Item No.]),2,0))</f>
        <v>P-101-5.3</v>
      </c>
      <c r="AB16" s="1" t="str">
        <f aca="false">Pay_Items!D10</f>
        <v>Markings Removal</v>
      </c>
      <c r="AC16" s="164" t="str">
        <f aca="false">IF(AB16="","N/A",VLOOKUP(AB16,CHOOSE({1,2},Table2[Pay Item Description],Table2[Units]),2,0))</f>
        <v>S.F.</v>
      </c>
      <c r="AD16" s="160" t="n">
        <f aca="false">'Maintenance Policies'!D16*$C$8</f>
        <v>12000</v>
      </c>
      <c r="AE16" s="165" t="n">
        <f aca="false">IF(AB16="","N/A",IF(INDEX(UnitCostGrid,MATCH(AB16,PayItemKeys,0),$I$11)="",INDEX(UnitCostGrid,MATCH(AB16,PayItemKeys,0),1),INDEX(UnitCostGrid,MATCH(AB16,PayItemKeys,0),$I$11)))</f>
        <v>0.777777777777778</v>
      </c>
      <c r="AF16" s="34" t="n">
        <f aca="false">AE16*AD16</f>
        <v>9333.33333333333</v>
      </c>
      <c r="AH16" s="0" t="n">
        <v>4</v>
      </c>
      <c r="AI16" s="0" t="str">
        <f aca="false">IF(AJ16="",0,VLOOKUP(AJ16,CHOOSE({1,2},Table2[Pay Item Description],Table2[Pay Item No.]),2,0))</f>
        <v>P-101-5.3</v>
      </c>
      <c r="AJ16" s="0" t="str">
        <f aca="false">Pay_Items!D10</f>
        <v>Markings Removal</v>
      </c>
      <c r="AK16" s="166" t="str">
        <f aca="false">IF(AJ16="","N/A",VLOOKUP(AJ16,CHOOSE({1,2},Table2[Pay Item Description],Table2[Units]),2,0))</f>
        <v>S.F.</v>
      </c>
      <c r="AL16" s="162" t="n">
        <f aca="false">'Maintenance Policies'!D20*$C$8</f>
        <v>12000</v>
      </c>
      <c r="AM16" s="167" t="n">
        <f aca="false">IF(AJ16="","N/A",IF(INDEX(UnitCostGrid,MATCH(AJ16,PayItemKeys,0),$I$11)="",INDEX(UnitCostGrid,MATCH(AJ16,PayItemKeys,0),1),INDEX(UnitCostGrid,MATCH(AJ16,PayItemKeys,0),$I$11)))</f>
        <v>0.777777777777778</v>
      </c>
      <c r="AN16" s="37" t="n">
        <f aca="false">AM16*AL16</f>
        <v>9333.33333333333</v>
      </c>
      <c r="AP16" s="1" t="n">
        <v>4</v>
      </c>
      <c r="AQ16" s="1" t="str">
        <f aca="false">IF(AR16="",0,VLOOKUP(AR16,CHOOSE({1,2},Table2[Pay Item Description],Table2[Pay Item No.]),2,0))</f>
        <v>P-101-5.2a</v>
      </c>
      <c r="AR16" s="1" t="str">
        <f aca="false">Pay_Items!D6</f>
        <v>Crack Repair (Type I), Asphalt</v>
      </c>
      <c r="AS16" s="164" t="str">
        <f aca="false">IF(AR16="","N/A",VLOOKUP(AR16,CHOOSE({1,2},Table2[Pay Item Description],Table2[Units]),2,0))</f>
        <v>L.F.</v>
      </c>
      <c r="AT16" s="160" t="n">
        <f aca="false">'Maintenance Policies'!D23*($C$5*9)</f>
        <v>6194.205</v>
      </c>
      <c r="AU16" s="165" t="n">
        <f aca="false">IF(AR16="","N/A",IF(INDEX(UnitCostGrid,MATCH(AR16,PayItemKeys,0),$I$11)="",INDEX(UnitCostGrid,MATCH(AR16,PayItemKeys,0),1),INDEX(UnitCostGrid,MATCH(AR16,PayItemKeys,0),$I$11)))</f>
        <v>4</v>
      </c>
      <c r="AV16" s="34" t="n">
        <f aca="false">AU16*AT16</f>
        <v>24776.82</v>
      </c>
      <c r="BC16" s="6" t="s">
        <v>27</v>
      </c>
      <c r="BD16" s="37" t="n">
        <f aca="false">SUM(BD13:BD15)</f>
        <v>200865.333333333</v>
      </c>
      <c r="BF16" s="1" t="n">
        <v>4</v>
      </c>
      <c r="BG16" s="1" t="str">
        <f aca="false">IF(BH16="",0,VLOOKUP(BH16,CHOOSE({1,2},Table2[Pay Item Description],Table2[Pay Item No.]),2,0))</f>
        <v>P-101-5.3</v>
      </c>
      <c r="BH16" s="1" t="str">
        <f aca="false">Pay_Items!D10</f>
        <v>Markings Removal</v>
      </c>
      <c r="BI16" s="164" t="str">
        <f aca="false">IF(BH16="","N/A",VLOOKUP(BH16,CHOOSE({1,2},Table2[Pay Item Description],Table2[Units]),2,0))</f>
        <v>S.F.</v>
      </c>
      <c r="BJ16" s="160" t="n">
        <f aca="false">C8</f>
        <v>12000</v>
      </c>
      <c r="BK16" s="165" t="n">
        <f aca="false">IF(BH16="","N/A",IF(INDEX(UnitCostGrid,MATCH(BH16,PayItemKeys,0),$I$11)="",INDEX(UnitCostGrid,MATCH(BH16,PayItemKeys,0),1),INDEX(UnitCostGrid,MATCH(BH16,PayItemKeys,0),$I$11)))</f>
        <v>0.777777777777778</v>
      </c>
      <c r="BL16" s="34" t="n">
        <f aca="false">BK16*BJ16</f>
        <v>9333.33333333333</v>
      </c>
    </row>
    <row r="17" customFormat="false" ht="19.5" hidden="false" customHeight="true" outlineLevel="0" collapsed="false">
      <c r="A17" s="0" t="n">
        <v>5</v>
      </c>
      <c r="B17" s="26" t="str">
        <f aca="false">IF(C17="","",VLOOKUP(C17,CHOOSE({1,2},Table2[Pay Item Description],Table2[Pay Item No.]),2,0))</f>
        <v/>
      </c>
      <c r="C17" s="27"/>
      <c r="D17" s="28" t="str">
        <f aca="false">IF(C17="","N/A",VLOOKUP(C17,CHOOSE({1,2},Table2[Pay Item Description],Table2[Units]),2,0))</f>
        <v>N/A</v>
      </c>
      <c r="E17" s="157"/>
      <c r="F17" s="30" t="str">
        <f aca="false">IF(C17="","N/A",IF(INDEX(UnitCostGrid,MATCH(C17,PayItemKeys,0),$I$11)="",INDEX(UnitCostGrid,MATCH(C17,PayItemKeys,0),1),INDEX(UnitCostGrid,MATCH(C17,PayItemKeys,0),$I$11)))</f>
        <v>N/A</v>
      </c>
      <c r="G17" s="31" t="n">
        <f aca="false">IF(C17="",0,F17*E17)</f>
        <v>0</v>
      </c>
      <c r="I17" s="21" t="str">
        <f aca="false">IF(C17="","",IF(INDEX(UnitCostGrid,MATCH(C17,PayItemKeys,0),$I$11)="",0,1))</f>
        <v/>
      </c>
      <c r="L17" s="1" t="s">
        <v>28</v>
      </c>
      <c r="P17" s="34" t="n">
        <f aca="false">('General Information'!$D$36/100)*P16</f>
        <v>20086.5333333333</v>
      </c>
      <c r="T17" s="6" t="s">
        <v>28</v>
      </c>
      <c r="X17" s="37" t="n">
        <f aca="false">('General Information'!$D$36/100)*X16</f>
        <v>20086.5333333333</v>
      </c>
      <c r="Z17" s="1" t="n">
        <v>5</v>
      </c>
      <c r="AA17" s="1" t="str">
        <f aca="false">IF(AB17="",0,VLOOKUP(AB17,CHOOSE({1,2},Table2[Pay Item Description],Table2[Pay Item No.]),2,0))</f>
        <v>P-620-5.1a</v>
      </c>
      <c r="AB17" s="1" t="str">
        <f aca="false">Pay_Items!D56</f>
        <v>Markings (prep, markings, reflective media)</v>
      </c>
      <c r="AC17" s="164" t="str">
        <f aca="false">IF(AB17="","N/A",VLOOKUP(AB17,CHOOSE({1,2},Table2[Pay Item Description],Table2[Units]),2,0))</f>
        <v>S.F.</v>
      </c>
      <c r="AD17" s="160" t="n">
        <f aca="false">'Maintenance Policies'!D17*$C$8</f>
        <v>12000</v>
      </c>
      <c r="AE17" s="165" t="n">
        <f aca="false">IF(AB17="","N/A",IF(INDEX(UnitCostGrid,MATCH(AB17,PayItemKeys,0),$I$11)="",INDEX(UnitCostGrid,MATCH(AB17,PayItemKeys,0),1),INDEX(UnitCostGrid,MATCH(AB17,PayItemKeys,0),$I$11)))</f>
        <v>0.666666666666667</v>
      </c>
      <c r="AF17" s="34" t="n">
        <f aca="false">AE17*AD17</f>
        <v>8000</v>
      </c>
      <c r="AH17" s="0" t="n">
        <v>5</v>
      </c>
      <c r="AI17" s="0" t="str">
        <f aca="false">IF(AJ17="",0,VLOOKUP(AJ17,CHOOSE({1,2},Table2[Pay Item Description],Table2[Pay Item No.]),2,0))</f>
        <v>P-620-5.1a</v>
      </c>
      <c r="AJ17" s="0" t="str">
        <f aca="false">Pay_Items!D56</f>
        <v>Markings (prep, markings, reflective media)</v>
      </c>
      <c r="AK17" s="166" t="str">
        <f aca="false">IF(AJ17="","N/A",VLOOKUP(AJ17,CHOOSE({1,2},Table2[Pay Item Description],Table2[Units]),2,0))</f>
        <v>S.F.</v>
      </c>
      <c r="AL17" s="162" t="n">
        <f aca="false">'Maintenance Policies'!D21*$C$8</f>
        <v>12000</v>
      </c>
      <c r="AM17" s="167" t="n">
        <f aca="false">IF(AJ17="","N/A",IF(INDEX(UnitCostGrid,MATCH(AJ17,PayItemKeys,0),$I$11)="",INDEX(UnitCostGrid,MATCH(AJ17,PayItemKeys,0),1),INDEX(UnitCostGrid,MATCH(AJ17,PayItemKeys,0),$I$11)))</f>
        <v>0.666666666666667</v>
      </c>
      <c r="AN17" s="37" t="n">
        <f aca="false">AM17*AL17</f>
        <v>8000</v>
      </c>
      <c r="AP17" s="1" t="n">
        <v>5</v>
      </c>
      <c r="AQ17" s="1" t="str">
        <f aca="false">IF(AR17="",0,VLOOKUP(AR17,CHOOSE({1,2},Table2[Pay Item Description],Table2[Pay Item No.]),2,0))</f>
        <v>P-101-5.4a</v>
      </c>
      <c r="AR17" s="1" t="str">
        <f aca="false">Pay_Items!D11</f>
        <v>Spall Repair, Asphalt</v>
      </c>
      <c r="AS17" s="164" t="str">
        <f aca="false">IF(AR17="","N/A",VLOOKUP(AR17,CHOOSE({1,2},Table2[Pay Item Description],Table2[Units]),2,0))</f>
        <v>S.F.</v>
      </c>
      <c r="AT17" s="160" t="n">
        <f aca="false">'Maintenance Policies'!D24*($C$5*9)</f>
        <v>2064.735</v>
      </c>
      <c r="AU17" s="165" t="n">
        <f aca="false">IF(AR17="","N/A",IF(INDEX(UnitCostGrid,MATCH(AR17,PayItemKeys,0),$I$11)="",INDEX(UnitCostGrid,MATCH(AR17,PayItemKeys,0),1),INDEX(UnitCostGrid,MATCH(AR17,PayItemKeys,0),$I$11)))</f>
        <v>8.5</v>
      </c>
      <c r="AV17" s="34" t="n">
        <f aca="false">AU17*AT17</f>
        <v>17550.2475</v>
      </c>
      <c r="AZ17" s="6" t="s">
        <v>28</v>
      </c>
      <c r="BD17" s="37" t="n">
        <f aca="false">('General Information'!$D$36/100)*BD16</f>
        <v>20086.5333333333</v>
      </c>
      <c r="BF17" s="1" t="n">
        <v>5</v>
      </c>
      <c r="BG17" s="1" t="str">
        <f aca="false">IF(BH17="",0,VLOOKUP(BH17,CHOOSE({1,2},Table2[Pay Item Description],Table2[Pay Item No.]),2,0))</f>
        <v>P-620-5.1a</v>
      </c>
      <c r="BH17" s="1" t="str">
        <f aca="false">Pay_Items!D56</f>
        <v>Markings (prep, markings, reflective media)</v>
      </c>
      <c r="BI17" s="164" t="str">
        <f aca="false">IF(BH17="","N/A",VLOOKUP(BH17,CHOOSE({1,2},Table2[Pay Item Description],Table2[Units]),2,0))</f>
        <v>S.F.</v>
      </c>
      <c r="BJ17" s="160" t="n">
        <f aca="false">'Maintenance Policies'!D31*$C$8</f>
        <v>12000</v>
      </c>
      <c r="BK17" s="165" t="n">
        <f aca="false">IF(BH17="","N/A",IF(INDEX(UnitCostGrid,MATCH(BH17,PayItemKeys,0),$I$11)="",INDEX(UnitCostGrid,MATCH(BH17,PayItemKeys,0),1),INDEX(UnitCostGrid,MATCH(BH17,PayItemKeys,0),$I$11)))</f>
        <v>0.666666666666667</v>
      </c>
      <c r="BL17" s="34" t="n">
        <f aca="false">BK17*BJ17</f>
        <v>8000</v>
      </c>
    </row>
    <row r="18" customFormat="false" ht="19.5" hidden="false" customHeight="true" outlineLevel="0" collapsed="false">
      <c r="A18" s="0" t="n">
        <v>6</v>
      </c>
      <c r="B18" s="26" t="str">
        <f aca="false">IF(C18="","",VLOOKUP(C18,CHOOSE({1,2},Table2[Pay Item Description],Table2[Pay Item No.]),2,0))</f>
        <v/>
      </c>
      <c r="C18" s="27"/>
      <c r="D18" s="28" t="str">
        <f aca="false">IF(C18="","N/A",VLOOKUP(C18,CHOOSE({1,2},Table2[Pay Item Description],Table2[Units]),2,0))</f>
        <v>N/A</v>
      </c>
      <c r="E18" s="157"/>
      <c r="F18" s="30" t="str">
        <f aca="false">IF(C18="","N/A",IF(INDEX(UnitCostGrid,MATCH(C18,PayItemKeys,0),$I$11)="",INDEX(UnitCostGrid,MATCH(C18,PayItemKeys,0),1),INDEX(UnitCostGrid,MATCH(C18,PayItemKeys,0),$I$11)))</f>
        <v>N/A</v>
      </c>
      <c r="G18" s="31" t="n">
        <f aca="false">IF(C18="",0,F18*E18)</f>
        <v>0</v>
      </c>
      <c r="I18" s="21" t="str">
        <f aca="false">IF(C18="","",IF(INDEX(UnitCostGrid,MATCH(C18,PayItemKeys,0),$I$11)="",0,1))</f>
        <v/>
      </c>
      <c r="L18" s="1" t="s">
        <v>29</v>
      </c>
      <c r="P18" s="34" t="n">
        <f aca="false">('General Information'!$D$37/100)*P16</f>
        <v>10043.2666666667</v>
      </c>
      <c r="T18" s="6" t="s">
        <v>29</v>
      </c>
      <c r="X18" s="37" t="n">
        <f aca="false">('General Information'!$D$37/100)*X16</f>
        <v>10043.2666666667</v>
      </c>
      <c r="AE18" s="1" t="s">
        <v>27</v>
      </c>
      <c r="AF18" s="34" t="n">
        <f aca="false">SUM(AF13:AF17)</f>
        <v>280873.814583333</v>
      </c>
      <c r="AM18" s="6" t="s">
        <v>27</v>
      </c>
      <c r="AN18" s="37" t="n">
        <f aca="false">SUM(AN13:AN17)</f>
        <v>293778.408333333</v>
      </c>
      <c r="AP18" s="1" t="n">
        <v>6</v>
      </c>
      <c r="AQ18" s="1" t="str">
        <f aca="false">IF(AR18="",0,VLOOKUP(AR18,CHOOSE({1,2},Table2[Pay Item Description],Table2[Pay Item No.]),2,0))</f>
        <v>P-620-5.1a</v>
      </c>
      <c r="AR18" s="1" t="str">
        <f aca="false">Pay_Items!D56</f>
        <v>Markings (prep, markings, reflective media)</v>
      </c>
      <c r="AS18" s="164" t="str">
        <f aca="false">IF(AR18="","N/A",VLOOKUP(AR18,CHOOSE({1,2},Table2[Pay Item Description],Table2[Units]),2,0))</f>
        <v>S.F.</v>
      </c>
      <c r="AT18" s="160" t="n">
        <f aca="false">'Maintenance Policies'!D25*$C$8</f>
        <v>12000</v>
      </c>
      <c r="AU18" s="165" t="n">
        <f aca="false">IF(AR18="","N/A",IF(INDEX(UnitCostGrid,MATCH(AR18,PayItemKeys,0),$I$11)="",INDEX(UnitCostGrid,MATCH(AR18,PayItemKeys,0),1),INDEX(UnitCostGrid,MATCH(AR18,PayItemKeys,0),$I$11)))</f>
        <v>0.666666666666667</v>
      </c>
      <c r="AV18" s="34" t="n">
        <f aca="false">AU18*AT18</f>
        <v>8000</v>
      </c>
      <c r="AZ18" s="6" t="s">
        <v>29</v>
      </c>
      <c r="BD18" s="37" t="n">
        <f aca="false">('General Information'!$D$37/100)*BD16</f>
        <v>10043.2666666667</v>
      </c>
      <c r="BK18" s="1" t="s">
        <v>27</v>
      </c>
      <c r="BL18" s="34" t="n">
        <f aca="false">SUM(BL13:BL17)</f>
        <v>310812.472083333</v>
      </c>
    </row>
    <row r="19" customFormat="false" ht="19.5" hidden="false" customHeight="true" outlineLevel="0" collapsed="false">
      <c r="A19" s="0" t="n">
        <v>7</v>
      </c>
      <c r="B19" s="26" t="str">
        <f aca="false">IF(C19="","",VLOOKUP(C19,CHOOSE({1,2},Table2[Pay Item Description],Table2[Pay Item No.]),2,0))</f>
        <v/>
      </c>
      <c r="C19" s="27"/>
      <c r="D19" s="28" t="str">
        <f aca="false">IF(C19="","N/A",VLOOKUP(C19,CHOOSE({1,2},Table2[Pay Item Description],Table2[Units]),2,0))</f>
        <v>N/A</v>
      </c>
      <c r="E19" s="157"/>
      <c r="F19" s="30" t="str">
        <f aca="false">IF(C19="","N/A",IF(INDEX(UnitCostGrid,MATCH(C19,PayItemKeys,0),$I$11)="",INDEX(UnitCostGrid,MATCH(C19,PayItemKeys,0),1),INDEX(UnitCostGrid,MATCH(C19,PayItemKeys,0),$I$11)))</f>
        <v>N/A</v>
      </c>
      <c r="G19" s="31" t="n">
        <f aca="false">IF(C19="",0,F19*E19)</f>
        <v>0</v>
      </c>
      <c r="I19" s="21" t="str">
        <f aca="false">IF(C19="","",IF(INDEX(UnitCostGrid,MATCH(C19,PayItemKeys,0),$I$11)="",0,1))</f>
        <v/>
      </c>
      <c r="O19" s="1" t="s">
        <v>30</v>
      </c>
      <c r="P19" s="34" t="n">
        <f aca="false">SUM(P16:P18)</f>
        <v>230995.133333333</v>
      </c>
      <c r="W19" s="6" t="s">
        <v>30</v>
      </c>
      <c r="X19" s="37" t="n">
        <f aca="false">SUM(X16:X18)</f>
        <v>230995.133333333</v>
      </c>
      <c r="AB19" s="1" t="s">
        <v>28</v>
      </c>
      <c r="AF19" s="34" t="n">
        <f aca="false">('General Information'!$D$36/100)*AF18</f>
        <v>28087.3814583333</v>
      </c>
      <c r="AJ19" s="6" t="s">
        <v>28</v>
      </c>
      <c r="AN19" s="37" t="n">
        <f aca="false">('General Information'!$D$36/100)*AN18</f>
        <v>29377.8408333333</v>
      </c>
      <c r="AU19" s="1" t="s">
        <v>27</v>
      </c>
      <c r="AV19" s="34" t="n">
        <f aca="false">SUM(AV13:AV18)</f>
        <v>1016164.2175</v>
      </c>
      <c r="BC19" s="6" t="s">
        <v>30</v>
      </c>
      <c r="BD19" s="37" t="n">
        <f aca="false">SUM(BD16:BD18)</f>
        <v>230995.133333333</v>
      </c>
      <c r="BH19" s="1" t="s">
        <v>28</v>
      </c>
      <c r="BL19" s="34" t="n">
        <f aca="false">('General Information'!$D$36/100)*BL18</f>
        <v>31081.2472083333</v>
      </c>
    </row>
    <row r="20" customFormat="false" ht="19.5" hidden="false" customHeight="true" outlineLevel="0" collapsed="false">
      <c r="A20" s="0" t="n">
        <v>8</v>
      </c>
      <c r="B20" s="26" t="str">
        <f aca="false">IF(C20="","",VLOOKUP(C20,CHOOSE({1,2},Table2[Pay Item Description],Table2[Pay Item No.]),2,0))</f>
        <v/>
      </c>
      <c r="C20" s="27"/>
      <c r="D20" s="28" t="str">
        <f aca="false">IF(C20="","N/A",VLOOKUP(C20,CHOOSE({1,2},Table2[Pay Item Description],Table2[Units]),2,0))</f>
        <v>N/A</v>
      </c>
      <c r="E20" s="157"/>
      <c r="F20" s="30" t="str">
        <f aca="false">IF(C20="","N/A",IF(INDEX(UnitCostGrid,MATCH(C20,PayItemKeys,0),$I$11)="",INDEX(UnitCostGrid,MATCH(C20,PayItemKeys,0),1),INDEX(UnitCostGrid,MATCH(C20,PayItemKeys,0),$I$11)))</f>
        <v>N/A</v>
      </c>
      <c r="G20" s="31" t="n">
        <f aca="false">IF(C20="",0,F20*E20)</f>
        <v>0</v>
      </c>
      <c r="I20" s="21" t="str">
        <f aca="false">IF(C20="","",IF(INDEX(UnitCostGrid,MATCH(C20,PayItemKeys,0),$I$11)="",0,1))</f>
        <v/>
      </c>
      <c r="P20" s="34"/>
      <c r="X20" s="37"/>
      <c r="AB20" s="1" t="s">
        <v>29</v>
      </c>
      <c r="AF20" s="34" t="n">
        <f aca="false">('General Information'!$D$37/100)*AF18</f>
        <v>14043.6907291667</v>
      </c>
      <c r="AJ20" s="6" t="s">
        <v>29</v>
      </c>
      <c r="AN20" s="37" t="n">
        <f aca="false">('General Information'!$D$37/100)*AN18</f>
        <v>14688.9204166667</v>
      </c>
      <c r="AR20" s="1" t="s">
        <v>28</v>
      </c>
      <c r="AV20" s="34" t="n">
        <f aca="false">('General Information'!$D$36/100)*AV19</f>
        <v>101616.42175</v>
      </c>
      <c r="BH20" s="1" t="s">
        <v>29</v>
      </c>
      <c r="BL20" s="34" t="n">
        <f aca="false">('General Information'!$D$37/100)*BL18</f>
        <v>15540.6236041667</v>
      </c>
    </row>
    <row r="21" customFormat="false" ht="19.5" hidden="false" customHeight="true" outlineLevel="0" collapsed="false">
      <c r="A21" s="0" t="n">
        <v>9</v>
      </c>
      <c r="B21" s="26" t="str">
        <f aca="false">IF(C21="","",VLOOKUP(C21,CHOOSE({1,2},Table2[Pay Item Description],Table2[Pay Item No.]),2,0))</f>
        <v/>
      </c>
      <c r="C21" s="27"/>
      <c r="D21" s="28" t="str">
        <f aca="false">IF(C21="","N/A",VLOOKUP(C21,CHOOSE({1,2},Table2[Pay Item Description],Table2[Units]),2,0))</f>
        <v>N/A</v>
      </c>
      <c r="E21" s="157"/>
      <c r="F21" s="30" t="str">
        <f aca="false">IF(C21="","N/A",IF(INDEX(UnitCostGrid,MATCH(C21,PayItemKeys,0),$I$11)="",INDEX(UnitCostGrid,MATCH(C21,PayItemKeys,0),1),INDEX(UnitCostGrid,MATCH(C21,PayItemKeys,0),$I$11)))</f>
        <v>N/A</v>
      </c>
      <c r="G21" s="31" t="n">
        <f aca="false">IF(C21="",0,F21*E21)</f>
        <v>0</v>
      </c>
      <c r="I21" s="21" t="str">
        <f aca="false">IF(C21="","",IF(INDEX(UnitCostGrid,MATCH(C21,PayItemKeys,0),$I$11)="",0,1))</f>
        <v/>
      </c>
      <c r="P21" s="34"/>
      <c r="X21" s="37"/>
      <c r="AE21" s="1" t="s">
        <v>30</v>
      </c>
      <c r="AF21" s="34" t="n">
        <f aca="false">SUM(AF18:AF20)</f>
        <v>323004.886770833</v>
      </c>
      <c r="AM21" s="6" t="s">
        <v>30</v>
      </c>
      <c r="AN21" s="37" t="n">
        <f aca="false">SUM(AN18:AN20)</f>
        <v>337845.169583333</v>
      </c>
      <c r="AR21" s="1" t="s">
        <v>29</v>
      </c>
      <c r="AV21" s="34" t="n">
        <f aca="false">('General Information'!$D$37/100)*AV19</f>
        <v>50808.210875</v>
      </c>
      <c r="BK21" s="1" t="s">
        <v>30</v>
      </c>
      <c r="BL21" s="34" t="n">
        <f aca="false">SUM(BL18:BL20)</f>
        <v>357434.342895833</v>
      </c>
    </row>
    <row r="22" customFormat="false" ht="19.5" hidden="false" customHeight="true" outlineLevel="0" collapsed="false">
      <c r="A22" s="0" t="n">
        <v>10</v>
      </c>
      <c r="B22" s="26" t="str">
        <f aca="false">IF(C22="","",VLOOKUP(C22,CHOOSE({1,2},Table2[Pay Item Description],Table2[Pay Item No.]),2,0))</f>
        <v/>
      </c>
      <c r="C22" s="27"/>
      <c r="D22" s="28" t="str">
        <f aca="false">IF(C22="","N/A",VLOOKUP(C22,CHOOSE({1,2},Table2[Pay Item Description],Table2[Units]),2,0))</f>
        <v>N/A</v>
      </c>
      <c r="E22" s="157"/>
      <c r="F22" s="30" t="str">
        <f aca="false">IF(C22="","N/A",IF(INDEX(UnitCostGrid,MATCH(C22,PayItemKeys,0),$I$11)="",INDEX(UnitCostGrid,MATCH(C22,PayItemKeys,0),1),INDEX(UnitCostGrid,MATCH(C22,PayItemKeys,0),$I$11)))</f>
        <v>N/A</v>
      </c>
      <c r="G22" s="31" t="n">
        <f aca="false">IF(C22="",0,F22*E22)</f>
        <v>0</v>
      </c>
      <c r="I22" s="21" t="str">
        <f aca="false">IF(C22="","",IF(INDEX(UnitCostGrid,MATCH(C22,PayItemKeys,0),$I$11)="",0,1))</f>
        <v/>
      </c>
      <c r="AU22" s="1" t="s">
        <v>30</v>
      </c>
      <c r="AV22" s="34" t="n">
        <f aca="false">SUM(AV19:AV21)</f>
        <v>1168588.850125</v>
      </c>
    </row>
    <row r="23" customFormat="false" ht="15" hidden="false" customHeight="false" outlineLevel="0" collapsed="false">
      <c r="G23" s="37"/>
    </row>
    <row r="24" customFormat="false" ht="15" hidden="false" customHeight="false" outlineLevel="0" collapsed="false">
      <c r="A24" s="38" t="s">
        <v>27</v>
      </c>
      <c r="B24" s="38"/>
      <c r="G24" s="37" t="n">
        <f aca="false">SUM(G13:G22)</f>
        <v>0</v>
      </c>
    </row>
    <row r="25" customFormat="false" ht="15" hidden="false" customHeight="false" outlineLevel="0" collapsed="false">
      <c r="A25" s="38"/>
      <c r="B25" s="38" t="s">
        <v>28</v>
      </c>
      <c r="G25" s="37" t="n">
        <f aca="false">('General Information'!$D$36/100)*G24</f>
        <v>0</v>
      </c>
    </row>
    <row r="26" customFormat="false" ht="15" hidden="false" customHeight="false" outlineLevel="0" collapsed="false">
      <c r="A26" s="38"/>
      <c r="B26" s="38" t="s">
        <v>29</v>
      </c>
      <c r="G26" s="37" t="n">
        <f aca="false">('General Information'!$D$37/100)*G24</f>
        <v>0</v>
      </c>
    </row>
    <row r="27" customFormat="false" ht="21.75" hidden="false" customHeight="true" outlineLevel="0" collapsed="false">
      <c r="A27" s="39" t="s">
        <v>30</v>
      </c>
      <c r="B27" s="39"/>
      <c r="C27" s="39"/>
      <c r="D27" s="39"/>
      <c r="E27" s="39"/>
      <c r="F27" s="39"/>
      <c r="G27" s="40" t="n">
        <f aca="false">SUM(G24:G26)</f>
        <v>0</v>
      </c>
    </row>
    <row r="32" customFormat="false" ht="15" hidden="false" customHeight="false" outlineLevel="0" collapsed="false">
      <c r="A32" s="7" t="s">
        <v>31</v>
      </c>
    </row>
    <row r="33" customFormat="false" ht="19.5" hidden="false" customHeight="true" outlineLevel="0" collapsed="false">
      <c r="A33" s="42" t="s">
        <v>715</v>
      </c>
      <c r="I33" s="6" t="s">
        <v>0</v>
      </c>
    </row>
    <row r="35" customFormat="false" ht="19.5" hidden="false" customHeight="true" outlineLevel="0" collapsed="false">
      <c r="B35" s="24" t="s">
        <v>33</v>
      </c>
      <c r="C35" s="25" t="s">
        <v>34</v>
      </c>
      <c r="D35" s="25" t="s">
        <v>35</v>
      </c>
      <c r="E35" s="25" t="s">
        <v>36</v>
      </c>
    </row>
    <row r="36" customFormat="false" ht="15" hidden="false" customHeight="false" outlineLevel="0" collapsed="false">
      <c r="B36" s="43" t="s">
        <v>37</v>
      </c>
      <c r="C36" s="44" t="n">
        <f aca="false">C6</f>
        <v>2028</v>
      </c>
      <c r="D36" s="45" t="n">
        <f aca="false">G27</f>
        <v>0</v>
      </c>
      <c r="E36" s="46" t="n">
        <f aca="false">D36</f>
        <v>0</v>
      </c>
      <c r="K36" s="1" t="s">
        <v>38</v>
      </c>
      <c r="L36" s="168" t="s">
        <v>39</v>
      </c>
      <c r="M36" s="168" t="s">
        <v>40</v>
      </c>
      <c r="N36" s="168" t="s">
        <v>41</v>
      </c>
    </row>
    <row r="37" customFormat="false" ht="15" hidden="false" customHeight="false" outlineLevel="0" collapsed="false">
      <c r="B37" s="47" t="s">
        <v>3</v>
      </c>
      <c r="C37" s="48" t="n">
        <f aca="false">'Maintenance Policies'!E10</f>
        <v>4</v>
      </c>
      <c r="D37" s="49" t="n">
        <f aca="false">P19</f>
        <v>230995.133333333</v>
      </c>
      <c r="E37" s="50" t="n">
        <f aca="false">IF(C37&gt;'General Information'!$D$33,0,D37/(1+('General Information'!$D$34/100))^C37)</f>
        <v>205236.184098224</v>
      </c>
      <c r="K37" s="1" t="n">
        <f aca="false">C6</f>
        <v>2028</v>
      </c>
      <c r="L37" s="169" t="n">
        <f aca="false">IF(K37-$C$6&gt;'General Information'!$D$33,0,IF(K37=$C$6,$D$36,0)+SUMIFS($D$37:$D$51,$C$37:$C$51,K37-$C$6,$B$37:$B$51,"&lt;&gt;*Indirect*"))</f>
        <v>0</v>
      </c>
      <c r="M37" s="169" t="n">
        <f aca="false">IF(K37-$C$6&gt;'General Information'!$D$33,0,SUMIFS($D$37:$D$51,$C$37:$C$51,K37-$C$6,$B$37:$B$51,"*Indirect*"))</f>
        <v>0</v>
      </c>
      <c r="N37" s="169" t="n">
        <f aca="false">IF(K37-$C$6&gt;'General Information'!$D$33,0,IF(K37=$C$6,$E$36,0)+SUMIF($C$37:$C$51,K37-$C$6,$E$37:$E$51))</f>
        <v>0</v>
      </c>
    </row>
    <row r="38" customFormat="false" ht="18.75" hidden="false" customHeight="true" outlineLevel="0" collapsed="false">
      <c r="B38" s="51" t="s">
        <v>42</v>
      </c>
      <c r="C38" s="48" t="n">
        <f aca="false">'Maintenance Policies'!E10</f>
        <v>4</v>
      </c>
      <c r="D38" s="49" t="n">
        <f aca="false">F2*F4</f>
        <v>32647.02</v>
      </c>
      <c r="E38" s="50" t="n">
        <f aca="false">IF(C38&gt;'General Information'!$D$33,0,D38/(1+('General Information'!$D$34/100))^C38)</f>
        <v>29006.4544230445</v>
      </c>
      <c r="K38" s="1" t="n">
        <f aca="false">K37+1</f>
        <v>2029</v>
      </c>
      <c r="L38" s="169" t="n">
        <f aca="false">IF(K38-$C$6&gt;'General Information'!$D$33,0,IF(K38=$C$6,$D$36,0)+SUMIFS($D$37:$D$51,$C$37:$C$51,K38-$C$6,$B$37:$B$51,"&lt;&gt;*Indirect*"))</f>
        <v>0</v>
      </c>
      <c r="M38" s="169" t="n">
        <f aca="false">IF(K38-$C$6&gt;'General Information'!$D$33,0,SUMIFS($D$37:$D$51,$C$37:$C$51,K38-$C$6,$B$37:$B$51,"*Indirect*"))</f>
        <v>0</v>
      </c>
      <c r="N38" s="169" t="n">
        <f aca="false">IF(K38-$C$6&gt;'General Information'!$D$33,0,IF(K38=$C$6,$E$36,0)+SUMIF($C$37:$C$51,K38-$C$6,$E$37:$E$51))</f>
        <v>0</v>
      </c>
    </row>
    <row r="39" customFormat="false" ht="15" hidden="false" customHeight="false" outlineLevel="0" collapsed="false">
      <c r="B39" s="47" t="s">
        <v>665</v>
      </c>
      <c r="C39" s="48" t="n">
        <f aca="false">'Maintenance Policies'!E12</f>
        <v>8</v>
      </c>
      <c r="D39" s="49" t="n">
        <f aca="false">X19</f>
        <v>230995.133333333</v>
      </c>
      <c r="E39" s="50" t="n">
        <f aca="false">IF(C39&gt;'General Information'!$D$33,0,D39/(1+('General Information'!$D$34/100))^C39)</f>
        <v>182349.691334912</v>
      </c>
      <c r="K39" s="1" t="n">
        <f aca="false">K38+1</f>
        <v>2030</v>
      </c>
      <c r="L39" s="169" t="n">
        <f aca="false">IF(K39-$C$6&gt;'General Information'!$D$33,0,IF(K39=$C$6,$D$36,0)+SUMIFS($D$37:$D$51,$C$37:$C$51,K39-$C$6,$B$37:$B$51,"&lt;&gt;*Indirect*"))</f>
        <v>0</v>
      </c>
      <c r="M39" s="169" t="n">
        <f aca="false">IF(K39-$C$6&gt;'General Information'!$D$33,0,SUMIFS($D$37:$D$51,$C$37:$C$51,K39-$C$6,$B$37:$B$51,"*Indirect*"))</f>
        <v>0</v>
      </c>
      <c r="N39" s="169" t="n">
        <f aca="false">IF(K39-$C$6&gt;'General Information'!$D$33,0,IF(K39=$C$6,$E$36,0)+SUMIF($C$37:$C$51,K39-$C$6,$E$37:$E$51))</f>
        <v>0</v>
      </c>
    </row>
    <row r="40" customFormat="false" ht="15" hidden="false" customHeight="false" outlineLevel="0" collapsed="false">
      <c r="B40" s="51" t="s">
        <v>716</v>
      </c>
      <c r="C40" s="48" t="n">
        <f aca="false">'Maintenance Policies'!E12</f>
        <v>8</v>
      </c>
      <c r="D40" s="49" t="n">
        <f aca="false">F2*F5</f>
        <v>32647.02</v>
      </c>
      <c r="E40" s="50" t="n">
        <f aca="false">IF(C40&gt;'General Information'!$D$33,0,D40/(1+('General Information'!$D$34/100))^C40)</f>
        <v>25771.8590608317</v>
      </c>
      <c r="K40" s="1" t="n">
        <f aca="false">K39+1</f>
        <v>2031</v>
      </c>
      <c r="L40" s="169" t="n">
        <f aca="false">IF(K40-$C$6&gt;'General Information'!$D$33,0,IF(K40=$C$6,$D$36,0)+SUMIFS($D$37:$D$51,$C$37:$C$51,K40-$C$6,$B$37:$B$51,"&lt;&gt;*Indirect*"))</f>
        <v>0</v>
      </c>
      <c r="M40" s="169" t="n">
        <f aca="false">IF(K40-$C$6&gt;'General Information'!$D$33,0,SUMIFS($D$37:$D$51,$C$37:$C$51,K40-$C$6,$B$37:$B$51,"*Indirect*"))</f>
        <v>0</v>
      </c>
      <c r="N40" s="169" t="n">
        <f aca="false">IF(K40-$C$6&gt;'General Information'!$D$33,0,IF(K40=$C$6,$E$36,0)+SUMIF($C$37:$C$51,K40-$C$6,$E$37:$E$51))</f>
        <v>0</v>
      </c>
    </row>
    <row r="41" customFormat="false" ht="15" hidden="false" customHeight="false" outlineLevel="0" collapsed="false">
      <c r="B41" s="47" t="s">
        <v>666</v>
      </c>
      <c r="C41" s="48" t="n">
        <f aca="false">'Maintenance Policies'!E14</f>
        <v>12</v>
      </c>
      <c r="D41" s="49" t="n">
        <f aca="false">AF21</f>
        <v>323004.886770833</v>
      </c>
      <c r="E41" s="50" t="n">
        <f aca="false">IF(C41&gt;'General Information'!$D$33,0,D41/(1+('General Information'!$D$34/100))^C41)</f>
        <v>226549.128785072</v>
      </c>
      <c r="K41" s="1" t="n">
        <f aca="false">K40+1</f>
        <v>2032</v>
      </c>
      <c r="L41" s="169" t="n">
        <f aca="false">IF(K41-$C$6&gt;'General Information'!$D$33,0,IF(K41=$C$6,$D$36,0)+SUMIFS($D$37:$D$51,$C$37:$C$51,K41-$C$6,$B$37:$B$51,"&lt;&gt;*Indirect*"))</f>
        <v>230995.133333333</v>
      </c>
      <c r="M41" s="169" t="n">
        <f aca="false">IF(K41-$C$6&gt;'General Information'!$D$33,0,SUMIFS($D$37:$D$51,$C$37:$C$51,K41-$C$6,$B$37:$B$51,"*Indirect*"))</f>
        <v>32647.02</v>
      </c>
      <c r="N41" s="169" t="n">
        <f aca="false">IF(K41-$C$6&gt;'General Information'!$D$33,0,IF(K41=$C$6,$E$36,0)+SUMIF($C$37:$C$51,K41-$C$6,$E$37:$E$51))</f>
        <v>234242.638521269</v>
      </c>
    </row>
    <row r="42" customFormat="false" ht="15" hidden="false" customHeight="false" outlineLevel="0" collapsed="false">
      <c r="B42" s="51" t="s">
        <v>717</v>
      </c>
      <c r="C42" s="48" t="n">
        <f aca="false">'Maintenance Policies'!E14</f>
        <v>12</v>
      </c>
      <c r="D42" s="49" t="n">
        <f aca="false">F2*F6</f>
        <v>43529.36</v>
      </c>
      <c r="E42" s="50" t="n">
        <f aca="false">IF(C42&gt;'General Information'!$D$33,0,D42/(1+('General Information'!$D$34/100))^C42)</f>
        <v>30530.6173016768</v>
      </c>
      <c r="K42" s="1" t="n">
        <f aca="false">K41+1</f>
        <v>2033</v>
      </c>
      <c r="L42" s="169" t="n">
        <f aca="false">IF(K42-$C$6&gt;'General Information'!$D$33,0,IF(K42=$C$6,$D$36,0)+SUMIFS($D$37:$D$51,$C$37:$C$51,K42-$C$6,$B$37:$B$51,"&lt;&gt;*Indirect*"))</f>
        <v>0</v>
      </c>
      <c r="M42" s="169" t="n">
        <f aca="false">IF(K42-$C$6&gt;'General Information'!$D$33,0,SUMIFS($D$37:$D$51,$C$37:$C$51,K42-$C$6,$B$37:$B$51,"*Indirect*"))</f>
        <v>0</v>
      </c>
      <c r="N42" s="169" t="n">
        <f aca="false">IF(K42-$C$6&gt;'General Information'!$D$33,0,IF(K42=$C$6,$E$36,0)+SUMIF($C$37:$C$51,K42-$C$6,$E$37:$E$51))</f>
        <v>0</v>
      </c>
    </row>
    <row r="43" customFormat="false" ht="15" hidden="false" customHeight="false" outlineLevel="0" collapsed="false">
      <c r="B43" s="47" t="s">
        <v>671</v>
      </c>
      <c r="C43" s="48" t="n">
        <f aca="false">'Maintenance Policies'!E18</f>
        <v>16</v>
      </c>
      <c r="D43" s="49" t="n">
        <f aca="false">AN21</f>
        <v>337845.169583333</v>
      </c>
      <c r="E43" s="50" t="n">
        <f aca="false">IF(C43&gt;'General Information'!$D$33,0,D43/(1+('General Information'!$D$34/100))^C43)</f>
        <v>210533.940259546</v>
      </c>
      <c r="K43" s="1" t="n">
        <f aca="false">K42+1</f>
        <v>2034</v>
      </c>
      <c r="L43" s="169" t="n">
        <f aca="false">IF(K43-$C$6&gt;'General Information'!$D$33,0,IF(K43=$C$6,$D$36,0)+SUMIFS($D$37:$D$51,$C$37:$C$51,K43-$C$6,$B$37:$B$51,"&lt;&gt;*Indirect*"))</f>
        <v>0</v>
      </c>
      <c r="M43" s="169" t="n">
        <f aca="false">IF(K43-$C$6&gt;'General Information'!$D$33,0,SUMIFS($D$37:$D$51,$C$37:$C$51,K43-$C$6,$B$37:$B$51,"*Indirect*"))</f>
        <v>0</v>
      </c>
      <c r="N43" s="169" t="n">
        <f aca="false">IF(K43-$C$6&gt;'General Information'!$D$33,0,IF(K43=$C$6,$E$36,0)+SUMIF($C$37:$C$51,K43-$C$6,$E$37:$E$51))</f>
        <v>0</v>
      </c>
    </row>
    <row r="44" customFormat="false" ht="15" hidden="false" customHeight="false" outlineLevel="0" collapsed="false">
      <c r="B44" s="51" t="s">
        <v>718</v>
      </c>
      <c r="C44" s="48" t="n">
        <f aca="false">'Maintenance Policies'!E18</f>
        <v>16</v>
      </c>
      <c r="D44" s="49" t="n">
        <f aca="false">F2*F7</f>
        <v>43529.36</v>
      </c>
      <c r="E44" s="50" t="n">
        <f aca="false">IF(C44&gt;'General Information'!$D$33,0,D44/(1+('General Information'!$D$34/100))^C44)</f>
        <v>27126.0580374105</v>
      </c>
      <c r="K44" s="1" t="n">
        <f aca="false">K43+1</f>
        <v>2035</v>
      </c>
      <c r="L44" s="169" t="n">
        <f aca="false">IF(K44-$C$6&gt;'General Information'!$D$33,0,IF(K44=$C$6,$D$36,0)+SUMIFS($D$37:$D$51,$C$37:$C$51,K44-$C$6,$B$37:$B$51,"&lt;&gt;*Indirect*"))</f>
        <v>0</v>
      </c>
      <c r="M44" s="169" t="n">
        <f aca="false">IF(K44-$C$6&gt;'General Information'!$D$33,0,SUMIFS($D$37:$D$51,$C$37:$C$51,K44-$C$6,$B$37:$B$51,"*Indirect*"))</f>
        <v>0</v>
      </c>
      <c r="N44" s="169" t="n">
        <f aca="false">IF(K44-$C$6&gt;'General Information'!$D$33,0,IF(K44=$C$6,$E$36,0)+SUMIF($C$37:$C$51,K44-$C$6,$E$37:$E$51))</f>
        <v>0</v>
      </c>
    </row>
    <row r="45" customFormat="false" ht="15" hidden="false" customHeight="false" outlineLevel="0" collapsed="false">
      <c r="B45" s="52" t="s">
        <v>4</v>
      </c>
      <c r="C45" s="53" t="n">
        <f aca="false">'Maintenance Policies'!E22</f>
        <v>20</v>
      </c>
      <c r="D45" s="54" t="n">
        <f aca="false">AV22</f>
        <v>1168588.850125</v>
      </c>
      <c r="E45" s="54" t="n">
        <f aca="false">IF(C45&gt;'General Information'!$D$33,0,D45/(1+('General Information'!$D$34/100))^C45)</f>
        <v>647019.312926701</v>
      </c>
      <c r="K45" s="1" t="n">
        <f aca="false">K44+1</f>
        <v>2036</v>
      </c>
      <c r="L45" s="169" t="n">
        <f aca="false">IF(K45-$C$6&gt;'General Information'!$D$33,0,IF(K45=$C$6,$D$36,0)+SUMIFS($D$37:$D$51,$C$37:$C$51,K45-$C$6,$B$37:$B$51,"&lt;&gt;*Indirect*"))</f>
        <v>230995.133333333</v>
      </c>
      <c r="M45" s="169" t="n">
        <f aca="false">IF(K45-$C$6&gt;'General Information'!$D$33,0,SUMIFS($D$37:$D$51,$C$37:$C$51,K45-$C$6,$B$37:$B$51,"*Indirect*"))</f>
        <v>32647.02</v>
      </c>
      <c r="N45" s="169" t="n">
        <f aca="false">IF(K45-$C$6&gt;'General Information'!$D$33,0,IF(K45=$C$6,$E$36,0)+SUMIF($C$37:$C$51,K45-$C$6,$E$37:$E$51))</f>
        <v>208121.550395744</v>
      </c>
    </row>
    <row r="46" customFormat="false" ht="15" hidden="false" customHeight="false" outlineLevel="0" collapsed="false">
      <c r="B46" s="51" t="s">
        <v>43</v>
      </c>
      <c r="C46" s="48" t="n">
        <f aca="false">'Maintenance Policies'!E22</f>
        <v>20</v>
      </c>
      <c r="D46" s="49" t="n">
        <f aca="false">F2*F8</f>
        <v>76176.38</v>
      </c>
      <c r="E46" s="50" t="n">
        <f aca="false">IF(C46&gt;'General Information'!$D$33,0,D46/(1+('General Information'!$D$34/100))^C46)</f>
        <v>42177.0146476848</v>
      </c>
      <c r="K46" s="1" t="n">
        <f aca="false">K45+1</f>
        <v>2037</v>
      </c>
      <c r="L46" s="169" t="n">
        <f aca="false">IF(K46-$C$6&gt;'General Information'!$D$33,0,IF(K46=$C$6,$D$36,0)+SUMIFS($D$37:$D$51,$C$37:$C$51,K46-$C$6,$B$37:$B$51,"&lt;&gt;*Indirect*"))</f>
        <v>0</v>
      </c>
      <c r="M46" s="169" t="n">
        <f aca="false">IF(K46-$C$6&gt;'General Information'!$D$33,0,SUMIFS($D$37:$D$51,$C$37:$C$51,K46-$C$6,$B$37:$B$51,"*Indirect*"))</f>
        <v>0</v>
      </c>
      <c r="N46" s="169" t="n">
        <f aca="false">IF(K46-$C$6&gt;'General Information'!$D$33,0,IF(K46=$C$6,$E$36,0)+SUMIF($C$37:$C$51,K46-$C$6,$E$37:$E$51))</f>
        <v>0</v>
      </c>
    </row>
    <row r="47" customFormat="false" ht="15" hidden="false" customHeight="false" outlineLevel="0" collapsed="false">
      <c r="B47" s="47" t="s">
        <v>677</v>
      </c>
      <c r="C47" s="48" t="n">
        <f aca="false">'Maintenance Policies'!E26</f>
        <v>24</v>
      </c>
      <c r="D47" s="49" t="n">
        <f aca="false">BD19</f>
        <v>230995.133333333</v>
      </c>
      <c r="E47" s="50" t="n">
        <f aca="false">IF(C47&gt;'General Information'!$D$33,0,D47/(1+('General Information'!$D$34/100))^C47)</f>
        <v>113634.29901691</v>
      </c>
      <c r="K47" s="1" t="n">
        <f aca="false">K46+1</f>
        <v>2038</v>
      </c>
      <c r="L47" s="169" t="n">
        <f aca="false">IF(K47-$C$6&gt;'General Information'!$D$33,0,IF(K47=$C$6,$D$36,0)+SUMIFS($D$37:$D$51,$C$37:$C$51,K47-$C$6,$B$37:$B$51,"&lt;&gt;*Indirect*"))</f>
        <v>0</v>
      </c>
      <c r="M47" s="169" t="n">
        <f aca="false">IF(K47-$C$6&gt;'General Information'!$D$33,0,SUMIFS($D$37:$D$51,$C$37:$C$51,K47-$C$6,$B$37:$B$51,"*Indirect*"))</f>
        <v>0</v>
      </c>
      <c r="N47" s="169" t="n">
        <f aca="false">IF(K47-$C$6&gt;'General Information'!$D$33,0,IF(K47=$C$6,$E$36,0)+SUMIF($C$37:$C$51,K47-$C$6,$E$37:$E$51))</f>
        <v>0</v>
      </c>
    </row>
    <row r="48" customFormat="false" ht="15" hidden="false" customHeight="false" outlineLevel="0" collapsed="false">
      <c r="B48" s="51" t="s">
        <v>719</v>
      </c>
      <c r="C48" s="48" t="n">
        <f aca="false">'Maintenance Policies'!E26</f>
        <v>24</v>
      </c>
      <c r="D48" s="49" t="n">
        <f aca="false">F2*F9</f>
        <v>32647.02</v>
      </c>
      <c r="E48" s="50" t="n">
        <f aca="false">IF(C48&gt;'General Information'!$D$33,0,D48/(1+('General Information'!$D$34/100))^C48)</f>
        <v>16060.1705289507</v>
      </c>
      <c r="K48" s="1" t="n">
        <f aca="false">K47+1</f>
        <v>2039</v>
      </c>
      <c r="L48" s="169" t="n">
        <f aca="false">IF(K48-$C$6&gt;'General Information'!$D$33,0,IF(K48=$C$6,$D$36,0)+SUMIFS($D$37:$D$51,$C$37:$C$51,K48-$C$6,$B$37:$B$51,"&lt;&gt;*Indirect*"))</f>
        <v>0</v>
      </c>
      <c r="M48" s="169" t="n">
        <f aca="false">IF(K48-$C$6&gt;'General Information'!$D$33,0,SUMIFS($D$37:$D$51,$C$37:$C$51,K48-$C$6,$B$37:$B$51,"*Indirect*"))</f>
        <v>0</v>
      </c>
      <c r="N48" s="169" t="n">
        <f aca="false">IF(K48-$C$6&gt;'General Information'!$D$33,0,IF(K48=$C$6,$E$36,0)+SUMIF($C$37:$C$51,K48-$C$6,$E$37:$E$51))</f>
        <v>0</v>
      </c>
    </row>
    <row r="49" customFormat="false" ht="15" hidden="false" customHeight="false" outlineLevel="0" collapsed="false">
      <c r="B49" s="47" t="s">
        <v>678</v>
      </c>
      <c r="C49" s="48" t="n">
        <f aca="false">'Maintenance Policies'!E28</f>
        <v>28</v>
      </c>
      <c r="D49" s="49" t="n">
        <f aca="false">BL21</f>
        <v>357434.342895833</v>
      </c>
      <c r="E49" s="50" t="n">
        <f aca="false">IF(C49&gt;'General Information'!$D$33,0,D49/(1+('General Information'!$D$34/100))^C49)</f>
        <v>156226.242064515</v>
      </c>
      <c r="K49" s="1" t="n">
        <f aca="false">K48+1</f>
        <v>2040</v>
      </c>
      <c r="L49" s="169" t="n">
        <f aca="false">IF(K49-$C$6&gt;'General Information'!$D$33,0,IF(K49=$C$6,$D$36,0)+SUMIFS($D$37:$D$51,$C$37:$C$51,K49-$C$6,$B$37:$B$51,"&lt;&gt;*Indirect*"))</f>
        <v>323004.886770833</v>
      </c>
      <c r="M49" s="169" t="n">
        <f aca="false">IF(K49-$C$6&gt;'General Information'!$D$33,0,SUMIFS($D$37:$D$51,$C$37:$C$51,K49-$C$6,$B$37:$B$51,"*Indirect*"))</f>
        <v>43529.36</v>
      </c>
      <c r="N49" s="169" t="n">
        <f aca="false">IF(K49-$C$6&gt;'General Information'!$D$33,0,IF(K49=$C$6,$E$36,0)+SUMIF($C$37:$C$51,K49-$C$6,$E$37:$E$51))</f>
        <v>257079.746086749</v>
      </c>
    </row>
    <row r="50" customFormat="false" ht="15" hidden="false" customHeight="false" outlineLevel="0" collapsed="false">
      <c r="B50" s="51" t="s">
        <v>720</v>
      </c>
      <c r="C50" s="48" t="n">
        <f aca="false">'Maintenance Policies'!E28</f>
        <v>28</v>
      </c>
      <c r="D50" s="49" t="n">
        <f aca="false">F2*F10</f>
        <v>43529.36</v>
      </c>
      <c r="E50" s="50" t="n">
        <f aca="false">IF(C50&gt;'General Information'!$D$33,0,D50/(1+('General Information'!$D$34/100))^C50)</f>
        <v>19025.6713363866</v>
      </c>
      <c r="K50" s="1" t="n">
        <f aca="false">K49+1</f>
        <v>2041</v>
      </c>
      <c r="L50" s="169" t="n">
        <f aca="false">IF(K50-$C$6&gt;'General Information'!$D$33,0,IF(K50=$C$6,$D$36,0)+SUMIFS($D$37:$D$51,$C$37:$C$51,K50-$C$6,$B$37:$B$51,"&lt;&gt;*Indirect*"))</f>
        <v>0</v>
      </c>
      <c r="M50" s="169" t="n">
        <f aca="false">IF(K50-$C$6&gt;'General Information'!$D$33,0,SUMIFS($D$37:$D$51,$C$37:$C$51,K50-$C$6,$B$37:$B$51,"*Indirect*"))</f>
        <v>0</v>
      </c>
      <c r="N50" s="169" t="n">
        <f aca="false">IF(K50-$C$6&gt;'General Information'!$D$33,0,IF(K50=$C$6,$E$36,0)+SUMIF($C$37:$C$51,K50-$C$6,$E$37:$E$51))</f>
        <v>0</v>
      </c>
    </row>
    <row r="51" customFormat="false" ht="15" hidden="false" customHeight="false" outlineLevel="0" collapsed="false">
      <c r="B51" s="55" t="s">
        <v>44</v>
      </c>
      <c r="C51" s="56" t="n">
        <f aca="false">'General Information'!D33</f>
        <v>30</v>
      </c>
      <c r="D51" s="57" t="n">
        <f aca="false">-'Maintenance Policies'!D32*AV22</f>
        <v>-438220.818796875</v>
      </c>
      <c r="E51" s="57" t="n">
        <f aca="false">IF(C51&gt;'General Information'!$D$33,0,D51/(1+('General Information'!$D$34/100))^C51)</f>
        <v>-180541.175088532</v>
      </c>
      <c r="K51" s="1" t="n">
        <f aca="false">K50+1</f>
        <v>2042</v>
      </c>
      <c r="L51" s="169" t="n">
        <f aca="false">IF(K51-$C$6&gt;'General Information'!$D$33,0,IF(K51=$C$6,$D$36,0)+SUMIFS($D$37:$D$51,$C$37:$C$51,K51-$C$6,$B$37:$B$51,"&lt;&gt;*Indirect*"))</f>
        <v>0</v>
      </c>
      <c r="M51" s="169" t="n">
        <f aca="false">IF(K51-$C$6&gt;'General Information'!$D$33,0,SUMIFS($D$37:$D$51,$C$37:$C$51,K51-$C$6,$B$37:$B$51,"*Indirect*"))</f>
        <v>0</v>
      </c>
      <c r="N51" s="169" t="n">
        <f aca="false">IF(K51-$C$6&gt;'General Information'!$D$33,0,IF(K51=$C$6,$E$36,0)+SUMIF($C$37:$C$51,K51-$C$6,$E$37:$E$51))</f>
        <v>0</v>
      </c>
    </row>
    <row r="52" customFormat="false" ht="25.5" hidden="false" customHeight="true" outlineLevel="0" collapsed="false">
      <c r="B52" s="58" t="s">
        <v>31</v>
      </c>
      <c r="C52" s="59"/>
      <c r="D52" s="59"/>
      <c r="E52" s="60" t="n">
        <f aca="false">SUM(E36:E51)</f>
        <v>1750705.46873333</v>
      </c>
      <c r="K52" s="1" t="n">
        <f aca="false">K51+1</f>
        <v>2043</v>
      </c>
      <c r="L52" s="169" t="n">
        <f aca="false">IF(K52-$C$6&gt;'General Information'!$D$33,0,IF(K52=$C$6,$D$36,0)+SUMIFS($D$37:$D$51,$C$37:$C$51,K52-$C$6,$B$37:$B$51,"&lt;&gt;*Indirect*"))</f>
        <v>0</v>
      </c>
      <c r="M52" s="169" t="n">
        <f aca="false">IF(K52-$C$6&gt;'General Information'!$D$33,0,SUMIFS($D$37:$D$51,$C$37:$C$51,K52-$C$6,$B$37:$B$51,"*Indirect*"))</f>
        <v>0</v>
      </c>
      <c r="N52" s="169" t="n">
        <f aca="false">IF(K52-$C$6&gt;'General Information'!$D$33,0,IF(K52=$C$6,$E$36,0)+SUMIF($C$37:$C$51,K52-$C$6,$E$37:$E$51))</f>
        <v>0</v>
      </c>
    </row>
    <row r="53" customFormat="false" ht="15" hidden="false" customHeight="false" outlineLevel="0" collapsed="false">
      <c r="K53" s="1" t="n">
        <f aca="false">K52+1</f>
        <v>2044</v>
      </c>
      <c r="L53" s="169" t="n">
        <f aca="false">IF(K53-$C$6&gt;'General Information'!$D$33,0,IF(K53=$C$6,$D$36,0)+SUMIFS($D$37:$D$51,$C$37:$C$51,K53-$C$6,$B$37:$B$51,"&lt;&gt;*Indirect*"))</f>
        <v>337845.169583333</v>
      </c>
      <c r="M53" s="169" t="n">
        <f aca="false">IF(K53-$C$6&gt;'General Information'!$D$33,0,SUMIFS($D$37:$D$51,$C$37:$C$51,K53-$C$6,$B$37:$B$51,"*Indirect*"))</f>
        <v>43529.36</v>
      </c>
      <c r="N53" s="169" t="n">
        <f aca="false">IF(K53-$C$6&gt;'General Information'!$D$33,0,IF(K53=$C$6,$E$36,0)+SUMIF($C$37:$C$51,K53-$C$6,$E$37:$E$51))</f>
        <v>237659.998296957</v>
      </c>
    </row>
    <row r="54" customFormat="false" ht="15" hidden="false" customHeight="false" outlineLevel="0" collapsed="false">
      <c r="K54" s="1" t="n">
        <f aca="false">K53+1</f>
        <v>2045</v>
      </c>
      <c r="L54" s="169" t="n">
        <f aca="false">IF(K54-$C$6&gt;'General Information'!$D$33,0,IF(K54=$C$6,$D$36,0)+SUMIFS($D$37:$D$51,$C$37:$C$51,K54-$C$6,$B$37:$B$51,"&lt;&gt;*Indirect*"))</f>
        <v>0</v>
      </c>
      <c r="M54" s="169" t="n">
        <f aca="false">IF(K54-$C$6&gt;'General Information'!$D$33,0,SUMIFS($D$37:$D$51,$C$37:$C$51,K54-$C$6,$B$37:$B$51,"*Indirect*"))</f>
        <v>0</v>
      </c>
      <c r="N54" s="169" t="n">
        <f aca="false">IF(K54-$C$6&gt;'General Information'!$D$33,0,IF(K54=$C$6,$E$36,0)+SUMIF($C$37:$C$51,K54-$C$6,$E$37:$E$51))</f>
        <v>0</v>
      </c>
    </row>
    <row r="55" customFormat="false" ht="15" hidden="false" customHeight="false" outlineLevel="0" collapsed="false">
      <c r="K55" s="1" t="n">
        <f aca="false">K54+1</f>
        <v>2046</v>
      </c>
      <c r="L55" s="169" t="n">
        <f aca="false">IF(K55-$C$6&gt;'General Information'!$D$33,0,IF(K55=$C$6,$D$36,0)+SUMIFS($D$37:$D$51,$C$37:$C$51,K55-$C$6,$B$37:$B$51,"&lt;&gt;*Indirect*"))</f>
        <v>0</v>
      </c>
      <c r="M55" s="169" t="n">
        <f aca="false">IF(K55-$C$6&gt;'General Information'!$D$33,0,SUMIFS($D$37:$D$51,$C$37:$C$51,K55-$C$6,$B$37:$B$51,"*Indirect*"))</f>
        <v>0</v>
      </c>
      <c r="N55" s="169" t="n">
        <f aca="false">IF(K55-$C$6&gt;'General Information'!$D$33,0,IF(K55=$C$6,$E$36,0)+SUMIF($C$37:$C$51,K55-$C$6,$E$37:$E$51))</f>
        <v>0</v>
      </c>
    </row>
    <row r="56" customFormat="false" ht="15" hidden="false" customHeight="false" outlineLevel="0" collapsed="false">
      <c r="K56" s="1" t="n">
        <f aca="false">K55+1</f>
        <v>2047</v>
      </c>
      <c r="L56" s="169" t="n">
        <f aca="false">IF(K56-$C$6&gt;'General Information'!$D$33,0,IF(K56=$C$6,$D$36,0)+SUMIFS($D$37:$D$51,$C$37:$C$51,K56-$C$6,$B$37:$B$51,"&lt;&gt;*Indirect*"))</f>
        <v>0</v>
      </c>
      <c r="M56" s="169" t="n">
        <f aca="false">IF(K56-$C$6&gt;'General Information'!$D$33,0,SUMIFS($D$37:$D$51,$C$37:$C$51,K56-$C$6,$B$37:$B$51,"*Indirect*"))</f>
        <v>0</v>
      </c>
      <c r="N56" s="169" t="n">
        <f aca="false">IF(K56-$C$6&gt;'General Information'!$D$33,0,IF(K56=$C$6,$E$36,0)+SUMIF($C$37:$C$51,K56-$C$6,$E$37:$E$51))</f>
        <v>0</v>
      </c>
    </row>
    <row r="57" customFormat="false" ht="15" hidden="false" customHeight="false" outlineLevel="0" collapsed="false">
      <c r="K57" s="1" t="n">
        <f aca="false">K56+1</f>
        <v>2048</v>
      </c>
      <c r="L57" s="169" t="n">
        <f aca="false">IF(K57-$C$6&gt;'General Information'!$D$33,0,IF(K57=$C$6,$D$36,0)+SUMIFS($D$37:$D$51,$C$37:$C$51,K57-$C$6,$B$37:$B$51,"&lt;&gt;*Indirect*"))</f>
        <v>1168588.850125</v>
      </c>
      <c r="M57" s="169" t="n">
        <f aca="false">IF(K57-$C$6&gt;'General Information'!$D$33,0,SUMIFS($D$37:$D$51,$C$37:$C$51,K57-$C$6,$B$37:$B$51,"*Indirect*"))</f>
        <v>76176.38</v>
      </c>
      <c r="N57" s="169" t="n">
        <f aca="false">IF(K57-$C$6&gt;'General Information'!$D$33,0,IF(K57=$C$6,$E$36,0)+SUMIF($C$37:$C$51,K57-$C$6,$E$37:$E$51))</f>
        <v>689196.327574386</v>
      </c>
    </row>
    <row r="58" customFormat="false" ht="15" hidden="false" customHeight="false" outlineLevel="0" collapsed="false">
      <c r="K58" s="1" t="n">
        <f aca="false">K57+1</f>
        <v>2049</v>
      </c>
      <c r="L58" s="169" t="n">
        <f aca="false">IF(K58-$C$6&gt;'General Information'!$D$33,0,IF(K58=$C$6,$D$36,0)+SUMIFS($D$37:$D$51,$C$37:$C$51,K58-$C$6,$B$37:$B$51,"&lt;&gt;*Indirect*"))</f>
        <v>0</v>
      </c>
      <c r="M58" s="169" t="n">
        <f aca="false">IF(K58-$C$6&gt;'General Information'!$D$33,0,SUMIFS($D$37:$D$51,$C$37:$C$51,K58-$C$6,$B$37:$B$51,"*Indirect*"))</f>
        <v>0</v>
      </c>
      <c r="N58" s="169" t="n">
        <f aca="false">IF(K58-$C$6&gt;'General Information'!$D$33,0,IF(K58=$C$6,$E$36,0)+SUMIF($C$37:$C$51,K58-$C$6,$E$37:$E$51))</f>
        <v>0</v>
      </c>
    </row>
    <row r="59" customFormat="false" ht="15" hidden="false" customHeight="false" outlineLevel="0" collapsed="false">
      <c r="K59" s="1" t="n">
        <f aca="false">K58+1</f>
        <v>2050</v>
      </c>
      <c r="L59" s="169" t="n">
        <f aca="false">IF(K59-$C$6&gt;'General Information'!$D$33,0,IF(K59=$C$6,$D$36,0)+SUMIFS($D$37:$D$51,$C$37:$C$51,K59-$C$6,$B$37:$B$51,"&lt;&gt;*Indirect*"))</f>
        <v>0</v>
      </c>
      <c r="M59" s="169" t="n">
        <f aca="false">IF(K59-$C$6&gt;'General Information'!$D$33,0,SUMIFS($D$37:$D$51,$C$37:$C$51,K59-$C$6,$B$37:$B$51,"*Indirect*"))</f>
        <v>0</v>
      </c>
      <c r="N59" s="169" t="n">
        <f aca="false">IF(K59-$C$6&gt;'General Information'!$D$33,0,IF(K59=$C$6,$E$36,0)+SUMIF($C$37:$C$51,K59-$C$6,$E$37:$E$51))</f>
        <v>0</v>
      </c>
    </row>
    <row r="60" customFormat="false" ht="15" hidden="false" customHeight="false" outlineLevel="0" collapsed="false">
      <c r="K60" s="1" t="n">
        <f aca="false">K59+1</f>
        <v>2051</v>
      </c>
      <c r="L60" s="169" t="n">
        <f aca="false">IF(K60-$C$6&gt;'General Information'!$D$33,0,IF(K60=$C$6,$D$36,0)+SUMIFS($D$37:$D$51,$C$37:$C$51,K60-$C$6,$B$37:$B$51,"&lt;&gt;*Indirect*"))</f>
        <v>0</v>
      </c>
      <c r="M60" s="169" t="n">
        <f aca="false">IF(K60-$C$6&gt;'General Information'!$D$33,0,SUMIFS($D$37:$D$51,$C$37:$C$51,K60-$C$6,$B$37:$B$51,"*Indirect*"))</f>
        <v>0</v>
      </c>
      <c r="N60" s="169" t="n">
        <f aca="false">IF(K60-$C$6&gt;'General Information'!$D$33,0,IF(K60=$C$6,$E$36,0)+SUMIF($C$37:$C$51,K60-$C$6,$E$37:$E$51))</f>
        <v>0</v>
      </c>
    </row>
    <row r="61" customFormat="false" ht="15" hidden="false" customHeight="false" outlineLevel="0" collapsed="false">
      <c r="K61" s="1" t="n">
        <f aca="false">K60+1</f>
        <v>2052</v>
      </c>
      <c r="L61" s="169" t="n">
        <f aca="false">IF(K61-$C$6&gt;'General Information'!$D$33,0,IF(K61=$C$6,$D$36,0)+SUMIFS($D$37:$D$51,$C$37:$C$51,K61-$C$6,$B$37:$B$51,"&lt;&gt;*Indirect*"))</f>
        <v>230995.133333333</v>
      </c>
      <c r="M61" s="169" t="n">
        <f aca="false">IF(K61-$C$6&gt;'General Information'!$D$33,0,SUMIFS($D$37:$D$51,$C$37:$C$51,K61-$C$6,$B$37:$B$51,"*Indirect*"))</f>
        <v>32647.02</v>
      </c>
      <c r="N61" s="169" t="n">
        <f aca="false">IF(K61-$C$6&gt;'General Information'!$D$33,0,IF(K61=$C$6,$E$36,0)+SUMIF($C$37:$C$51,K61-$C$6,$E$37:$E$51))</f>
        <v>129694.46954586</v>
      </c>
    </row>
    <row r="62" customFormat="false" ht="15" hidden="false" customHeight="false" outlineLevel="0" collapsed="false">
      <c r="K62" s="1" t="n">
        <f aca="false">K61+1</f>
        <v>2053</v>
      </c>
      <c r="L62" s="169" t="n">
        <f aca="false">IF(K62-$C$6&gt;'General Information'!$D$33,0,IF(K62=$C$6,$D$36,0)+SUMIFS($D$37:$D$51,$C$37:$C$51,K62-$C$6,$B$37:$B$51,"&lt;&gt;*Indirect*"))</f>
        <v>0</v>
      </c>
      <c r="M62" s="169" t="n">
        <f aca="false">IF(K62-$C$6&gt;'General Information'!$D$33,0,SUMIFS($D$37:$D$51,$C$37:$C$51,K62-$C$6,$B$37:$B$51,"*Indirect*"))</f>
        <v>0</v>
      </c>
      <c r="N62" s="169" t="n">
        <f aca="false">IF(K62-$C$6&gt;'General Information'!$D$33,0,IF(K62=$C$6,$E$36,0)+SUMIF($C$37:$C$51,K62-$C$6,$E$37:$E$51))</f>
        <v>0</v>
      </c>
    </row>
    <row r="63" customFormat="false" ht="15" hidden="false" customHeight="false" outlineLevel="0" collapsed="false">
      <c r="K63" s="1" t="n">
        <f aca="false">K62+1</f>
        <v>2054</v>
      </c>
      <c r="L63" s="169" t="n">
        <f aca="false">IF(K63-$C$6&gt;'General Information'!$D$33,0,IF(K63=$C$6,$D$36,0)+SUMIFS($D$37:$D$51,$C$37:$C$51,K63-$C$6,$B$37:$B$51,"&lt;&gt;*Indirect*"))</f>
        <v>0</v>
      </c>
      <c r="M63" s="169" t="n">
        <f aca="false">IF(K63-$C$6&gt;'General Information'!$D$33,0,SUMIFS($D$37:$D$51,$C$37:$C$51,K63-$C$6,$B$37:$B$51,"*Indirect*"))</f>
        <v>0</v>
      </c>
      <c r="N63" s="169" t="n">
        <f aca="false">IF(K63-$C$6&gt;'General Information'!$D$33,0,IF(K63=$C$6,$E$36,0)+SUMIF($C$37:$C$51,K63-$C$6,$E$37:$E$51))</f>
        <v>0</v>
      </c>
    </row>
    <row r="64" customFormat="false" ht="15" hidden="false" customHeight="false" outlineLevel="0" collapsed="false">
      <c r="K64" s="1" t="n">
        <f aca="false">K63+1</f>
        <v>2055</v>
      </c>
      <c r="L64" s="169" t="n">
        <f aca="false">IF(K64-$C$6&gt;'General Information'!$D$33,0,IF(K64=$C$6,$D$36,0)+SUMIFS($D$37:$D$51,$C$37:$C$51,K64-$C$6,$B$37:$B$51,"&lt;&gt;*Indirect*"))</f>
        <v>0</v>
      </c>
      <c r="M64" s="169" t="n">
        <f aca="false">IF(K64-$C$6&gt;'General Information'!$D$33,0,SUMIFS($D$37:$D$51,$C$37:$C$51,K64-$C$6,$B$37:$B$51,"*Indirect*"))</f>
        <v>0</v>
      </c>
      <c r="N64" s="169" t="n">
        <f aca="false">IF(K64-$C$6&gt;'General Information'!$D$33,0,IF(K64=$C$6,$E$36,0)+SUMIF($C$37:$C$51,K64-$C$6,$E$37:$E$51))</f>
        <v>0</v>
      </c>
    </row>
    <row r="65" customFormat="false" ht="15" hidden="false" customHeight="false" outlineLevel="0" collapsed="false">
      <c r="K65" s="1" t="n">
        <f aca="false">K64+1</f>
        <v>2056</v>
      </c>
      <c r="L65" s="169" t="n">
        <f aca="false">IF(K65-$C$6&gt;'General Information'!$D$33,0,IF(K65=$C$6,$D$36,0)+SUMIFS($D$37:$D$51,$C$37:$C$51,K65-$C$6,$B$37:$B$51,"&lt;&gt;*Indirect*"))</f>
        <v>357434.342895833</v>
      </c>
      <c r="M65" s="169" t="n">
        <f aca="false">IF(K65-$C$6&gt;'General Information'!$D$33,0,SUMIFS($D$37:$D$51,$C$37:$C$51,K65-$C$6,$B$37:$B$51,"*Indirect*"))</f>
        <v>43529.36</v>
      </c>
      <c r="N65" s="169" t="n">
        <f aca="false">IF(K65-$C$6&gt;'General Information'!$D$33,0,IF(K65=$C$6,$E$36,0)+SUMIF($C$37:$C$51,K65-$C$6,$E$37:$E$51))</f>
        <v>175251.913400902</v>
      </c>
    </row>
    <row r="66" customFormat="false" ht="15" hidden="false" customHeight="false" outlineLevel="0" collapsed="false">
      <c r="K66" s="1" t="n">
        <f aca="false">K65+1</f>
        <v>2057</v>
      </c>
      <c r="L66" s="169" t="n">
        <f aca="false">IF(K66-$C$6&gt;'General Information'!$D$33,0,IF(K66=$C$6,$D$36,0)+SUMIFS($D$37:$D$51,$C$37:$C$51,K66-$C$6,$B$37:$B$51,"&lt;&gt;*Indirect*"))</f>
        <v>0</v>
      </c>
      <c r="M66" s="169" t="n">
        <f aca="false">IF(K66-$C$6&gt;'General Information'!$D$33,0,SUMIFS($D$37:$D$51,$C$37:$C$51,K66-$C$6,$B$37:$B$51,"*Indirect*"))</f>
        <v>0</v>
      </c>
      <c r="N66" s="169" t="n">
        <f aca="false">IF(K66-$C$6&gt;'General Information'!$D$33,0,IF(K66=$C$6,$E$36,0)+SUMIF($C$37:$C$51,K66-$C$6,$E$37:$E$51))</f>
        <v>0</v>
      </c>
    </row>
    <row r="67" customFormat="false" ht="15" hidden="false" customHeight="false" outlineLevel="0" collapsed="false">
      <c r="K67" s="1" t="n">
        <f aca="false">K66+1</f>
        <v>2058</v>
      </c>
      <c r="L67" s="169" t="n">
        <f aca="false">IF(K67-$C$6&gt;'General Information'!$D$33,0,IF(K67=$C$6,$D$36,0)+SUMIFS($D$37:$D$51,$C$37:$C$51,K67-$C$6,$B$37:$B$51,"&lt;&gt;*Indirect*"))</f>
        <v>-438220.818796875</v>
      </c>
      <c r="M67" s="169" t="n">
        <f aca="false">IF(K67-$C$6&gt;'General Information'!$D$33,0,SUMIFS($D$37:$D$51,$C$37:$C$51,K67-$C$6,$B$37:$B$51,"*Indirect*"))</f>
        <v>0</v>
      </c>
      <c r="N67" s="169" t="n">
        <f aca="false">IF(K67-$C$6&gt;'General Information'!$D$33,0,IF(K67=$C$6,$E$36,0)+SUMIF($C$37:$C$51,K67-$C$6,$E$37:$E$51))</f>
        <v>-180541.175088532</v>
      </c>
    </row>
  </sheetData>
  <mergeCells count="3">
    <mergeCell ref="A1:B1"/>
    <mergeCell ref="A3:G3"/>
    <mergeCell ref="D11:G11"/>
  </mergeCells>
  <dataValidations count="2">
    <dataValidation allowBlank="false" error="Choose Regular, Middle, West or East." errorStyle="stop" errorTitle="Pricing source" operator="between" prompt="Which unit cost column on Pay_Items this alternative is priced from. Regular is the statewide Unit Cost column." promptTitle="Price from" showDropDown="false" showErrorMessage="true" showInputMessage="true" sqref="C11" type="list">
      <formula1>"Regular,Middle,West,East"</formula1>
      <formula2>0</formula2>
    </dataValidation>
    <dataValidation allowBlank="true" error="Select from list" errorStyle="stop" operator="between" showDropDown="false" showErrorMessage="true" showInputMessage="true" sqref="C7" type="list">
      <formula1>Pay_Items!$D$48:$D$53</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6" activeCellId="0" sqref="B6"/>
    </sheetView>
  </sheetViews>
  <sheetFormatPr defaultColWidth="8.5390625" defaultRowHeight="15" zeroHeight="false" outlineLevelRow="0" outlineLevelCol="0"/>
  <cols>
    <col collapsed="false" customWidth="true" hidden="false" outlineLevel="0" max="2" min="2" style="0" width="15.14"/>
    <col collapsed="false" customWidth="true" hidden="false" outlineLevel="0" max="3" min="3" style="0" width="17.43"/>
    <col collapsed="false" customWidth="true" hidden="false" outlineLevel="0" max="4" min="4" style="0" width="27"/>
    <col collapsed="false" customWidth="true" hidden="false" outlineLevel="0" max="5" min="5" style="0" width="32.72"/>
    <col collapsed="false" customWidth="true" hidden="false" outlineLevel="0" max="6" min="6" style="0" width="23.71"/>
    <col collapsed="false" customWidth="true" hidden="false" outlineLevel="0" max="7" min="7" style="0" width="53.86"/>
    <col collapsed="false" customWidth="true" hidden="false" outlineLevel="0" max="8" min="8" style="0" width="45"/>
  </cols>
  <sheetData>
    <row r="1" customFormat="false" ht="15" hidden="false" customHeight="false" outlineLevel="0" collapsed="false">
      <c r="A1" s="170" t="s">
        <v>721</v>
      </c>
      <c r="B1" s="171" t="s">
        <v>722</v>
      </c>
      <c r="C1" s="172" t="s">
        <v>723</v>
      </c>
      <c r="D1" s="171" t="s">
        <v>724</v>
      </c>
      <c r="E1" s="171" t="s">
        <v>725</v>
      </c>
      <c r="F1" s="171" t="s">
        <v>726</v>
      </c>
      <c r="G1" s="171" t="s">
        <v>727</v>
      </c>
      <c r="H1" s="171" t="s">
        <v>728</v>
      </c>
    </row>
    <row r="2" customFormat="false" ht="15" hidden="false" customHeight="false" outlineLevel="0" collapsed="false">
      <c r="A2" s="173" t="s">
        <v>387</v>
      </c>
      <c r="B2" s="174" t="n">
        <v>946.42</v>
      </c>
      <c r="C2" s="174" t="n">
        <v>7293.08</v>
      </c>
      <c r="D2" s="174" t="n">
        <v>60.53</v>
      </c>
      <c r="E2" s="174" t="n">
        <v>3</v>
      </c>
      <c r="F2" s="174" t="n">
        <v>94.64</v>
      </c>
      <c r="G2" s="174" t="n">
        <v>108.27</v>
      </c>
      <c r="H2" s="174" t="s">
        <v>729</v>
      </c>
    </row>
    <row r="3" customFormat="false" ht="15" hidden="false" customHeight="false" outlineLevel="0" collapsed="false">
      <c r="A3" s="173" t="s">
        <v>469</v>
      </c>
      <c r="B3" s="174" t="n">
        <v>794.52</v>
      </c>
      <c r="C3" s="174" t="n">
        <v>2153.43</v>
      </c>
      <c r="D3" s="174" t="n">
        <v>13.7</v>
      </c>
      <c r="E3" s="174" t="n">
        <v>1101.37</v>
      </c>
      <c r="F3" s="174" t="n">
        <v>26.3</v>
      </c>
      <c r="G3" s="174" t="n">
        <v>254.8</v>
      </c>
      <c r="H3" s="174" t="s">
        <v>730</v>
      </c>
    </row>
    <row r="4" customFormat="false" ht="15" hidden="false" customHeight="false" outlineLevel="0" collapsed="false">
      <c r="A4" s="173" t="s">
        <v>406</v>
      </c>
      <c r="B4" s="174" t="n">
        <v>4939.57</v>
      </c>
      <c r="C4" s="174" t="n">
        <v>1517.81</v>
      </c>
      <c r="D4" s="174" t="n">
        <v>30</v>
      </c>
      <c r="E4" s="174" t="n">
        <v>10</v>
      </c>
      <c r="F4" s="174" t="s">
        <v>730</v>
      </c>
      <c r="G4" s="174" t="n">
        <v>2344</v>
      </c>
      <c r="H4" s="174" t="s">
        <v>730</v>
      </c>
    </row>
    <row r="5" customFormat="false" ht="15" hidden="false" customHeight="false" outlineLevel="0" collapsed="false">
      <c r="A5" s="173" t="s">
        <v>396</v>
      </c>
      <c r="B5" s="174" t="n">
        <v>592</v>
      </c>
      <c r="C5" s="174" t="n">
        <v>1410</v>
      </c>
      <c r="D5" s="174" t="n">
        <v>1</v>
      </c>
      <c r="E5" s="174" t="n">
        <v>7</v>
      </c>
      <c r="F5" s="174" t="s">
        <v>730</v>
      </c>
      <c r="G5" s="174" t="n">
        <v>2250</v>
      </c>
      <c r="H5" s="174" t="n">
        <v>2031</v>
      </c>
    </row>
    <row r="6" customFormat="false" ht="15" hidden="false" customHeight="false" outlineLevel="0" collapsed="false">
      <c r="A6" s="173" t="s">
        <v>347</v>
      </c>
      <c r="B6" s="174" t="n">
        <v>2630</v>
      </c>
      <c r="C6" s="174" t="n">
        <v>1044</v>
      </c>
      <c r="D6" s="174" t="n">
        <v>42</v>
      </c>
      <c r="E6" s="174" t="n">
        <v>15</v>
      </c>
      <c r="F6" s="174" t="s">
        <v>730</v>
      </c>
      <c r="G6" s="174" t="n">
        <v>110</v>
      </c>
      <c r="H6" s="174" t="n">
        <v>2862</v>
      </c>
    </row>
    <row r="7" customFormat="false" ht="15" hidden="false" customHeight="false" outlineLevel="0" collapsed="false">
      <c r="A7" s="173" t="s">
        <v>158</v>
      </c>
      <c r="B7" s="174" t="n">
        <v>1924.14</v>
      </c>
      <c r="C7" s="174" t="n">
        <v>923.66</v>
      </c>
      <c r="D7" s="174" t="s">
        <v>730</v>
      </c>
      <c r="E7" s="174" t="s">
        <v>730</v>
      </c>
      <c r="F7" s="174" t="s">
        <v>730</v>
      </c>
      <c r="G7" s="174" t="n">
        <v>27397.26</v>
      </c>
      <c r="H7" s="174" t="n">
        <v>571.58</v>
      </c>
    </row>
    <row r="8" customFormat="false" ht="15" hidden="false" customHeight="false" outlineLevel="0" collapsed="false">
      <c r="A8" s="173" t="s">
        <v>279</v>
      </c>
      <c r="B8" s="174" t="n">
        <v>1000</v>
      </c>
      <c r="C8" s="174" t="n">
        <v>725</v>
      </c>
      <c r="D8" s="174" t="n">
        <v>10</v>
      </c>
      <c r="E8" s="174" t="n">
        <v>5</v>
      </c>
      <c r="F8" s="174" t="n">
        <v>40</v>
      </c>
      <c r="G8" s="174" t="s">
        <v>731</v>
      </c>
      <c r="H8" s="174" t="n">
        <v>20</v>
      </c>
    </row>
    <row r="9" customFormat="false" ht="15" hidden="false" customHeight="false" outlineLevel="0" collapsed="false">
      <c r="A9" s="173" t="s">
        <v>465</v>
      </c>
      <c r="B9" s="174" t="n">
        <v>635.26</v>
      </c>
      <c r="C9" s="174" t="n">
        <v>279</v>
      </c>
      <c r="D9" s="174" t="s">
        <v>730</v>
      </c>
      <c r="E9" s="174" t="s">
        <v>730</v>
      </c>
      <c r="F9" s="174" t="s">
        <v>730</v>
      </c>
      <c r="G9" s="174" t="s">
        <v>730</v>
      </c>
      <c r="H9" s="174" t="n">
        <v>25</v>
      </c>
    </row>
    <row r="10" customFormat="false" ht="15" hidden="false" customHeight="true" outlineLevel="0" collapsed="false">
      <c r="A10" s="173" t="s">
        <v>262</v>
      </c>
      <c r="B10" s="174" t="n">
        <v>1660.27</v>
      </c>
      <c r="C10" s="174" t="n">
        <v>3427.4</v>
      </c>
      <c r="D10" s="174" t="n">
        <v>3.5</v>
      </c>
      <c r="E10" s="174" t="n">
        <v>350</v>
      </c>
      <c r="F10" s="174" t="s">
        <v>730</v>
      </c>
      <c r="G10" s="174" t="s">
        <v>730</v>
      </c>
      <c r="H10" s="174" t="s">
        <v>730</v>
      </c>
    </row>
    <row r="11" customFormat="false" ht="15" hidden="false" customHeight="true" outlineLevel="0" collapsed="false">
      <c r="A11" s="173" t="s">
        <v>334</v>
      </c>
      <c r="B11" s="174" t="n">
        <v>8400</v>
      </c>
      <c r="C11" s="174" t="n">
        <v>70000</v>
      </c>
      <c r="D11" s="174" t="n">
        <v>1000</v>
      </c>
      <c r="E11" s="174" t="s">
        <v>730</v>
      </c>
      <c r="F11" s="174" t="n">
        <v>625</v>
      </c>
      <c r="G11" s="174" t="s">
        <v>730</v>
      </c>
      <c r="H11" s="174" t="n">
        <v>9215</v>
      </c>
    </row>
    <row r="12" customFormat="false" ht="15" hidden="false" customHeight="true" outlineLevel="0" collapsed="false">
      <c r="A12" s="173" t="s">
        <v>402</v>
      </c>
      <c r="B12" s="174" t="n">
        <v>4604</v>
      </c>
      <c r="C12" s="174" t="n">
        <v>4057</v>
      </c>
      <c r="D12" s="174" t="s">
        <v>730</v>
      </c>
      <c r="E12" s="174" t="s">
        <v>730</v>
      </c>
      <c r="F12" s="174" t="n">
        <v>140.4</v>
      </c>
      <c r="G12" s="174" t="s">
        <v>730</v>
      </c>
      <c r="H12" s="174" t="s">
        <v>730</v>
      </c>
    </row>
    <row r="13" customFormat="false" ht="15" hidden="false" customHeight="true" outlineLevel="0" collapsed="false">
      <c r="A13" s="173" t="s">
        <v>454</v>
      </c>
      <c r="B13" s="174" t="n">
        <v>4939.57</v>
      </c>
      <c r="C13" s="174" t="n">
        <v>1517.81</v>
      </c>
      <c r="D13" s="174" t="n">
        <v>30</v>
      </c>
      <c r="E13" s="174" t="n">
        <v>10</v>
      </c>
      <c r="F13" s="174" t="s">
        <v>730</v>
      </c>
      <c r="G13" s="174" t="n">
        <v>2344</v>
      </c>
      <c r="H13" s="174" t="s">
        <v>730</v>
      </c>
    </row>
    <row r="14" customFormat="false" ht="15" hidden="false" customHeight="false" outlineLevel="0" collapsed="false">
      <c r="A14" s="173" t="s">
        <v>186</v>
      </c>
      <c r="B14" s="175" t="n">
        <v>794</v>
      </c>
      <c r="C14" s="175" t="n">
        <v>2431</v>
      </c>
      <c r="D14" s="174" t="n">
        <v>300</v>
      </c>
      <c r="E14" s="174" t="n">
        <v>150</v>
      </c>
      <c r="F14" s="174" t="n">
        <v>100</v>
      </c>
      <c r="G14" s="174" t="n">
        <v>300</v>
      </c>
      <c r="H14" s="174" t="n">
        <v>25</v>
      </c>
    </row>
    <row r="15" customFormat="false" ht="15" hidden="false" customHeight="false" outlineLevel="0" collapsed="false">
      <c r="A15" s="173" t="s">
        <v>410</v>
      </c>
      <c r="B15" s="174" t="n">
        <v>5.26</v>
      </c>
      <c r="C15" s="174" t="n">
        <v>76.71</v>
      </c>
      <c r="D15" s="174" t="s">
        <v>732</v>
      </c>
      <c r="E15" s="174" t="s">
        <v>733</v>
      </c>
      <c r="F15" s="174" t="s">
        <v>734</v>
      </c>
      <c r="G15" s="174" t="s">
        <v>735</v>
      </c>
      <c r="H15" s="174" t="s">
        <v>736</v>
      </c>
    </row>
    <row r="16" customFormat="false" ht="15" hidden="false" customHeight="false" outlineLevel="0" collapsed="false">
      <c r="A16" s="173" t="s">
        <v>457</v>
      </c>
      <c r="B16" s="175" t="n">
        <v>727</v>
      </c>
      <c r="C16" s="175" t="n">
        <v>388</v>
      </c>
      <c r="D16" s="174" t="n">
        <v>6</v>
      </c>
      <c r="E16" s="174" t="s">
        <v>730</v>
      </c>
      <c r="F16" s="174" t="s">
        <v>730</v>
      </c>
      <c r="G16" s="174" t="n">
        <v>368</v>
      </c>
      <c r="H16" s="174" t="n">
        <v>569</v>
      </c>
    </row>
    <row r="17" customFormat="false" ht="15" hidden="false" customHeight="false" outlineLevel="0" collapsed="false">
      <c r="A17" s="173" t="s">
        <v>420</v>
      </c>
      <c r="B17" s="174" t="n">
        <v>1184.59</v>
      </c>
      <c r="C17" s="174" t="n">
        <v>1267.07</v>
      </c>
      <c r="D17" s="174" t="n">
        <v>120</v>
      </c>
      <c r="E17" s="174" t="n">
        <v>667.73</v>
      </c>
      <c r="F17" s="174" t="s">
        <v>730</v>
      </c>
      <c r="G17" s="174" t="s">
        <v>730</v>
      </c>
      <c r="H17" s="174" t="s">
        <v>730</v>
      </c>
    </row>
    <row r="18" customFormat="false" ht="15" hidden="false" customHeight="false" outlineLevel="0" collapsed="false">
      <c r="A18" s="173" t="s">
        <v>359</v>
      </c>
      <c r="B18" s="176" t="s">
        <v>737</v>
      </c>
      <c r="C18" s="176"/>
      <c r="D18" s="174" t="s">
        <v>730</v>
      </c>
      <c r="E18" s="174" t="s">
        <v>730</v>
      </c>
      <c r="F18" s="174" t="n">
        <v>71.88</v>
      </c>
      <c r="G18" s="174" t="n">
        <v>915.33</v>
      </c>
      <c r="H18" s="174" t="n">
        <v>40.6</v>
      </c>
    </row>
  </sheetData>
  <mergeCells count="1">
    <mergeCell ref="B18:C18"/>
  </mergeCells>
  <conditionalFormatting sqref="A1:A18">
    <cfRule type="duplicateValues" priority="2" aboveAverage="0" equalAverage="0" bottom="0" percent="0" rank="0" text="" dxfId="11"/>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true"/>
  </sheetPr>
  <dimension ref="A1:BL67"/>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selection pane="topLeft" activeCell="BQ20" activeCellId="0" sqref="BQ20"/>
    </sheetView>
  </sheetViews>
  <sheetFormatPr defaultColWidth="8.5390625" defaultRowHeight="15" zeroHeight="false" outlineLevelRow="0" outlineLevelCol="0"/>
  <cols>
    <col collapsed="false" customWidth="true" hidden="false" outlineLevel="0" max="1" min="1" style="0" width="12.29"/>
    <col collapsed="false" customWidth="true" hidden="false" outlineLevel="0" max="2" min="2" style="0" width="19.71"/>
    <col collapsed="false" customWidth="true" hidden="false" outlineLevel="0" max="3" min="3" style="0" width="53.71"/>
    <col collapsed="false" customWidth="true" hidden="false" outlineLevel="0" max="4" min="4" style="0" width="17.43"/>
    <col collapsed="false" customWidth="true" hidden="false" outlineLevel="0" max="5" min="5" style="0" width="12.29"/>
    <col collapsed="false" customWidth="true" hidden="false" outlineLevel="0" max="6" min="6" style="0" width="10.57"/>
    <col collapsed="false" customWidth="true" hidden="false" outlineLevel="0" max="7" min="7" style="0" width="12.86"/>
    <col collapsed="false" customWidth="true" hidden="true" outlineLevel="0" max="9" min="9" style="0" width="9.14"/>
    <col collapsed="false" customWidth="true" hidden="true" outlineLevel="0" max="11" min="10" style="1" width="13.29"/>
    <col collapsed="false" customWidth="true" hidden="true" outlineLevel="0" max="12" min="12" style="1" width="41.43"/>
    <col collapsed="false" customWidth="true" hidden="true" outlineLevel="0" max="16" min="13" style="1" width="13.29"/>
    <col collapsed="false" customWidth="true" hidden="true" outlineLevel="0" max="17" min="17" style="0" width="3.57"/>
    <col collapsed="false" customWidth="true" hidden="true" outlineLevel="0" max="19" min="18" style="0" width="13.29"/>
    <col collapsed="false" customWidth="true" hidden="true" outlineLevel="0" max="20" min="20" style="0" width="41.43"/>
    <col collapsed="false" customWidth="true" hidden="true" outlineLevel="0" max="24" min="21" style="0" width="13.29"/>
    <col collapsed="false" customWidth="true" hidden="true" outlineLevel="0" max="25" min="25" style="0" width="3.57"/>
    <col collapsed="false" customWidth="true" hidden="true" outlineLevel="0" max="27" min="26" style="1" width="13.29"/>
    <col collapsed="false" customWidth="true" hidden="true" outlineLevel="0" max="28" min="28" style="1" width="41.28"/>
    <col collapsed="false" customWidth="true" hidden="true" outlineLevel="0" max="32" min="29" style="1" width="13.29"/>
    <col collapsed="false" customWidth="true" hidden="true" outlineLevel="0" max="33" min="33" style="0" width="3.57"/>
    <col collapsed="false" customWidth="true" hidden="true" outlineLevel="0" max="35" min="34" style="0" width="13.29"/>
    <col collapsed="false" customWidth="true" hidden="true" outlineLevel="0" max="36" min="36" style="0" width="41.28"/>
    <col collapsed="false" customWidth="true" hidden="true" outlineLevel="0" max="40" min="37" style="0" width="13.29"/>
    <col collapsed="false" customWidth="true" hidden="true" outlineLevel="0" max="41" min="41" style="0" width="3.57"/>
    <col collapsed="false" customWidth="true" hidden="true" outlineLevel="0" max="43" min="42" style="1" width="13.29"/>
    <col collapsed="false" customWidth="true" hidden="true" outlineLevel="0" max="44" min="44" style="1" width="41.57"/>
    <col collapsed="false" customWidth="true" hidden="true" outlineLevel="0" max="48" min="45" style="1" width="13.29"/>
    <col collapsed="false" customWidth="true" hidden="true" outlineLevel="0" max="49" min="49" style="0" width="3.57"/>
    <col collapsed="false" customWidth="true" hidden="true" outlineLevel="0" max="51" min="50" style="0" width="13.29"/>
    <col collapsed="false" customWidth="true" hidden="true" outlineLevel="0" max="52" min="52" style="0" width="41.43"/>
    <col collapsed="false" customWidth="true" hidden="true" outlineLevel="0" max="56" min="53" style="0" width="13.29"/>
    <col collapsed="false" customWidth="true" hidden="true" outlineLevel="0" max="57" min="57" style="0" width="3.57"/>
    <col collapsed="false" customWidth="true" hidden="true" outlineLevel="0" max="59" min="58" style="1" width="13.29"/>
    <col collapsed="false" customWidth="true" hidden="true" outlineLevel="0" max="60" min="60" style="1" width="41.43"/>
    <col collapsed="false" customWidth="true" hidden="true" outlineLevel="0" max="64" min="61" style="1" width="13.29"/>
  </cols>
  <sheetData>
    <row r="1" customFormat="false" ht="39.75" hidden="false" customHeight="true" outlineLevel="0" collapsed="false">
      <c r="A1" s="3" t="str">
        <f aca="false">HYPERLINK("#'General Information'!D9","◄ General Information")</f>
        <v>◄ General Information</v>
      </c>
      <c r="B1" s="3"/>
      <c r="C1" s="4" t="str">
        <f aca="false">HYPERLINK("#Summary!G1","Summary")</f>
        <v>Summary</v>
      </c>
      <c r="D1" s="5" t="str">
        <f aca="false">$A$33</f>
        <v>HMA Reconstruction - Alternative 1</v>
      </c>
      <c r="I1" s="6" t="s">
        <v>0</v>
      </c>
    </row>
    <row r="2" customFormat="false" ht="15" hidden="false" customHeight="false" outlineLevel="0" collapsed="false">
      <c r="A2" s="7" t="s">
        <v>1</v>
      </c>
      <c r="J2" s="10" t="s">
        <v>3</v>
      </c>
      <c r="R2" s="7" t="s">
        <v>665</v>
      </c>
      <c r="Z2" s="10" t="s">
        <v>666</v>
      </c>
      <c r="AH2" s="7" t="s">
        <v>671</v>
      </c>
      <c r="AP2" s="10" t="s">
        <v>4</v>
      </c>
      <c r="AX2" s="7" t="s">
        <v>677</v>
      </c>
      <c r="BF2" s="10" t="s">
        <v>678</v>
      </c>
    </row>
    <row r="3" customFormat="false" ht="25.5" hidden="false" customHeight="true" outlineLevel="0" collapsed="false">
      <c r="A3" s="11" t="s">
        <v>701</v>
      </c>
      <c r="B3" s="11"/>
      <c r="C3" s="11"/>
      <c r="D3" s="11"/>
      <c r="E3" s="11"/>
      <c r="F3" s="11"/>
      <c r="G3" s="11"/>
    </row>
    <row r="4" customFormat="false" ht="15" hidden="false" customHeight="false" outlineLevel="0" collapsed="false">
      <c r="A4" s="12" t="s">
        <v>6</v>
      </c>
      <c r="B4" s="13"/>
      <c r="C4" s="14" t="s">
        <v>643</v>
      </c>
      <c r="D4" s="13"/>
    </row>
    <row r="5" customFormat="false" ht="15" hidden="false" customHeight="false" outlineLevel="0" collapsed="false">
      <c r="A5" s="12" t="s">
        <v>9</v>
      </c>
      <c r="B5" s="13"/>
      <c r="C5" s="14" t="n">
        <f aca="false">'General Information'!D26</f>
        <v>45883</v>
      </c>
      <c r="D5" s="13" t="s">
        <v>10</v>
      </c>
    </row>
    <row r="6" customFormat="false" ht="15" hidden="false" customHeight="false" outlineLevel="0" collapsed="false">
      <c r="A6" s="12" t="s">
        <v>12</v>
      </c>
      <c r="B6" s="13"/>
      <c r="C6" s="14" t="n">
        <f aca="false">'General Information'!D25</f>
        <v>2028</v>
      </c>
      <c r="D6" s="13"/>
      <c r="AP6" s="1" t="s">
        <v>704</v>
      </c>
      <c r="AQ6" s="1" t="n">
        <v>2</v>
      </c>
      <c r="AR6" s="1" t="s">
        <v>705</v>
      </c>
    </row>
    <row r="7" customFormat="false" ht="15" hidden="false" customHeight="false" outlineLevel="0" collapsed="false">
      <c r="A7" s="12" t="s">
        <v>706</v>
      </c>
      <c r="B7" s="13"/>
      <c r="C7" s="14" t="s">
        <v>603</v>
      </c>
      <c r="D7" s="13" t="s">
        <v>707</v>
      </c>
      <c r="AP7" s="1" t="s">
        <v>709</v>
      </c>
      <c r="AQ7" s="1" t="n">
        <v>120</v>
      </c>
      <c r="AR7" s="1" t="s">
        <v>710</v>
      </c>
    </row>
    <row r="8" customFormat="false" ht="15" hidden="false" customHeight="false" outlineLevel="0" collapsed="false">
      <c r="A8" s="12" t="s">
        <v>13</v>
      </c>
      <c r="B8" s="13"/>
      <c r="C8" s="14" t="n">
        <f aca="false">'General Information'!D28</f>
        <v>12000</v>
      </c>
      <c r="D8" s="13" t="s">
        <v>14</v>
      </c>
    </row>
    <row r="9" customFormat="false" ht="15" hidden="false" customHeight="false" outlineLevel="0" collapsed="false">
      <c r="C9" s="156"/>
      <c r="AP9" s="1" t="s">
        <v>712</v>
      </c>
      <c r="AQ9" s="1" t="n">
        <v>0.1</v>
      </c>
      <c r="AR9" s="1" t="s">
        <v>713</v>
      </c>
    </row>
    <row r="10" customFormat="false" ht="15" hidden="false" customHeight="false" outlineLevel="0" collapsed="false">
      <c r="D10" s="20"/>
      <c r="I10" s="21" t="s">
        <v>17</v>
      </c>
    </row>
    <row r="11" customFormat="false" ht="27.75" hidden="false" customHeight="true" outlineLevel="0" collapsed="false">
      <c r="B11" s="22" t="s">
        <v>18</v>
      </c>
      <c r="C11" s="23" t="s">
        <v>19</v>
      </c>
      <c r="D11" s="11" t="str">
        <f aca="false">IF(OR($C$11="Regular",$C$11=""),"Regular is the statewide Unit Cost column on Pay_Items.","Prices from the "&amp;$C$11&amp;" column on Pay_Items: "&amp;SUM($I$13:$I$22)&amp;" of "&amp;COUNT($I$13:$I$22)&amp;" pay items used here have a "&amp;$C$11&amp;" cost, the rest fall back to Unit Cost.")</f>
        <v>Regular is the statewide Unit Cost column on Pay_Items.</v>
      </c>
      <c r="E11" s="11"/>
      <c r="F11" s="11"/>
      <c r="G11" s="11"/>
      <c r="I11" s="21" t="n">
        <f aca="false">IFERROR(MATCH($C$11,PriceSources,0),1)</f>
        <v>1</v>
      </c>
    </row>
    <row r="12" customFormat="false" ht="19.5" hidden="false" customHeight="true" outlineLevel="0" collapsed="false">
      <c r="A12" s="24" t="s">
        <v>20</v>
      </c>
      <c r="B12" s="24" t="s">
        <v>21</v>
      </c>
      <c r="C12" s="24" t="s">
        <v>22</v>
      </c>
      <c r="D12" s="25" t="s">
        <v>23</v>
      </c>
      <c r="E12" s="25" t="s">
        <v>24</v>
      </c>
      <c r="F12" s="25" t="s">
        <v>25</v>
      </c>
      <c r="G12" s="25" t="s">
        <v>26</v>
      </c>
      <c r="J12" s="1" t="s">
        <v>20</v>
      </c>
      <c r="K12" s="1" t="s">
        <v>21</v>
      </c>
      <c r="L12" s="1" t="s">
        <v>22</v>
      </c>
      <c r="M12" s="1" t="s">
        <v>23</v>
      </c>
      <c r="N12" s="1" t="s">
        <v>24</v>
      </c>
      <c r="O12" s="1" t="s">
        <v>25</v>
      </c>
      <c r="P12" s="1" t="s">
        <v>26</v>
      </c>
      <c r="R12" s="6" t="s">
        <v>20</v>
      </c>
      <c r="S12" s="6" t="s">
        <v>21</v>
      </c>
      <c r="T12" s="6" t="s">
        <v>22</v>
      </c>
      <c r="U12" s="6" t="s">
        <v>23</v>
      </c>
      <c r="V12" s="6" t="s">
        <v>24</v>
      </c>
      <c r="W12" s="6" t="s">
        <v>25</v>
      </c>
      <c r="X12" s="6" t="s">
        <v>26</v>
      </c>
      <c r="Z12" s="1" t="s">
        <v>20</v>
      </c>
      <c r="AA12" s="1" t="s">
        <v>21</v>
      </c>
      <c r="AB12" s="1" t="s">
        <v>22</v>
      </c>
      <c r="AC12" s="1" t="s">
        <v>23</v>
      </c>
      <c r="AD12" s="1" t="s">
        <v>24</v>
      </c>
      <c r="AE12" s="1" t="s">
        <v>25</v>
      </c>
      <c r="AF12" s="1" t="s">
        <v>26</v>
      </c>
      <c r="AH12" s="6" t="s">
        <v>20</v>
      </c>
      <c r="AI12" s="6" t="s">
        <v>21</v>
      </c>
      <c r="AJ12" s="6" t="s">
        <v>22</v>
      </c>
      <c r="AK12" s="6" t="s">
        <v>23</v>
      </c>
      <c r="AL12" s="6" t="s">
        <v>24</v>
      </c>
      <c r="AM12" s="6" t="s">
        <v>25</v>
      </c>
      <c r="AN12" s="6" t="s">
        <v>26</v>
      </c>
      <c r="AP12" s="1" t="s">
        <v>20</v>
      </c>
      <c r="AQ12" s="1" t="s">
        <v>21</v>
      </c>
      <c r="AR12" s="1" t="s">
        <v>22</v>
      </c>
      <c r="AS12" s="1" t="s">
        <v>23</v>
      </c>
      <c r="AT12" s="1" t="s">
        <v>24</v>
      </c>
      <c r="AU12" s="1" t="s">
        <v>25</v>
      </c>
      <c r="AV12" s="1" t="s">
        <v>26</v>
      </c>
      <c r="AX12" s="6" t="s">
        <v>20</v>
      </c>
      <c r="AY12" s="6" t="s">
        <v>21</v>
      </c>
      <c r="AZ12" s="6" t="s">
        <v>22</v>
      </c>
      <c r="BA12" s="6" t="s">
        <v>23</v>
      </c>
      <c r="BB12" s="6" t="s">
        <v>24</v>
      </c>
      <c r="BC12" s="6" t="s">
        <v>25</v>
      </c>
      <c r="BD12" s="6" t="s">
        <v>26</v>
      </c>
      <c r="BF12" s="1" t="s">
        <v>20</v>
      </c>
      <c r="BG12" s="1" t="s">
        <v>21</v>
      </c>
      <c r="BH12" s="1" t="s">
        <v>22</v>
      </c>
      <c r="BI12" s="1" t="s">
        <v>23</v>
      </c>
      <c r="BJ12" s="1" t="s">
        <v>24</v>
      </c>
      <c r="BK12" s="1" t="s">
        <v>25</v>
      </c>
      <c r="BL12" s="1" t="s">
        <v>26</v>
      </c>
    </row>
    <row r="13" customFormat="false" ht="19.5" hidden="false" customHeight="true" outlineLevel="0" collapsed="false">
      <c r="A13" s="0" t="n">
        <v>1</v>
      </c>
      <c r="B13" s="26" t="str">
        <f aca="false">IF(C13="","",VLOOKUP(C13,CHOOSE({1,2},Table2[Pay Item Description],Table2[Pay Item No.]),2,0))</f>
        <v/>
      </c>
      <c r="C13" s="27"/>
      <c r="D13" s="28" t="str">
        <f aca="false">IF(C13="","N/A",VLOOKUP(C13,CHOOSE({1,2},Table2[Pay Item Description],Table2[Units]),2,0))</f>
        <v>N/A</v>
      </c>
      <c r="E13" s="157"/>
      <c r="F13" s="30" t="str">
        <f aca="false">IF(C13="","N/A",IF(INDEX(UnitCostGrid,MATCH(C13,PayItemKeys,0),$I$11)="",INDEX(UnitCostGrid,MATCH(C13,PayItemKeys,0),1),INDEX(UnitCostGrid,MATCH(C13,PayItemKeys,0),$I$11)))</f>
        <v>N/A</v>
      </c>
      <c r="G13" s="31" t="n">
        <f aca="false">IF(C13="",0,F13*E13)</f>
        <v>0</v>
      </c>
      <c r="I13" s="21" t="str">
        <f aca="false">IF(C13="","",IF(INDEX(UnitCostGrid,MATCH(C13,PayItemKeys,0),$I$11)="",0,1))</f>
        <v/>
      </c>
      <c r="J13" s="1" t="n">
        <v>1</v>
      </c>
      <c r="K13" s="158" t="str">
        <f aca="false">IF(L13="",0,VLOOKUP(L13,CHOOSE({1,2},Table2[Pay Item Description],Table2[Pay Item No.]),2,0))</f>
        <v>P-608-8.1</v>
      </c>
      <c r="L13" s="1" t="str">
        <f aca="false">C7</f>
        <v>Emulsified Asphalt Surface Treatment</v>
      </c>
      <c r="M13" s="159" t="str">
        <f aca="false">VLOOKUP(L13,CHOOSE({1,2},Table2[Pay Item Description],Table2[Units]),2,0)</f>
        <v>S.Y.</v>
      </c>
      <c r="N13" s="160" t="n">
        <f aca="false">'Maintenance Policies'!D10*$C$5</f>
        <v>45883</v>
      </c>
      <c r="O13" s="161" t="n">
        <f aca="false">IF(L13="","N/A",IF(INDEX(UnitCostGrid,MATCH(L13,PayItemKeys,0),$I$11)="",INDEX(UnitCostGrid,MATCH(L13,PayItemKeys,0),1),INDEX(UnitCostGrid,MATCH(L13,PayItemKeys,0),$I$11)))</f>
        <v>4</v>
      </c>
      <c r="P13" s="34" t="n">
        <f aca="false">O13*N13</f>
        <v>183532</v>
      </c>
      <c r="R13" s="0" t="n">
        <v>1</v>
      </c>
      <c r="S13" s="26" t="str">
        <f aca="false">IF(T13="",0,VLOOKUP(T13,CHOOSE({1,2},Table2[Pay Item Description],Table2[Pay Item No.]),2,0))</f>
        <v>P-608-8.1</v>
      </c>
      <c r="T13" s="0" t="str">
        <f aca="false">C7</f>
        <v>Emulsified Asphalt Surface Treatment</v>
      </c>
      <c r="U13" s="28" t="str">
        <f aca="false">VLOOKUP(T13,CHOOSE({1,2},Table2[Pay Item Description],Table2[Units]),2,0)</f>
        <v>S.Y.</v>
      </c>
      <c r="V13" s="162" t="n">
        <f aca="false">'Maintenance Policies'!D12*$C$5</f>
        <v>45883</v>
      </c>
      <c r="W13" s="163" t="n">
        <f aca="false">IF(T13="","N/A",IF(INDEX(UnitCostGrid,MATCH(T13,PayItemKeys,0),$I$11)="",INDEX(UnitCostGrid,MATCH(T13,PayItemKeys,0),1),INDEX(UnitCostGrid,MATCH(T13,PayItemKeys,0),$I$11)))</f>
        <v>4</v>
      </c>
      <c r="X13" s="37" t="n">
        <f aca="false">W13*V13</f>
        <v>183532</v>
      </c>
      <c r="Z13" s="1" t="n">
        <v>1</v>
      </c>
      <c r="AA13" s="1" t="str">
        <f aca="false">IF(AB13="",0,VLOOKUP(AB13,CHOOSE({1,2},Table2[Pay Item Description],Table2[Pay Item No.]),2,0))</f>
        <v>P-101-5.4a</v>
      </c>
      <c r="AB13" s="1" t="str">
        <f aca="false">Pay_Items!D11</f>
        <v>Spall Repair, Asphalt</v>
      </c>
      <c r="AC13" s="164" t="str">
        <f aca="false">IF(AB13="","N/A",VLOOKUP(AB13,CHOOSE({1,2},Table2[Pay Item Description],Table2[Units]),2,0))</f>
        <v>S.F.</v>
      </c>
      <c r="AD13" s="160" t="n">
        <f aca="false">'Maintenance Policies'!D14*($C$5*9)</f>
        <v>3097.1025</v>
      </c>
      <c r="AE13" s="165" t="n">
        <f aca="false">IF(AB13="","N/A",IF(INDEX(UnitCostGrid,MATCH(AB13,PayItemKeys,0),$I$11)="",INDEX(UnitCostGrid,MATCH(AB13,PayItemKeys,0),1),INDEX(UnitCostGrid,MATCH(AB13,PayItemKeys,0),$I$11)))</f>
        <v>8.5</v>
      </c>
      <c r="AF13" s="34" t="n">
        <f aca="false">AE13*AD13</f>
        <v>26325.37125</v>
      </c>
      <c r="AH13" s="0" t="n">
        <v>1</v>
      </c>
      <c r="AI13" s="0" t="str">
        <f aca="false">IF(AJ13="",0,VLOOKUP(AJ13,CHOOSE({1,2},Table2[Pay Item Description],Table2[Pay Item No.]),2,0))</f>
        <v>P-101-5.4a</v>
      </c>
      <c r="AJ13" s="0" t="str">
        <f aca="false">Pay_Items!D11</f>
        <v>Spall Repair, Asphalt</v>
      </c>
      <c r="AK13" s="166" t="str">
        <f aca="false">IF(AJ13="","N/A",VLOOKUP(AJ13,CHOOSE({1,2},Table2[Pay Item Description],Table2[Units]),2,0))</f>
        <v>S.F.</v>
      </c>
      <c r="AL13" s="162" t="n">
        <f aca="false">'Maintenance Policies'!D18*($C$5*9)</f>
        <v>4129.47</v>
      </c>
      <c r="AM13" s="167" t="n">
        <f aca="false">IF(AJ13="","N/A",IF(INDEX(UnitCostGrid,MATCH(AJ13,PayItemKeys,0),$I$11)="",INDEX(UnitCostGrid,MATCH(AJ13,PayItemKeys,0),1),INDEX(UnitCostGrid,MATCH(AJ13,PayItemKeys,0),$I$11)))</f>
        <v>8.5</v>
      </c>
      <c r="AN13" s="37" t="n">
        <f aca="false">AM13*AL13</f>
        <v>35100.495</v>
      </c>
      <c r="AP13" s="1" t="n">
        <v>1</v>
      </c>
      <c r="AQ13" s="1" t="str">
        <f aca="false">IF(AR13="",0,VLOOKUP(AR13,CHOOSE({1,2},Table2[Pay Item Description],Table2[Pay Item No.]),2,0))</f>
        <v>P-101-5.6</v>
      </c>
      <c r="AR13" s="1" t="str">
        <f aca="false">Pay_Items!D16</f>
        <v>Cold Milling</v>
      </c>
      <c r="AS13" s="164" t="str">
        <f aca="false">IF(AR13="","N/A",VLOOKUP(AR13,CHOOSE({1,2},Table2[Pay Item Description],Table2[Units]),2,0))</f>
        <v>S.Y.</v>
      </c>
      <c r="AT13" s="160" t="n">
        <f aca="false">'Maintenance Policies'!D22*$C$5</f>
        <v>45883</v>
      </c>
      <c r="AU13" s="165" t="n">
        <f aca="false">IF(AR13="","N/A",IF(INDEX(UnitCostGrid,MATCH(AR13,PayItemKeys,0),$I$11)="",INDEX(UnitCostGrid,MATCH(AR13,PayItemKeys,0),1),INDEX(UnitCostGrid,MATCH(AR13,PayItemKeys,0),$I$11)))</f>
        <v>5</v>
      </c>
      <c r="AV13" s="34" t="n">
        <f aca="false">AU13*AT13</f>
        <v>229415</v>
      </c>
      <c r="AX13" s="0" t="n">
        <v>1</v>
      </c>
      <c r="AY13" s="26" t="str">
        <f aca="false">IF(AZ13="",0,VLOOKUP(AZ13,CHOOSE({1,2},Table2[Pay Item Description],Table2[Pay Item No.]),2,0))</f>
        <v>P-608-8.1</v>
      </c>
      <c r="AZ13" s="0" t="str">
        <f aca="false">C7</f>
        <v>Emulsified Asphalt Surface Treatment</v>
      </c>
      <c r="BA13" s="28" t="str">
        <f aca="false">IF(AZ13="","N/A",VLOOKUP(AZ13,CHOOSE({1,2},Table2[Pay Item Description],Table2[Units]),2,0))</f>
        <v>S.Y.</v>
      </c>
      <c r="BB13" s="162" t="n">
        <f aca="false">'Maintenance Policies'!D26*$C$5</f>
        <v>45883</v>
      </c>
      <c r="BC13" s="163" t="n">
        <f aca="false">IF(AZ13="","N/A",IF(INDEX(UnitCostGrid,MATCH(AZ13,PayItemKeys,0),$I$11)="",INDEX(UnitCostGrid,MATCH(AZ13,PayItemKeys,0),1),INDEX(UnitCostGrid,MATCH(AZ13,PayItemKeys,0),$I$11)))</f>
        <v>4</v>
      </c>
      <c r="BD13" s="37" t="n">
        <f aca="false">BC13*BB13</f>
        <v>183532</v>
      </c>
      <c r="BF13" s="1" t="n">
        <v>1</v>
      </c>
      <c r="BG13" s="1" t="str">
        <f aca="false">IF(BH13="",0,VLOOKUP(BH13,CHOOSE({1,2},Table2[Pay Item Description],Table2[Pay Item No.]),2,0))</f>
        <v>P-101-5.4a</v>
      </c>
      <c r="BH13" s="1" t="str">
        <f aca="false">Pay_Items!D11</f>
        <v>Spall Repair, Asphalt</v>
      </c>
      <c r="BI13" s="164" t="str">
        <f aca="false">IF(BH13="","N/A",VLOOKUP(BH13,CHOOSE({1,2},Table2[Pay Item Description],Table2[Units]),2,0))</f>
        <v>S.F.</v>
      </c>
      <c r="BJ13" s="160" t="n">
        <f aca="false">'Maintenance Policies'!D28*($C$5*9)</f>
        <v>5161.8375</v>
      </c>
      <c r="BK13" s="165" t="n">
        <f aca="false">IF(BH13="","N/A",IF(INDEX(UnitCostGrid,MATCH(BH13,PayItemKeys,0),$I$11)="",INDEX(UnitCostGrid,MATCH(BH13,PayItemKeys,0),1),INDEX(UnitCostGrid,MATCH(BH13,PayItemKeys,0),$I$11)))</f>
        <v>8.5</v>
      </c>
      <c r="BL13" s="34" t="n">
        <f aca="false">BK13*BJ13</f>
        <v>43875.61875</v>
      </c>
    </row>
    <row r="14" customFormat="false" ht="19.5" hidden="false" customHeight="true" outlineLevel="0" collapsed="false">
      <c r="A14" s="0" t="n">
        <v>2</v>
      </c>
      <c r="B14" s="26" t="str">
        <f aca="false">IF(C14="","",VLOOKUP(C14,CHOOSE({1,2},Table2[Pay Item Description],Table2[Pay Item No.]),2,0))</f>
        <v/>
      </c>
      <c r="C14" s="27"/>
      <c r="D14" s="28" t="str">
        <f aca="false">IF(C14="","N/A",VLOOKUP(C14,CHOOSE({1,2},Table2[Pay Item Description],Table2[Units]),2,0))</f>
        <v>N/A</v>
      </c>
      <c r="E14" s="157"/>
      <c r="F14" s="30" t="str">
        <f aca="false">IF(C14="","N/A",IF(INDEX(UnitCostGrid,MATCH(C14,PayItemKeys,0),$I$11)="",INDEX(UnitCostGrid,MATCH(C14,PayItemKeys,0),1),INDEX(UnitCostGrid,MATCH(C14,PayItemKeys,0),$I$11)))</f>
        <v>N/A</v>
      </c>
      <c r="G14" s="31" t="n">
        <f aca="false">IF(C14="",0,F14*E14)</f>
        <v>0</v>
      </c>
      <c r="I14" s="21" t="str">
        <f aca="false">IF(C14="","",IF(INDEX(UnitCostGrid,MATCH(C14,PayItemKeys,0),$I$11)="",0,1))</f>
        <v/>
      </c>
      <c r="J14" s="1" t="n">
        <v>2</v>
      </c>
      <c r="K14" s="1" t="str">
        <f aca="false">IF(L14="",0,VLOOKUP(L14,CHOOSE({1,2},Table2[Pay Item Description],Table2[Pay Item No.]),2,0))</f>
        <v>P-101-5.3</v>
      </c>
      <c r="L14" s="1" t="str">
        <f aca="false">Pay_Items!D10</f>
        <v>Markings Removal</v>
      </c>
      <c r="M14" s="164" t="str">
        <f aca="false">IF(L14="","N/A",VLOOKUP(L14,CHOOSE({1,2},Table2[Pay Item Description],Table2[Units]),2,0))</f>
        <v>S.F.</v>
      </c>
      <c r="N14" s="160" t="n">
        <f aca="false">'Maintenance Policies'!D10*$C$8</f>
        <v>12000</v>
      </c>
      <c r="O14" s="165" t="n">
        <f aca="false">IF(L14="","N/A",IF(INDEX(UnitCostGrid,MATCH(L14,PayItemKeys,0),$I$11)="",INDEX(UnitCostGrid,MATCH(L14,PayItemKeys,0),1),INDEX(UnitCostGrid,MATCH(L14,PayItemKeys,0),$I$11)))</f>
        <v>0.777777777777778</v>
      </c>
      <c r="P14" s="34" t="n">
        <f aca="false">O14*N14</f>
        <v>9333.33333333333</v>
      </c>
      <c r="R14" s="0" t="n">
        <v>2</v>
      </c>
      <c r="S14" s="0" t="str">
        <f aca="false">IF(T14="",0,VLOOKUP(T14,CHOOSE({1,2},Table2[Pay Item Description],Table2[Pay Item No.]),2,0))</f>
        <v>P-101-5.3</v>
      </c>
      <c r="T14" s="0" t="str">
        <f aca="false">Pay_Items!D10</f>
        <v>Markings Removal</v>
      </c>
      <c r="U14" s="166" t="str">
        <f aca="false">IF(T14="","N/A",VLOOKUP(T14,CHOOSE({1,2},Table2[Pay Item Description],Table2[Units]),2,0))</f>
        <v>S.F.</v>
      </c>
      <c r="V14" s="162" t="n">
        <f aca="false">'Maintenance Policies'!D12*$C$8</f>
        <v>12000</v>
      </c>
      <c r="W14" s="167" t="n">
        <f aca="false">IF(T14="","N/A",IF(INDEX(UnitCostGrid,MATCH(T14,PayItemKeys,0),$I$11)="",INDEX(UnitCostGrid,MATCH(T14,PayItemKeys,0),1),INDEX(UnitCostGrid,MATCH(T14,PayItemKeys,0),$I$11)))</f>
        <v>0.777777777777778</v>
      </c>
      <c r="X14" s="37" t="n">
        <f aca="false">W14*V14</f>
        <v>9333.33333333333</v>
      </c>
      <c r="Z14" s="1" t="n">
        <v>2</v>
      </c>
      <c r="AA14" s="1" t="str">
        <f aca="false">IF(AB14="",0,VLOOKUP(AB14,CHOOSE({1,2},Table2[Pay Item Description],Table2[Pay Item No.]),2,0))</f>
        <v>P-101-5.2a</v>
      </c>
      <c r="AB14" s="1" t="str">
        <f aca="false">Pay_Items!D6</f>
        <v>Crack Repair (Type I), Asphalt</v>
      </c>
      <c r="AC14" s="164" t="str">
        <f aca="false">IF(AB14="","N/A",VLOOKUP(AB14,CHOOSE({1,2},Table2[Pay Item Description],Table2[Units]),2,0))</f>
        <v>L.F.</v>
      </c>
      <c r="AD14" s="160" t="n">
        <f aca="false">'Maintenance Policies'!D15*($C$5*9)</f>
        <v>13420.7775</v>
      </c>
      <c r="AE14" s="165" t="n">
        <f aca="false">IF(AB14="","N/A",IF(INDEX(UnitCostGrid,MATCH(AB14,PayItemKeys,0),$I$11)="",INDEX(UnitCostGrid,MATCH(AB14,PayItemKeys,0),1),INDEX(UnitCostGrid,MATCH(AB14,PayItemKeys,0),$I$11)))</f>
        <v>4</v>
      </c>
      <c r="AF14" s="34" t="n">
        <f aca="false">AE14*AD14</f>
        <v>53683.11</v>
      </c>
      <c r="AH14" s="0" t="n">
        <v>2</v>
      </c>
      <c r="AI14" s="0" t="str">
        <f aca="false">IF(AJ14="",0,VLOOKUP(AJ14,CHOOSE({1,2},Table2[Pay Item Description],Table2[Pay Item No.]),2,0))</f>
        <v>P-101-5.2a</v>
      </c>
      <c r="AJ14" s="0" t="str">
        <f aca="false">Pay_Items!D6</f>
        <v>Crack Repair (Type I), Asphalt</v>
      </c>
      <c r="AK14" s="166" t="str">
        <f aca="false">IF(AJ14="","N/A",VLOOKUP(AJ14,CHOOSE({1,2},Table2[Pay Item Description],Table2[Units]),2,0))</f>
        <v>L.F.</v>
      </c>
      <c r="AL14" s="162" t="n">
        <f aca="false">'Maintenance Policies'!D19*($C$5*9)</f>
        <v>14453.145</v>
      </c>
      <c r="AM14" s="167" t="n">
        <f aca="false">IF(AJ14="","N/A",IF(INDEX(UnitCostGrid,MATCH(AJ14,PayItemKeys,0),$I$11)="",INDEX(UnitCostGrid,MATCH(AJ14,PayItemKeys,0),1),INDEX(UnitCostGrid,MATCH(AJ14,PayItemKeys,0),$I$11)))</f>
        <v>4</v>
      </c>
      <c r="AN14" s="37" t="n">
        <f aca="false">AM14*AL14</f>
        <v>57812.58</v>
      </c>
      <c r="AP14" s="1" t="n">
        <v>2</v>
      </c>
      <c r="AQ14" s="1" t="str">
        <f aca="false">IF(AR14="",0,VLOOKUP(AR14,CHOOSE({1,2},Table2[Pay Item Description],Table2[Pay Item No.]),2,0))</f>
        <v>P-603-5.1</v>
      </c>
      <c r="AR14" s="1" t="str">
        <f aca="false">Pay_Items!D54</f>
        <v>Emulsified Asphalt Tack Coat</v>
      </c>
      <c r="AS14" s="164" t="str">
        <f aca="false">IF(AR14="","N/A",VLOOKUP(AR14,CHOOSE({1,2},Table2[Pay Item Description],Table2[Units]),2,0))</f>
        <v>GAL</v>
      </c>
      <c r="AT14" s="160" t="n">
        <f aca="false">'Maintenance Policies'!D22*$C$5*AQ9</f>
        <v>4588.3</v>
      </c>
      <c r="AU14" s="165" t="n">
        <f aca="false">IF(AR14="","N/A",IF(INDEX(UnitCostGrid,MATCH(AR14,PayItemKeys,0),$I$11)="",INDEX(UnitCostGrid,MATCH(AR14,PayItemKeys,0),1),INDEX(UnitCostGrid,MATCH(AR14,PayItemKeys,0),$I$11)))</f>
        <v>4.5</v>
      </c>
      <c r="AV14" s="34" t="n">
        <f aca="false">AU14*AT14</f>
        <v>20647.35</v>
      </c>
      <c r="AX14" s="0" t="n">
        <v>2</v>
      </c>
      <c r="AY14" s="0" t="str">
        <f aca="false">IF(AZ14="",0,VLOOKUP(AZ14,CHOOSE({1,2},Table2[Pay Item Description],Table2[Pay Item No.]),2,0))</f>
        <v>P-101-5.3</v>
      </c>
      <c r="AZ14" s="0" t="str">
        <f aca="false">Pay_Items!D10</f>
        <v>Markings Removal</v>
      </c>
      <c r="BA14" s="166" t="str">
        <f aca="false">IF(AZ14="","N/A",VLOOKUP(AZ14,CHOOSE({1,2},Table2[Pay Item Description],Table2[Units]),2,0))</f>
        <v>S.F.</v>
      </c>
      <c r="BB14" s="162" t="n">
        <f aca="false">'Maintenance Policies'!D26*$C$8</f>
        <v>12000</v>
      </c>
      <c r="BC14" s="167" t="n">
        <f aca="false">IF(AZ14="","N/A",IF(INDEX(UnitCostGrid,MATCH(AZ14,PayItemKeys,0),$I$11)="",INDEX(UnitCostGrid,MATCH(AZ14,PayItemKeys,0),1),INDEX(UnitCostGrid,MATCH(AZ14,PayItemKeys,0),$I$11)))</f>
        <v>0.777777777777778</v>
      </c>
      <c r="BD14" s="37" t="n">
        <f aca="false">BC14*BB14</f>
        <v>9333.33333333333</v>
      </c>
      <c r="BF14" s="1" t="n">
        <v>2</v>
      </c>
      <c r="BG14" s="1" t="str">
        <f aca="false">IF(BH14="",0,VLOOKUP(BH14,CHOOSE({1,2},Table2[Pay Item Description],Table2[Pay Item No.]),2,0))</f>
        <v>P-101-5.2a</v>
      </c>
      <c r="BH14" s="1" t="str">
        <f aca="false">Pay_Items!D6</f>
        <v>Crack Repair (Type I), Asphalt</v>
      </c>
      <c r="BI14" s="164" t="str">
        <f aca="false">IF(BH14="","N/A",VLOOKUP(BH14,CHOOSE({1,2},Table2[Pay Item Description],Table2[Units]),2,0))</f>
        <v>L.F.</v>
      </c>
      <c r="BJ14" s="160" t="n">
        <f aca="false">'Maintenance Policies'!D29*($C$5*9)</f>
        <v>16517.88</v>
      </c>
      <c r="BK14" s="165" t="n">
        <f aca="false">IF(BH14="","N/A",IF(INDEX(UnitCostGrid,MATCH(BH14,PayItemKeys,0),$I$11)="",INDEX(UnitCostGrid,MATCH(BH14,PayItemKeys,0),1),INDEX(UnitCostGrid,MATCH(BH14,PayItemKeys,0),$I$11)))</f>
        <v>4</v>
      </c>
      <c r="BL14" s="34" t="n">
        <f aca="false">BK14*BJ14</f>
        <v>66071.52</v>
      </c>
    </row>
    <row r="15" customFormat="false" ht="19.5" hidden="false" customHeight="true" outlineLevel="0" collapsed="false">
      <c r="A15" s="0" t="n">
        <v>3</v>
      </c>
      <c r="B15" s="26" t="str">
        <f aca="false">IF(C15="","",VLOOKUP(C15,CHOOSE({1,2},Table2[Pay Item Description],Table2[Pay Item No.]),2,0))</f>
        <v/>
      </c>
      <c r="C15" s="27"/>
      <c r="D15" s="28" t="str">
        <f aca="false">IF(C15="","N/A",VLOOKUP(C15,CHOOSE({1,2},Table2[Pay Item Description],Table2[Units]),2,0))</f>
        <v>N/A</v>
      </c>
      <c r="E15" s="157"/>
      <c r="F15" s="30" t="str">
        <f aca="false">IF(C15="","N/A",IF(INDEX(UnitCostGrid,MATCH(C15,PayItemKeys,0),$I$11)="",INDEX(UnitCostGrid,MATCH(C15,PayItemKeys,0),1),INDEX(UnitCostGrid,MATCH(C15,PayItemKeys,0),$I$11)))</f>
        <v>N/A</v>
      </c>
      <c r="G15" s="31" t="n">
        <f aca="false">IF(C15="",0,F15*E15)</f>
        <v>0</v>
      </c>
      <c r="I15" s="21" t="str">
        <f aca="false">IF(C15="","",IF(INDEX(UnitCostGrid,MATCH(C15,PayItemKeys,0),$I$11)="",0,1))</f>
        <v/>
      </c>
      <c r="J15" s="1" t="n">
        <v>3</v>
      </c>
      <c r="K15" s="1" t="str">
        <f aca="false">IF(L15="",0,VLOOKUP(L15,CHOOSE({1,2},Table2[Pay Item Description],Table2[Pay Item No.]),2,0))</f>
        <v>P-620-5.1a</v>
      </c>
      <c r="L15" s="1" t="str">
        <f aca="false">Pay_Items!D56</f>
        <v>Markings (prep, markings, reflective media)</v>
      </c>
      <c r="M15" s="164" t="str">
        <f aca="false">IF(L15="","N/A",VLOOKUP(L15,CHOOSE({1,2},Table2[Pay Item Description],Table2[Units]),2,0))</f>
        <v>S.F.</v>
      </c>
      <c r="N15" s="160" t="n">
        <f aca="false">'Maintenance Policies'!D11*$C$8</f>
        <v>12000</v>
      </c>
      <c r="O15" s="165" t="n">
        <f aca="false">IF(L15="","N/A",IF(INDEX(UnitCostGrid,MATCH(L15,PayItemKeys,0),$I$11)="",INDEX(UnitCostGrid,MATCH(L15,PayItemKeys,0),1),INDEX(UnitCostGrid,MATCH(L15,PayItemKeys,0),$I$11)))</f>
        <v>0.666666666666667</v>
      </c>
      <c r="P15" s="34" t="n">
        <f aca="false">O15*N15</f>
        <v>8000</v>
      </c>
      <c r="R15" s="0" t="n">
        <v>3</v>
      </c>
      <c r="S15" s="0" t="str">
        <f aca="false">IF(T15="",0,VLOOKUP(T15,CHOOSE({1,2},Table2[Pay Item Description],Table2[Pay Item No.]),2,0))</f>
        <v>P-620-5.1a</v>
      </c>
      <c r="T15" s="0" t="str">
        <f aca="false">Pay_Items!D56</f>
        <v>Markings (prep, markings, reflective media)</v>
      </c>
      <c r="U15" s="166" t="str">
        <f aca="false">Pay_Items!E56</f>
        <v>S.F.</v>
      </c>
      <c r="V15" s="162" t="n">
        <f aca="false">'Maintenance Policies'!D13*$C$8</f>
        <v>12000</v>
      </c>
      <c r="W15" s="167" t="n">
        <f aca="false">IF(T15="","N/A",IF(INDEX(UnitCostGrid,MATCH(T15,PayItemKeys,0),$I$11)="",INDEX(UnitCostGrid,MATCH(T15,PayItemKeys,0),1),INDEX(UnitCostGrid,MATCH(T15,PayItemKeys,0),$I$11)))</f>
        <v>0.666666666666667</v>
      </c>
      <c r="X15" s="37" t="n">
        <f aca="false">W15*V15</f>
        <v>8000</v>
      </c>
      <c r="Z15" s="1" t="n">
        <v>3</v>
      </c>
      <c r="AA15" s="158" t="str">
        <f aca="false">IF(AB15="",0,VLOOKUP(AB15,CHOOSE({1,2},Table2[Pay Item Description],Table2[Pay Item No.]),2,0))</f>
        <v>P-608-8.1</v>
      </c>
      <c r="AB15" s="1" t="str">
        <f aca="false">C7</f>
        <v>Emulsified Asphalt Surface Treatment</v>
      </c>
      <c r="AC15" s="159" t="str">
        <f aca="false">IF(AB15="","N/A",VLOOKUP(AB15,CHOOSE({1,2},Table2[Pay Item Description],Table2[Units]),2,0))</f>
        <v>S.Y.</v>
      </c>
      <c r="AD15" s="160" t="n">
        <f aca="false">'Maintenance Policies'!D16*$C$5</f>
        <v>45883</v>
      </c>
      <c r="AE15" s="161" t="n">
        <f aca="false">IF(AB15="","N/A",IF(INDEX(UnitCostGrid,MATCH(AB15,PayItemKeys,0),$I$11)="",INDEX(UnitCostGrid,MATCH(AB15,PayItemKeys,0),1),INDEX(UnitCostGrid,MATCH(AB15,PayItemKeys,0),$I$11)))</f>
        <v>4</v>
      </c>
      <c r="AF15" s="34" t="n">
        <f aca="false">AE15*AD15</f>
        <v>183532</v>
      </c>
      <c r="AH15" s="0" t="n">
        <v>3</v>
      </c>
      <c r="AI15" s="26" t="str">
        <f aca="false">IF(AJ15="",0,VLOOKUP(AJ15,CHOOSE({1,2},Table2[Pay Item Description],Table2[Pay Item No.]),2,0))</f>
        <v>P-608-8.1</v>
      </c>
      <c r="AJ15" s="0" t="str">
        <f aca="false">C7</f>
        <v>Emulsified Asphalt Surface Treatment</v>
      </c>
      <c r="AK15" s="28" t="str">
        <f aca="false">IF(AJ15="","N/A",VLOOKUP(AJ15,CHOOSE({1,2},Table2[Pay Item Description],Table2[Units]),2,0))</f>
        <v>S.Y.</v>
      </c>
      <c r="AL15" s="162" t="n">
        <f aca="false">'Maintenance Policies'!D20*$C$5</f>
        <v>45883</v>
      </c>
      <c r="AM15" s="163" t="n">
        <f aca="false">IF(AJ15="","N/A",IF(INDEX(UnitCostGrid,MATCH(AJ15,PayItemKeys,0),$I$11)="",INDEX(UnitCostGrid,MATCH(AJ15,PayItemKeys,0),1),INDEX(UnitCostGrid,MATCH(AJ15,PayItemKeys,0),$I$11)))</f>
        <v>4</v>
      </c>
      <c r="AN15" s="37" t="n">
        <f aca="false">AM15*AL15</f>
        <v>183532</v>
      </c>
      <c r="AP15" s="1" t="n">
        <v>3</v>
      </c>
      <c r="AQ15" s="1" t="str">
        <f aca="false">IF(AR15="",0,VLOOKUP(AR15,CHOOSE({1,2},Table2[Pay Item Description],Table2[Pay Item No.]),2,0))</f>
        <v>P-401-8.1a</v>
      </c>
      <c r="AR15" s="1" t="str">
        <f aca="false">Pay_Items!D37</f>
        <v>Asphalt Surface Course</v>
      </c>
      <c r="AS15" s="164" t="str">
        <f aca="false">IF(AR15="","N/A",VLOOKUP(AR15,CHOOSE({1,2},Table2[Pay Item Description],Table2[Units]),2,0))</f>
        <v>TON</v>
      </c>
      <c r="AT15" s="160" t="n">
        <f aca="false">'Maintenance Policies'!D22*$C$5*AQ6*AQ7/2000</f>
        <v>5505.96</v>
      </c>
      <c r="AU15" s="165" t="n">
        <f aca="false">IF(AR15="","N/A",IF(INDEX(UnitCostGrid,MATCH(AR15,PayItemKeys,0),$I$11)="",INDEX(UnitCostGrid,MATCH(AR15,PayItemKeys,0),1),INDEX(UnitCostGrid,MATCH(AR15,PayItemKeys,0),$I$11)))</f>
        <v>130</v>
      </c>
      <c r="AV15" s="34" t="n">
        <f aca="false">AU15*AT15</f>
        <v>715774.8</v>
      </c>
      <c r="AX15" s="0" t="n">
        <v>3</v>
      </c>
      <c r="AY15" s="0" t="str">
        <f aca="false">IF(AZ15="",0,VLOOKUP(AZ15,CHOOSE({1,2},Table2[Pay Item Description],Table2[Pay Item No.]),2,0))</f>
        <v>P-620-5.1a</v>
      </c>
      <c r="AZ15" s="0" t="str">
        <f aca="false">Pay_Items!D56</f>
        <v>Markings (prep, markings, reflective media)</v>
      </c>
      <c r="BA15" s="166" t="str">
        <f aca="false">IF(AZ15="","N/A",VLOOKUP(AZ15,CHOOSE({1,2},Table2[Pay Item Description],Table2[Units]),2,0))</f>
        <v>S.F.</v>
      </c>
      <c r="BB15" s="162" t="n">
        <f aca="false">'Maintenance Policies'!D27*$C$8</f>
        <v>12000</v>
      </c>
      <c r="BC15" s="167" t="n">
        <f aca="false">IF(AZ15="","N/A",IF(INDEX(UnitCostGrid,MATCH(AZ15,PayItemKeys,0),$I$11)="",INDEX(UnitCostGrid,MATCH(AZ15,PayItemKeys,0),1),INDEX(UnitCostGrid,MATCH(AZ15,PayItemKeys,0),$I$11)))</f>
        <v>0.666666666666667</v>
      </c>
      <c r="BD15" s="37" t="n">
        <f aca="false">BC15*BB15</f>
        <v>8000</v>
      </c>
      <c r="BF15" s="1" t="n">
        <v>3</v>
      </c>
      <c r="BG15" s="158" t="str">
        <f aca="false">IF(BH15="",0,VLOOKUP(BH15,CHOOSE({1,2},Table2[Pay Item Description],Table2[Pay Item No.]),2,0))</f>
        <v>P-608-8.1</v>
      </c>
      <c r="BH15" s="1" t="str">
        <f aca="false">C7</f>
        <v>Emulsified Asphalt Surface Treatment</v>
      </c>
      <c r="BI15" s="159" t="str">
        <f aca="false">IF(BH15="","N/A",VLOOKUP(BH15,CHOOSE({1,2},Table2[Pay Item Description],Table2[Units]),2,0))</f>
        <v>S.Y.</v>
      </c>
      <c r="BJ15" s="160" t="n">
        <f aca="false">'Maintenance Policies'!D30*$C$5</f>
        <v>45883</v>
      </c>
      <c r="BK15" s="161" t="n">
        <f aca="false">IF(BH15="","N/A",IF(INDEX(UnitCostGrid,MATCH(BH15,PayItemKeys,0),$I$11)="",INDEX(UnitCostGrid,MATCH(BH15,PayItemKeys,0),1),INDEX(UnitCostGrid,MATCH(BH15,PayItemKeys,0),$I$11)))</f>
        <v>4</v>
      </c>
      <c r="BL15" s="34" t="n">
        <f aca="false">BK15*BJ15</f>
        <v>183532</v>
      </c>
    </row>
    <row r="16" customFormat="false" ht="19.5" hidden="false" customHeight="true" outlineLevel="0" collapsed="false">
      <c r="A16" s="0" t="n">
        <v>4</v>
      </c>
      <c r="B16" s="26" t="str">
        <f aca="false">IF(C16="","",VLOOKUP(C16,CHOOSE({1,2},Table2[Pay Item Description],Table2[Pay Item No.]),2,0))</f>
        <v/>
      </c>
      <c r="C16" s="27"/>
      <c r="D16" s="28" t="str">
        <f aca="false">IF(C16="","N/A",VLOOKUP(C16,CHOOSE({1,2},Table2[Pay Item Description],Table2[Units]),2,0))</f>
        <v>N/A</v>
      </c>
      <c r="E16" s="157"/>
      <c r="F16" s="30" t="str">
        <f aca="false">IF(C16="","N/A",IF(INDEX(UnitCostGrid,MATCH(C16,PayItemKeys,0),$I$11)="",INDEX(UnitCostGrid,MATCH(C16,PayItemKeys,0),1),INDEX(UnitCostGrid,MATCH(C16,PayItemKeys,0),$I$11)))</f>
        <v>N/A</v>
      </c>
      <c r="G16" s="31" t="n">
        <f aca="false">IF(C16="",0,F16*E16)</f>
        <v>0</v>
      </c>
      <c r="I16" s="21" t="str">
        <f aca="false">IF(C16="","",IF(INDEX(UnitCostGrid,MATCH(C16,PayItemKeys,0),$I$11)="",0,1))</f>
        <v/>
      </c>
      <c r="O16" s="1" t="s">
        <v>27</v>
      </c>
      <c r="P16" s="34" t="n">
        <f aca="false">SUM(P13:P15)</f>
        <v>200865.333333333</v>
      </c>
      <c r="W16" s="6" t="s">
        <v>27</v>
      </c>
      <c r="X16" s="37" t="n">
        <f aca="false">SUM(X13:X15)</f>
        <v>200865.333333333</v>
      </c>
      <c r="Z16" s="1" t="n">
        <v>4</v>
      </c>
      <c r="AA16" s="1" t="str">
        <f aca="false">IF(AB16="",0,VLOOKUP(AB16,CHOOSE({1,2},Table2[Pay Item Description],Table2[Pay Item No.]),2,0))</f>
        <v>P-101-5.3</v>
      </c>
      <c r="AB16" s="1" t="str">
        <f aca="false">Pay_Items!D10</f>
        <v>Markings Removal</v>
      </c>
      <c r="AC16" s="164" t="str">
        <f aca="false">IF(AB16="","N/A",VLOOKUP(AB16,CHOOSE({1,2},Table2[Pay Item Description],Table2[Units]),2,0))</f>
        <v>S.F.</v>
      </c>
      <c r="AD16" s="160" t="n">
        <f aca="false">'Maintenance Policies'!D16*$C$8</f>
        <v>12000</v>
      </c>
      <c r="AE16" s="165" t="n">
        <f aca="false">IF(AB16="","N/A",IF(INDEX(UnitCostGrid,MATCH(AB16,PayItemKeys,0),$I$11)="",INDEX(UnitCostGrid,MATCH(AB16,PayItemKeys,0),1),INDEX(UnitCostGrid,MATCH(AB16,PayItemKeys,0),$I$11)))</f>
        <v>0.777777777777778</v>
      </c>
      <c r="AF16" s="34" t="n">
        <f aca="false">AE16*AD16</f>
        <v>9333.33333333333</v>
      </c>
      <c r="AH16" s="0" t="n">
        <v>4</v>
      </c>
      <c r="AI16" s="0" t="str">
        <f aca="false">IF(AJ16="",0,VLOOKUP(AJ16,CHOOSE({1,2},Table2[Pay Item Description],Table2[Pay Item No.]),2,0))</f>
        <v>P-101-5.3</v>
      </c>
      <c r="AJ16" s="0" t="str">
        <f aca="false">Pay_Items!D10</f>
        <v>Markings Removal</v>
      </c>
      <c r="AK16" s="166" t="str">
        <f aca="false">IF(AJ16="","N/A",VLOOKUP(AJ16,CHOOSE({1,2},Table2[Pay Item Description],Table2[Units]),2,0))</f>
        <v>S.F.</v>
      </c>
      <c r="AL16" s="162" t="n">
        <f aca="false">'Maintenance Policies'!D20*$C$8</f>
        <v>12000</v>
      </c>
      <c r="AM16" s="167" t="n">
        <f aca="false">IF(AJ16="","N/A",IF(INDEX(UnitCostGrid,MATCH(AJ16,PayItemKeys,0),$I$11)="",INDEX(UnitCostGrid,MATCH(AJ16,PayItemKeys,0),1),INDEX(UnitCostGrid,MATCH(AJ16,PayItemKeys,0),$I$11)))</f>
        <v>0.777777777777778</v>
      </c>
      <c r="AN16" s="37" t="n">
        <f aca="false">AM16*AL16</f>
        <v>9333.33333333333</v>
      </c>
      <c r="AP16" s="1" t="n">
        <v>4</v>
      </c>
      <c r="AQ16" s="1" t="str">
        <f aca="false">IF(AR16="",0,VLOOKUP(AR16,CHOOSE({1,2},Table2[Pay Item Description],Table2[Pay Item No.]),2,0))</f>
        <v>P-101-5.2a</v>
      </c>
      <c r="AR16" s="1" t="str">
        <f aca="false">Pay_Items!D6</f>
        <v>Crack Repair (Type I), Asphalt</v>
      </c>
      <c r="AS16" s="164" t="str">
        <f aca="false">IF(AR16="","N/A",VLOOKUP(AR16,CHOOSE({1,2},Table2[Pay Item Description],Table2[Units]),2,0))</f>
        <v>L.F.</v>
      </c>
      <c r="AT16" s="160" t="n">
        <f aca="false">'Maintenance Policies'!D23*($C$5*9)</f>
        <v>6194.205</v>
      </c>
      <c r="AU16" s="165" t="n">
        <f aca="false">IF(AR16="","N/A",IF(INDEX(UnitCostGrid,MATCH(AR16,PayItemKeys,0),$I$11)="",INDEX(UnitCostGrid,MATCH(AR16,PayItemKeys,0),1),INDEX(UnitCostGrid,MATCH(AR16,PayItemKeys,0),$I$11)))</f>
        <v>4</v>
      </c>
      <c r="AV16" s="34" t="n">
        <f aca="false">AU16*AT16</f>
        <v>24776.82</v>
      </c>
      <c r="BC16" s="6" t="s">
        <v>27</v>
      </c>
      <c r="BD16" s="37" t="n">
        <f aca="false">SUM(BD13:BD15)</f>
        <v>200865.333333333</v>
      </c>
      <c r="BF16" s="1" t="n">
        <v>4</v>
      </c>
      <c r="BG16" s="1" t="str">
        <f aca="false">IF(BH16="",0,VLOOKUP(BH16,CHOOSE({1,2},Table2[Pay Item Description],Table2[Pay Item No.]),2,0))</f>
        <v>P-101-5.3</v>
      </c>
      <c r="BH16" s="1" t="str">
        <f aca="false">Pay_Items!D10</f>
        <v>Markings Removal</v>
      </c>
      <c r="BI16" s="164" t="str">
        <f aca="false">IF(BH16="","N/A",VLOOKUP(BH16,CHOOSE({1,2},Table2[Pay Item Description],Table2[Units]),2,0))</f>
        <v>S.F.</v>
      </c>
      <c r="BJ16" s="160" t="n">
        <f aca="false">C8</f>
        <v>12000</v>
      </c>
      <c r="BK16" s="165" t="n">
        <f aca="false">IF(BH16="","N/A",IF(INDEX(UnitCostGrid,MATCH(BH16,PayItemKeys,0),$I$11)="",INDEX(UnitCostGrid,MATCH(BH16,PayItemKeys,0),1),INDEX(UnitCostGrid,MATCH(BH16,PayItemKeys,0),$I$11)))</f>
        <v>0.777777777777778</v>
      </c>
      <c r="BL16" s="34" t="n">
        <f aca="false">BK16*BJ16</f>
        <v>9333.33333333333</v>
      </c>
    </row>
    <row r="17" customFormat="false" ht="19.5" hidden="false" customHeight="true" outlineLevel="0" collapsed="false">
      <c r="A17" s="0" t="n">
        <v>5</v>
      </c>
      <c r="B17" s="26" t="str">
        <f aca="false">IF(C17="","",VLOOKUP(C17,CHOOSE({1,2},Table2[Pay Item Description],Table2[Pay Item No.]),2,0))</f>
        <v/>
      </c>
      <c r="C17" s="27"/>
      <c r="D17" s="28" t="str">
        <f aca="false">IF(C17="","N/A",VLOOKUP(C17,CHOOSE({1,2},Table2[Pay Item Description],Table2[Units]),2,0))</f>
        <v>N/A</v>
      </c>
      <c r="E17" s="157"/>
      <c r="F17" s="30" t="str">
        <f aca="false">IF(C17="","N/A",IF(INDEX(UnitCostGrid,MATCH(C17,PayItemKeys,0),$I$11)="",INDEX(UnitCostGrid,MATCH(C17,PayItemKeys,0),1),INDEX(UnitCostGrid,MATCH(C17,PayItemKeys,0),$I$11)))</f>
        <v>N/A</v>
      </c>
      <c r="G17" s="31" t="n">
        <f aca="false">IF(C17="",0,F17*E17)</f>
        <v>0</v>
      </c>
      <c r="I17" s="21" t="str">
        <f aca="false">IF(C17="","",IF(INDEX(UnitCostGrid,MATCH(C17,PayItemKeys,0),$I$11)="",0,1))</f>
        <v/>
      </c>
      <c r="L17" s="1" t="s">
        <v>28</v>
      </c>
      <c r="P17" s="34" t="n">
        <f aca="false">('General Information'!$D$36/100)*P16</f>
        <v>20086.5333333333</v>
      </c>
      <c r="T17" s="6" t="s">
        <v>28</v>
      </c>
      <c r="X17" s="37" t="n">
        <f aca="false">('General Information'!$D$36/100)*X16</f>
        <v>20086.5333333333</v>
      </c>
      <c r="Z17" s="1" t="n">
        <v>5</v>
      </c>
      <c r="AA17" s="1" t="str">
        <f aca="false">IF(AB17="",0,VLOOKUP(AB17,CHOOSE({1,2},Table2[Pay Item Description],Table2[Pay Item No.]),2,0))</f>
        <v>P-620-5.1a</v>
      </c>
      <c r="AB17" s="1" t="str">
        <f aca="false">Pay_Items!D56</f>
        <v>Markings (prep, markings, reflective media)</v>
      </c>
      <c r="AC17" s="164" t="str">
        <f aca="false">IF(AB17="","N/A",VLOOKUP(AB17,CHOOSE({1,2},Table2[Pay Item Description],Table2[Units]),2,0))</f>
        <v>S.F.</v>
      </c>
      <c r="AD17" s="160" t="n">
        <f aca="false">'Maintenance Policies'!D17*$C$8</f>
        <v>12000</v>
      </c>
      <c r="AE17" s="165" t="n">
        <f aca="false">IF(AB17="","N/A",IF(INDEX(UnitCostGrid,MATCH(AB17,PayItemKeys,0),$I$11)="",INDEX(UnitCostGrid,MATCH(AB17,PayItemKeys,0),1),INDEX(UnitCostGrid,MATCH(AB17,PayItemKeys,0),$I$11)))</f>
        <v>0.666666666666667</v>
      </c>
      <c r="AF17" s="34" t="n">
        <f aca="false">AE17*AD17</f>
        <v>8000</v>
      </c>
      <c r="AH17" s="0" t="n">
        <v>5</v>
      </c>
      <c r="AI17" s="0" t="str">
        <f aca="false">IF(AJ17="",0,VLOOKUP(AJ17,CHOOSE({1,2},Table2[Pay Item Description],Table2[Pay Item No.]),2,0))</f>
        <v>P-620-5.1a</v>
      </c>
      <c r="AJ17" s="0" t="str">
        <f aca="false">Pay_Items!D56</f>
        <v>Markings (prep, markings, reflective media)</v>
      </c>
      <c r="AK17" s="166" t="str">
        <f aca="false">IF(AJ17="","N/A",VLOOKUP(AJ17,CHOOSE({1,2},Table2[Pay Item Description],Table2[Units]),2,0))</f>
        <v>S.F.</v>
      </c>
      <c r="AL17" s="162" t="n">
        <f aca="false">'Maintenance Policies'!D21*$C$8</f>
        <v>12000</v>
      </c>
      <c r="AM17" s="167" t="n">
        <f aca="false">IF(AJ17="","N/A",IF(INDEX(UnitCostGrid,MATCH(AJ17,PayItemKeys,0),$I$11)="",INDEX(UnitCostGrid,MATCH(AJ17,PayItemKeys,0),1),INDEX(UnitCostGrid,MATCH(AJ17,PayItemKeys,0),$I$11)))</f>
        <v>0.666666666666667</v>
      </c>
      <c r="AN17" s="37" t="n">
        <f aca="false">AM17*AL17</f>
        <v>8000</v>
      </c>
      <c r="AP17" s="1" t="n">
        <v>5</v>
      </c>
      <c r="AQ17" s="1" t="str">
        <f aca="false">IF(AR17="",0,VLOOKUP(AR17,CHOOSE({1,2},Table2[Pay Item Description],Table2[Pay Item No.]),2,0))</f>
        <v>P-101-5.4a</v>
      </c>
      <c r="AR17" s="1" t="str">
        <f aca="false">Pay_Items!D11</f>
        <v>Spall Repair, Asphalt</v>
      </c>
      <c r="AS17" s="164" t="str">
        <f aca="false">IF(AR17="","N/A",VLOOKUP(AR17,CHOOSE({1,2},Table2[Pay Item Description],Table2[Units]),2,0))</f>
        <v>S.F.</v>
      </c>
      <c r="AT17" s="160" t="n">
        <f aca="false">'Maintenance Policies'!D24*($C$5*9)</f>
        <v>2064.735</v>
      </c>
      <c r="AU17" s="165" t="n">
        <f aca="false">IF(AR17="","N/A",IF(INDEX(UnitCostGrid,MATCH(AR17,PayItemKeys,0),$I$11)="",INDEX(UnitCostGrid,MATCH(AR17,PayItemKeys,0),1),INDEX(UnitCostGrid,MATCH(AR17,PayItemKeys,0),$I$11)))</f>
        <v>8.5</v>
      </c>
      <c r="AV17" s="34" t="n">
        <f aca="false">AU17*AT17</f>
        <v>17550.2475</v>
      </c>
      <c r="AZ17" s="6" t="s">
        <v>28</v>
      </c>
      <c r="BD17" s="37" t="n">
        <f aca="false">('General Information'!$D$36/100)*BD16</f>
        <v>20086.5333333333</v>
      </c>
      <c r="BF17" s="1" t="n">
        <v>5</v>
      </c>
      <c r="BG17" s="1" t="str">
        <f aca="false">IF(BH17="",0,VLOOKUP(BH17,CHOOSE({1,2},Table2[Pay Item Description],Table2[Pay Item No.]),2,0))</f>
        <v>P-620-5.1a</v>
      </c>
      <c r="BH17" s="1" t="str">
        <f aca="false">Pay_Items!D56</f>
        <v>Markings (prep, markings, reflective media)</v>
      </c>
      <c r="BI17" s="164" t="str">
        <f aca="false">IF(BH17="","N/A",VLOOKUP(BH17,CHOOSE({1,2},Table2[Pay Item Description],Table2[Units]),2,0))</f>
        <v>S.F.</v>
      </c>
      <c r="BJ17" s="160" t="n">
        <f aca="false">'Maintenance Policies'!D31*$C$8</f>
        <v>12000</v>
      </c>
      <c r="BK17" s="165" t="n">
        <f aca="false">IF(BH17="","N/A",IF(INDEX(UnitCostGrid,MATCH(BH17,PayItemKeys,0),$I$11)="",INDEX(UnitCostGrid,MATCH(BH17,PayItemKeys,0),1),INDEX(UnitCostGrid,MATCH(BH17,PayItemKeys,0),$I$11)))</f>
        <v>0.666666666666667</v>
      </c>
      <c r="BL17" s="34" t="n">
        <f aca="false">BK17*BJ17</f>
        <v>8000</v>
      </c>
    </row>
    <row r="18" customFormat="false" ht="19.5" hidden="false" customHeight="true" outlineLevel="0" collapsed="false">
      <c r="A18" s="0" t="n">
        <v>6</v>
      </c>
      <c r="B18" s="26" t="str">
        <f aca="false">IF(C18="","",VLOOKUP(C18,CHOOSE({1,2},Table2[Pay Item Description],Table2[Pay Item No.]),2,0))</f>
        <v/>
      </c>
      <c r="C18" s="27"/>
      <c r="D18" s="28" t="str">
        <f aca="false">IF(C18="","N/A",VLOOKUP(C18,CHOOSE({1,2},Table2[Pay Item Description],Table2[Units]),2,0))</f>
        <v>N/A</v>
      </c>
      <c r="E18" s="157"/>
      <c r="F18" s="30" t="str">
        <f aca="false">IF(C18="","N/A",IF(INDEX(UnitCostGrid,MATCH(C18,PayItemKeys,0),$I$11)="",INDEX(UnitCostGrid,MATCH(C18,PayItemKeys,0),1),INDEX(UnitCostGrid,MATCH(C18,PayItemKeys,0),$I$11)))</f>
        <v>N/A</v>
      </c>
      <c r="G18" s="31" t="n">
        <f aca="false">IF(C18="",0,F18*E18)</f>
        <v>0</v>
      </c>
      <c r="I18" s="21" t="str">
        <f aca="false">IF(C18="","",IF(INDEX(UnitCostGrid,MATCH(C18,PayItemKeys,0),$I$11)="",0,1))</f>
        <v/>
      </c>
      <c r="L18" s="1" t="s">
        <v>29</v>
      </c>
      <c r="P18" s="34" t="n">
        <f aca="false">('General Information'!$D$37/100)*P16</f>
        <v>10043.2666666667</v>
      </c>
      <c r="T18" s="6" t="s">
        <v>29</v>
      </c>
      <c r="X18" s="37" t="n">
        <f aca="false">('General Information'!$D$37/100)*X16</f>
        <v>10043.2666666667</v>
      </c>
      <c r="AE18" s="1" t="s">
        <v>27</v>
      </c>
      <c r="AF18" s="34" t="n">
        <f aca="false">SUM(AF13:AF17)</f>
        <v>280873.814583333</v>
      </c>
      <c r="AM18" s="6" t="s">
        <v>27</v>
      </c>
      <c r="AN18" s="37" t="n">
        <f aca="false">SUM(AN13:AN17)</f>
        <v>293778.408333333</v>
      </c>
      <c r="AP18" s="1" t="n">
        <v>6</v>
      </c>
      <c r="AQ18" s="1" t="str">
        <f aca="false">IF(AR18="",0,VLOOKUP(AR18,CHOOSE({1,2},Table2[Pay Item Description],Table2[Pay Item No.]),2,0))</f>
        <v>P-620-5.1a</v>
      </c>
      <c r="AR18" s="1" t="str">
        <f aca="false">Pay_Items!D56</f>
        <v>Markings (prep, markings, reflective media)</v>
      </c>
      <c r="AS18" s="164" t="str">
        <f aca="false">IF(AR18="","N/A",VLOOKUP(AR18,CHOOSE({1,2},Table2[Pay Item Description],Table2[Units]),2,0))</f>
        <v>S.F.</v>
      </c>
      <c r="AT18" s="160" t="n">
        <f aca="false">'Maintenance Policies'!D25*$C$8</f>
        <v>12000</v>
      </c>
      <c r="AU18" s="165" t="n">
        <f aca="false">IF(AR18="","N/A",IF(INDEX(UnitCostGrid,MATCH(AR18,PayItemKeys,0),$I$11)="",INDEX(UnitCostGrid,MATCH(AR18,PayItemKeys,0),1),INDEX(UnitCostGrid,MATCH(AR18,PayItemKeys,0),$I$11)))</f>
        <v>0.666666666666667</v>
      </c>
      <c r="AV18" s="34" t="n">
        <f aca="false">AU18*AT18</f>
        <v>8000</v>
      </c>
      <c r="AZ18" s="6" t="s">
        <v>29</v>
      </c>
      <c r="BD18" s="37" t="n">
        <f aca="false">('General Information'!$D$37/100)*BD16</f>
        <v>10043.2666666667</v>
      </c>
      <c r="BK18" s="1" t="s">
        <v>27</v>
      </c>
      <c r="BL18" s="34" t="n">
        <f aca="false">SUM(BL13:BL17)</f>
        <v>310812.472083333</v>
      </c>
    </row>
    <row r="19" customFormat="false" ht="19.5" hidden="false" customHeight="true" outlineLevel="0" collapsed="false">
      <c r="A19" s="0" t="n">
        <v>7</v>
      </c>
      <c r="B19" s="26" t="str">
        <f aca="false">IF(C19="","",VLOOKUP(C19,CHOOSE({1,2},Table2[Pay Item Description],Table2[Pay Item No.]),2,0))</f>
        <v/>
      </c>
      <c r="C19" s="27"/>
      <c r="D19" s="28" t="str">
        <f aca="false">IF(C19="","N/A",VLOOKUP(C19,CHOOSE({1,2},Table2[Pay Item Description],Table2[Units]),2,0))</f>
        <v>N/A</v>
      </c>
      <c r="E19" s="157"/>
      <c r="F19" s="30" t="str">
        <f aca="false">IF(C19="","N/A",IF(INDEX(UnitCostGrid,MATCH(C19,PayItemKeys,0),$I$11)="",INDEX(UnitCostGrid,MATCH(C19,PayItemKeys,0),1),INDEX(UnitCostGrid,MATCH(C19,PayItemKeys,0),$I$11)))</f>
        <v>N/A</v>
      </c>
      <c r="G19" s="31" t="n">
        <f aca="false">IF(C19="",0,F19*E19)</f>
        <v>0</v>
      </c>
      <c r="I19" s="21" t="str">
        <f aca="false">IF(C19="","",IF(INDEX(UnitCostGrid,MATCH(C19,PayItemKeys,0),$I$11)="",0,1))</f>
        <v/>
      </c>
      <c r="O19" s="1" t="s">
        <v>30</v>
      </c>
      <c r="P19" s="34" t="n">
        <f aca="false">SUM(P16:P18)</f>
        <v>230995.133333333</v>
      </c>
      <c r="W19" s="6" t="s">
        <v>30</v>
      </c>
      <c r="X19" s="37" t="n">
        <f aca="false">SUM(X16:X18)</f>
        <v>230995.133333333</v>
      </c>
      <c r="AB19" s="1" t="s">
        <v>28</v>
      </c>
      <c r="AF19" s="34" t="n">
        <f aca="false">('General Information'!$D$36/100)*AF18</f>
        <v>28087.3814583333</v>
      </c>
      <c r="AJ19" s="6" t="s">
        <v>28</v>
      </c>
      <c r="AN19" s="37" t="n">
        <f aca="false">('General Information'!$D$36/100)*AN18</f>
        <v>29377.8408333333</v>
      </c>
      <c r="AU19" s="1" t="s">
        <v>27</v>
      </c>
      <c r="AV19" s="34" t="n">
        <f aca="false">SUM(AV13:AV18)</f>
        <v>1016164.2175</v>
      </c>
      <c r="BC19" s="6" t="s">
        <v>30</v>
      </c>
      <c r="BD19" s="37" t="n">
        <f aca="false">SUM(BD16:BD18)</f>
        <v>230995.133333333</v>
      </c>
      <c r="BH19" s="1" t="s">
        <v>28</v>
      </c>
      <c r="BL19" s="34" t="n">
        <f aca="false">('General Information'!$D$36/100)*BL18</f>
        <v>31081.2472083333</v>
      </c>
    </row>
    <row r="20" customFormat="false" ht="19.5" hidden="false" customHeight="true" outlineLevel="0" collapsed="false">
      <c r="A20" s="0" t="n">
        <v>8</v>
      </c>
      <c r="B20" s="26" t="str">
        <f aca="false">IF(C20="","",VLOOKUP(C20,CHOOSE({1,2},Table2[Pay Item Description],Table2[Pay Item No.]),2,0))</f>
        <v/>
      </c>
      <c r="C20" s="27"/>
      <c r="D20" s="28" t="str">
        <f aca="false">IF(C20="","N/A",VLOOKUP(C20,CHOOSE({1,2},Table2[Pay Item Description],Table2[Units]),2,0))</f>
        <v>N/A</v>
      </c>
      <c r="E20" s="157"/>
      <c r="F20" s="30" t="str">
        <f aca="false">IF(C20="","N/A",IF(INDEX(UnitCostGrid,MATCH(C20,PayItemKeys,0),$I$11)="",INDEX(UnitCostGrid,MATCH(C20,PayItemKeys,0),1),INDEX(UnitCostGrid,MATCH(C20,PayItemKeys,0),$I$11)))</f>
        <v>N/A</v>
      </c>
      <c r="G20" s="31" t="n">
        <f aca="false">IF(C20="",0,F20*E20)</f>
        <v>0</v>
      </c>
      <c r="I20" s="21" t="str">
        <f aca="false">IF(C20="","",IF(INDEX(UnitCostGrid,MATCH(C20,PayItemKeys,0),$I$11)="",0,1))</f>
        <v/>
      </c>
      <c r="P20" s="34"/>
      <c r="X20" s="37"/>
      <c r="AB20" s="1" t="s">
        <v>29</v>
      </c>
      <c r="AF20" s="34" t="n">
        <f aca="false">('General Information'!$D$37/100)*AF18</f>
        <v>14043.6907291667</v>
      </c>
      <c r="AJ20" s="6" t="s">
        <v>29</v>
      </c>
      <c r="AN20" s="37" t="n">
        <f aca="false">('General Information'!$D$37/100)*AN18</f>
        <v>14688.9204166667</v>
      </c>
      <c r="AR20" s="1" t="s">
        <v>28</v>
      </c>
      <c r="AV20" s="34" t="n">
        <f aca="false">('General Information'!$D$36/100)*AV19</f>
        <v>101616.42175</v>
      </c>
      <c r="BH20" s="1" t="s">
        <v>29</v>
      </c>
      <c r="BL20" s="34" t="n">
        <f aca="false">('General Information'!$D$37/100)*BL18</f>
        <v>15540.6236041667</v>
      </c>
    </row>
    <row r="21" customFormat="false" ht="19.5" hidden="false" customHeight="true" outlineLevel="0" collapsed="false">
      <c r="A21" s="0" t="n">
        <v>9</v>
      </c>
      <c r="B21" s="26" t="str">
        <f aca="false">IF(C21="","",VLOOKUP(C21,CHOOSE({1,2},Table2[Pay Item Description],Table2[Pay Item No.]),2,0))</f>
        <v/>
      </c>
      <c r="C21" s="27"/>
      <c r="D21" s="28" t="str">
        <f aca="false">IF(C21="","N/A",VLOOKUP(C21,CHOOSE({1,2},Table2[Pay Item Description],Table2[Units]),2,0))</f>
        <v>N/A</v>
      </c>
      <c r="E21" s="157"/>
      <c r="F21" s="30" t="str">
        <f aca="false">IF(C21="","N/A",IF(INDEX(UnitCostGrid,MATCH(C21,PayItemKeys,0),$I$11)="",INDEX(UnitCostGrid,MATCH(C21,PayItemKeys,0),1),INDEX(UnitCostGrid,MATCH(C21,PayItemKeys,0),$I$11)))</f>
        <v>N/A</v>
      </c>
      <c r="G21" s="31" t="n">
        <f aca="false">IF(C21="",0,F21*E21)</f>
        <v>0</v>
      </c>
      <c r="I21" s="21" t="str">
        <f aca="false">IF(C21="","",IF(INDEX(UnitCostGrid,MATCH(C21,PayItemKeys,0),$I$11)="",0,1))</f>
        <v/>
      </c>
      <c r="P21" s="34"/>
      <c r="X21" s="37"/>
      <c r="AE21" s="1" t="s">
        <v>30</v>
      </c>
      <c r="AF21" s="34" t="n">
        <f aca="false">SUM(AF18:AF20)</f>
        <v>323004.886770833</v>
      </c>
      <c r="AM21" s="6" t="s">
        <v>30</v>
      </c>
      <c r="AN21" s="37" t="n">
        <f aca="false">SUM(AN18:AN20)</f>
        <v>337845.169583333</v>
      </c>
      <c r="AR21" s="1" t="s">
        <v>29</v>
      </c>
      <c r="AV21" s="34" t="n">
        <f aca="false">('General Information'!$D$37/100)*AV19</f>
        <v>50808.210875</v>
      </c>
      <c r="BK21" s="1" t="s">
        <v>30</v>
      </c>
      <c r="BL21" s="34" t="n">
        <f aca="false">SUM(BL18:BL20)</f>
        <v>357434.342895833</v>
      </c>
    </row>
    <row r="22" customFormat="false" ht="19.5" hidden="false" customHeight="true" outlineLevel="0" collapsed="false">
      <c r="A22" s="0" t="n">
        <v>10</v>
      </c>
      <c r="B22" s="26" t="str">
        <f aca="false">IF(C22="","",VLOOKUP(C22,CHOOSE({1,2},Table2[Pay Item Description],Table2[Pay Item No.]),2,0))</f>
        <v/>
      </c>
      <c r="C22" s="27"/>
      <c r="D22" s="28" t="str">
        <f aca="false">IF(C22="","N/A",VLOOKUP(C22,CHOOSE({1,2},Table2[Pay Item Description],Table2[Units]),2,0))</f>
        <v>N/A</v>
      </c>
      <c r="E22" s="157"/>
      <c r="F22" s="30" t="str">
        <f aca="false">IF(C22="","N/A",IF(INDEX(UnitCostGrid,MATCH(C22,PayItemKeys,0),$I$11)="",INDEX(UnitCostGrid,MATCH(C22,PayItemKeys,0),1),INDEX(UnitCostGrid,MATCH(C22,PayItemKeys,0),$I$11)))</f>
        <v>N/A</v>
      </c>
      <c r="G22" s="31" t="n">
        <f aca="false">IF(C22="",0,F22*E22)</f>
        <v>0</v>
      </c>
      <c r="I22" s="21" t="str">
        <f aca="false">IF(C22="","",IF(INDEX(UnitCostGrid,MATCH(C22,PayItemKeys,0),$I$11)="",0,1))</f>
        <v/>
      </c>
      <c r="AU22" s="1" t="s">
        <v>30</v>
      </c>
      <c r="AV22" s="34" t="n">
        <f aca="false">SUM(AV19:AV21)</f>
        <v>1168588.850125</v>
      </c>
    </row>
    <row r="23" customFormat="false" ht="15" hidden="false" customHeight="false" outlineLevel="0" collapsed="false">
      <c r="G23" s="37"/>
    </row>
    <row r="24" customFormat="false" ht="15" hidden="false" customHeight="false" outlineLevel="0" collapsed="false">
      <c r="A24" s="38" t="s">
        <v>27</v>
      </c>
      <c r="B24" s="38"/>
      <c r="G24" s="37" t="n">
        <f aca="false">SUM(G13:G22)</f>
        <v>0</v>
      </c>
    </row>
    <row r="25" customFormat="false" ht="15" hidden="false" customHeight="false" outlineLevel="0" collapsed="false">
      <c r="A25" s="38"/>
      <c r="B25" s="38" t="s">
        <v>28</v>
      </c>
      <c r="G25" s="37" t="n">
        <f aca="false">('General Information'!$D$36/100)*G24</f>
        <v>0</v>
      </c>
    </row>
    <row r="26" customFormat="false" ht="15" hidden="false" customHeight="false" outlineLevel="0" collapsed="false">
      <c r="A26" s="38"/>
      <c r="B26" s="38" t="s">
        <v>29</v>
      </c>
      <c r="G26" s="37" t="n">
        <f aca="false">('General Information'!$D$37/100)*G24</f>
        <v>0</v>
      </c>
    </row>
    <row r="27" customFormat="false" ht="21.75" hidden="false" customHeight="true" outlineLevel="0" collapsed="false">
      <c r="A27" s="39" t="s">
        <v>30</v>
      </c>
      <c r="B27" s="39"/>
      <c r="C27" s="39"/>
      <c r="D27" s="39"/>
      <c r="E27" s="39"/>
      <c r="F27" s="39"/>
      <c r="G27" s="40" t="n">
        <f aca="false">SUM(G24:G26)</f>
        <v>0</v>
      </c>
    </row>
    <row r="32" customFormat="false" ht="15" hidden="false" customHeight="false" outlineLevel="0" collapsed="false">
      <c r="A32" s="7" t="s">
        <v>31</v>
      </c>
    </row>
    <row r="33" customFormat="false" ht="19.5" hidden="false" customHeight="true" outlineLevel="0" collapsed="false">
      <c r="A33" s="42" t="s">
        <v>715</v>
      </c>
      <c r="I33" s="6" t="s">
        <v>0</v>
      </c>
    </row>
    <row r="35" customFormat="false" ht="19.5" hidden="false" customHeight="true" outlineLevel="0" collapsed="false">
      <c r="B35" s="24" t="s">
        <v>33</v>
      </c>
      <c r="C35" s="25" t="s">
        <v>34</v>
      </c>
      <c r="D35" s="25" t="s">
        <v>35</v>
      </c>
      <c r="E35" s="25" t="s">
        <v>36</v>
      </c>
    </row>
    <row r="36" customFormat="false" ht="15" hidden="false" customHeight="false" outlineLevel="0" collapsed="false">
      <c r="B36" s="43" t="s">
        <v>37</v>
      </c>
      <c r="C36" s="44" t="n">
        <f aca="false">C6</f>
        <v>2028</v>
      </c>
      <c r="D36" s="45" t="n">
        <f aca="false">G27</f>
        <v>0</v>
      </c>
      <c r="E36" s="46" t="n">
        <f aca="false">D36</f>
        <v>0</v>
      </c>
      <c r="K36" s="1" t="s">
        <v>38</v>
      </c>
      <c r="L36" s="1" t="s">
        <v>738</v>
      </c>
      <c r="M36" s="1" t="s">
        <v>739</v>
      </c>
    </row>
    <row r="37" customFormat="false" ht="15" hidden="false" customHeight="false" outlineLevel="0" collapsed="false">
      <c r="B37" s="47" t="s">
        <v>3</v>
      </c>
      <c r="C37" s="48" t="n">
        <f aca="false">'Maintenance Policies'!E10</f>
        <v>4</v>
      </c>
      <c r="D37" s="49" t="n">
        <f aca="false">P19</f>
        <v>230995.133333333</v>
      </c>
      <c r="E37" s="50" t="n">
        <f aca="false">IF(C37&gt;'General Information'!$D$33,0,D37/(1+('General Information'!$D$34/100))^C37)</f>
        <v>205236.184098224</v>
      </c>
      <c r="K37" s="1" t="n">
        <f aca="false">C6</f>
        <v>2028</v>
      </c>
      <c r="L37" s="34" t="n">
        <f aca="false">IF(K37-$C$6&gt;'General Information'!$D$33,0,IF(K37=$C$6,$D$36,0)+SUMIF($C$37:$C$44,K37-$C$6,$D$37:$D$44))</f>
        <v>0</v>
      </c>
      <c r="M37" s="34" t="n">
        <f aca="false">IF(K37-$C$6&gt;'General Information'!$D$33,0,IF(K37=$C$6,$E$36,0)+SUMIF($C$37:$C$44,K37-$C$6,$E$37:$E$44))</f>
        <v>0</v>
      </c>
    </row>
    <row r="38" customFormat="false" ht="15" hidden="false" customHeight="false" outlineLevel="0" collapsed="false">
      <c r="B38" s="47" t="s">
        <v>665</v>
      </c>
      <c r="C38" s="48" t="n">
        <f aca="false">'Maintenance Policies'!E12</f>
        <v>8</v>
      </c>
      <c r="D38" s="49" t="n">
        <f aca="false">X19</f>
        <v>230995.133333333</v>
      </c>
      <c r="E38" s="50" t="n">
        <f aca="false">IF(C38&gt;'General Information'!$D$33,0,D38/(1+('General Information'!$D$34/100))^C38)</f>
        <v>182349.691334912</v>
      </c>
      <c r="K38" s="1" t="n">
        <f aca="false">K37+1</f>
        <v>2029</v>
      </c>
      <c r="L38" s="34" t="n">
        <f aca="false">IF(K38-$C$6&gt;'General Information'!$D$33,0,IF(K38=$C$6,$D$36,0)+SUMIF($C$37:$C$44,K38-$C$6,$D$37:$D$44))</f>
        <v>0</v>
      </c>
      <c r="M38" s="34" t="n">
        <f aca="false">IF(K38-$C$6&gt;'General Information'!$D$33,0,IF(K38=$C$6,$E$36,0)+SUMIF($C$37:$C$44,K38-$C$6,$E$37:$E$44))</f>
        <v>0</v>
      </c>
    </row>
    <row r="39" customFormat="false" ht="15" hidden="false" customHeight="false" outlineLevel="0" collapsed="false">
      <c r="B39" s="47" t="s">
        <v>666</v>
      </c>
      <c r="C39" s="48" t="n">
        <f aca="false">'Maintenance Policies'!E14</f>
        <v>12</v>
      </c>
      <c r="D39" s="49" t="n">
        <f aca="false">AF21</f>
        <v>323004.886770833</v>
      </c>
      <c r="E39" s="50" t="n">
        <f aca="false">IF(C39&gt;'General Information'!$D$33,0,D39/(1+('General Information'!$D$34/100))^C39)</f>
        <v>226549.128785072</v>
      </c>
      <c r="K39" s="1" t="n">
        <f aca="false">K38+1</f>
        <v>2030</v>
      </c>
      <c r="L39" s="34" t="n">
        <f aca="false">IF(K39-$C$6&gt;'General Information'!$D$33,0,IF(K39=$C$6,$D$36,0)+SUMIF($C$37:$C$44,K39-$C$6,$D$37:$D$44))</f>
        <v>0</v>
      </c>
      <c r="M39" s="34" t="n">
        <f aca="false">IF(K39-$C$6&gt;'General Information'!$D$33,0,IF(K39=$C$6,$E$36,0)+SUMIF($C$37:$C$44,K39-$C$6,$E$37:$E$44))</f>
        <v>0</v>
      </c>
    </row>
    <row r="40" customFormat="false" ht="15" hidden="false" customHeight="false" outlineLevel="0" collapsed="false">
      <c r="B40" s="47" t="s">
        <v>671</v>
      </c>
      <c r="C40" s="48" t="n">
        <f aca="false">'Maintenance Policies'!E18</f>
        <v>16</v>
      </c>
      <c r="D40" s="49" t="n">
        <f aca="false">AN21</f>
        <v>337845.169583333</v>
      </c>
      <c r="E40" s="50" t="n">
        <f aca="false">IF(C40&gt;'General Information'!$D$33,0,D40/(1+('General Information'!$D$34/100))^C40)</f>
        <v>210533.940259546</v>
      </c>
      <c r="K40" s="1" t="n">
        <f aca="false">K39+1</f>
        <v>2031</v>
      </c>
      <c r="L40" s="34" t="n">
        <f aca="false">IF(K40-$C$6&gt;'General Information'!$D$33,0,IF(K40=$C$6,$D$36,0)+SUMIF($C$37:$C$44,K40-$C$6,$D$37:$D$44))</f>
        <v>0</v>
      </c>
      <c r="M40" s="34" t="n">
        <f aca="false">IF(K40-$C$6&gt;'General Information'!$D$33,0,IF(K40=$C$6,$E$36,0)+SUMIF($C$37:$C$44,K40-$C$6,$E$37:$E$44))</f>
        <v>0</v>
      </c>
    </row>
    <row r="41" customFormat="false" ht="15" hidden="false" customHeight="false" outlineLevel="0" collapsed="false">
      <c r="B41" s="52" t="s">
        <v>4</v>
      </c>
      <c r="C41" s="53" t="n">
        <f aca="false">'Maintenance Policies'!E22</f>
        <v>20</v>
      </c>
      <c r="D41" s="54" t="n">
        <f aca="false">AV22</f>
        <v>1168588.850125</v>
      </c>
      <c r="E41" s="54" t="n">
        <f aca="false">IF(C41&gt;'General Information'!$D$33,0,D41/(1+('General Information'!$D$34/100))^C41)</f>
        <v>647019.312926701</v>
      </c>
      <c r="K41" s="1" t="n">
        <f aca="false">K40+1</f>
        <v>2032</v>
      </c>
      <c r="L41" s="34" t="n">
        <f aca="false">IF(K41-$C$6&gt;'General Information'!$D$33,0,IF(K41=$C$6,$D$36,0)+SUMIF($C$37:$C$44,K41-$C$6,$D$37:$D$44))</f>
        <v>230995.133333333</v>
      </c>
      <c r="M41" s="34" t="n">
        <f aca="false">IF(K41-$C$6&gt;'General Information'!$D$33,0,IF(K41=$C$6,$E$36,0)+SUMIF($C$37:$C$44,K41-$C$6,$E$37:$E$44))</f>
        <v>205236.184098224</v>
      </c>
    </row>
    <row r="42" customFormat="false" ht="15" hidden="false" customHeight="false" outlineLevel="0" collapsed="false">
      <c r="B42" s="47" t="s">
        <v>677</v>
      </c>
      <c r="C42" s="48" t="n">
        <f aca="false">'Maintenance Policies'!E26</f>
        <v>24</v>
      </c>
      <c r="D42" s="49" t="n">
        <f aca="false">BD19</f>
        <v>230995.133333333</v>
      </c>
      <c r="E42" s="50" t="n">
        <f aca="false">IF(C42&gt;'General Information'!$D$33,0,D42/(1+('General Information'!$D$34/100))^C42)</f>
        <v>113634.29901691</v>
      </c>
      <c r="K42" s="1" t="n">
        <f aca="false">K41+1</f>
        <v>2033</v>
      </c>
      <c r="L42" s="34" t="n">
        <f aca="false">IF(K42-$C$6&gt;'General Information'!$D$33,0,IF(K42=$C$6,$D$36,0)+SUMIF($C$37:$C$44,K42-$C$6,$D$37:$D$44))</f>
        <v>0</v>
      </c>
      <c r="M42" s="34" t="n">
        <f aca="false">IF(K42-$C$6&gt;'General Information'!$D$33,0,IF(K42=$C$6,$E$36,0)+SUMIF($C$37:$C$44,K42-$C$6,$E$37:$E$44))</f>
        <v>0</v>
      </c>
    </row>
    <row r="43" customFormat="false" ht="15" hidden="false" customHeight="false" outlineLevel="0" collapsed="false">
      <c r="B43" s="47" t="s">
        <v>678</v>
      </c>
      <c r="C43" s="48" t="n">
        <f aca="false">'Maintenance Policies'!E28</f>
        <v>28</v>
      </c>
      <c r="D43" s="49" t="n">
        <f aca="false">BL21</f>
        <v>357434.342895833</v>
      </c>
      <c r="E43" s="50" t="n">
        <f aca="false">IF(C43&gt;'General Information'!$D$33,0,D43/(1+('General Information'!$D$34/100))^C43)</f>
        <v>156226.242064515</v>
      </c>
      <c r="K43" s="1" t="n">
        <f aca="false">K42+1</f>
        <v>2034</v>
      </c>
      <c r="L43" s="34" t="n">
        <f aca="false">IF(K43-$C$6&gt;'General Information'!$D$33,0,IF(K43=$C$6,$D$36,0)+SUMIF($C$37:$C$44,K43-$C$6,$D$37:$D$44))</f>
        <v>0</v>
      </c>
      <c r="M43" s="34" t="n">
        <f aca="false">IF(K43-$C$6&gt;'General Information'!$D$33,0,IF(K43=$C$6,$E$36,0)+SUMIF($C$37:$C$44,K43-$C$6,$E$37:$E$44))</f>
        <v>0</v>
      </c>
    </row>
    <row r="44" customFormat="false" ht="15" hidden="false" customHeight="false" outlineLevel="0" collapsed="false">
      <c r="B44" s="55" t="s">
        <v>44</v>
      </c>
      <c r="C44" s="56" t="n">
        <f aca="false">'General Information'!D33</f>
        <v>30</v>
      </c>
      <c r="D44" s="57" t="n">
        <f aca="false">-'Maintenance Policies'!D32*AV22</f>
        <v>-438220.818796875</v>
      </c>
      <c r="E44" s="57" t="n">
        <f aca="false">IF(C44&gt;'General Information'!$D$33,0,D44/(1+('General Information'!$D$34/100))^C44)</f>
        <v>-180541.175088532</v>
      </c>
      <c r="K44" s="1" t="n">
        <f aca="false">K43+1</f>
        <v>2035</v>
      </c>
      <c r="L44" s="34" t="n">
        <f aca="false">IF(K44-$C$6&gt;'General Information'!$D$33,0,IF(K44=$C$6,$D$36,0)+SUMIF($C$37:$C$44,K44-$C$6,$D$37:$D$44))</f>
        <v>0</v>
      </c>
      <c r="M44" s="34" t="n">
        <f aca="false">IF(K44-$C$6&gt;'General Information'!$D$33,0,IF(K44=$C$6,$E$36,0)+SUMIF($C$37:$C$44,K44-$C$6,$E$37:$E$44))</f>
        <v>0</v>
      </c>
    </row>
    <row r="45" customFormat="false" ht="25.5" hidden="false" customHeight="true" outlineLevel="0" collapsed="false">
      <c r="B45" s="58" t="s">
        <v>31</v>
      </c>
      <c r="C45" s="59"/>
      <c r="D45" s="59"/>
      <c r="E45" s="60" t="n">
        <f aca="false">SUM(E36:E44)</f>
        <v>1561007.62339735</v>
      </c>
      <c r="K45" s="1" t="n">
        <f aca="false">K44+1</f>
        <v>2036</v>
      </c>
      <c r="L45" s="34" t="n">
        <f aca="false">IF(K45-$C$6&gt;'General Information'!$D$33,0,IF(K45=$C$6,$D$36,0)+SUMIF($C$37:$C$44,K45-$C$6,$D$37:$D$44))</f>
        <v>230995.133333333</v>
      </c>
      <c r="M45" s="34" t="n">
        <f aca="false">IF(K45-$C$6&gt;'General Information'!$D$33,0,IF(K45=$C$6,$E$36,0)+SUMIF($C$37:$C$44,K45-$C$6,$E$37:$E$44))</f>
        <v>182349.691334912</v>
      </c>
    </row>
    <row r="46" customFormat="false" ht="15" hidden="false" customHeight="false" outlineLevel="0" collapsed="false">
      <c r="K46" s="1" t="n">
        <f aca="false">K45+1</f>
        <v>2037</v>
      </c>
      <c r="L46" s="34" t="n">
        <f aca="false">IF(K46-$C$6&gt;'General Information'!$D$33,0,IF(K46=$C$6,$D$36,0)+SUMIF($C$37:$C$44,K46-$C$6,$D$37:$D$44))</f>
        <v>0</v>
      </c>
      <c r="M46" s="34" t="n">
        <f aca="false">IF(K46-$C$6&gt;'General Information'!$D$33,0,IF(K46=$C$6,$E$36,0)+SUMIF($C$37:$C$44,K46-$C$6,$E$37:$E$44))</f>
        <v>0</v>
      </c>
    </row>
    <row r="47" customFormat="false" ht="15" hidden="false" customHeight="false" outlineLevel="0" collapsed="false">
      <c r="K47" s="1" t="n">
        <f aca="false">K46+1</f>
        <v>2038</v>
      </c>
      <c r="L47" s="34" t="n">
        <f aca="false">IF(K47-$C$6&gt;'General Information'!$D$33,0,IF(K47=$C$6,$D$36,0)+SUMIF($C$37:$C$44,K47-$C$6,$D$37:$D$44))</f>
        <v>0</v>
      </c>
      <c r="M47" s="34" t="n">
        <f aca="false">IF(K47-$C$6&gt;'General Information'!$D$33,0,IF(K47=$C$6,$E$36,0)+SUMIF($C$37:$C$44,K47-$C$6,$E$37:$E$44))</f>
        <v>0</v>
      </c>
    </row>
    <row r="48" customFormat="false" ht="15" hidden="false" customHeight="false" outlineLevel="0" collapsed="false">
      <c r="K48" s="1" t="n">
        <f aca="false">K47+1</f>
        <v>2039</v>
      </c>
      <c r="L48" s="34" t="n">
        <f aca="false">IF(K48-$C$6&gt;'General Information'!$D$33,0,IF(K48=$C$6,$D$36,0)+SUMIF($C$37:$C$44,K48-$C$6,$D$37:$D$44))</f>
        <v>0</v>
      </c>
      <c r="M48" s="34" t="n">
        <f aca="false">IF(K48-$C$6&gt;'General Information'!$D$33,0,IF(K48=$C$6,$E$36,0)+SUMIF($C$37:$C$44,K48-$C$6,$E$37:$E$44))</f>
        <v>0</v>
      </c>
    </row>
    <row r="49" customFormat="false" ht="15" hidden="false" customHeight="false" outlineLevel="0" collapsed="false">
      <c r="K49" s="1" t="n">
        <f aca="false">K48+1</f>
        <v>2040</v>
      </c>
      <c r="L49" s="34" t="n">
        <f aca="false">IF(K49-$C$6&gt;'General Information'!$D$33,0,IF(K49=$C$6,$D$36,0)+SUMIF($C$37:$C$44,K49-$C$6,$D$37:$D$44))</f>
        <v>323004.886770833</v>
      </c>
      <c r="M49" s="34" t="n">
        <f aca="false">IF(K49-$C$6&gt;'General Information'!$D$33,0,IF(K49=$C$6,$E$36,0)+SUMIF($C$37:$C$44,K49-$C$6,$E$37:$E$44))</f>
        <v>226549.128785072</v>
      </c>
    </row>
    <row r="50" customFormat="false" ht="15" hidden="false" customHeight="false" outlineLevel="0" collapsed="false">
      <c r="K50" s="1" t="n">
        <f aca="false">K49+1</f>
        <v>2041</v>
      </c>
      <c r="L50" s="34" t="n">
        <f aca="false">IF(K50-$C$6&gt;'General Information'!$D$33,0,IF(K50=$C$6,$D$36,0)+SUMIF($C$37:$C$44,K50-$C$6,$D$37:$D$44))</f>
        <v>0</v>
      </c>
      <c r="M50" s="34" t="n">
        <f aca="false">IF(K50-$C$6&gt;'General Information'!$D$33,0,IF(K50=$C$6,$E$36,0)+SUMIF($C$37:$C$44,K50-$C$6,$E$37:$E$44))</f>
        <v>0</v>
      </c>
    </row>
    <row r="51" customFormat="false" ht="15" hidden="false" customHeight="false" outlineLevel="0" collapsed="false">
      <c r="K51" s="1" t="n">
        <f aca="false">K50+1</f>
        <v>2042</v>
      </c>
      <c r="L51" s="34" t="n">
        <f aca="false">IF(K51-$C$6&gt;'General Information'!$D$33,0,IF(K51=$C$6,$D$36,0)+SUMIF($C$37:$C$44,K51-$C$6,$D$37:$D$44))</f>
        <v>0</v>
      </c>
      <c r="M51" s="34" t="n">
        <f aca="false">IF(K51-$C$6&gt;'General Information'!$D$33,0,IF(K51=$C$6,$E$36,0)+SUMIF($C$37:$C$44,K51-$C$6,$E$37:$E$44))</f>
        <v>0</v>
      </c>
    </row>
    <row r="52" customFormat="false" ht="15" hidden="false" customHeight="false" outlineLevel="0" collapsed="false">
      <c r="K52" s="1" t="n">
        <f aca="false">K51+1</f>
        <v>2043</v>
      </c>
      <c r="L52" s="34" t="n">
        <f aca="false">IF(K52-$C$6&gt;'General Information'!$D$33,0,IF(K52=$C$6,$D$36,0)+SUMIF($C$37:$C$44,K52-$C$6,$D$37:$D$44))</f>
        <v>0</v>
      </c>
      <c r="M52" s="34" t="n">
        <f aca="false">IF(K52-$C$6&gt;'General Information'!$D$33,0,IF(K52=$C$6,$E$36,0)+SUMIF($C$37:$C$44,K52-$C$6,$E$37:$E$44))</f>
        <v>0</v>
      </c>
    </row>
    <row r="53" customFormat="false" ht="15" hidden="false" customHeight="false" outlineLevel="0" collapsed="false">
      <c r="K53" s="1" t="n">
        <f aca="false">K52+1</f>
        <v>2044</v>
      </c>
      <c r="L53" s="34" t="n">
        <f aca="false">IF(K53-$C$6&gt;'General Information'!$D$33,0,IF(K53=$C$6,$D$36,0)+SUMIF($C$37:$C$44,K53-$C$6,$D$37:$D$44))</f>
        <v>337845.169583333</v>
      </c>
      <c r="M53" s="34" t="n">
        <f aca="false">IF(K53-$C$6&gt;'General Information'!$D$33,0,IF(K53=$C$6,$E$36,0)+SUMIF($C$37:$C$44,K53-$C$6,$E$37:$E$44))</f>
        <v>210533.940259546</v>
      </c>
    </row>
    <row r="54" customFormat="false" ht="15" hidden="false" customHeight="false" outlineLevel="0" collapsed="false">
      <c r="K54" s="1" t="n">
        <f aca="false">K53+1</f>
        <v>2045</v>
      </c>
      <c r="L54" s="34" t="n">
        <f aca="false">IF(K54-$C$6&gt;'General Information'!$D$33,0,IF(K54=$C$6,$D$36,0)+SUMIF($C$37:$C$44,K54-$C$6,$D$37:$D$44))</f>
        <v>0</v>
      </c>
      <c r="M54" s="34" t="n">
        <f aca="false">IF(K54-$C$6&gt;'General Information'!$D$33,0,IF(K54=$C$6,$E$36,0)+SUMIF($C$37:$C$44,K54-$C$6,$E$37:$E$44))</f>
        <v>0</v>
      </c>
    </row>
    <row r="55" customFormat="false" ht="15" hidden="false" customHeight="false" outlineLevel="0" collapsed="false">
      <c r="K55" s="1" t="n">
        <f aca="false">K54+1</f>
        <v>2046</v>
      </c>
      <c r="L55" s="34" t="n">
        <f aca="false">IF(K55-$C$6&gt;'General Information'!$D$33,0,IF(K55=$C$6,$D$36,0)+SUMIF($C$37:$C$44,K55-$C$6,$D$37:$D$44))</f>
        <v>0</v>
      </c>
      <c r="M55" s="34" t="n">
        <f aca="false">IF(K55-$C$6&gt;'General Information'!$D$33,0,IF(K55=$C$6,$E$36,0)+SUMIF($C$37:$C$44,K55-$C$6,$E$37:$E$44))</f>
        <v>0</v>
      </c>
    </row>
    <row r="56" customFormat="false" ht="15" hidden="false" customHeight="false" outlineLevel="0" collapsed="false">
      <c r="K56" s="1" t="n">
        <f aca="false">K55+1</f>
        <v>2047</v>
      </c>
      <c r="L56" s="34" t="n">
        <f aca="false">IF(K56-$C$6&gt;'General Information'!$D$33,0,IF(K56=$C$6,$D$36,0)+SUMIF($C$37:$C$44,K56-$C$6,$D$37:$D$44))</f>
        <v>0</v>
      </c>
      <c r="M56" s="34" t="n">
        <f aca="false">IF(K56-$C$6&gt;'General Information'!$D$33,0,IF(K56=$C$6,$E$36,0)+SUMIF($C$37:$C$44,K56-$C$6,$E$37:$E$44))</f>
        <v>0</v>
      </c>
    </row>
    <row r="57" customFormat="false" ht="15" hidden="false" customHeight="false" outlineLevel="0" collapsed="false">
      <c r="K57" s="1" t="n">
        <f aca="false">K56+1</f>
        <v>2048</v>
      </c>
      <c r="L57" s="34" t="n">
        <f aca="false">IF(K57-$C$6&gt;'General Information'!$D$33,0,IF(K57=$C$6,$D$36,0)+SUMIF($C$37:$C$44,K57-$C$6,$D$37:$D$44))</f>
        <v>1168588.850125</v>
      </c>
      <c r="M57" s="34" t="n">
        <f aca="false">IF(K57-$C$6&gt;'General Information'!$D$33,0,IF(K57=$C$6,$E$36,0)+SUMIF($C$37:$C$44,K57-$C$6,$E$37:$E$44))</f>
        <v>647019.312926701</v>
      </c>
    </row>
    <row r="58" customFormat="false" ht="15" hidden="false" customHeight="false" outlineLevel="0" collapsed="false">
      <c r="K58" s="1" t="n">
        <f aca="false">K57+1</f>
        <v>2049</v>
      </c>
      <c r="L58" s="34" t="n">
        <f aca="false">IF(K58-$C$6&gt;'General Information'!$D$33,0,IF(K58=$C$6,$D$36,0)+SUMIF($C$37:$C$44,K58-$C$6,$D$37:$D$44))</f>
        <v>0</v>
      </c>
      <c r="M58" s="34" t="n">
        <f aca="false">IF(K58-$C$6&gt;'General Information'!$D$33,0,IF(K58=$C$6,$E$36,0)+SUMIF($C$37:$C$44,K58-$C$6,$E$37:$E$44))</f>
        <v>0</v>
      </c>
    </row>
    <row r="59" customFormat="false" ht="15" hidden="false" customHeight="false" outlineLevel="0" collapsed="false">
      <c r="K59" s="1" t="n">
        <f aca="false">K58+1</f>
        <v>2050</v>
      </c>
      <c r="L59" s="34" t="n">
        <f aca="false">IF(K59-$C$6&gt;'General Information'!$D$33,0,IF(K59=$C$6,$D$36,0)+SUMIF($C$37:$C$44,K59-$C$6,$D$37:$D$44))</f>
        <v>0</v>
      </c>
      <c r="M59" s="34" t="n">
        <f aca="false">IF(K59-$C$6&gt;'General Information'!$D$33,0,IF(K59=$C$6,$E$36,0)+SUMIF($C$37:$C$44,K59-$C$6,$E$37:$E$44))</f>
        <v>0</v>
      </c>
    </row>
    <row r="60" customFormat="false" ht="15" hidden="false" customHeight="false" outlineLevel="0" collapsed="false">
      <c r="K60" s="1" t="n">
        <f aca="false">K59+1</f>
        <v>2051</v>
      </c>
      <c r="L60" s="34" t="n">
        <f aca="false">IF(K60-$C$6&gt;'General Information'!$D$33,0,IF(K60=$C$6,$D$36,0)+SUMIF($C$37:$C$44,K60-$C$6,$D$37:$D$44))</f>
        <v>0</v>
      </c>
      <c r="M60" s="34" t="n">
        <f aca="false">IF(K60-$C$6&gt;'General Information'!$D$33,0,IF(K60=$C$6,$E$36,0)+SUMIF($C$37:$C$44,K60-$C$6,$E$37:$E$44))</f>
        <v>0</v>
      </c>
    </row>
    <row r="61" customFormat="false" ht="15" hidden="false" customHeight="false" outlineLevel="0" collapsed="false">
      <c r="K61" s="1" t="n">
        <f aca="false">K60+1</f>
        <v>2052</v>
      </c>
      <c r="L61" s="34" t="n">
        <f aca="false">IF(K61-$C$6&gt;'General Information'!$D$33,0,IF(K61=$C$6,$D$36,0)+SUMIF($C$37:$C$44,K61-$C$6,$D$37:$D$44))</f>
        <v>230995.133333333</v>
      </c>
      <c r="M61" s="34" t="n">
        <f aca="false">IF(K61-$C$6&gt;'General Information'!$D$33,0,IF(K61=$C$6,$E$36,0)+SUMIF($C$37:$C$44,K61-$C$6,$E$37:$E$44))</f>
        <v>113634.29901691</v>
      </c>
    </row>
    <row r="62" customFormat="false" ht="15" hidden="false" customHeight="false" outlineLevel="0" collapsed="false">
      <c r="K62" s="1" t="n">
        <f aca="false">K61+1</f>
        <v>2053</v>
      </c>
      <c r="L62" s="34" t="n">
        <f aca="false">IF(K62-$C$6&gt;'General Information'!$D$33,0,IF(K62=$C$6,$D$36,0)+SUMIF($C$37:$C$44,K62-$C$6,$D$37:$D$44))</f>
        <v>0</v>
      </c>
      <c r="M62" s="34" t="n">
        <f aca="false">IF(K62-$C$6&gt;'General Information'!$D$33,0,IF(K62=$C$6,$E$36,0)+SUMIF($C$37:$C$44,K62-$C$6,$E$37:$E$44))</f>
        <v>0</v>
      </c>
    </row>
    <row r="63" customFormat="false" ht="15" hidden="false" customHeight="false" outlineLevel="0" collapsed="false">
      <c r="K63" s="1" t="n">
        <f aca="false">K62+1</f>
        <v>2054</v>
      </c>
      <c r="L63" s="34" t="n">
        <f aca="false">IF(K63-$C$6&gt;'General Information'!$D$33,0,IF(K63=$C$6,$D$36,0)+SUMIF($C$37:$C$44,K63-$C$6,$D$37:$D$44))</f>
        <v>0</v>
      </c>
      <c r="M63" s="34" t="n">
        <f aca="false">IF(K63-$C$6&gt;'General Information'!$D$33,0,IF(K63=$C$6,$E$36,0)+SUMIF($C$37:$C$44,K63-$C$6,$E$37:$E$44))</f>
        <v>0</v>
      </c>
    </row>
    <row r="64" customFormat="false" ht="15" hidden="false" customHeight="false" outlineLevel="0" collapsed="false">
      <c r="K64" s="1" t="n">
        <f aca="false">K63+1</f>
        <v>2055</v>
      </c>
      <c r="L64" s="34" t="n">
        <f aca="false">IF(K64-$C$6&gt;'General Information'!$D$33,0,IF(K64=$C$6,$D$36,0)+SUMIF($C$37:$C$44,K64-$C$6,$D$37:$D$44))</f>
        <v>0</v>
      </c>
      <c r="M64" s="34" t="n">
        <f aca="false">IF(K64-$C$6&gt;'General Information'!$D$33,0,IF(K64=$C$6,$E$36,0)+SUMIF($C$37:$C$44,K64-$C$6,$E$37:$E$44))</f>
        <v>0</v>
      </c>
    </row>
    <row r="65" customFormat="false" ht="15" hidden="false" customHeight="false" outlineLevel="0" collapsed="false">
      <c r="K65" s="1" t="n">
        <f aca="false">K64+1</f>
        <v>2056</v>
      </c>
      <c r="L65" s="34" t="n">
        <f aca="false">IF(K65-$C$6&gt;'General Information'!$D$33,0,IF(K65=$C$6,$D$36,0)+SUMIF($C$37:$C$44,K65-$C$6,$D$37:$D$44))</f>
        <v>357434.342895833</v>
      </c>
      <c r="M65" s="34" t="n">
        <f aca="false">IF(K65-$C$6&gt;'General Information'!$D$33,0,IF(K65=$C$6,$E$36,0)+SUMIF($C$37:$C$44,K65-$C$6,$E$37:$E$44))</f>
        <v>156226.242064515</v>
      </c>
    </row>
    <row r="66" customFormat="false" ht="15" hidden="false" customHeight="false" outlineLevel="0" collapsed="false">
      <c r="K66" s="1" t="n">
        <f aca="false">K65+1</f>
        <v>2057</v>
      </c>
      <c r="L66" s="34" t="n">
        <f aca="false">IF(K66-$C$6&gt;'General Information'!$D$33,0,IF(K66=$C$6,$D$36,0)+SUMIF($C$37:$C$44,K66-$C$6,$D$37:$D$44))</f>
        <v>0</v>
      </c>
      <c r="M66" s="34" t="n">
        <f aca="false">IF(K66-$C$6&gt;'General Information'!$D$33,0,IF(K66=$C$6,$E$36,0)+SUMIF($C$37:$C$44,K66-$C$6,$E$37:$E$44))</f>
        <v>0</v>
      </c>
    </row>
    <row r="67" customFormat="false" ht="15" hidden="false" customHeight="false" outlineLevel="0" collapsed="false">
      <c r="K67" s="1" t="n">
        <f aca="false">K66+1</f>
        <v>2058</v>
      </c>
      <c r="L67" s="34" t="n">
        <f aca="false">IF(K67-$C$6&gt;'General Information'!$D$33,0,IF(K67=$C$6,$D$36,0)+SUMIF($C$37:$C$44,K67-$C$6,$D$37:$D$44))</f>
        <v>-438220.818796875</v>
      </c>
      <c r="M67" s="34" t="n">
        <f aca="false">IF(K67-$C$6&gt;'General Information'!$D$33,0,IF(K67=$C$6,$E$36,0)+SUMIF($C$37:$C$44,K67-$C$6,$E$37:$E$44))</f>
        <v>-180541.175088532</v>
      </c>
    </row>
  </sheetData>
  <mergeCells count="3">
    <mergeCell ref="A1:B1"/>
    <mergeCell ref="A3:G3"/>
    <mergeCell ref="D11:G11"/>
  </mergeCells>
  <dataValidations count="3">
    <dataValidation allowBlank="true" errorStyle="stop" operator="between" prompt="Enter quantity" promptTitle="Qty" showDropDown="false" showErrorMessage="true" showInputMessage="true" sqref="E13" type="none">
      <formula1>0</formula1>
      <formula2>0</formula2>
    </dataValidation>
    <dataValidation allowBlank="false" error="Choose Regular, Middle, West or East." errorStyle="stop" errorTitle="Pricing source" operator="between" prompt="Which unit cost column on Pay_Items this alternative is priced from. Regular is the statewide Unit Cost column." promptTitle="Price from" showDropDown="false" showErrorMessage="true" showInputMessage="true" sqref="C11" type="list">
      <formula1>"Regular,Middle,West,East"</formula1>
      <formula2>0</formula2>
    </dataValidation>
    <dataValidation allowBlank="true" error="Select from list" errorStyle="stop" operator="between" showDropDown="false" showErrorMessage="true" showInputMessage="true" sqref="C7" type="list">
      <formula1>Pay_Items!$D$48:$D$53</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true"/>
  </sheetPr>
  <dimension ref="A1:X68"/>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selection pane="topLeft" activeCell="H44" activeCellId="0" sqref="H44"/>
    </sheetView>
  </sheetViews>
  <sheetFormatPr defaultColWidth="8.5390625" defaultRowHeight="15" zeroHeight="false" outlineLevelRow="0" outlineLevelCol="0"/>
  <cols>
    <col collapsed="false" customWidth="true" hidden="false" outlineLevel="0" max="1" min="1" style="0" width="12.29"/>
    <col collapsed="false" customWidth="true" hidden="false" outlineLevel="0" max="2" min="2" style="0" width="19.71"/>
    <col collapsed="false" customWidth="true" hidden="false" outlineLevel="0" max="3" min="3" style="0" width="53.71"/>
    <col collapsed="false" customWidth="true" hidden="false" outlineLevel="0" max="4" min="4" style="0" width="11"/>
    <col collapsed="false" customWidth="true" hidden="false" outlineLevel="0" max="5" min="5" style="0" width="17.14"/>
    <col collapsed="false" customWidth="true" hidden="false" outlineLevel="0" max="7" min="6" style="0" width="10.57"/>
    <col collapsed="false" customWidth="true" hidden="true" outlineLevel="0" max="9" min="9" style="0" width="9.14"/>
    <col collapsed="false" customWidth="true" hidden="true" outlineLevel="0" max="11" min="10" style="1" width="13.29"/>
    <col collapsed="false" customWidth="true" hidden="true" outlineLevel="0" max="12" min="12" style="1" width="41.71"/>
    <col collapsed="false" customWidth="true" hidden="true" outlineLevel="0" max="16" min="13" style="1" width="13.29"/>
    <col collapsed="false" customWidth="true" hidden="true" outlineLevel="0" max="17" min="17" style="0" width="3.57"/>
    <col collapsed="false" customWidth="true" hidden="true" outlineLevel="0" max="19" min="18" style="0" width="13.29"/>
    <col collapsed="false" customWidth="true" hidden="true" outlineLevel="0" max="20" min="20" style="0" width="41.28"/>
    <col collapsed="false" customWidth="true" hidden="true" outlineLevel="0" max="22" min="21" style="0" width="13.29"/>
    <col collapsed="false" customWidth="true" hidden="false" outlineLevel="0" max="24" min="23" style="0" width="13.29"/>
  </cols>
  <sheetData>
    <row r="1" customFormat="false" ht="39.75" hidden="false" customHeight="true" outlineLevel="0" collapsed="false">
      <c r="A1" s="3" t="str">
        <f aca="false">HYPERLINK("#'General Information'!D9","◄ General Information")</f>
        <v>◄ General Information</v>
      </c>
      <c r="B1" s="3"/>
      <c r="C1" s="4" t="str">
        <f aca="false">HYPERLINK("#Summary!G1","Summary")</f>
        <v>Summary</v>
      </c>
      <c r="D1" s="5" t="str">
        <f aca="false">$A$34</f>
        <v>PCC Reconstruction - Alternative 2</v>
      </c>
      <c r="I1" s="6" t="s">
        <v>0</v>
      </c>
    </row>
    <row r="2" customFormat="false" ht="15" hidden="false" customHeight="false" outlineLevel="0" collapsed="false">
      <c r="A2" s="7" t="s">
        <v>1</v>
      </c>
      <c r="J2" s="10" t="s">
        <v>3</v>
      </c>
      <c r="R2" s="7" t="s">
        <v>4</v>
      </c>
    </row>
    <row r="3" customFormat="false" ht="25.5" hidden="false" customHeight="true" outlineLevel="0" collapsed="false">
      <c r="A3" s="11" t="s">
        <v>5</v>
      </c>
      <c r="B3" s="11"/>
      <c r="C3" s="11"/>
      <c r="D3" s="11"/>
      <c r="E3" s="11"/>
      <c r="F3" s="11"/>
      <c r="G3" s="11"/>
    </row>
    <row r="4" customFormat="false" ht="15" hidden="false" customHeight="false" outlineLevel="0" collapsed="false">
      <c r="A4" s="12" t="s">
        <v>6</v>
      </c>
      <c r="B4" s="13"/>
      <c r="C4" s="14" t="s">
        <v>7</v>
      </c>
      <c r="D4" s="13"/>
    </row>
    <row r="5" customFormat="false" ht="15" hidden="false" customHeight="false" outlineLevel="0" collapsed="false">
      <c r="A5" s="12" t="s">
        <v>9</v>
      </c>
      <c r="B5" s="13"/>
      <c r="C5" s="14" t="n">
        <f aca="false">'General Information'!D26</f>
        <v>45883</v>
      </c>
      <c r="D5" s="13" t="s">
        <v>10</v>
      </c>
    </row>
    <row r="6" customFormat="false" ht="15" hidden="false" customHeight="false" outlineLevel="0" collapsed="false">
      <c r="A6" s="12" t="s">
        <v>12</v>
      </c>
      <c r="B6" s="13"/>
      <c r="C6" s="14" t="n">
        <f aca="false">'General Information'!D25</f>
        <v>2028</v>
      </c>
      <c r="D6" s="13"/>
    </row>
    <row r="7" customFormat="false" ht="15" hidden="false" customHeight="false" outlineLevel="0" collapsed="false">
      <c r="A7" s="12" t="s">
        <v>13</v>
      </c>
      <c r="B7" s="13"/>
      <c r="C7" s="14" t="n">
        <f aca="false">'General Information'!D28</f>
        <v>12000</v>
      </c>
      <c r="D7" s="13" t="s">
        <v>14</v>
      </c>
      <c r="J7" s="1" t="s">
        <v>15</v>
      </c>
      <c r="K7" s="19" t="n">
        <f aca="false">C5/((12.5*12.5)/9)</f>
        <v>2642.8608</v>
      </c>
    </row>
    <row r="8" customFormat="false" ht="15" hidden="false" customHeight="false" outlineLevel="0" collapsed="false">
      <c r="C8" s="20"/>
      <c r="J8" s="1" t="s">
        <v>16</v>
      </c>
      <c r="K8" s="1" t="n">
        <f aca="false">K7*25+((K7/8)*12.5)</f>
        <v>70200.99</v>
      </c>
    </row>
    <row r="9" customFormat="false" ht="15" hidden="false" customHeight="false" outlineLevel="0" collapsed="false">
      <c r="C9" s="20"/>
    </row>
    <row r="10" customFormat="false" ht="15" hidden="false" customHeight="false" outlineLevel="0" collapsed="false">
      <c r="C10" s="20"/>
      <c r="I10" s="21" t="s">
        <v>17</v>
      </c>
    </row>
    <row r="11" customFormat="false" ht="27.75" hidden="false" customHeight="true" outlineLevel="0" collapsed="false">
      <c r="B11" s="22" t="s">
        <v>18</v>
      </c>
      <c r="C11" s="23" t="s">
        <v>19</v>
      </c>
      <c r="D11" s="11" t="str">
        <f aca="false">IF(OR($C$11="Regular",$C$11=""),"Regular is the statewide Unit Cost column on Pay_Items.","Prices from the "&amp;$C$11&amp;" column on Pay_Items: "&amp;SUM($I$13:$I$22)&amp;" of "&amp;COUNT($I$13:$I$22)&amp;" pay items used here have a "&amp;$C$11&amp;" cost, the rest fall back to Unit Cost.")</f>
        <v>Regular is the statewide Unit Cost column on Pay_Items.</v>
      </c>
      <c r="E11" s="11"/>
      <c r="F11" s="11"/>
      <c r="G11" s="11"/>
      <c r="I11" s="21" t="n">
        <f aca="false">IFERROR(MATCH($C$11,PriceSources,0),1)</f>
        <v>1</v>
      </c>
    </row>
    <row r="12" customFormat="false" ht="19.5" hidden="false" customHeight="true" outlineLevel="0" collapsed="false">
      <c r="A12" s="24" t="s">
        <v>20</v>
      </c>
      <c r="B12" s="24" t="s">
        <v>21</v>
      </c>
      <c r="C12" s="24" t="s">
        <v>22</v>
      </c>
      <c r="D12" s="25" t="s">
        <v>23</v>
      </c>
      <c r="E12" s="25" t="s">
        <v>24</v>
      </c>
      <c r="F12" s="25" t="s">
        <v>25</v>
      </c>
      <c r="G12" s="25" t="s">
        <v>26</v>
      </c>
      <c r="J12" s="1" t="s">
        <v>20</v>
      </c>
      <c r="K12" s="1" t="s">
        <v>21</v>
      </c>
      <c r="L12" s="1" t="s">
        <v>22</v>
      </c>
      <c r="M12" s="1" t="s">
        <v>23</v>
      </c>
      <c r="N12" s="1" t="s">
        <v>24</v>
      </c>
      <c r="O12" s="1" t="s">
        <v>25</v>
      </c>
      <c r="P12" s="1" t="s">
        <v>26</v>
      </c>
      <c r="R12" s="6" t="s">
        <v>20</v>
      </c>
      <c r="S12" s="6" t="s">
        <v>21</v>
      </c>
      <c r="T12" s="6" t="s">
        <v>22</v>
      </c>
      <c r="U12" s="6" t="s">
        <v>23</v>
      </c>
      <c r="V12" s="6" t="s">
        <v>24</v>
      </c>
      <c r="W12" s="6" t="s">
        <v>25</v>
      </c>
      <c r="X12" s="6" t="s">
        <v>26</v>
      </c>
    </row>
    <row r="13" customFormat="false" ht="19.5" hidden="false" customHeight="true" outlineLevel="0" collapsed="false">
      <c r="A13" s="0" t="n">
        <v>1</v>
      </c>
      <c r="B13" s="26" t="str">
        <f aca="false">IF(C13="","",VLOOKUP(C13,CHOOSE({1,2},Table2[Pay Item Description],Table2[Pay Item No.]),2,0))</f>
        <v/>
      </c>
      <c r="C13" s="27"/>
      <c r="D13" s="28" t="str">
        <f aca="false">IF(C13="","N/A",VLOOKUP(C13,CHOOSE({1,2},Table2[Pay Item Description],Table2[Units]),2,0))</f>
        <v>N/A</v>
      </c>
      <c r="E13" s="29"/>
      <c r="F13" s="30" t="str">
        <f aca="false">IF(C13="","N/A",IF(INDEX(UnitCostGrid,MATCH(C13,PayItemKeys,0),$I$11)="",INDEX(UnitCostGrid,MATCH(C13,PayItemKeys,0),1),INDEX(UnitCostGrid,MATCH(C13,PayItemKeys,0),$I$11)))</f>
        <v>N/A</v>
      </c>
      <c r="G13" s="31" t="n">
        <f aca="false">IF(C13="",0,F13*E13)</f>
        <v>0</v>
      </c>
      <c r="I13" s="21" t="str">
        <f aca="false">IF(C13="","",IF(INDEX(UnitCostGrid,MATCH(C13,PayItemKeys,0),$I$11)="",0,1))</f>
        <v/>
      </c>
      <c r="J13" s="1" t="n">
        <v>1</v>
      </c>
      <c r="K13" s="1" t="str">
        <f aca="false">IF(L13="",0,VLOOKUP(L13,CHOOSE({1,2},Table2[Pay Item Description],Table2[Pay Item No.]),2,0))</f>
        <v>P-605-5.1a</v>
      </c>
      <c r="L13" s="1" t="str">
        <f aca="false">Pay_Items!D55</f>
        <v>Joint Clean and Reseal, Concrete</v>
      </c>
      <c r="M13" s="1" t="str">
        <f aca="false">IF(L13="","N/A",VLOOKUP(L13,CHOOSE({1,2},Table2[Pay Item Description],Table2[Units]),2,0))</f>
        <v>L.F.</v>
      </c>
      <c r="N13" s="32" t="n">
        <f aca="false">K8*'Maintenance Policies'!D37</f>
        <v>70200.99</v>
      </c>
      <c r="O13" s="33" t="n">
        <f aca="false">IF(L13="","N/A",IF(INDEX(UnitCostGrid,MATCH(L13,PayItemKeys,0),$I$11)="",INDEX(UnitCostGrid,MATCH(L13,PayItemKeys,0),1),INDEX(UnitCostGrid,MATCH(L13,PayItemKeys,0),$I$11)))</f>
        <v>7</v>
      </c>
      <c r="P13" s="34" t="n">
        <f aca="false">O13*N13</f>
        <v>491406.93</v>
      </c>
      <c r="R13" s="0" t="n">
        <v>1</v>
      </c>
      <c r="S13" s="0" t="str">
        <f aca="false">IF(T13="",0,VLOOKUP(T13,CHOOSE({1,2},Table2[Pay Item Description],Table2[Pay Item No.]),2,0))</f>
        <v>P-101-5.5c</v>
      </c>
      <c r="T13" s="0" t="str">
        <f aca="false">Pay_Items!D15</f>
        <v>Slab Replacement, Concrete</v>
      </c>
      <c r="U13" s="0" t="str">
        <f aca="false">IF(T13="","N/A",VLOOKUP(T13,CHOOSE({1,2},Table2[Pay Item Description],Table2[Units]),2,0))</f>
        <v>S.Y.</v>
      </c>
      <c r="V13" s="35" t="n">
        <f aca="false">'Maintenance Policies'!D41*C5</f>
        <v>917.66</v>
      </c>
      <c r="W13" s="36" t="n">
        <f aca="false">IF(T13="","N/A",IF(INDEX(UnitCostGrid,MATCH(T13,PayItemKeys,0),$I$11)="",INDEX(UnitCostGrid,MATCH(T13,PayItemKeys,0),1),INDEX(UnitCostGrid,MATCH(T13,PayItemKeys,0),$I$11)))</f>
        <v>100</v>
      </c>
      <c r="X13" s="37" t="n">
        <f aca="false">W13*V13</f>
        <v>91766</v>
      </c>
    </row>
    <row r="14" customFormat="false" ht="19.5" hidden="false" customHeight="true" outlineLevel="0" collapsed="false">
      <c r="A14" s="0" t="n">
        <v>2</v>
      </c>
      <c r="B14" s="26" t="str">
        <f aca="false">IF(C14="","",VLOOKUP(C14,CHOOSE({1,2},Table2[Pay Item Description],Table2[Pay Item No.]),2,0))</f>
        <v/>
      </c>
      <c r="C14" s="27"/>
      <c r="D14" s="28" t="str">
        <f aca="false">IF(C14="","N/A",VLOOKUP(C14,CHOOSE({1,2},Table2[Pay Item Description],Table2[Units]),2,0))</f>
        <v>N/A</v>
      </c>
      <c r="E14" s="29"/>
      <c r="F14" s="30" t="str">
        <f aca="false">IF(C14="","N/A",IF(INDEX(UnitCostGrid,MATCH(C14,PayItemKeys,0),$I$11)="",INDEX(UnitCostGrid,MATCH(C14,PayItemKeys,0),1),INDEX(UnitCostGrid,MATCH(C14,PayItemKeys,0),$I$11)))</f>
        <v>N/A</v>
      </c>
      <c r="G14" s="31" t="n">
        <f aca="false">IF(C14="",0,F14*E14)</f>
        <v>0</v>
      </c>
      <c r="I14" s="21" t="str">
        <f aca="false">IF(C14="","",IF(INDEX(UnitCostGrid,MATCH(C14,PayItemKeys,0),$I$11)="",0,1))</f>
        <v/>
      </c>
      <c r="J14" s="1" t="n">
        <v>2</v>
      </c>
      <c r="K14" s="1" t="str">
        <f aca="false">VLOOKUP(L14,CHOOSE({1,2},Table2[Pay Item Description],Table2[Pay Item No.]),2,0)</f>
        <v>P-101-5.2c</v>
      </c>
      <c r="L14" s="1" t="str">
        <f aca="false">Pay_Items!D8</f>
        <v>Crack Seal, Concrete</v>
      </c>
      <c r="M14" s="1" t="str">
        <f aca="false">IF(L14="","N/A",VLOOKUP(L14,CHOOSE({1,2},Table2[Pay Item Description],Table2[Units]),2,0))</f>
        <v>L.F.</v>
      </c>
      <c r="N14" s="32" t="n">
        <f aca="false">'Maintenance Policies'!D38*(C5*9)</f>
        <v>1032.3675</v>
      </c>
      <c r="O14" s="33" t="n">
        <f aca="false">IF(L14="","N/A",IF(INDEX(UnitCostGrid,MATCH(L14,PayItemKeys,0),$I$11)="",INDEX(UnitCostGrid,MATCH(L14,PayItemKeys,0),1),INDEX(UnitCostGrid,MATCH(L14,PayItemKeys,0),$I$11)))</f>
        <v>8</v>
      </c>
      <c r="P14" s="34" t="n">
        <f aca="false">O14*N14</f>
        <v>8258.94</v>
      </c>
      <c r="R14" s="0" t="n">
        <v>2</v>
      </c>
      <c r="S14" s="0" t="str">
        <f aca="false">VLOOKUP(T14,CHOOSE({1,2},Table2[Pay Item Description],Table2[Pay Item No.]),2,0)</f>
        <v>P-101-5.5b</v>
      </c>
      <c r="T14" s="0" t="str">
        <f aca="false">Pay_Items!D14</f>
        <v>Full-Depth Repair, Concrete</v>
      </c>
      <c r="U14" s="0" t="str">
        <f aca="false">IF(T14="","N/A",VLOOKUP(T14,CHOOSE({1,2},Table2[Pay Item Description],Table2[Units]),2,0))</f>
        <v>S.Y.</v>
      </c>
      <c r="V14" s="35" t="n">
        <f aca="false">'Maintenance Policies'!D42*C5</f>
        <v>137.649</v>
      </c>
      <c r="W14" s="36" t="n">
        <f aca="false">IF(T14="","N/A",IF(INDEX(UnitCostGrid,MATCH(T14,PayItemKeys,0),$I$11)="",INDEX(UnitCostGrid,MATCH(T14,PayItemKeys,0),1),INDEX(UnitCostGrid,MATCH(T14,PayItemKeys,0),$I$11)))</f>
        <v>120</v>
      </c>
      <c r="X14" s="37" t="n">
        <f aca="false">W14*V14</f>
        <v>16517.88</v>
      </c>
    </row>
    <row r="15" customFormat="false" ht="19.5" hidden="false" customHeight="true" outlineLevel="0" collapsed="false">
      <c r="A15" s="0" t="n">
        <v>3</v>
      </c>
      <c r="B15" s="26" t="str">
        <f aca="false">IF(C15="","",VLOOKUP(C15,CHOOSE({1,2},Table2[Pay Item Description],Table2[Pay Item No.]),2,0))</f>
        <v/>
      </c>
      <c r="C15" s="27"/>
      <c r="D15" s="28" t="str">
        <f aca="false">IF(C15="","N/A",VLOOKUP(C15,CHOOSE({1,2},Table2[Pay Item Description],Table2[Units]),2,0))</f>
        <v>N/A</v>
      </c>
      <c r="E15" s="29"/>
      <c r="F15" s="30" t="str">
        <f aca="false">IF(C15="","N/A",IF(INDEX(UnitCostGrid,MATCH(C15,PayItemKeys,0),$I$11)="",INDEX(UnitCostGrid,MATCH(C15,PayItemKeys,0),1),INDEX(UnitCostGrid,MATCH(C15,PayItemKeys,0),$I$11)))</f>
        <v>N/A</v>
      </c>
      <c r="G15" s="31" t="n">
        <f aca="false">IF(C15="",0,F15*E15)</f>
        <v>0</v>
      </c>
      <c r="I15" s="21" t="str">
        <f aca="false">IF(C15="","",IF(INDEX(UnitCostGrid,MATCH(C15,PayItemKeys,0),$I$11)="",0,1))</f>
        <v/>
      </c>
      <c r="J15" s="1" t="n">
        <v>3</v>
      </c>
      <c r="K15" s="1" t="str">
        <f aca="false">VLOOKUP(L15,CHOOSE({1,2},Table2[Pay Item Description],Table2[Pay Item No.]),2,0)</f>
        <v>P-101-5.5a</v>
      </c>
      <c r="L15" s="1" t="str">
        <f aca="false">Pay_Items!D13</f>
        <v>Spall Repair, Concrete</v>
      </c>
      <c r="M15" s="1" t="str">
        <f aca="false">IF(L15="","N/A",VLOOKUP(L15,CHOOSE({1,2},Table2[Pay Item Description],Table2[Units]),2,0))</f>
        <v>S.F.</v>
      </c>
      <c r="N15" s="32" t="n">
        <f aca="false">'Maintenance Policies'!D39*(C5*9)</f>
        <v>536.8311</v>
      </c>
      <c r="O15" s="33" t="n">
        <f aca="false">IF(L15="","N/A",IF(INDEX(UnitCostGrid,MATCH(L15,PayItemKeys,0),$I$11)="",INDEX(UnitCostGrid,MATCH(L15,PayItemKeys,0),1),INDEX(UnitCostGrid,MATCH(L15,PayItemKeys,0),$I$11)))</f>
        <v>60</v>
      </c>
      <c r="P15" s="34" t="n">
        <f aca="false">O15*N15</f>
        <v>32209.866</v>
      </c>
      <c r="R15" s="0" t="n">
        <v>3</v>
      </c>
      <c r="S15" s="0" t="str">
        <f aca="false">VLOOKUP(T15,CHOOSE({1,2},Table2[Pay Item Description],Table2[Pay Item No.]),2,0)</f>
        <v>P-101-5.5a</v>
      </c>
      <c r="T15" s="0" t="str">
        <f aca="false">Pay_Items!D13</f>
        <v>Spall Repair, Concrete</v>
      </c>
      <c r="U15" s="0" t="str">
        <f aca="false">IF(T15="","N/A",VLOOKUP(T15,CHOOSE({1,2},Table2[Pay Item Description],Table2[Units]),2,0))</f>
        <v>S.F.</v>
      </c>
      <c r="V15" s="35" t="n">
        <f aca="false">'Maintenance Policies'!D43*(C5*9)</f>
        <v>536.8311</v>
      </c>
      <c r="W15" s="36" t="n">
        <f aca="false">IF(T15="","N/A",IF(INDEX(UnitCostGrid,MATCH(T15,PayItemKeys,0),$I$11)="",INDEX(UnitCostGrid,MATCH(T15,PayItemKeys,0),1),INDEX(UnitCostGrid,MATCH(T15,PayItemKeys,0),$I$11)))</f>
        <v>60</v>
      </c>
      <c r="X15" s="37" t="n">
        <f aca="false">W15*V15</f>
        <v>32209.866</v>
      </c>
    </row>
    <row r="16" customFormat="false" ht="19.5" hidden="false" customHeight="true" outlineLevel="0" collapsed="false">
      <c r="A16" s="0" t="n">
        <v>4</v>
      </c>
      <c r="B16" s="26" t="str">
        <f aca="false">IF(C16="","",VLOOKUP(C16,CHOOSE({1,2},Table2[Pay Item Description],Table2[Pay Item No.]),2,0))</f>
        <v/>
      </c>
      <c r="C16" s="27"/>
      <c r="D16" s="28" t="str">
        <f aca="false">IF(C16="","N/A",VLOOKUP(C16,CHOOSE({1,2},Table2[Pay Item Description],Table2[Units]),2,0))</f>
        <v>N/A</v>
      </c>
      <c r="E16" s="29"/>
      <c r="F16" s="30" t="str">
        <f aca="false">IF(C16="","N/A",IF(INDEX(UnitCostGrid,MATCH(C16,PayItemKeys,0),$I$11)="",INDEX(UnitCostGrid,MATCH(C16,PayItemKeys,0),1),INDEX(UnitCostGrid,MATCH(C16,PayItemKeys,0),$I$11)))</f>
        <v>N/A</v>
      </c>
      <c r="G16" s="31" t="n">
        <f aca="false">IF(C16="",0,F16*E16)</f>
        <v>0</v>
      </c>
      <c r="I16" s="21" t="str">
        <f aca="false">IF(C16="","",IF(INDEX(UnitCostGrid,MATCH(C16,PayItemKeys,0),$I$11)="",0,1))</f>
        <v/>
      </c>
      <c r="J16" s="1" t="n">
        <v>4</v>
      </c>
      <c r="K16" s="1" t="str">
        <f aca="false">VLOOKUP(L16,CHOOSE({1,2},Table2[Pay Item Description],Table2[Pay Item No.]),2,0)</f>
        <v>P-101-5.5b</v>
      </c>
      <c r="L16" s="1" t="str">
        <f aca="false">Pay_Items!D14</f>
        <v>Full-Depth Repair, Concrete</v>
      </c>
      <c r="M16" s="1" t="str">
        <f aca="false">IF(L16="","N/A",VLOOKUP(L16,CHOOSE({1,2},Table2[Pay Item Description],Table2[Units]),2,0))</f>
        <v>S.Y.</v>
      </c>
      <c r="N16" s="32" t="n">
        <f aca="false">'Maintenance Policies'!D40*C5</f>
        <v>137.649</v>
      </c>
      <c r="O16" s="33" t="n">
        <f aca="false">IF(L16="","N/A",IF(INDEX(UnitCostGrid,MATCH(L16,PayItemKeys,0),$I$11)="",INDEX(UnitCostGrid,MATCH(L16,PayItemKeys,0),1),INDEX(UnitCostGrid,MATCH(L16,PayItemKeys,0),$I$11)))</f>
        <v>120</v>
      </c>
      <c r="P16" s="34" t="n">
        <f aca="false">O16*N16</f>
        <v>16517.88</v>
      </c>
      <c r="R16" s="0" t="n">
        <v>4</v>
      </c>
      <c r="S16" s="0" t="str">
        <f aca="false">VLOOKUP(T16,CHOOSE({1,2},Table2[Pay Item Description],Table2[Pay Item No.]),2,0)</f>
        <v>P-101-5.2c</v>
      </c>
      <c r="T16" s="0" t="str">
        <f aca="false">Pay_Items!D8</f>
        <v>Crack Seal, Concrete</v>
      </c>
      <c r="U16" s="0" t="str">
        <f aca="false">IF(T16="","N/A",VLOOKUP(T16,CHOOSE({1,2},Table2[Pay Item Description],Table2[Units]),2,0))</f>
        <v>L.F.</v>
      </c>
      <c r="V16" s="35" t="n">
        <f aca="false">'Maintenance Policies'!D44*(C5*9)</f>
        <v>1238.841</v>
      </c>
      <c r="W16" s="36" t="n">
        <f aca="false">IF(T16="","N/A",IF(INDEX(UnitCostGrid,MATCH(T16,PayItemKeys,0),$I$11)="",INDEX(UnitCostGrid,MATCH(T16,PayItemKeys,0),1),INDEX(UnitCostGrid,MATCH(T16,PayItemKeys,0),$I$11)))</f>
        <v>8</v>
      </c>
      <c r="X16" s="37" t="n">
        <f aca="false">W16*V16</f>
        <v>9910.728</v>
      </c>
    </row>
    <row r="17" customFormat="false" ht="19.5" hidden="false" customHeight="true" outlineLevel="0" collapsed="false">
      <c r="A17" s="0" t="n">
        <v>5</v>
      </c>
      <c r="B17" s="26" t="str">
        <f aca="false">IF(C17="","",VLOOKUP(C17,CHOOSE({1,2},Table2[Pay Item Description],Table2[Pay Item No.]),2,0))</f>
        <v/>
      </c>
      <c r="C17" s="27"/>
      <c r="D17" s="28" t="str">
        <f aca="false">IF(C17="","N/A",VLOOKUP(C17,CHOOSE({1,2},Table2[Pay Item Description],Table2[Units]),2,0))</f>
        <v>N/A</v>
      </c>
      <c r="E17" s="29"/>
      <c r="F17" s="30" t="str">
        <f aca="false">IF(C17="","N/A",IF(INDEX(UnitCostGrid,MATCH(C17,PayItemKeys,0),$I$11)="",INDEX(UnitCostGrid,MATCH(C17,PayItemKeys,0),1),INDEX(UnitCostGrid,MATCH(C17,PayItemKeys,0),$I$11)))</f>
        <v>N/A</v>
      </c>
      <c r="G17" s="31" t="n">
        <f aca="false">IF(C17="",0,F17*E17)</f>
        <v>0</v>
      </c>
      <c r="I17" s="21" t="str">
        <f aca="false">IF(C17="","",IF(INDEX(UnitCostGrid,MATCH(C17,PayItemKeys,0),$I$11)="",0,1))</f>
        <v/>
      </c>
      <c r="O17" s="1" t="s">
        <v>27</v>
      </c>
      <c r="P17" s="34" t="n">
        <f aca="false">SUM(P13:P16)</f>
        <v>548393.616</v>
      </c>
      <c r="R17" s="0" t="n">
        <v>5</v>
      </c>
      <c r="S17" s="0" t="str">
        <f aca="false">VLOOKUP(T17,CHOOSE({1,2},Table2[Pay Item Description],Table2[Pay Item No.]),2,0)</f>
        <v>P-605-5.1a</v>
      </c>
      <c r="T17" s="0" t="str">
        <f aca="false">Pay_Items!D55</f>
        <v>Joint Clean and Reseal, Concrete</v>
      </c>
      <c r="U17" s="0" t="str">
        <f aca="false">IF(T17="","N/A",VLOOKUP(T17,CHOOSE({1,2},Table2[Pay Item Description],Table2[Units]),2,0))</f>
        <v>L.F.</v>
      </c>
      <c r="V17" s="35" t="n">
        <f aca="false">'Maintenance Policies'!D45*K8</f>
        <v>70200.99</v>
      </c>
      <c r="W17" s="36" t="n">
        <f aca="false">IF(T17="","N/A",IF(INDEX(UnitCostGrid,MATCH(T17,PayItemKeys,0),$I$11)="",INDEX(UnitCostGrid,MATCH(T17,PayItemKeys,0),1),INDEX(UnitCostGrid,MATCH(T17,PayItemKeys,0),$I$11)))</f>
        <v>7</v>
      </c>
      <c r="X17" s="37" t="n">
        <f aca="false">W17*V17</f>
        <v>491406.93</v>
      </c>
    </row>
    <row r="18" customFormat="false" ht="19.5" hidden="false" customHeight="true" outlineLevel="0" collapsed="false">
      <c r="A18" s="0" t="n">
        <v>6</v>
      </c>
      <c r="B18" s="26" t="str">
        <f aca="false">IF(C18="","",VLOOKUP(C18,CHOOSE({1,2},Table2[Pay Item Description],Table2[Pay Item No.]),2,0))</f>
        <v/>
      </c>
      <c r="C18" s="27"/>
      <c r="D18" s="28" t="str">
        <f aca="false">IF(C18="","N/A",VLOOKUP(C18,CHOOSE({1,2},Table2[Pay Item Description],Table2[Units]),2,0))</f>
        <v>N/A</v>
      </c>
      <c r="E18" s="29"/>
      <c r="F18" s="30" t="str">
        <f aca="false">IF(C18="","N/A",IF(INDEX(UnitCostGrid,MATCH(C18,PayItemKeys,0),$I$11)="",INDEX(UnitCostGrid,MATCH(C18,PayItemKeys,0),1),INDEX(UnitCostGrid,MATCH(C18,PayItemKeys,0),$I$11)))</f>
        <v>N/A</v>
      </c>
      <c r="G18" s="31" t="n">
        <f aca="false">IF(C18="",0,F18*E18)</f>
        <v>0</v>
      </c>
      <c r="I18" s="21" t="str">
        <f aca="false">IF(C18="","",IF(INDEX(UnitCostGrid,MATCH(C18,PayItemKeys,0),$I$11)="",0,1))</f>
        <v/>
      </c>
      <c r="L18" s="1" t="s">
        <v>28</v>
      </c>
      <c r="P18" s="34" t="n">
        <f aca="false">('General Information'!$D$36/100)*P17</f>
        <v>54839.3616</v>
      </c>
      <c r="W18" s="6" t="s">
        <v>27</v>
      </c>
      <c r="X18" s="37" t="n">
        <f aca="false">SUM(X13:X17)</f>
        <v>641811.404</v>
      </c>
    </row>
    <row r="19" customFormat="false" ht="19.5" hidden="false" customHeight="true" outlineLevel="0" collapsed="false">
      <c r="A19" s="0" t="n">
        <v>7</v>
      </c>
      <c r="B19" s="26" t="str">
        <f aca="false">IF(C19="","",VLOOKUP(C19,CHOOSE({1,2},Table2[Pay Item Description],Table2[Pay Item No.]),2,0))</f>
        <v/>
      </c>
      <c r="C19" s="27"/>
      <c r="D19" s="28" t="str">
        <f aca="false">IF(C19="","N/A",VLOOKUP(C19,CHOOSE({1,2},Table2[Pay Item Description],Table2[Units]),2,0))</f>
        <v>N/A</v>
      </c>
      <c r="E19" s="29"/>
      <c r="F19" s="30" t="str">
        <f aca="false">IF(C19="","N/A",IF(INDEX(UnitCostGrid,MATCH(C19,PayItemKeys,0),$I$11)="",INDEX(UnitCostGrid,MATCH(C19,PayItemKeys,0),1),INDEX(UnitCostGrid,MATCH(C19,PayItemKeys,0),$I$11)))</f>
        <v>N/A</v>
      </c>
      <c r="G19" s="31" t="n">
        <f aca="false">IF(C19="",0,F19*E19)</f>
        <v>0</v>
      </c>
      <c r="I19" s="21" t="str">
        <f aca="false">IF(C19="","",IF(INDEX(UnitCostGrid,MATCH(C19,PayItemKeys,0),$I$11)="",0,1))</f>
        <v/>
      </c>
      <c r="L19" s="1" t="s">
        <v>29</v>
      </c>
      <c r="P19" s="34" t="n">
        <f aca="false">('General Information'!$D$37/100)*P17</f>
        <v>27419.6808</v>
      </c>
      <c r="T19" s="6" t="s">
        <v>28</v>
      </c>
      <c r="X19" s="37" t="n">
        <f aca="false">('General Information'!$D$36/100)*X18</f>
        <v>64181.1404</v>
      </c>
    </row>
    <row r="20" customFormat="false" ht="19.5" hidden="false" customHeight="true" outlineLevel="0" collapsed="false">
      <c r="A20" s="0" t="n">
        <v>8</v>
      </c>
      <c r="B20" s="26" t="str">
        <f aca="false">IF(C20="","",VLOOKUP(C20,CHOOSE({1,2},Table2[Pay Item Description],Table2[Pay Item No.]),2,0))</f>
        <v/>
      </c>
      <c r="C20" s="27"/>
      <c r="D20" s="28" t="str">
        <f aca="false">IF(C20="","N/A",VLOOKUP(C20,CHOOSE({1,2},Table2[Pay Item Description],Table2[Units]),2,0))</f>
        <v>N/A</v>
      </c>
      <c r="E20" s="29"/>
      <c r="F20" s="30" t="str">
        <f aca="false">IF(C20="","N/A",IF(INDEX(UnitCostGrid,MATCH(C20,PayItemKeys,0),$I$11)="",INDEX(UnitCostGrid,MATCH(C20,PayItemKeys,0),1),INDEX(UnitCostGrid,MATCH(C20,PayItemKeys,0),$I$11)))</f>
        <v>N/A</v>
      </c>
      <c r="G20" s="31" t="n">
        <f aca="false">IF(C20="",0,F20*E20)</f>
        <v>0</v>
      </c>
      <c r="I20" s="21" t="str">
        <f aca="false">IF(C20="","",IF(INDEX(UnitCostGrid,MATCH(C20,PayItemKeys,0),$I$11)="",0,1))</f>
        <v/>
      </c>
      <c r="O20" s="1" t="s">
        <v>30</v>
      </c>
      <c r="P20" s="34" t="n">
        <f aca="false">SUM(P17:P19)</f>
        <v>630652.6584</v>
      </c>
      <c r="T20" s="6" t="s">
        <v>29</v>
      </c>
      <c r="X20" s="37" t="n">
        <f aca="false">('General Information'!$D$37/100)*X18</f>
        <v>32090.5702</v>
      </c>
    </row>
    <row r="21" customFormat="false" ht="19.5" hidden="false" customHeight="true" outlineLevel="0" collapsed="false">
      <c r="A21" s="0" t="n">
        <v>9</v>
      </c>
      <c r="B21" s="26" t="str">
        <f aca="false">IF(C21="","",VLOOKUP(C21,CHOOSE({1,2},Table2[Pay Item Description],Table2[Pay Item No.]),2,0))</f>
        <v/>
      </c>
      <c r="C21" s="27"/>
      <c r="D21" s="28" t="str">
        <f aca="false">IF(C21="","N/A",VLOOKUP(C21,CHOOSE({1,2},Table2[Pay Item Description],Table2[Units]),2,0))</f>
        <v>N/A</v>
      </c>
      <c r="E21" s="29"/>
      <c r="F21" s="30" t="str">
        <f aca="false">IF(C21="","N/A",IF(INDEX(UnitCostGrid,MATCH(C21,PayItemKeys,0),$I$11)="",INDEX(UnitCostGrid,MATCH(C21,PayItemKeys,0),1),INDEX(UnitCostGrid,MATCH(C21,PayItemKeys,0),$I$11)))</f>
        <v>N/A</v>
      </c>
      <c r="G21" s="31" t="n">
        <f aca="false">IF(C21="",0,F21*E21)</f>
        <v>0</v>
      </c>
      <c r="I21" s="21" t="str">
        <f aca="false">IF(C21="","",IF(INDEX(UnitCostGrid,MATCH(C21,PayItemKeys,0),$I$11)="",0,1))</f>
        <v/>
      </c>
      <c r="W21" s="6" t="s">
        <v>30</v>
      </c>
      <c r="X21" s="37" t="n">
        <f aca="false">SUM(X18:X20)</f>
        <v>738083.1146</v>
      </c>
    </row>
    <row r="22" customFormat="false" ht="19.5" hidden="false" customHeight="true" outlineLevel="0" collapsed="false">
      <c r="A22" s="0" t="n">
        <v>10</v>
      </c>
      <c r="B22" s="26" t="str">
        <f aca="false">IF(C22="","",VLOOKUP(C22,CHOOSE({1,2},Table2[Pay Item Description],Table2[Pay Item No.]),2,0))</f>
        <v/>
      </c>
      <c r="C22" s="27"/>
      <c r="D22" s="28" t="str">
        <f aca="false">IF(C22="","N/A",VLOOKUP(C22,CHOOSE({1,2},Table2[Pay Item Description],Table2[Units]),2,0))</f>
        <v>N/A</v>
      </c>
      <c r="E22" s="29"/>
      <c r="F22" s="30" t="str">
        <f aca="false">IF(C22="","N/A",IF(INDEX(UnitCostGrid,MATCH(C22,PayItemKeys,0),$I$11)="",INDEX(UnitCostGrid,MATCH(C22,PayItemKeys,0),1),INDEX(UnitCostGrid,MATCH(C22,PayItemKeys,0),$I$11)))</f>
        <v>N/A</v>
      </c>
      <c r="G22" s="31" t="n">
        <f aca="false">IF(C22="",0,F22*E22)</f>
        <v>0</v>
      </c>
      <c r="I22" s="21" t="str">
        <f aca="false">IF(C22="","",IF(INDEX(UnitCostGrid,MATCH(C22,PayItemKeys,0),$I$11)="",0,1))</f>
        <v/>
      </c>
    </row>
    <row r="23" customFormat="false" ht="15" hidden="false" customHeight="false" outlineLevel="0" collapsed="false">
      <c r="G23" s="37"/>
    </row>
    <row r="24" customFormat="false" ht="15" hidden="false" customHeight="false" outlineLevel="0" collapsed="false">
      <c r="A24" s="38" t="s">
        <v>27</v>
      </c>
      <c r="B24" s="38"/>
      <c r="G24" s="31" t="n">
        <f aca="false">SUM(G13:G22)</f>
        <v>0</v>
      </c>
    </row>
    <row r="25" customFormat="false" ht="15" hidden="false" customHeight="false" outlineLevel="0" collapsed="false">
      <c r="A25" s="38"/>
      <c r="B25" s="38" t="s">
        <v>28</v>
      </c>
      <c r="G25" s="31" t="n">
        <f aca="false">('General Information'!$D$36/100)*G24</f>
        <v>0</v>
      </c>
    </row>
    <row r="26" customFormat="false" ht="15" hidden="false" customHeight="false" outlineLevel="0" collapsed="false">
      <c r="A26" s="38"/>
      <c r="B26" s="38" t="s">
        <v>29</v>
      </c>
      <c r="G26" s="31" t="n">
        <f aca="false">('General Information'!$D$37/100)*G24</f>
        <v>0</v>
      </c>
    </row>
    <row r="27" s="7" customFormat="true" ht="21.75" hidden="false" customHeight="true" outlineLevel="0" collapsed="false">
      <c r="A27" s="39" t="s">
        <v>30</v>
      </c>
      <c r="B27" s="39"/>
      <c r="C27" s="39"/>
      <c r="D27" s="39"/>
      <c r="E27" s="39"/>
      <c r="F27" s="39"/>
      <c r="G27" s="40" t="n">
        <f aca="false">SUM(G24:G26)</f>
        <v>0</v>
      </c>
      <c r="J27" s="10"/>
      <c r="K27" s="10"/>
      <c r="L27" s="10"/>
      <c r="M27" s="10"/>
      <c r="N27" s="10"/>
      <c r="O27" s="10"/>
      <c r="P27" s="10"/>
    </row>
    <row r="33" customFormat="false" ht="15" hidden="false" customHeight="false" outlineLevel="0" collapsed="false">
      <c r="A33" s="7" t="s">
        <v>31</v>
      </c>
    </row>
    <row r="34" customFormat="false" ht="19.5" hidden="false" customHeight="true" outlineLevel="0" collapsed="false">
      <c r="A34" s="42" t="s">
        <v>32</v>
      </c>
      <c r="I34" s="6" t="s">
        <v>0</v>
      </c>
    </row>
    <row r="36" customFormat="false" ht="19.5" hidden="false" customHeight="true" outlineLevel="0" collapsed="false">
      <c r="B36" s="24" t="s">
        <v>33</v>
      </c>
      <c r="C36" s="25" t="s">
        <v>34</v>
      </c>
      <c r="D36" s="25" t="s">
        <v>35</v>
      </c>
      <c r="E36" s="25" t="s">
        <v>36</v>
      </c>
    </row>
    <row r="37" customFormat="false" ht="15" hidden="false" customHeight="false" outlineLevel="0" collapsed="false">
      <c r="B37" s="43" t="s">
        <v>37</v>
      </c>
      <c r="C37" s="44" t="n">
        <f aca="false">C6</f>
        <v>2028</v>
      </c>
      <c r="D37" s="45" t="n">
        <f aca="false">G27</f>
        <v>0</v>
      </c>
      <c r="E37" s="46" t="n">
        <f aca="false">D37</f>
        <v>0</v>
      </c>
      <c r="K37" s="1" t="s">
        <v>38</v>
      </c>
      <c r="L37" s="1" t="s">
        <v>738</v>
      </c>
      <c r="M37" s="1" t="s">
        <v>739</v>
      </c>
    </row>
    <row r="38" customFormat="false" ht="15" hidden="false" customHeight="false" outlineLevel="0" collapsed="false">
      <c r="B38" s="47" t="s">
        <v>3</v>
      </c>
      <c r="C38" s="48" t="n">
        <f aca="false">'Maintenance Policies'!E37</f>
        <v>19</v>
      </c>
      <c r="D38" s="49" t="n">
        <f aca="false">P20</f>
        <v>630652.6584</v>
      </c>
      <c r="E38" s="50" t="n">
        <f aca="false">IF(C38&gt;'General Information'!$D$33,0,D38/(1+('General Information'!$D$34/100))^C38)</f>
        <v>359652.398857314</v>
      </c>
      <c r="K38" s="1" t="n">
        <f aca="false">C6</f>
        <v>2028</v>
      </c>
      <c r="L38" s="34" t="n">
        <f aca="false">IF(K38-$C$6&gt;'General Information'!$D$33,0,IF(K38=$C$6,$D$37,0)+SUMIF($C$38:$C$40,K38-$C$6,$D$38:$D$40))</f>
        <v>0</v>
      </c>
      <c r="M38" s="34" t="n">
        <f aca="false">IF(K38-$C$6&gt;'General Information'!$D$33,0,IF(K38=$C$6,$E$37,0)+SUMIF($C$38:$C$40,K38-$C$6,$E$38:$E$40))</f>
        <v>0</v>
      </c>
    </row>
    <row r="39" customFormat="false" ht="15" hidden="false" customHeight="false" outlineLevel="0" collapsed="false">
      <c r="B39" s="52" t="s">
        <v>4</v>
      </c>
      <c r="C39" s="53" t="n">
        <f aca="false">'Maintenance Policies'!E41</f>
        <v>27</v>
      </c>
      <c r="D39" s="54" t="n">
        <f aca="false">X21</f>
        <v>738083.1146</v>
      </c>
      <c r="E39" s="54" t="n">
        <f aca="false">IF(C39&gt;'General Information'!$D$33,0,D39/(1+('General Information'!$D$34/100))^C39)</f>
        <v>332276.940438261</v>
      </c>
      <c r="K39" s="1" t="n">
        <f aca="false">K38+1</f>
        <v>2029</v>
      </c>
      <c r="L39" s="34" t="n">
        <f aca="false">IF(K39-$C$6&gt;'General Information'!$D$33,0,IF(K39=$C$6,$D$37,0)+SUMIF($C$38:$C$40,K39-$C$6,$D$38:$D$40))</f>
        <v>0</v>
      </c>
      <c r="M39" s="34" t="n">
        <f aca="false">IF(K39-$C$6&gt;'General Information'!$D$33,0,IF(K39=$C$6,$E$37,0)+SUMIF($C$38:$C$40,K39-$C$6,$E$38:$E$40))</f>
        <v>0</v>
      </c>
    </row>
    <row r="40" customFormat="false" ht="15" hidden="false" customHeight="false" outlineLevel="0" collapsed="false">
      <c r="B40" s="55" t="s">
        <v>44</v>
      </c>
      <c r="C40" s="56" t="n">
        <f aca="false">'General Information'!D33</f>
        <v>30</v>
      </c>
      <c r="D40" s="57" t="n">
        <f aca="false">-'Maintenance Policies'!D46*G27</f>
        <v>-0</v>
      </c>
      <c r="E40" s="57" t="n">
        <f aca="false">IF(C40&gt;'General Information'!$D$33,0,D40/(1+('General Information'!$D$34/100))^C40)</f>
        <v>-0</v>
      </c>
      <c r="K40" s="1" t="n">
        <f aca="false">K39+1</f>
        <v>2030</v>
      </c>
      <c r="L40" s="34" t="n">
        <f aca="false">IF(K40-$C$6&gt;'General Information'!$D$33,0,IF(K40=$C$6,$D$37,0)+SUMIF($C$38:$C$40,K40-$C$6,$D$38:$D$40))</f>
        <v>0</v>
      </c>
      <c r="M40" s="34" t="n">
        <f aca="false">IF(K40-$C$6&gt;'General Information'!$D$33,0,IF(K40=$C$6,$E$37,0)+SUMIF($C$38:$C$40,K40-$C$6,$E$38:$E$40))</f>
        <v>0</v>
      </c>
    </row>
    <row r="41" customFormat="false" ht="25.5" hidden="false" customHeight="true" outlineLevel="0" collapsed="false">
      <c r="B41" s="58" t="s">
        <v>31</v>
      </c>
      <c r="C41" s="59"/>
      <c r="D41" s="59"/>
      <c r="E41" s="60" t="n">
        <f aca="false">SUM(E37:E40)</f>
        <v>691929.339295575</v>
      </c>
      <c r="K41" s="1" t="n">
        <f aca="false">K40+1</f>
        <v>2031</v>
      </c>
      <c r="L41" s="34" t="n">
        <f aca="false">IF(K41-$C$6&gt;'General Information'!$D$33,0,IF(K41=$C$6,$D$37,0)+SUMIF($C$38:$C$40,K41-$C$6,$D$38:$D$40))</f>
        <v>0</v>
      </c>
      <c r="M41" s="34" t="n">
        <f aca="false">IF(K41-$C$6&gt;'General Information'!$D$33,0,IF(K41=$C$6,$E$37,0)+SUMIF($C$38:$C$40,K41-$C$6,$E$38:$E$40))</f>
        <v>0</v>
      </c>
    </row>
    <row r="42" customFormat="false" ht="15" hidden="false" customHeight="false" outlineLevel="0" collapsed="false">
      <c r="K42" s="1" t="n">
        <f aca="false">K41+1</f>
        <v>2032</v>
      </c>
      <c r="L42" s="34" t="n">
        <f aca="false">IF(K42-$C$6&gt;'General Information'!$D$33,0,IF(K42=$C$6,$D$37,0)+SUMIF($C$38:$C$40,K42-$C$6,$D$38:$D$40))</f>
        <v>0</v>
      </c>
      <c r="M42" s="34" t="n">
        <f aca="false">IF(K42-$C$6&gt;'General Information'!$D$33,0,IF(K42=$C$6,$E$37,0)+SUMIF($C$38:$C$40,K42-$C$6,$E$38:$E$40))</f>
        <v>0</v>
      </c>
    </row>
    <row r="43" customFormat="false" ht="15" hidden="false" customHeight="false" outlineLevel="0" collapsed="false">
      <c r="K43" s="1" t="n">
        <f aca="false">K42+1</f>
        <v>2033</v>
      </c>
      <c r="L43" s="34" t="n">
        <f aca="false">IF(K43-$C$6&gt;'General Information'!$D$33,0,IF(K43=$C$6,$D$37,0)+SUMIF($C$38:$C$40,K43-$C$6,$D$38:$D$40))</f>
        <v>0</v>
      </c>
      <c r="M43" s="34" t="n">
        <f aca="false">IF(K43-$C$6&gt;'General Information'!$D$33,0,IF(K43=$C$6,$E$37,0)+SUMIF($C$38:$C$40,K43-$C$6,$E$38:$E$40))</f>
        <v>0</v>
      </c>
    </row>
    <row r="44" customFormat="false" ht="15" hidden="false" customHeight="false" outlineLevel="0" collapsed="false">
      <c r="K44" s="1" t="n">
        <f aca="false">K43+1</f>
        <v>2034</v>
      </c>
      <c r="L44" s="34" t="n">
        <f aca="false">IF(K44-$C$6&gt;'General Information'!$D$33,0,IF(K44=$C$6,$D$37,0)+SUMIF($C$38:$C$40,K44-$C$6,$D$38:$D$40))</f>
        <v>0</v>
      </c>
      <c r="M44" s="34" t="n">
        <f aca="false">IF(K44-$C$6&gt;'General Information'!$D$33,0,IF(K44=$C$6,$E$37,0)+SUMIF($C$38:$C$40,K44-$C$6,$E$38:$E$40))</f>
        <v>0</v>
      </c>
    </row>
    <row r="45" customFormat="false" ht="15" hidden="false" customHeight="false" outlineLevel="0" collapsed="false">
      <c r="K45" s="1" t="n">
        <f aca="false">K44+1</f>
        <v>2035</v>
      </c>
      <c r="L45" s="34" t="n">
        <f aca="false">IF(K45-$C$6&gt;'General Information'!$D$33,0,IF(K45=$C$6,$D$37,0)+SUMIF($C$38:$C$40,K45-$C$6,$D$38:$D$40))</f>
        <v>0</v>
      </c>
      <c r="M45" s="34" t="n">
        <f aca="false">IF(K45-$C$6&gt;'General Information'!$D$33,0,IF(K45=$C$6,$E$37,0)+SUMIF($C$38:$C$40,K45-$C$6,$E$38:$E$40))</f>
        <v>0</v>
      </c>
    </row>
    <row r="46" customFormat="false" ht="15" hidden="false" customHeight="false" outlineLevel="0" collapsed="false">
      <c r="K46" s="1" t="n">
        <f aca="false">K45+1</f>
        <v>2036</v>
      </c>
      <c r="L46" s="34" t="n">
        <f aca="false">IF(K46-$C$6&gt;'General Information'!$D$33,0,IF(K46=$C$6,$D$37,0)+SUMIF($C$38:$C$40,K46-$C$6,$D$38:$D$40))</f>
        <v>0</v>
      </c>
      <c r="M46" s="34" t="n">
        <f aca="false">IF(K46-$C$6&gt;'General Information'!$D$33,0,IF(K46=$C$6,$E$37,0)+SUMIF($C$38:$C$40,K46-$C$6,$E$38:$E$40))</f>
        <v>0</v>
      </c>
    </row>
    <row r="47" customFormat="false" ht="15" hidden="false" customHeight="false" outlineLevel="0" collapsed="false">
      <c r="K47" s="1" t="n">
        <f aca="false">K46+1</f>
        <v>2037</v>
      </c>
      <c r="L47" s="34" t="n">
        <f aca="false">IF(K47-$C$6&gt;'General Information'!$D$33,0,IF(K47=$C$6,$D$37,0)+SUMIF($C$38:$C$40,K47-$C$6,$D$38:$D$40))</f>
        <v>0</v>
      </c>
      <c r="M47" s="34" t="n">
        <f aca="false">IF(K47-$C$6&gt;'General Information'!$D$33,0,IF(K47=$C$6,$E$37,0)+SUMIF($C$38:$C$40,K47-$C$6,$E$38:$E$40))</f>
        <v>0</v>
      </c>
    </row>
    <row r="48" customFormat="false" ht="15" hidden="false" customHeight="false" outlineLevel="0" collapsed="false">
      <c r="K48" s="1" t="n">
        <f aca="false">K47+1</f>
        <v>2038</v>
      </c>
      <c r="L48" s="34" t="n">
        <f aca="false">IF(K48-$C$6&gt;'General Information'!$D$33,0,IF(K48=$C$6,$D$37,0)+SUMIF($C$38:$C$40,K48-$C$6,$D$38:$D$40))</f>
        <v>0</v>
      </c>
      <c r="M48" s="34" t="n">
        <f aca="false">IF(K48-$C$6&gt;'General Information'!$D$33,0,IF(K48=$C$6,$E$37,0)+SUMIF($C$38:$C$40,K48-$C$6,$E$38:$E$40))</f>
        <v>0</v>
      </c>
    </row>
    <row r="49" customFormat="false" ht="15" hidden="false" customHeight="false" outlineLevel="0" collapsed="false">
      <c r="K49" s="1" t="n">
        <f aca="false">K48+1</f>
        <v>2039</v>
      </c>
      <c r="L49" s="34" t="n">
        <f aca="false">IF(K49-$C$6&gt;'General Information'!$D$33,0,IF(K49=$C$6,$D$37,0)+SUMIF($C$38:$C$40,K49-$C$6,$D$38:$D$40))</f>
        <v>0</v>
      </c>
      <c r="M49" s="34" t="n">
        <f aca="false">IF(K49-$C$6&gt;'General Information'!$D$33,0,IF(K49=$C$6,$E$37,0)+SUMIF($C$38:$C$40,K49-$C$6,$E$38:$E$40))</f>
        <v>0</v>
      </c>
    </row>
    <row r="50" customFormat="false" ht="15" hidden="false" customHeight="false" outlineLevel="0" collapsed="false">
      <c r="K50" s="1" t="n">
        <f aca="false">K49+1</f>
        <v>2040</v>
      </c>
      <c r="L50" s="34" t="n">
        <f aca="false">IF(K50-$C$6&gt;'General Information'!$D$33,0,IF(K50=$C$6,$D$37,0)+SUMIF($C$38:$C$40,K50-$C$6,$D$38:$D$40))</f>
        <v>0</v>
      </c>
      <c r="M50" s="34" t="n">
        <f aca="false">IF(K50-$C$6&gt;'General Information'!$D$33,0,IF(K50=$C$6,$E$37,0)+SUMIF($C$38:$C$40,K50-$C$6,$E$38:$E$40))</f>
        <v>0</v>
      </c>
    </row>
    <row r="51" customFormat="false" ht="15" hidden="false" customHeight="false" outlineLevel="0" collapsed="false">
      <c r="K51" s="1" t="n">
        <f aca="false">K50+1</f>
        <v>2041</v>
      </c>
      <c r="L51" s="34" t="n">
        <f aca="false">IF(K51-$C$6&gt;'General Information'!$D$33,0,IF(K51=$C$6,$D$37,0)+SUMIF($C$38:$C$40,K51-$C$6,$D$38:$D$40))</f>
        <v>0</v>
      </c>
      <c r="M51" s="34" t="n">
        <f aca="false">IF(K51-$C$6&gt;'General Information'!$D$33,0,IF(K51=$C$6,$E$37,0)+SUMIF($C$38:$C$40,K51-$C$6,$E$38:$E$40))</f>
        <v>0</v>
      </c>
    </row>
    <row r="52" customFormat="false" ht="15" hidden="false" customHeight="false" outlineLevel="0" collapsed="false">
      <c r="K52" s="1" t="n">
        <f aca="false">K51+1</f>
        <v>2042</v>
      </c>
      <c r="L52" s="34" t="n">
        <f aca="false">IF(K52-$C$6&gt;'General Information'!$D$33,0,IF(K52=$C$6,$D$37,0)+SUMIF($C$38:$C$40,K52-$C$6,$D$38:$D$40))</f>
        <v>0</v>
      </c>
      <c r="M52" s="34" t="n">
        <f aca="false">IF(K52-$C$6&gt;'General Information'!$D$33,0,IF(K52=$C$6,$E$37,0)+SUMIF($C$38:$C$40,K52-$C$6,$E$38:$E$40))</f>
        <v>0</v>
      </c>
    </row>
    <row r="53" customFormat="false" ht="15" hidden="false" customHeight="false" outlineLevel="0" collapsed="false">
      <c r="K53" s="1" t="n">
        <f aca="false">K52+1</f>
        <v>2043</v>
      </c>
      <c r="L53" s="34" t="n">
        <f aca="false">IF(K53-$C$6&gt;'General Information'!$D$33,0,IF(K53=$C$6,$D$37,0)+SUMIF($C$38:$C$40,K53-$C$6,$D$38:$D$40))</f>
        <v>0</v>
      </c>
      <c r="M53" s="34" t="n">
        <f aca="false">IF(K53-$C$6&gt;'General Information'!$D$33,0,IF(K53=$C$6,$E$37,0)+SUMIF($C$38:$C$40,K53-$C$6,$E$38:$E$40))</f>
        <v>0</v>
      </c>
    </row>
    <row r="54" customFormat="false" ht="15" hidden="false" customHeight="false" outlineLevel="0" collapsed="false">
      <c r="K54" s="1" t="n">
        <f aca="false">K53+1</f>
        <v>2044</v>
      </c>
      <c r="L54" s="34" t="n">
        <f aca="false">IF(K54-$C$6&gt;'General Information'!$D$33,0,IF(K54=$C$6,$D$37,0)+SUMIF($C$38:$C$40,K54-$C$6,$D$38:$D$40))</f>
        <v>0</v>
      </c>
      <c r="M54" s="34" t="n">
        <f aca="false">IF(K54-$C$6&gt;'General Information'!$D$33,0,IF(K54=$C$6,$E$37,0)+SUMIF($C$38:$C$40,K54-$C$6,$E$38:$E$40))</f>
        <v>0</v>
      </c>
    </row>
    <row r="55" customFormat="false" ht="15" hidden="false" customHeight="false" outlineLevel="0" collapsed="false">
      <c r="K55" s="1" t="n">
        <f aca="false">K54+1</f>
        <v>2045</v>
      </c>
      <c r="L55" s="34" t="n">
        <f aca="false">IF(K55-$C$6&gt;'General Information'!$D$33,0,IF(K55=$C$6,$D$37,0)+SUMIF($C$38:$C$40,K55-$C$6,$D$38:$D$40))</f>
        <v>0</v>
      </c>
      <c r="M55" s="34" t="n">
        <f aca="false">IF(K55-$C$6&gt;'General Information'!$D$33,0,IF(K55=$C$6,$E$37,0)+SUMIF($C$38:$C$40,K55-$C$6,$E$38:$E$40))</f>
        <v>0</v>
      </c>
    </row>
    <row r="56" customFormat="false" ht="15" hidden="false" customHeight="false" outlineLevel="0" collapsed="false">
      <c r="K56" s="1" t="n">
        <f aca="false">K55+1</f>
        <v>2046</v>
      </c>
      <c r="L56" s="34" t="n">
        <f aca="false">IF(K56-$C$6&gt;'General Information'!$D$33,0,IF(K56=$C$6,$D$37,0)+SUMIF($C$38:$C$40,K56-$C$6,$D$38:$D$40))</f>
        <v>0</v>
      </c>
      <c r="M56" s="34" t="n">
        <f aca="false">IF(K56-$C$6&gt;'General Information'!$D$33,0,IF(K56=$C$6,$E$37,0)+SUMIF($C$38:$C$40,K56-$C$6,$E$38:$E$40))</f>
        <v>0</v>
      </c>
    </row>
    <row r="57" customFormat="false" ht="15" hidden="false" customHeight="false" outlineLevel="0" collapsed="false">
      <c r="K57" s="1" t="n">
        <f aca="false">K56+1</f>
        <v>2047</v>
      </c>
      <c r="L57" s="34" t="n">
        <f aca="false">IF(K57-$C$6&gt;'General Information'!$D$33,0,IF(K57=$C$6,$D$37,0)+SUMIF($C$38:$C$40,K57-$C$6,$D$38:$D$40))</f>
        <v>630652.6584</v>
      </c>
      <c r="M57" s="34" t="n">
        <f aca="false">IF(K57-$C$6&gt;'General Information'!$D$33,0,IF(K57=$C$6,$E$37,0)+SUMIF($C$38:$C$40,K57-$C$6,$E$38:$E$40))</f>
        <v>359652.398857314</v>
      </c>
    </row>
    <row r="58" customFormat="false" ht="15" hidden="false" customHeight="false" outlineLevel="0" collapsed="false">
      <c r="K58" s="1" t="n">
        <f aca="false">K57+1</f>
        <v>2048</v>
      </c>
      <c r="L58" s="34" t="n">
        <f aca="false">IF(K58-$C$6&gt;'General Information'!$D$33,0,IF(K58=$C$6,$D$37,0)+SUMIF($C$38:$C$40,K58-$C$6,$D$38:$D$40))</f>
        <v>0</v>
      </c>
      <c r="M58" s="34" t="n">
        <f aca="false">IF(K58-$C$6&gt;'General Information'!$D$33,0,IF(K58=$C$6,$E$37,0)+SUMIF($C$38:$C$40,K58-$C$6,$E$38:$E$40))</f>
        <v>0</v>
      </c>
    </row>
    <row r="59" customFormat="false" ht="15" hidden="false" customHeight="false" outlineLevel="0" collapsed="false">
      <c r="K59" s="1" t="n">
        <f aca="false">K58+1</f>
        <v>2049</v>
      </c>
      <c r="L59" s="34" t="n">
        <f aca="false">IF(K59-$C$6&gt;'General Information'!$D$33,0,IF(K59=$C$6,$D$37,0)+SUMIF($C$38:$C$40,K59-$C$6,$D$38:$D$40))</f>
        <v>0</v>
      </c>
      <c r="M59" s="34" t="n">
        <f aca="false">IF(K59-$C$6&gt;'General Information'!$D$33,0,IF(K59=$C$6,$E$37,0)+SUMIF($C$38:$C$40,K59-$C$6,$E$38:$E$40))</f>
        <v>0</v>
      </c>
    </row>
    <row r="60" customFormat="false" ht="15" hidden="false" customHeight="false" outlineLevel="0" collapsed="false">
      <c r="K60" s="1" t="n">
        <f aca="false">K59+1</f>
        <v>2050</v>
      </c>
      <c r="L60" s="34" t="n">
        <f aca="false">IF(K60-$C$6&gt;'General Information'!$D$33,0,IF(K60=$C$6,$D$37,0)+SUMIF($C$38:$C$40,K60-$C$6,$D$38:$D$40))</f>
        <v>0</v>
      </c>
      <c r="M60" s="34" t="n">
        <f aca="false">IF(K60-$C$6&gt;'General Information'!$D$33,0,IF(K60=$C$6,$E$37,0)+SUMIF($C$38:$C$40,K60-$C$6,$E$38:$E$40))</f>
        <v>0</v>
      </c>
    </row>
    <row r="61" customFormat="false" ht="15" hidden="false" customHeight="false" outlineLevel="0" collapsed="false">
      <c r="K61" s="1" t="n">
        <f aca="false">K60+1</f>
        <v>2051</v>
      </c>
      <c r="L61" s="34" t="n">
        <f aca="false">IF(K61-$C$6&gt;'General Information'!$D$33,0,IF(K61=$C$6,$D$37,0)+SUMIF($C$38:$C$40,K61-$C$6,$D$38:$D$40))</f>
        <v>0</v>
      </c>
      <c r="M61" s="34" t="n">
        <f aca="false">IF(K61-$C$6&gt;'General Information'!$D$33,0,IF(K61=$C$6,$E$37,0)+SUMIF($C$38:$C$40,K61-$C$6,$E$38:$E$40))</f>
        <v>0</v>
      </c>
    </row>
    <row r="62" customFormat="false" ht="15" hidden="false" customHeight="false" outlineLevel="0" collapsed="false">
      <c r="K62" s="1" t="n">
        <f aca="false">K61+1</f>
        <v>2052</v>
      </c>
      <c r="L62" s="34" t="n">
        <f aca="false">IF(K62-$C$6&gt;'General Information'!$D$33,0,IF(K62=$C$6,$D$37,0)+SUMIF($C$38:$C$40,K62-$C$6,$D$38:$D$40))</f>
        <v>0</v>
      </c>
      <c r="M62" s="34" t="n">
        <f aca="false">IF(K62-$C$6&gt;'General Information'!$D$33,0,IF(K62=$C$6,$E$37,0)+SUMIF($C$38:$C$40,K62-$C$6,$E$38:$E$40))</f>
        <v>0</v>
      </c>
    </row>
    <row r="63" customFormat="false" ht="15" hidden="false" customHeight="false" outlineLevel="0" collapsed="false">
      <c r="K63" s="1" t="n">
        <f aca="false">K62+1</f>
        <v>2053</v>
      </c>
      <c r="L63" s="34" t="n">
        <f aca="false">IF(K63-$C$6&gt;'General Information'!$D$33,0,IF(K63=$C$6,$D$37,0)+SUMIF($C$38:$C$40,K63-$C$6,$D$38:$D$40))</f>
        <v>0</v>
      </c>
      <c r="M63" s="34" t="n">
        <f aca="false">IF(K63-$C$6&gt;'General Information'!$D$33,0,IF(K63=$C$6,$E$37,0)+SUMIF($C$38:$C$40,K63-$C$6,$E$38:$E$40))</f>
        <v>0</v>
      </c>
    </row>
    <row r="64" customFormat="false" ht="15" hidden="false" customHeight="false" outlineLevel="0" collapsed="false">
      <c r="K64" s="1" t="n">
        <f aca="false">K63+1</f>
        <v>2054</v>
      </c>
      <c r="L64" s="34" t="n">
        <f aca="false">IF(K64-$C$6&gt;'General Information'!$D$33,0,IF(K64=$C$6,$D$37,0)+SUMIF($C$38:$C$40,K64-$C$6,$D$38:$D$40))</f>
        <v>0</v>
      </c>
      <c r="M64" s="34" t="n">
        <f aca="false">IF(K64-$C$6&gt;'General Information'!$D$33,0,IF(K64=$C$6,$E$37,0)+SUMIF($C$38:$C$40,K64-$C$6,$E$38:$E$40))</f>
        <v>0</v>
      </c>
    </row>
    <row r="65" customFormat="false" ht="15" hidden="false" customHeight="false" outlineLevel="0" collapsed="false">
      <c r="K65" s="1" t="n">
        <f aca="false">K64+1</f>
        <v>2055</v>
      </c>
      <c r="L65" s="34" t="n">
        <f aca="false">IF(K65-$C$6&gt;'General Information'!$D$33,0,IF(K65=$C$6,$D$37,0)+SUMIF($C$38:$C$40,K65-$C$6,$D$38:$D$40))</f>
        <v>738083.1146</v>
      </c>
      <c r="M65" s="34" t="n">
        <f aca="false">IF(K65-$C$6&gt;'General Information'!$D$33,0,IF(K65=$C$6,$E$37,0)+SUMIF($C$38:$C$40,K65-$C$6,$E$38:$E$40))</f>
        <v>332276.940438261</v>
      </c>
    </row>
    <row r="66" customFormat="false" ht="15" hidden="false" customHeight="false" outlineLevel="0" collapsed="false">
      <c r="K66" s="1" t="n">
        <f aca="false">K65+1</f>
        <v>2056</v>
      </c>
      <c r="L66" s="34" t="n">
        <f aca="false">IF(K66-$C$6&gt;'General Information'!$D$33,0,IF(K66=$C$6,$D$37,0)+SUMIF($C$38:$C$40,K66-$C$6,$D$38:$D$40))</f>
        <v>0</v>
      </c>
      <c r="M66" s="34" t="n">
        <f aca="false">IF(K66-$C$6&gt;'General Information'!$D$33,0,IF(K66=$C$6,$E$37,0)+SUMIF($C$38:$C$40,K66-$C$6,$E$38:$E$40))</f>
        <v>0</v>
      </c>
    </row>
    <row r="67" customFormat="false" ht="15" hidden="false" customHeight="false" outlineLevel="0" collapsed="false">
      <c r="K67" s="1" t="n">
        <f aca="false">K66+1</f>
        <v>2057</v>
      </c>
      <c r="L67" s="34" t="n">
        <f aca="false">IF(K67-$C$6&gt;'General Information'!$D$33,0,IF(K67=$C$6,$D$37,0)+SUMIF($C$38:$C$40,K67-$C$6,$D$38:$D$40))</f>
        <v>0</v>
      </c>
      <c r="M67" s="34" t="n">
        <f aca="false">IF(K67-$C$6&gt;'General Information'!$D$33,0,IF(K67=$C$6,$E$37,0)+SUMIF($C$38:$C$40,K67-$C$6,$E$38:$E$40))</f>
        <v>0</v>
      </c>
    </row>
    <row r="68" customFormat="false" ht="15" hidden="false" customHeight="false" outlineLevel="0" collapsed="false">
      <c r="K68" s="1" t="n">
        <f aca="false">K67+1</f>
        <v>2058</v>
      </c>
      <c r="L68" s="34" t="n">
        <f aca="false">IF(K68-$C$6&gt;'General Information'!$D$33,0,IF(K68=$C$6,$D$37,0)+SUMIF($C$38:$C$40,K68-$C$6,$D$38:$D$40))</f>
        <v>0</v>
      </c>
      <c r="M68" s="34" t="n">
        <f aca="false">IF(K68-$C$6&gt;'General Information'!$D$33,0,IF(K68=$C$6,$E$37,0)+SUMIF($C$38:$C$40,K68-$C$6,$E$38:$E$40))</f>
        <v>0</v>
      </c>
    </row>
  </sheetData>
  <mergeCells count="3">
    <mergeCell ref="A1:B1"/>
    <mergeCell ref="A3:G3"/>
    <mergeCell ref="D11:G11"/>
  </mergeCells>
  <dataValidations count="1">
    <dataValidation allowBlank="false" error="Choose Regular, Middle, West or East." errorStyle="stop" errorTitle="Pricing source" operator="between" prompt="Which unit cost column on Pay_Items this alternative is priced from. Regular is the statewide Unit Cost column." promptTitle="Price from" showDropDown="false" showErrorMessage="true" showInputMessage="true" sqref="C11" type="list">
      <formula1>"Regular,Middle,West,East"</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true"/>
  </sheetPr>
  <dimension ref="A1:BL67"/>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2.29"/>
    <col collapsed="false" customWidth="true" hidden="false" outlineLevel="0" max="2" min="2" style="0" width="19.71"/>
    <col collapsed="false" customWidth="true" hidden="false" outlineLevel="0" max="3" min="3" style="0" width="53.71"/>
    <col collapsed="false" customWidth="true" hidden="false" outlineLevel="0" max="4" min="4" style="0" width="17.43"/>
    <col collapsed="false" customWidth="true" hidden="false" outlineLevel="0" max="5" min="5" style="0" width="12.72"/>
    <col collapsed="false" customWidth="true" hidden="false" outlineLevel="0" max="7" min="6" style="0" width="10.57"/>
    <col collapsed="false" customWidth="true" hidden="true" outlineLevel="0" max="9" min="9" style="0" width="13.29"/>
    <col collapsed="false" customWidth="true" hidden="true" outlineLevel="0" max="11" min="10" style="1" width="13.29"/>
    <col collapsed="false" customWidth="true" hidden="true" outlineLevel="0" max="12" min="12" style="1" width="41.57"/>
    <col collapsed="false" customWidth="true" hidden="true" outlineLevel="0" max="13" min="13" style="1" width="13.29"/>
    <col collapsed="false" customWidth="true" hidden="true" outlineLevel="0" max="15" min="14" style="0" width="13.29"/>
    <col collapsed="false" customWidth="true" hidden="true" outlineLevel="0" max="16" min="16" style="1" width="13.29"/>
    <col collapsed="false" customWidth="true" hidden="true" outlineLevel="0" max="17" min="17" style="0" width="3.57"/>
    <col collapsed="false" customWidth="true" hidden="true" outlineLevel="0" max="19" min="18" style="0" width="13.29"/>
    <col collapsed="false" customWidth="true" hidden="true" outlineLevel="0" max="20" min="20" style="0" width="41.14"/>
    <col collapsed="false" customWidth="true" hidden="true" outlineLevel="0" max="24" min="21" style="0" width="13.29"/>
    <col collapsed="false" customWidth="true" hidden="true" outlineLevel="0" max="25" min="25" style="0" width="3.57"/>
    <col collapsed="false" customWidth="true" hidden="true" outlineLevel="0" max="27" min="26" style="1" width="13.29"/>
    <col collapsed="false" customWidth="true" hidden="true" outlineLevel="0" max="28" min="28" style="1" width="40.57"/>
    <col collapsed="false" customWidth="true" hidden="true" outlineLevel="0" max="29" min="29" style="1" width="13.29"/>
    <col collapsed="false" customWidth="true" hidden="true" outlineLevel="0" max="31" min="30" style="0" width="13.29"/>
    <col collapsed="false" customWidth="true" hidden="true" outlineLevel="0" max="32" min="32" style="1" width="13.29"/>
    <col collapsed="false" customWidth="true" hidden="true" outlineLevel="0" max="33" min="33" style="0" width="3.57"/>
    <col collapsed="false" customWidth="true" hidden="true" outlineLevel="0" max="35" min="34" style="0" width="13.29"/>
    <col collapsed="false" customWidth="true" hidden="true" outlineLevel="0" max="36" min="36" style="0" width="40.71"/>
    <col collapsed="false" customWidth="true" hidden="true" outlineLevel="0" max="40" min="37" style="0" width="13.29"/>
    <col collapsed="false" customWidth="true" hidden="true" outlineLevel="0" max="41" min="41" style="0" width="3.57"/>
    <col collapsed="false" customWidth="true" hidden="true" outlineLevel="0" max="43" min="42" style="1" width="13.29"/>
    <col collapsed="false" customWidth="true" hidden="true" outlineLevel="0" max="44" min="44" style="1" width="40.57"/>
    <col collapsed="false" customWidth="true" hidden="true" outlineLevel="0" max="45" min="45" style="1" width="13.29"/>
    <col collapsed="false" customWidth="true" hidden="true" outlineLevel="0" max="47" min="46" style="0" width="13.29"/>
    <col collapsed="false" customWidth="true" hidden="true" outlineLevel="0" max="48" min="48" style="1" width="13.29"/>
    <col collapsed="false" customWidth="true" hidden="true" outlineLevel="0" max="49" min="49" style="0" width="3.57"/>
    <col collapsed="false" customWidth="true" hidden="true" outlineLevel="0" max="51" min="50" style="0" width="13.29"/>
    <col collapsed="false" customWidth="true" hidden="true" outlineLevel="0" max="52" min="52" style="0" width="40.57"/>
    <col collapsed="false" customWidth="true" hidden="true" outlineLevel="0" max="56" min="53" style="0" width="13.29"/>
    <col collapsed="false" customWidth="true" hidden="true" outlineLevel="0" max="57" min="57" style="0" width="3.57"/>
    <col collapsed="false" customWidth="true" hidden="true" outlineLevel="0" max="59" min="58" style="1" width="13.29"/>
    <col collapsed="false" customWidth="true" hidden="true" outlineLevel="0" max="60" min="60" style="1" width="40.57"/>
    <col collapsed="false" customWidth="true" hidden="true" outlineLevel="0" max="61" min="61" style="1" width="13.29"/>
    <col collapsed="false" customWidth="true" hidden="true" outlineLevel="0" max="63" min="62" style="0" width="13.29"/>
    <col collapsed="false" customWidth="true" hidden="true" outlineLevel="0" max="64" min="64" style="1" width="13.29"/>
    <col collapsed="false" customWidth="true" hidden="false" outlineLevel="0" max="65" min="65" style="0" width="3.57"/>
  </cols>
  <sheetData>
    <row r="1" customFormat="false" ht="39.75" hidden="false" customHeight="true" outlineLevel="0" collapsed="false">
      <c r="A1" s="3" t="str">
        <f aca="false">HYPERLINK("#'General Information'!D9","◄ General Information")</f>
        <v>◄ General Information</v>
      </c>
      <c r="B1" s="3"/>
      <c r="C1" s="4" t="str">
        <f aca="false">HYPERLINK("#Summary!G1","Summary")</f>
        <v>Summary</v>
      </c>
      <c r="D1" s="5" t="str">
        <f aca="false">$A$33</f>
        <v>HMA Mill and Overlay - Alternative 3</v>
      </c>
      <c r="I1" s="6" t="s">
        <v>0</v>
      </c>
    </row>
    <row r="2" customFormat="false" ht="15" hidden="false" customHeight="false" outlineLevel="0" collapsed="false">
      <c r="A2" s="7" t="s">
        <v>1</v>
      </c>
      <c r="J2" s="10" t="s">
        <v>3</v>
      </c>
      <c r="R2" s="7" t="s">
        <v>665</v>
      </c>
      <c r="Z2" s="10" t="s">
        <v>666</v>
      </c>
      <c r="AH2" s="7" t="s">
        <v>4</v>
      </c>
      <c r="AP2" s="10" t="s">
        <v>671</v>
      </c>
      <c r="AX2" s="7" t="s">
        <v>677</v>
      </c>
      <c r="BF2" s="10" t="s">
        <v>678</v>
      </c>
    </row>
    <row r="3" customFormat="false" ht="25.5" hidden="false" customHeight="true" outlineLevel="0" collapsed="false">
      <c r="A3" s="11" t="s">
        <v>701</v>
      </c>
      <c r="B3" s="11"/>
      <c r="C3" s="11"/>
      <c r="D3" s="11"/>
      <c r="E3" s="11"/>
      <c r="F3" s="11"/>
      <c r="G3" s="11"/>
    </row>
    <row r="4" customFormat="false" ht="15" hidden="false" customHeight="false" outlineLevel="0" collapsed="false">
      <c r="A4" s="12" t="s">
        <v>6</v>
      </c>
      <c r="B4" s="13"/>
      <c r="C4" s="14" t="s">
        <v>740</v>
      </c>
      <c r="D4" s="13"/>
    </row>
    <row r="5" customFormat="false" ht="15" hidden="false" customHeight="false" outlineLevel="0" collapsed="false">
      <c r="A5" s="12" t="s">
        <v>9</v>
      </c>
      <c r="B5" s="13"/>
      <c r="C5" s="14" t="n">
        <f aca="false">'General Information'!D26</f>
        <v>45883</v>
      </c>
      <c r="D5" s="13" t="s">
        <v>10</v>
      </c>
    </row>
    <row r="6" customFormat="false" ht="15" hidden="false" customHeight="false" outlineLevel="0" collapsed="false">
      <c r="A6" s="12" t="s">
        <v>12</v>
      </c>
      <c r="B6" s="13"/>
      <c r="C6" s="14" t="n">
        <f aca="false">'General Information'!D25</f>
        <v>2028</v>
      </c>
      <c r="D6" s="13"/>
      <c r="AH6" s="6" t="s">
        <v>704</v>
      </c>
      <c r="AI6" s="0" t="n">
        <v>2</v>
      </c>
      <c r="AJ6" s="6" t="s">
        <v>705</v>
      </c>
    </row>
    <row r="7" customFormat="false" ht="15" hidden="false" customHeight="false" outlineLevel="0" collapsed="false">
      <c r="A7" s="12" t="s">
        <v>706</v>
      </c>
      <c r="B7" s="13"/>
      <c r="C7" s="14" t="s">
        <v>603</v>
      </c>
      <c r="D7" s="13" t="s">
        <v>707</v>
      </c>
      <c r="AH7" s="6" t="s">
        <v>709</v>
      </c>
      <c r="AI7" s="0" t="n">
        <v>120</v>
      </c>
      <c r="AJ7" s="6" t="s">
        <v>710</v>
      </c>
    </row>
    <row r="8" customFormat="false" ht="15" hidden="false" customHeight="false" outlineLevel="0" collapsed="false">
      <c r="A8" s="12" t="s">
        <v>13</v>
      </c>
      <c r="B8" s="13"/>
      <c r="C8" s="14" t="n">
        <f aca="false">'General Information'!D28</f>
        <v>12000</v>
      </c>
      <c r="D8" s="13" t="s">
        <v>14</v>
      </c>
    </row>
    <row r="9" customFormat="false" ht="15" hidden="false" customHeight="false" outlineLevel="0" collapsed="false">
      <c r="C9" s="156"/>
      <c r="AH9" s="6" t="s">
        <v>712</v>
      </c>
      <c r="AI9" s="0" t="n">
        <v>0.07</v>
      </c>
      <c r="AJ9" s="6" t="s">
        <v>713</v>
      </c>
    </row>
    <row r="10" customFormat="false" ht="15" hidden="false" customHeight="false" outlineLevel="0" collapsed="false">
      <c r="D10" s="20"/>
      <c r="I10" s="21" t="s">
        <v>17</v>
      </c>
    </row>
    <row r="11" customFormat="false" ht="27.75" hidden="false" customHeight="true" outlineLevel="0" collapsed="false">
      <c r="B11" s="22" t="s">
        <v>18</v>
      </c>
      <c r="C11" s="23" t="s">
        <v>19</v>
      </c>
      <c r="D11" s="11" t="str">
        <f aca="false">IF(OR($C$11="Regular",$C$11=""),"Regular is the statewide Unit Cost column on Pay_Items.","Prices from the "&amp;$C$11&amp;" column on Pay_Items: "&amp;SUM($I$13:$I$22)&amp;" of "&amp;COUNT($I$13:$I$22)&amp;" pay items used here have a "&amp;$C$11&amp;" cost, the rest fall back to Unit Cost.")</f>
        <v>Regular is the statewide Unit Cost column on Pay_Items.</v>
      </c>
      <c r="E11" s="11"/>
      <c r="F11" s="11"/>
      <c r="G11" s="11"/>
      <c r="I11" s="21" t="n">
        <f aca="false">IFERROR(MATCH($C$11,PriceSources,0),1)</f>
        <v>1</v>
      </c>
    </row>
    <row r="12" customFormat="false" ht="19.5" hidden="false" customHeight="true" outlineLevel="0" collapsed="false">
      <c r="A12" s="24" t="s">
        <v>20</v>
      </c>
      <c r="B12" s="24" t="s">
        <v>21</v>
      </c>
      <c r="C12" s="24" t="s">
        <v>22</v>
      </c>
      <c r="D12" s="25" t="s">
        <v>23</v>
      </c>
      <c r="E12" s="25" t="s">
        <v>24</v>
      </c>
      <c r="F12" s="25" t="s">
        <v>25</v>
      </c>
      <c r="G12" s="25" t="s">
        <v>26</v>
      </c>
      <c r="J12" s="1" t="s">
        <v>20</v>
      </c>
      <c r="K12" s="1" t="s">
        <v>21</v>
      </c>
      <c r="L12" s="1" t="s">
        <v>22</v>
      </c>
      <c r="M12" s="1" t="s">
        <v>23</v>
      </c>
      <c r="N12" s="1" t="s">
        <v>24</v>
      </c>
      <c r="O12" s="1" t="s">
        <v>25</v>
      </c>
      <c r="P12" s="1" t="s">
        <v>26</v>
      </c>
      <c r="R12" s="6" t="s">
        <v>20</v>
      </c>
      <c r="S12" s="6" t="s">
        <v>21</v>
      </c>
      <c r="T12" s="6" t="s">
        <v>22</v>
      </c>
      <c r="U12" s="6" t="s">
        <v>23</v>
      </c>
      <c r="V12" s="6" t="s">
        <v>24</v>
      </c>
      <c r="W12" s="6" t="s">
        <v>25</v>
      </c>
      <c r="X12" s="6" t="s">
        <v>26</v>
      </c>
      <c r="Z12" s="1" t="s">
        <v>20</v>
      </c>
      <c r="AA12" s="1" t="s">
        <v>21</v>
      </c>
      <c r="AB12" s="1" t="s">
        <v>22</v>
      </c>
      <c r="AC12" s="1" t="s">
        <v>23</v>
      </c>
      <c r="AD12" s="1" t="s">
        <v>24</v>
      </c>
      <c r="AE12" s="1" t="s">
        <v>25</v>
      </c>
      <c r="AF12" s="1" t="s">
        <v>26</v>
      </c>
      <c r="AH12" s="6" t="s">
        <v>20</v>
      </c>
      <c r="AI12" s="6" t="s">
        <v>21</v>
      </c>
      <c r="AJ12" s="6" t="s">
        <v>22</v>
      </c>
      <c r="AK12" s="6" t="s">
        <v>23</v>
      </c>
      <c r="AL12" s="6" t="s">
        <v>24</v>
      </c>
      <c r="AM12" s="6" t="s">
        <v>25</v>
      </c>
      <c r="AN12" s="6" t="s">
        <v>26</v>
      </c>
      <c r="AP12" s="1" t="s">
        <v>20</v>
      </c>
      <c r="AQ12" s="1" t="s">
        <v>21</v>
      </c>
      <c r="AR12" s="1" t="s">
        <v>22</v>
      </c>
      <c r="AS12" s="1" t="s">
        <v>23</v>
      </c>
      <c r="AT12" s="1" t="s">
        <v>24</v>
      </c>
      <c r="AU12" s="1" t="s">
        <v>25</v>
      </c>
      <c r="AV12" s="1" t="s">
        <v>26</v>
      </c>
      <c r="AX12" s="6" t="s">
        <v>20</v>
      </c>
      <c r="AY12" s="6" t="s">
        <v>21</v>
      </c>
      <c r="AZ12" s="6" t="s">
        <v>22</v>
      </c>
      <c r="BA12" s="6" t="s">
        <v>23</v>
      </c>
      <c r="BB12" s="6" t="s">
        <v>24</v>
      </c>
      <c r="BC12" s="6" t="s">
        <v>25</v>
      </c>
      <c r="BD12" s="6" t="s">
        <v>26</v>
      </c>
      <c r="BF12" s="1" t="s">
        <v>20</v>
      </c>
      <c r="BG12" s="1" t="s">
        <v>21</v>
      </c>
      <c r="BH12" s="1" t="s">
        <v>22</v>
      </c>
      <c r="BI12" s="1" t="s">
        <v>23</v>
      </c>
      <c r="BJ12" s="1" t="s">
        <v>24</v>
      </c>
      <c r="BK12" s="1" t="s">
        <v>25</v>
      </c>
      <c r="BL12" s="1" t="s">
        <v>26</v>
      </c>
    </row>
    <row r="13" customFormat="false" ht="19.5" hidden="false" customHeight="true" outlineLevel="0" collapsed="false">
      <c r="A13" s="0" t="n">
        <v>1</v>
      </c>
      <c r="B13" s="26" t="str">
        <f aca="false">IF(C13="","",VLOOKUP(C13,CHOOSE({1,2},Table2[Pay Item Description],Table2[Pay Item No.]),2,0))</f>
        <v/>
      </c>
      <c r="C13" s="27"/>
      <c r="D13" s="28" t="str">
        <f aca="false">IF(C13="","N/A",VLOOKUP(C13,CHOOSE({1,2},Table2[Pay Item Description],Table2[Units]),2,0))</f>
        <v>N/A</v>
      </c>
      <c r="E13" s="157" t="n">
        <v>0</v>
      </c>
      <c r="F13" s="30" t="str">
        <f aca="false">IF(C13="","N/A",IF(INDEX(UnitCostGrid,MATCH(C13,PayItemKeys,0),$I$11)="",INDEX(UnitCostGrid,MATCH(C13,PayItemKeys,0),1),INDEX(UnitCostGrid,MATCH(C13,PayItemKeys,0),$I$11)))</f>
        <v>N/A</v>
      </c>
      <c r="G13" s="31" t="n">
        <f aca="false">IF(C13="",0,F13*E13)</f>
        <v>0</v>
      </c>
      <c r="I13" s="21" t="str">
        <f aca="false">IF(C13="","",IF(INDEX(UnitCostGrid,MATCH(C13,PayItemKeys,0),$I$11)="",0,1))</f>
        <v/>
      </c>
      <c r="J13" s="1" t="n">
        <v>1</v>
      </c>
      <c r="K13" s="158" t="str">
        <f aca="false">IF(L13="",0,VLOOKUP(L13,CHOOSE({1,2},Table2[Pay Item Description],Table2[Pay Item No.]),2,0))</f>
        <v>P-608-8.1</v>
      </c>
      <c r="L13" s="1" t="str">
        <f aca="false">C7</f>
        <v>Emulsified Asphalt Surface Treatment</v>
      </c>
      <c r="M13" s="159" t="str">
        <f aca="false">IF(L13="","N/A",VLOOKUP(L13,CHOOSE({1,2},Table2[Pay Item Description],Table2[Units]),2,0))</f>
        <v>S.Y.</v>
      </c>
      <c r="N13" s="160" t="n">
        <f aca="false">'Maintenance Policies'!D51*$C$5</f>
        <v>45883</v>
      </c>
      <c r="O13" s="161" t="n">
        <f aca="false">IF(L13="","N/A",IF(INDEX(UnitCostGrid,MATCH(L13,PayItemKeys,0),$I$11)="",INDEX(UnitCostGrid,MATCH(L13,PayItemKeys,0),1),INDEX(UnitCostGrid,MATCH(L13,PayItemKeys,0),$I$11)))</f>
        <v>4</v>
      </c>
      <c r="P13" s="34" t="n">
        <f aca="false">O13*N13</f>
        <v>183532</v>
      </c>
      <c r="R13" s="0" t="n">
        <v>1</v>
      </c>
      <c r="S13" s="0" t="str">
        <f aca="false">IF(T13="",0,VLOOKUP(T13,CHOOSE({1,2},Table2[Pay Item Description],Table2[Pay Item No.]),2,0))</f>
        <v>P-101-5.4a</v>
      </c>
      <c r="T13" s="0" t="str">
        <f aca="false">Pay_Items!D11</f>
        <v>Spall Repair, Asphalt</v>
      </c>
      <c r="U13" s="166" t="str">
        <f aca="false">IF(T13="","N/A",VLOOKUP(T13,CHOOSE({1,2},Table2[Pay Item Description],Table2[Units]),2,0))</f>
        <v>S.F.</v>
      </c>
      <c r="V13" s="162" t="n">
        <f aca="false">'Maintenance Policies'!D53*($C$5*9)</f>
        <v>5161.8375</v>
      </c>
      <c r="W13" s="167" t="n">
        <f aca="false">IF(T13="","N/A",IF(INDEX(UnitCostGrid,MATCH(T13,PayItemKeys,0),$I$11)="",INDEX(UnitCostGrid,MATCH(T13,PayItemKeys,0),1),INDEX(UnitCostGrid,MATCH(T13,PayItemKeys,0),$I$11)))</f>
        <v>8.5</v>
      </c>
      <c r="X13" s="37" t="n">
        <f aca="false">W13*V13</f>
        <v>43875.61875</v>
      </c>
      <c r="Z13" s="1" t="n">
        <v>1</v>
      </c>
      <c r="AA13" s="158" t="str">
        <f aca="false">IF(AB13="",0,VLOOKUP(AB13,CHOOSE({1,2},Table2[Pay Item Description],Table2[Pay Item No.]),2,0))</f>
        <v>P-608-8.1</v>
      </c>
      <c r="AB13" s="1" t="str">
        <f aca="false">C7</f>
        <v>Emulsified Asphalt Surface Treatment</v>
      </c>
      <c r="AC13" s="159" t="str">
        <f aca="false">IF(AB13="","N/A",VLOOKUP(AB13,CHOOSE({1,2},Table2[Pay Item Description],Table2[Units]),2,0))</f>
        <v>S.Y.</v>
      </c>
      <c r="AD13" s="160" t="n">
        <f aca="false">'Maintenance Policies'!D57*$C$5</f>
        <v>45883</v>
      </c>
      <c r="AE13" s="161" t="n">
        <f aca="false">IF(AB13="","N/A",IF(INDEX(UnitCostGrid,MATCH(AB13,PayItemKeys,0),$I$11)="",INDEX(UnitCostGrid,MATCH(AB13,PayItemKeys,0),1),INDEX(UnitCostGrid,MATCH(AB13,PayItemKeys,0),$I$11)))</f>
        <v>4</v>
      </c>
      <c r="AF13" s="34" t="n">
        <f aca="false">AE13*AD13</f>
        <v>183532</v>
      </c>
      <c r="AH13" s="0" t="n">
        <v>1</v>
      </c>
      <c r="AI13" s="26" t="str">
        <f aca="false">IF(AJ13="",0,VLOOKUP(AJ13,CHOOSE({1,2},Table2[Pay Item Description],Table2[Pay Item No.]),2,0))</f>
        <v>P-101-5.6</v>
      </c>
      <c r="AJ13" s="6" t="s">
        <v>526</v>
      </c>
      <c r="AK13" s="28" t="str">
        <f aca="false">IF(AJ13="","N/A",VLOOKUP(AJ13,CHOOSE({1,2},Table2[Pay Item Description],Table2[Units]),2,0))</f>
        <v>S.Y.</v>
      </c>
      <c r="AL13" s="162" t="n">
        <f aca="false">'Maintenance Policies'!D59*$C$5</f>
        <v>45883</v>
      </c>
      <c r="AM13" s="163" t="n">
        <f aca="false">IF(AJ13="","N/A",IF(INDEX(UnitCostGrid,MATCH(AJ13,PayItemKeys,0),$I$11)="",INDEX(UnitCostGrid,MATCH(AJ13,PayItemKeys,0),1),INDEX(UnitCostGrid,MATCH(AJ13,PayItemKeys,0),$I$11)))</f>
        <v>5</v>
      </c>
      <c r="AN13" s="37" t="n">
        <f aca="false">AM13*AL13</f>
        <v>229415</v>
      </c>
      <c r="AP13" s="1" t="n">
        <v>1</v>
      </c>
      <c r="AQ13" s="158" t="str">
        <f aca="false">IF(AR13="",0,VLOOKUP(AR13,CHOOSE({1,2},Table2[Pay Item Description],Table2[Pay Item No.]),2,0))</f>
        <v>P-608-8.1</v>
      </c>
      <c r="AR13" s="1" t="str">
        <f aca="false">C7</f>
        <v>Emulsified Asphalt Surface Treatment</v>
      </c>
      <c r="AS13" s="159" t="str">
        <f aca="false">IF(AR13="","N/A",VLOOKUP(AR13,CHOOSE({1,2},Table2[Pay Item Description],Table2[Units]),2,0))</f>
        <v>S.Y.</v>
      </c>
      <c r="AT13" s="160" t="n">
        <f aca="false">'Maintenance Policies'!D63*$C$5</f>
        <v>45883</v>
      </c>
      <c r="AU13" s="161" t="n">
        <f aca="false">IF(AR13="","N/A",IF(INDEX(UnitCostGrid,MATCH(AR13,PayItemKeys,0),$I$11)="",INDEX(UnitCostGrid,MATCH(AR13,PayItemKeys,0),1),INDEX(UnitCostGrid,MATCH(AR13,PayItemKeys,0),$I$11)))</f>
        <v>4</v>
      </c>
      <c r="AV13" s="34" t="n">
        <f aca="false">AU13*AT13</f>
        <v>183532</v>
      </c>
      <c r="AX13" s="0" t="n">
        <v>1</v>
      </c>
      <c r="AY13" s="26" t="str">
        <f aca="false">IF(AZ13="",0,VLOOKUP(AZ13,CHOOSE({1,2},Table2[Pay Item Description],Table2[Pay Item No.]),2,0))</f>
        <v>P-101-5.4a</v>
      </c>
      <c r="AZ13" s="6" t="s">
        <v>515</v>
      </c>
      <c r="BA13" s="28" t="str">
        <f aca="false">IF(AZ13="","N/A",VLOOKUP(AZ13,CHOOSE({1,2},Table2[Pay Item Description],Table2[Units]),2,0))</f>
        <v>S.F.</v>
      </c>
      <c r="BB13" s="162" t="n">
        <f aca="false">'Maintenance Policies'!D65*($C$5*9)</f>
        <v>5161.8375</v>
      </c>
      <c r="BC13" s="163" t="n">
        <f aca="false">IF(AZ13="","N/A",IF(INDEX(UnitCostGrid,MATCH(AZ13,PayItemKeys,0),$I$11)="",INDEX(UnitCostGrid,MATCH(AZ13,PayItemKeys,0),1),INDEX(UnitCostGrid,MATCH(AZ13,PayItemKeys,0),$I$11)))</f>
        <v>8.5</v>
      </c>
      <c r="BD13" s="37" t="n">
        <f aca="false">BC13*BB13</f>
        <v>43875.61875</v>
      </c>
      <c r="BF13" s="1" t="n">
        <v>1</v>
      </c>
      <c r="BG13" s="158" t="str">
        <f aca="false">IF(BH13="",0,VLOOKUP(BH13,CHOOSE({1,2},Table2[Pay Item Description],Table2[Pay Item No.]),2,0))</f>
        <v>P-608-8.1</v>
      </c>
      <c r="BH13" s="1" t="str">
        <f aca="false">C7</f>
        <v>Emulsified Asphalt Surface Treatment</v>
      </c>
      <c r="BI13" s="159" t="str">
        <f aca="false">IF(BH13="","N/A",VLOOKUP(BH13,CHOOSE({1,2},Table2[Pay Item Description],Table2[Units]),2,0))</f>
        <v>S.Y.</v>
      </c>
      <c r="BJ13" s="160" t="n">
        <f aca="false">'Maintenance Policies'!D69*$C$5</f>
        <v>45883</v>
      </c>
      <c r="BK13" s="161" t="n">
        <f aca="false">IF(BH13="","N/A",IF(INDEX(UnitCostGrid,MATCH(BH13,PayItemKeys,0),$I$11)="",INDEX(UnitCostGrid,MATCH(BH13,PayItemKeys,0),1),INDEX(UnitCostGrid,MATCH(BH13,PayItemKeys,0),$I$11)))</f>
        <v>4</v>
      </c>
      <c r="BL13" s="34" t="n">
        <f aca="false">BK13*BJ13</f>
        <v>183532</v>
      </c>
    </row>
    <row r="14" customFormat="false" ht="19.5" hidden="false" customHeight="true" outlineLevel="0" collapsed="false">
      <c r="A14" s="0" t="n">
        <v>2</v>
      </c>
      <c r="B14" s="26" t="str">
        <f aca="false">IF(C14="","",VLOOKUP(C14,CHOOSE({1,2},Table2[Pay Item Description],Table2[Pay Item No.]),2,0))</f>
        <v/>
      </c>
      <c r="C14" s="27"/>
      <c r="D14" s="28" t="str">
        <f aca="false">IF(C14="","N/A",VLOOKUP(C14,CHOOSE({1,2},Table2[Pay Item Description],Table2[Units]),2,0))</f>
        <v>N/A</v>
      </c>
      <c r="E14" s="157" t="n">
        <v>0</v>
      </c>
      <c r="F14" s="30" t="str">
        <f aca="false">IF(C14="","N/A",IF(INDEX(UnitCostGrid,MATCH(C14,PayItemKeys,0),$I$11)="",INDEX(UnitCostGrid,MATCH(C14,PayItemKeys,0),1),INDEX(UnitCostGrid,MATCH(C14,PayItemKeys,0),$I$11)))</f>
        <v>N/A</v>
      </c>
      <c r="G14" s="31" t="n">
        <f aca="false">IF(C14="",0,F14*E14)</f>
        <v>0</v>
      </c>
      <c r="I14" s="21" t="str">
        <f aca="false">IF(C14="","",IF(INDEX(UnitCostGrid,MATCH(C14,PayItemKeys,0),$I$11)="",0,1))</f>
        <v/>
      </c>
      <c r="J14" s="1" t="n">
        <v>2</v>
      </c>
      <c r="K14" s="1" t="str">
        <f aca="false">IF(L14="",0,VLOOKUP(L14,CHOOSE({1,2},Table2[Pay Item Description],Table2[Pay Item No.]),2,0))</f>
        <v>P-101-5.3</v>
      </c>
      <c r="L14" s="1" t="s">
        <v>513</v>
      </c>
      <c r="M14" s="164" t="str">
        <f aca="false">IF(L14="","N/A",VLOOKUP(L14,CHOOSE({1,2},Table2[Pay Item Description],Table2[Units]),2,0))</f>
        <v>S.F.</v>
      </c>
      <c r="N14" s="160" t="n">
        <f aca="false">'Maintenance Policies'!D52*$C$8</f>
        <v>12000</v>
      </c>
      <c r="O14" s="165" t="n">
        <f aca="false">IF(L14="","N/A",IF(INDEX(UnitCostGrid,MATCH(L14,PayItemKeys,0),$I$11)="",INDEX(UnitCostGrid,MATCH(L14,PayItemKeys,0),1),INDEX(UnitCostGrid,MATCH(L14,PayItemKeys,0),$I$11)))</f>
        <v>0.777777777777778</v>
      </c>
      <c r="P14" s="34" t="n">
        <f aca="false">O14*N14</f>
        <v>9333.33333333333</v>
      </c>
      <c r="R14" s="0" t="n">
        <v>2</v>
      </c>
      <c r="S14" s="0" t="str">
        <f aca="false">IF(T14="",0,VLOOKUP(T14,CHOOSE({1,2},Table2[Pay Item Description],Table2[Pay Item No.]),2,0))</f>
        <v>P-101-5.2a</v>
      </c>
      <c r="T14" s="0" t="str">
        <f aca="false">Pay_Items!D6</f>
        <v>Crack Repair (Type I), Asphalt</v>
      </c>
      <c r="U14" s="166" t="str">
        <f aca="false">IF(T14="","N/A",VLOOKUP(T14,CHOOSE({1,2},Table2[Pay Item Description],Table2[Units]),2,0))</f>
        <v>L.F.</v>
      </c>
      <c r="V14" s="162" t="n">
        <f aca="false">'Maintenance Policies'!D54*($C$5*9)</f>
        <v>16517.88</v>
      </c>
      <c r="W14" s="167" t="n">
        <f aca="false">IF(T14="","N/A",IF(INDEX(UnitCostGrid,MATCH(T14,PayItemKeys,0),$I$11)="",INDEX(UnitCostGrid,MATCH(T14,PayItemKeys,0),1),INDEX(UnitCostGrid,MATCH(T14,PayItemKeys,0),$I$11)))</f>
        <v>4</v>
      </c>
      <c r="X14" s="37" t="n">
        <f aca="false">W14*V14</f>
        <v>66071.52</v>
      </c>
      <c r="Z14" s="1" t="n">
        <v>2</v>
      </c>
      <c r="AA14" s="158" t="str">
        <f aca="false">IF(AB14="",0,VLOOKUP(AB14,CHOOSE({1,2},Table2[Pay Item Description],Table2[Pay Item No.]),2,0))</f>
        <v>P-101-5.3</v>
      </c>
      <c r="AB14" s="1" t="s">
        <v>513</v>
      </c>
      <c r="AC14" s="159" t="str">
        <f aca="false">IF(AB14="","N/A",VLOOKUP(AB14,CHOOSE({1,2},Table2[Pay Item Description],Table2[Units]),2,0))</f>
        <v>S.F.</v>
      </c>
      <c r="AD14" s="160" t="n">
        <f aca="false">'Maintenance Policies'!D58*$C$8</f>
        <v>12000</v>
      </c>
      <c r="AE14" s="161" t="n">
        <f aca="false">IF(AB14="","N/A",IF(INDEX(UnitCostGrid,MATCH(AB14,PayItemKeys,0),$I$11)="",INDEX(UnitCostGrid,MATCH(AB14,PayItemKeys,0),1),INDEX(UnitCostGrid,MATCH(AB14,PayItemKeys,0),$I$11)))</f>
        <v>0.777777777777778</v>
      </c>
      <c r="AF14" s="34" t="n">
        <f aca="false">AE14*AD14</f>
        <v>9333.33333333333</v>
      </c>
      <c r="AH14" s="0" t="n">
        <v>2</v>
      </c>
      <c r="AI14" s="26" t="str">
        <f aca="false">IF(AJ14="",0,VLOOKUP(AJ14,CHOOSE({1,2},Table2[Pay Item Description],Table2[Pay Item No.]),2,0))</f>
        <v>P-603-5.1</v>
      </c>
      <c r="AJ14" s="6" t="s">
        <v>617</v>
      </c>
      <c r="AK14" s="28" t="str">
        <f aca="false">IF(AJ14="","N/A",VLOOKUP(AJ14,CHOOSE({1,2},Table2[Pay Item Description],Table2[Units]),2,0))</f>
        <v>GAL</v>
      </c>
      <c r="AL14" s="162" t="n">
        <f aca="false">'Maintenance Policies'!D59*$C$5*AI9</f>
        <v>3211.81</v>
      </c>
      <c r="AM14" s="163" t="n">
        <f aca="false">IF(AJ14="","N/A",IF(INDEX(UnitCostGrid,MATCH(AJ14,PayItemKeys,0),$I$11)="",INDEX(UnitCostGrid,MATCH(AJ14,PayItemKeys,0),1),INDEX(UnitCostGrid,MATCH(AJ14,PayItemKeys,0),$I$11)))</f>
        <v>4.5</v>
      </c>
      <c r="AN14" s="37" t="n">
        <f aca="false">AM14*AL14</f>
        <v>14453.145</v>
      </c>
      <c r="AP14" s="1" t="n">
        <v>2</v>
      </c>
      <c r="AQ14" s="158" t="str">
        <f aca="false">IF(AR14="",0,VLOOKUP(AR14,CHOOSE({1,2},Table2[Pay Item Description],Table2[Pay Item No.]),2,0))</f>
        <v>P-101-5.3</v>
      </c>
      <c r="AR14" s="1" t="s">
        <v>513</v>
      </c>
      <c r="AS14" s="159" t="str">
        <f aca="false">IF(AR14="","N/A",VLOOKUP(AR14,CHOOSE({1,2},Table2[Pay Item Description],Table2[Units]),2,0))</f>
        <v>S.F.</v>
      </c>
      <c r="AT14" s="160" t="n">
        <f aca="false">'Maintenance Policies'!D64*$C$8</f>
        <v>12000</v>
      </c>
      <c r="AU14" s="161" t="n">
        <f aca="false">IF(AR14="","N/A",IF(INDEX(UnitCostGrid,MATCH(AR14,PayItemKeys,0),$I$11)="",INDEX(UnitCostGrid,MATCH(AR14,PayItemKeys,0),1),INDEX(UnitCostGrid,MATCH(AR14,PayItemKeys,0),$I$11)))</f>
        <v>0.777777777777778</v>
      </c>
      <c r="AV14" s="34" t="n">
        <f aca="false">AU14*AT14</f>
        <v>9333.33333333333</v>
      </c>
      <c r="AX14" s="0" t="n">
        <v>2</v>
      </c>
      <c r="AY14" s="26" t="str">
        <f aca="false">IF(AZ14="",0,VLOOKUP(AZ14,CHOOSE({1,2},Table2[Pay Item Description],Table2[Pay Item No.]),2,0))</f>
        <v>P-101-5.2a</v>
      </c>
      <c r="AZ14" s="6" t="s">
        <v>504</v>
      </c>
      <c r="BA14" s="28" t="str">
        <f aca="false">IF(AZ14="","N/A",VLOOKUP(AZ14,CHOOSE({1,2},Table2[Pay Item Description],Table2[Units]),2,0))</f>
        <v>L.F.</v>
      </c>
      <c r="BB14" s="162" t="n">
        <f aca="false">'Maintenance Policies'!D66*($C$5*9)</f>
        <v>16517.88</v>
      </c>
      <c r="BC14" s="163" t="n">
        <f aca="false">IF(AZ14="","N/A",IF(INDEX(UnitCostGrid,MATCH(AZ14,PayItemKeys,0),$I$11)="",INDEX(UnitCostGrid,MATCH(AZ14,PayItemKeys,0),1),INDEX(UnitCostGrid,MATCH(AZ14,PayItemKeys,0),$I$11)))</f>
        <v>4</v>
      </c>
      <c r="BD14" s="37" t="n">
        <f aca="false">BC14*BB14</f>
        <v>66071.52</v>
      </c>
      <c r="BF14" s="1" t="n">
        <v>2</v>
      </c>
      <c r="BG14" s="158" t="str">
        <f aca="false">IF(BH14="",0,VLOOKUP(BH14,CHOOSE({1,2},Table2[Pay Item Description],Table2[Pay Item No.]),2,0))</f>
        <v>P-101-5.3</v>
      </c>
      <c r="BH14" s="1" t="s">
        <v>513</v>
      </c>
      <c r="BI14" s="159" t="str">
        <f aca="false">IF(BH14="","N/A",VLOOKUP(BH14,CHOOSE({1,2},Table2[Pay Item Description],Table2[Units]),2,0))</f>
        <v>S.F.</v>
      </c>
      <c r="BJ14" s="160" t="n">
        <f aca="false">'Maintenance Policies'!D70*$C$8</f>
        <v>12000</v>
      </c>
      <c r="BK14" s="161" t="n">
        <f aca="false">IF(BH14="","N/A",IF(INDEX(UnitCostGrid,MATCH(BH14,PayItemKeys,0),$I$11)="",INDEX(UnitCostGrid,MATCH(BH14,PayItemKeys,0),1),INDEX(UnitCostGrid,MATCH(BH14,PayItemKeys,0),$I$11)))</f>
        <v>0.777777777777778</v>
      </c>
      <c r="BL14" s="34" t="n">
        <f aca="false">BK14*BJ14</f>
        <v>9333.33333333333</v>
      </c>
    </row>
    <row r="15" customFormat="false" ht="19.5" hidden="false" customHeight="true" outlineLevel="0" collapsed="false">
      <c r="A15" s="0" t="n">
        <v>3</v>
      </c>
      <c r="B15" s="26" t="str">
        <f aca="false">IF(C15="","",VLOOKUP(C15,CHOOSE({1,2},Table2[Pay Item Description],Table2[Pay Item No.]),2,0))</f>
        <v/>
      </c>
      <c r="C15" s="27"/>
      <c r="D15" s="28" t="str">
        <f aca="false">IF(C15="","N/A",VLOOKUP(C15,CHOOSE({1,2},Table2[Pay Item Description],Table2[Units]),2,0))</f>
        <v>N/A</v>
      </c>
      <c r="E15" s="157" t="n">
        <v>0</v>
      </c>
      <c r="F15" s="30" t="str">
        <f aca="false">IF(C15="","N/A",IF(INDEX(UnitCostGrid,MATCH(C15,PayItemKeys,0),$I$11)="",INDEX(UnitCostGrid,MATCH(C15,PayItemKeys,0),1),INDEX(UnitCostGrid,MATCH(C15,PayItemKeys,0),$I$11)))</f>
        <v>N/A</v>
      </c>
      <c r="G15" s="31" t="n">
        <f aca="false">IF(C15="",0,F15*E15)</f>
        <v>0</v>
      </c>
      <c r="I15" s="21" t="str">
        <f aca="false">IF(C15="","",IF(INDEX(UnitCostGrid,MATCH(C15,PayItemKeys,0),$I$11)="",0,1))</f>
        <v/>
      </c>
      <c r="J15" s="1" t="n">
        <v>3</v>
      </c>
      <c r="K15" s="1" t="str">
        <f aca="false">IF(L15="",0,VLOOKUP(L15,CHOOSE({1,2},Table2[Pay Item Description],Table2[Pay Item No.]),2,0))</f>
        <v>P-620-5.1a</v>
      </c>
      <c r="L15" s="1" t="s">
        <v>626</v>
      </c>
      <c r="M15" s="164" t="str">
        <f aca="false">IF(L15="","N/A",VLOOKUP(L15,CHOOSE({1,2},Table2[Pay Item Description],Table2[Units]),2,0))</f>
        <v>S.F.</v>
      </c>
      <c r="N15" s="160" t="n">
        <f aca="false">'Maintenance Policies'!D52*$C$8</f>
        <v>12000</v>
      </c>
      <c r="O15" s="165" t="n">
        <f aca="false">IF(L15="","N/A",IF(INDEX(UnitCostGrid,MATCH(L15,PayItemKeys,0),$I$11)="",INDEX(UnitCostGrid,MATCH(L15,PayItemKeys,0),1),INDEX(UnitCostGrid,MATCH(L15,PayItemKeys,0),$I$11)))</f>
        <v>0.666666666666667</v>
      </c>
      <c r="P15" s="34" t="n">
        <f aca="false">O15*N15</f>
        <v>8000</v>
      </c>
      <c r="R15" s="0" t="n">
        <v>3</v>
      </c>
      <c r="S15" s="26" t="str">
        <f aca="false">IF(T15="",0,VLOOKUP(T15,CHOOSE({1,2},Table2[Pay Item Description],Table2[Pay Item No.]),2,0))</f>
        <v>P-608-8.1</v>
      </c>
      <c r="T15" s="0" t="str">
        <f aca="false">C7</f>
        <v>Emulsified Asphalt Surface Treatment</v>
      </c>
      <c r="U15" s="28" t="str">
        <f aca="false">IF(T15="","N/A",VLOOKUP(T15,CHOOSE({1,2},Table2[Pay Item Description],Table2[Units]),2,0))</f>
        <v>S.Y.</v>
      </c>
      <c r="V15" s="162" t="n">
        <f aca="false">'Maintenance Policies'!D55*$C$5</f>
        <v>45883</v>
      </c>
      <c r="W15" s="163" t="n">
        <f aca="false">IF(T15="","N/A",IF(INDEX(UnitCostGrid,MATCH(T15,PayItemKeys,0),$I$11)="",INDEX(UnitCostGrid,MATCH(T15,PayItemKeys,0),1),INDEX(UnitCostGrid,MATCH(T15,PayItemKeys,0),$I$11)))</f>
        <v>4</v>
      </c>
      <c r="X15" s="37" t="n">
        <f aca="false">W15*V15</f>
        <v>183532</v>
      </c>
      <c r="Z15" s="1" t="n">
        <v>3</v>
      </c>
      <c r="AA15" s="158" t="str">
        <f aca="false">IF(AB15="",0,VLOOKUP(AB15,CHOOSE({1,2},Table2[Pay Item Description],Table2[Pay Item No.]),2,0))</f>
        <v>P-620-5.1a</v>
      </c>
      <c r="AB15" s="1" t="s">
        <v>626</v>
      </c>
      <c r="AC15" s="159" t="str">
        <f aca="false">IF(AB15="","N/A",VLOOKUP(AB15,CHOOSE({1,2},Table2[Pay Item Description],Table2[Units]),2,0))</f>
        <v>S.F.</v>
      </c>
      <c r="AD15" s="160" t="n">
        <f aca="false">'Maintenance Policies'!D58*$C$8</f>
        <v>12000</v>
      </c>
      <c r="AE15" s="161" t="n">
        <f aca="false">IF(AB15="","N/A",IF(INDEX(UnitCostGrid,MATCH(AB15,PayItemKeys,0),$I$11)="",INDEX(UnitCostGrid,MATCH(AB15,PayItemKeys,0),1),INDEX(UnitCostGrid,MATCH(AB15,PayItemKeys,0),$I$11)))</f>
        <v>0.666666666666667</v>
      </c>
      <c r="AF15" s="34" t="n">
        <f aca="false">AE15*AD15</f>
        <v>8000</v>
      </c>
      <c r="AH15" s="0" t="n">
        <v>3</v>
      </c>
      <c r="AI15" s="26" t="str">
        <f aca="false">IF(AJ15="",0,VLOOKUP(AJ15,CHOOSE({1,2},Table2[Pay Item Description],Table2[Pay Item No.]),2,0))</f>
        <v>P-401-8.1a</v>
      </c>
      <c r="AJ15" s="6" t="s">
        <v>576</v>
      </c>
      <c r="AK15" s="28" t="str">
        <f aca="false">IF(AJ15="","N/A",VLOOKUP(AJ15,CHOOSE({1,2},Table2[Pay Item Description],Table2[Units]),2,0))</f>
        <v>TON</v>
      </c>
      <c r="AL15" s="162" t="n">
        <f aca="false">'Maintenance Policies'!D59*$C$5*AI6*AI7/2000</f>
        <v>5505.96</v>
      </c>
      <c r="AM15" s="163" t="n">
        <f aca="false">IF(AJ15="","N/A",IF(INDEX(UnitCostGrid,MATCH(AJ15,PayItemKeys,0),$I$11)="",INDEX(UnitCostGrid,MATCH(AJ15,PayItemKeys,0),1),INDEX(UnitCostGrid,MATCH(AJ15,PayItemKeys,0),$I$11)))</f>
        <v>130</v>
      </c>
      <c r="AN15" s="37" t="n">
        <f aca="false">AM15*AL15</f>
        <v>715774.8</v>
      </c>
      <c r="AP15" s="1" t="n">
        <v>3</v>
      </c>
      <c r="AQ15" s="158" t="str">
        <f aca="false">IF(AR15="",0,VLOOKUP(AR15,CHOOSE({1,2},Table2[Pay Item Description],Table2[Pay Item No.]),2,0))</f>
        <v>P-620-5.1a</v>
      </c>
      <c r="AR15" s="1" t="s">
        <v>626</v>
      </c>
      <c r="AS15" s="159" t="str">
        <f aca="false">IF(AR15="","N/A",VLOOKUP(AR15,CHOOSE({1,2},Table2[Pay Item Description],Table2[Units]),2,0))</f>
        <v>S.F.</v>
      </c>
      <c r="AT15" s="160" t="n">
        <f aca="false">'Maintenance Policies'!D64*$C$8</f>
        <v>12000</v>
      </c>
      <c r="AU15" s="161" t="n">
        <f aca="false">IF(AR15="","N/A",IF(INDEX(UnitCostGrid,MATCH(AR15,PayItemKeys,0),$I$11)="",INDEX(UnitCostGrid,MATCH(AR15,PayItemKeys,0),1),INDEX(UnitCostGrid,MATCH(AR15,PayItemKeys,0),$I$11)))</f>
        <v>0.666666666666667</v>
      </c>
      <c r="AV15" s="34" t="n">
        <f aca="false">AU15*AT15</f>
        <v>8000</v>
      </c>
      <c r="AX15" s="0" t="n">
        <v>3</v>
      </c>
      <c r="AY15" s="26" t="str">
        <f aca="false">IF(AZ15="",0,VLOOKUP(AZ15,CHOOSE({1,2},Table2[Pay Item Description],Table2[Pay Item No.]),2,0))</f>
        <v>P-608-8.1</v>
      </c>
      <c r="AZ15" s="0" t="str">
        <f aca="false">C7</f>
        <v>Emulsified Asphalt Surface Treatment</v>
      </c>
      <c r="BA15" s="28" t="str">
        <f aca="false">IF(AZ15="","N/A",VLOOKUP(AZ15,CHOOSE({1,2},Table2[Pay Item Description],Table2[Units]),2,0))</f>
        <v>S.Y.</v>
      </c>
      <c r="BB15" s="162" t="n">
        <f aca="false">'Maintenance Policies'!D67*$C$5</f>
        <v>45883</v>
      </c>
      <c r="BC15" s="163" t="n">
        <f aca="false">IF(AZ15="","N/A",IF(INDEX(UnitCostGrid,MATCH(AZ15,PayItemKeys,0),$I$11)="",INDEX(UnitCostGrid,MATCH(AZ15,PayItemKeys,0),1),INDEX(UnitCostGrid,MATCH(AZ15,PayItemKeys,0),$I$11)))</f>
        <v>4</v>
      </c>
      <c r="BD15" s="37" t="n">
        <f aca="false">BC15*BB15</f>
        <v>183532</v>
      </c>
      <c r="BF15" s="1" t="n">
        <v>3</v>
      </c>
      <c r="BG15" s="158" t="str">
        <f aca="false">IF(BH15="",0,VLOOKUP(BH15,CHOOSE({1,2},Table2[Pay Item Description],Table2[Pay Item No.]),2,0))</f>
        <v>P-620-5.1a</v>
      </c>
      <c r="BH15" s="1" t="s">
        <v>626</v>
      </c>
      <c r="BI15" s="159" t="str">
        <f aca="false">IF(BH15="","N/A",VLOOKUP(BH15,CHOOSE({1,2},Table2[Pay Item Description],Table2[Units]),2,0))</f>
        <v>S.F.</v>
      </c>
      <c r="BJ15" s="160" t="n">
        <f aca="false">'Maintenance Policies'!D70*$C$8</f>
        <v>12000</v>
      </c>
      <c r="BK15" s="161" t="n">
        <f aca="false">IF(BH15="","N/A",IF(INDEX(UnitCostGrid,MATCH(BH15,PayItemKeys,0),$I$11)="",INDEX(UnitCostGrid,MATCH(BH15,PayItemKeys,0),1),INDEX(UnitCostGrid,MATCH(BH15,PayItemKeys,0),$I$11)))</f>
        <v>0.666666666666667</v>
      </c>
      <c r="BL15" s="34" t="n">
        <f aca="false">BK15*BJ15</f>
        <v>8000</v>
      </c>
    </row>
    <row r="16" customFormat="false" ht="19.5" hidden="false" customHeight="true" outlineLevel="0" collapsed="false">
      <c r="A16" s="0" t="n">
        <v>4</v>
      </c>
      <c r="B16" s="26" t="str">
        <f aca="false">IF(C16="","",VLOOKUP(C16,CHOOSE({1,2},Table2[Pay Item Description],Table2[Pay Item No.]),2,0))</f>
        <v/>
      </c>
      <c r="C16" s="27"/>
      <c r="D16" s="28" t="str">
        <f aca="false">IF(C16="","N/A",VLOOKUP(C16,CHOOSE({1,2},Table2[Pay Item Description],Table2[Units]),2,0))</f>
        <v>N/A</v>
      </c>
      <c r="E16" s="157" t="n">
        <v>0</v>
      </c>
      <c r="F16" s="30" t="str">
        <f aca="false">IF(C16="","N/A",IF(INDEX(UnitCostGrid,MATCH(C16,PayItemKeys,0),$I$11)="",INDEX(UnitCostGrid,MATCH(C16,PayItemKeys,0),1),INDEX(UnitCostGrid,MATCH(C16,PayItemKeys,0),$I$11)))</f>
        <v>N/A</v>
      </c>
      <c r="G16" s="31" t="n">
        <f aca="false">IF(C16="",0,F16*E16)</f>
        <v>0</v>
      </c>
      <c r="I16" s="21" t="str">
        <f aca="false">IF(C16="","",IF(INDEX(UnitCostGrid,MATCH(C16,PayItemKeys,0),$I$11)="",0,1))</f>
        <v/>
      </c>
      <c r="O16" s="1" t="s">
        <v>27</v>
      </c>
      <c r="P16" s="34" t="n">
        <f aca="false">SUM(P13:P15)</f>
        <v>200865.333333333</v>
      </c>
      <c r="R16" s="0" t="n">
        <v>4</v>
      </c>
      <c r="S16" s="0" t="str">
        <f aca="false">IF(T16="",0,VLOOKUP(T16,CHOOSE({1,2},Table2[Pay Item Description],Table2[Pay Item No.]),2,0))</f>
        <v>P-101-5.3</v>
      </c>
      <c r="T16" s="0" t="str">
        <f aca="false">Pay_Items!D10</f>
        <v>Markings Removal</v>
      </c>
      <c r="U16" s="166" t="str">
        <f aca="false">IF(T16="","N/A",VLOOKUP(T16,CHOOSE({1,2},Table2[Pay Item Description],Table2[Units]),2,0))</f>
        <v>S.F.</v>
      </c>
      <c r="V16" s="162" t="n">
        <f aca="false">'Maintenance Policies'!D56*$C$8</f>
        <v>12000</v>
      </c>
      <c r="W16" s="167" t="n">
        <f aca="false">IF(T16="","N/A",IF(INDEX(UnitCostGrid,MATCH(T16,PayItemKeys,0),$I$11)="",INDEX(UnitCostGrid,MATCH(T16,PayItemKeys,0),1),INDEX(UnitCostGrid,MATCH(T16,PayItemKeys,0),$I$11)))</f>
        <v>0.777777777777778</v>
      </c>
      <c r="X16" s="37" t="n">
        <f aca="false">W16*V16</f>
        <v>9333.33333333333</v>
      </c>
      <c r="AE16" s="1" t="s">
        <v>27</v>
      </c>
      <c r="AF16" s="34" t="n">
        <f aca="false">SUM(AF13:AF15)</f>
        <v>200865.333333333</v>
      </c>
      <c r="AH16" s="0" t="n">
        <v>4</v>
      </c>
      <c r="AI16" s="26" t="str">
        <f aca="false">IF(AJ16="",0,VLOOKUP(AJ16,CHOOSE({1,2},Table2[Pay Item Description],Table2[Pay Item No.]),2,0))</f>
        <v>P-101-5.2a</v>
      </c>
      <c r="AJ16" s="6" t="s">
        <v>504</v>
      </c>
      <c r="AK16" s="28" t="str">
        <f aca="false">IF(AJ16="","N/A",VLOOKUP(AJ16,CHOOSE({1,2},Table2[Pay Item Description],Table2[Units]),2,0))</f>
        <v>L.F.</v>
      </c>
      <c r="AL16" s="162" t="n">
        <f aca="false">'Maintenance Policies'!D60*($C$5*9)</f>
        <v>6194.205</v>
      </c>
      <c r="AM16" s="163" t="n">
        <f aca="false">IF(AJ16="","N/A",IF(INDEX(UnitCostGrid,MATCH(AJ16,PayItemKeys,0),$I$11)="",INDEX(UnitCostGrid,MATCH(AJ16,PayItemKeys,0),1),INDEX(UnitCostGrid,MATCH(AJ16,PayItemKeys,0),$I$11)))</f>
        <v>4</v>
      </c>
      <c r="AN16" s="37" t="n">
        <f aca="false">AM16*AL16</f>
        <v>24776.82</v>
      </c>
      <c r="AU16" s="1" t="s">
        <v>27</v>
      </c>
      <c r="AV16" s="34" t="n">
        <f aca="false">SUM(AV13:AV15)</f>
        <v>200865.333333333</v>
      </c>
      <c r="AX16" s="0" t="n">
        <v>4</v>
      </c>
      <c r="AY16" s="26" t="str">
        <f aca="false">IF(AZ16="",0,VLOOKUP(AZ16,CHOOSE({1,2},Table2[Pay Item Description],Table2[Pay Item No.]),2,0))</f>
        <v>P-101-5.3</v>
      </c>
      <c r="AZ16" s="6" t="s">
        <v>513</v>
      </c>
      <c r="BA16" s="28" t="str">
        <f aca="false">IF(AZ16="","N/A",VLOOKUP(AZ16,CHOOSE({1,2},Table2[Pay Item Description],Table2[Units]),2,0))</f>
        <v>S.F.</v>
      </c>
      <c r="BB16" s="162" t="n">
        <f aca="false">'Maintenance Policies'!D68*$C$8</f>
        <v>12000</v>
      </c>
      <c r="BC16" s="163" t="n">
        <f aca="false">IF(AZ16="","N/A",IF(INDEX(UnitCostGrid,MATCH(AZ16,PayItemKeys,0),$I$11)="",INDEX(UnitCostGrid,MATCH(AZ16,PayItemKeys,0),1),INDEX(UnitCostGrid,MATCH(AZ16,PayItemKeys,0),$I$11)))</f>
        <v>0.777777777777778</v>
      </c>
      <c r="BD16" s="37" t="n">
        <f aca="false">BC16*BB16</f>
        <v>9333.33333333333</v>
      </c>
      <c r="BK16" s="1" t="s">
        <v>27</v>
      </c>
      <c r="BL16" s="34" t="n">
        <f aca="false">SUM(BL13:BL15)</f>
        <v>200865.333333333</v>
      </c>
    </row>
    <row r="17" customFormat="false" ht="19.5" hidden="false" customHeight="true" outlineLevel="0" collapsed="false">
      <c r="A17" s="0" t="n">
        <v>5</v>
      </c>
      <c r="B17" s="26" t="str">
        <f aca="false">IF(C17="","",VLOOKUP(C17,CHOOSE({1,2},Table2[Pay Item Description],Table2[Pay Item No.]),2,0))</f>
        <v/>
      </c>
      <c r="C17" s="27"/>
      <c r="D17" s="28" t="str">
        <f aca="false">IF(C17="","N/A",VLOOKUP(C17,CHOOSE({1,2},Table2[Pay Item Description],Table2[Units]),2,0))</f>
        <v>N/A</v>
      </c>
      <c r="E17" s="157" t="n">
        <v>0</v>
      </c>
      <c r="F17" s="30" t="str">
        <f aca="false">IF(C17="","N/A",IF(INDEX(UnitCostGrid,MATCH(C17,PayItemKeys,0),$I$11)="",INDEX(UnitCostGrid,MATCH(C17,PayItemKeys,0),1),INDEX(UnitCostGrid,MATCH(C17,PayItemKeys,0),$I$11)))</f>
        <v>N/A</v>
      </c>
      <c r="G17" s="31" t="n">
        <f aca="false">IF(C17="",0,F17*E17)</f>
        <v>0</v>
      </c>
      <c r="I17" s="21" t="str">
        <f aca="false">IF(C17="","",IF(INDEX(UnitCostGrid,MATCH(C17,PayItemKeys,0),$I$11)="",0,1))</f>
        <v/>
      </c>
      <c r="L17" s="1" t="s">
        <v>28</v>
      </c>
      <c r="P17" s="34" t="n">
        <f aca="false">('General Information'!$D$36/100)*P16</f>
        <v>20086.5333333333</v>
      </c>
      <c r="R17" s="0" t="n">
        <v>5</v>
      </c>
      <c r="S17" s="0" t="str">
        <f aca="false">IF(T17="",0,VLOOKUP(T17,CHOOSE({1,2},Table2[Pay Item Description],Table2[Pay Item No.]),2,0))</f>
        <v>P-620-5.1a</v>
      </c>
      <c r="T17" s="0" t="str">
        <f aca="false">Pay_Items!D56</f>
        <v>Markings (prep, markings, reflective media)</v>
      </c>
      <c r="U17" s="166" t="str">
        <f aca="false">IF(T17="","N/A",VLOOKUP(T17,CHOOSE({1,2},Table2[Pay Item Description],Table2[Units]),2,0))</f>
        <v>S.F.</v>
      </c>
      <c r="V17" s="162" t="n">
        <f aca="false">'Maintenance Policies'!D56*$C$8</f>
        <v>12000</v>
      </c>
      <c r="W17" s="167" t="n">
        <f aca="false">IF(T17="","N/A",IF(INDEX(UnitCostGrid,MATCH(T17,PayItemKeys,0),$I$11)="",INDEX(UnitCostGrid,MATCH(T17,PayItemKeys,0),1),INDEX(UnitCostGrid,MATCH(T17,PayItemKeys,0),$I$11)))</f>
        <v>0.666666666666667</v>
      </c>
      <c r="X17" s="37" t="n">
        <f aca="false">W17*V17</f>
        <v>8000</v>
      </c>
      <c r="AB17" s="1" t="s">
        <v>28</v>
      </c>
      <c r="AF17" s="34" t="n">
        <f aca="false">('General Information'!$D$36/100)*AF16</f>
        <v>20086.5333333333</v>
      </c>
      <c r="AH17" s="0" t="n">
        <v>5</v>
      </c>
      <c r="AI17" s="26" t="str">
        <f aca="false">IF(AJ17="",0,VLOOKUP(AJ17,CHOOSE({1,2},Table2[Pay Item Description],Table2[Pay Item No.]),2,0))</f>
        <v>P-101-5.4a</v>
      </c>
      <c r="AJ17" s="6" t="s">
        <v>515</v>
      </c>
      <c r="AK17" s="28" t="str">
        <f aca="false">IF(AJ17="","N/A",VLOOKUP(AJ17,CHOOSE({1,2},Table2[Pay Item Description],Table2[Units]),2,0))</f>
        <v>S.F.</v>
      </c>
      <c r="AL17" s="162" t="n">
        <f aca="false">'Maintenance Policies'!D61*($C$5*9)</f>
        <v>2064.735</v>
      </c>
      <c r="AM17" s="163" t="n">
        <f aca="false">IF(AJ17="","N/A",IF(INDEX(UnitCostGrid,MATCH(AJ17,PayItemKeys,0),$I$11)="",INDEX(UnitCostGrid,MATCH(AJ17,PayItemKeys,0),1),INDEX(UnitCostGrid,MATCH(AJ17,PayItemKeys,0),$I$11)))</f>
        <v>8.5</v>
      </c>
      <c r="AN17" s="37" t="n">
        <f aca="false">AM17*AL17</f>
        <v>17550.2475</v>
      </c>
      <c r="AR17" s="1" t="s">
        <v>28</v>
      </c>
      <c r="AV17" s="34" t="n">
        <f aca="false">('General Information'!$D$36/100)*AV16</f>
        <v>20086.5333333333</v>
      </c>
      <c r="AX17" s="0" t="n">
        <v>5</v>
      </c>
      <c r="AY17" s="26" t="str">
        <f aca="false">IF(AZ17="",0,VLOOKUP(AZ17,CHOOSE({1,2},Table2[Pay Item Description],Table2[Pay Item No.]),2,0))</f>
        <v>P-620-5.1a</v>
      </c>
      <c r="AZ17" s="6" t="s">
        <v>626</v>
      </c>
      <c r="BA17" s="28" t="str">
        <f aca="false">IF(AZ17="","N/A",VLOOKUP(AZ17,CHOOSE({1,2},Table2[Pay Item Description],Table2[Units]),2,0))</f>
        <v>S.F.</v>
      </c>
      <c r="BB17" s="162" t="n">
        <f aca="false">'Maintenance Policies'!D68*$C$8</f>
        <v>12000</v>
      </c>
      <c r="BC17" s="163" t="n">
        <f aca="false">IF(AZ17="","N/A",IF(INDEX(UnitCostGrid,MATCH(AZ17,PayItemKeys,0),$I$11)="",INDEX(UnitCostGrid,MATCH(AZ17,PayItemKeys,0),1),INDEX(UnitCostGrid,MATCH(AZ17,PayItemKeys,0),$I$11)))</f>
        <v>0.666666666666667</v>
      </c>
      <c r="BD17" s="37" t="n">
        <f aca="false">BC17*BB17</f>
        <v>8000</v>
      </c>
      <c r="BH17" s="1" t="s">
        <v>28</v>
      </c>
      <c r="BL17" s="34" t="n">
        <f aca="false">('General Information'!$D$36/100)*BL16</f>
        <v>20086.5333333333</v>
      </c>
    </row>
    <row r="18" customFormat="false" ht="19.5" hidden="false" customHeight="true" outlineLevel="0" collapsed="false">
      <c r="A18" s="0" t="n">
        <v>6</v>
      </c>
      <c r="B18" s="26" t="str">
        <f aca="false">IF(C18="","",VLOOKUP(C18,CHOOSE({1,2},Table2[Pay Item Description],Table2[Pay Item No.]),2,0))</f>
        <v/>
      </c>
      <c r="C18" s="27"/>
      <c r="D18" s="28" t="str">
        <f aca="false">IF(C18="","N/A",VLOOKUP(C18,CHOOSE({1,2},Table2[Pay Item Description],Table2[Units]),2,0))</f>
        <v>N/A</v>
      </c>
      <c r="E18" s="157" t="n">
        <v>0</v>
      </c>
      <c r="F18" s="30" t="str">
        <f aca="false">IF(C18="","N/A",IF(INDEX(UnitCostGrid,MATCH(C18,PayItemKeys,0),$I$11)="",INDEX(UnitCostGrid,MATCH(C18,PayItemKeys,0),1),INDEX(UnitCostGrid,MATCH(C18,PayItemKeys,0),$I$11)))</f>
        <v>N/A</v>
      </c>
      <c r="G18" s="31" t="n">
        <f aca="false">IF(C18="",0,F18*E18)</f>
        <v>0</v>
      </c>
      <c r="I18" s="21" t="str">
        <f aca="false">IF(C18="","",IF(INDEX(UnitCostGrid,MATCH(C18,PayItemKeys,0),$I$11)="",0,1))</f>
        <v/>
      </c>
      <c r="L18" s="1" t="s">
        <v>29</v>
      </c>
      <c r="P18" s="34" t="n">
        <f aca="false">('General Information'!$D$37/100)*P16</f>
        <v>10043.2666666667</v>
      </c>
      <c r="W18" s="6" t="s">
        <v>27</v>
      </c>
      <c r="X18" s="37" t="n">
        <f aca="false">SUM(X13:X17)</f>
        <v>310812.472083333</v>
      </c>
      <c r="AB18" s="1" t="s">
        <v>29</v>
      </c>
      <c r="AF18" s="34" t="n">
        <f aca="false">('General Information'!$D$37/100)*AF16</f>
        <v>10043.2666666667</v>
      </c>
      <c r="AH18" s="0" t="n">
        <v>6</v>
      </c>
      <c r="AI18" s="26" t="str">
        <f aca="false">IF(AJ18="",0,VLOOKUP(AJ18,CHOOSE({1,2},Table2[Pay Item Description],Table2[Pay Item No.]),2,0))</f>
        <v>P-620-5.1a</v>
      </c>
      <c r="AJ18" s="6" t="s">
        <v>626</v>
      </c>
      <c r="AK18" s="28" t="str">
        <f aca="false">IF(AJ18="","N/A",VLOOKUP(AJ18,CHOOSE({1,2},Table2[Pay Item Description],Table2[Units]),2,0))</f>
        <v>S.F.</v>
      </c>
      <c r="AL18" s="162" t="n">
        <f aca="false">'Maintenance Policies'!D62*$C$8</f>
        <v>12000</v>
      </c>
      <c r="AM18" s="163" t="n">
        <f aca="false">IF(AJ18="","N/A",IF(INDEX(UnitCostGrid,MATCH(AJ18,PayItemKeys,0),$I$11)="",INDEX(UnitCostGrid,MATCH(AJ18,PayItemKeys,0),1),INDEX(UnitCostGrid,MATCH(AJ18,PayItemKeys,0),$I$11)))</f>
        <v>0.666666666666667</v>
      </c>
      <c r="AN18" s="37" t="n">
        <f aca="false">AM18*AL18</f>
        <v>8000</v>
      </c>
      <c r="AR18" s="1" t="s">
        <v>29</v>
      </c>
      <c r="AV18" s="34" t="n">
        <f aca="false">('General Information'!$D$37/100)*AV16</f>
        <v>10043.2666666667</v>
      </c>
      <c r="BC18" s="6" t="s">
        <v>27</v>
      </c>
      <c r="BD18" s="37" t="n">
        <f aca="false">SUM(BD13:BD17)</f>
        <v>310812.472083333</v>
      </c>
      <c r="BH18" s="1" t="s">
        <v>29</v>
      </c>
      <c r="BL18" s="34" t="n">
        <f aca="false">('General Information'!$D$37/100)*BL16</f>
        <v>10043.2666666667</v>
      </c>
    </row>
    <row r="19" customFormat="false" ht="19.5" hidden="false" customHeight="true" outlineLevel="0" collapsed="false">
      <c r="A19" s="0" t="n">
        <v>7</v>
      </c>
      <c r="B19" s="26" t="str">
        <f aca="false">IF(C19="","",VLOOKUP(C19,CHOOSE({1,2},Table2[Pay Item Description],Table2[Pay Item No.]),2,0))</f>
        <v/>
      </c>
      <c r="C19" s="27"/>
      <c r="D19" s="28" t="str">
        <f aca="false">IF(C19="","N/A",VLOOKUP(C19,CHOOSE({1,2},Table2[Pay Item Description],Table2[Units]),2,0))</f>
        <v>N/A</v>
      </c>
      <c r="E19" s="157" t="n">
        <v>0</v>
      </c>
      <c r="F19" s="30" t="str">
        <f aca="false">IF(C19="","N/A",IF(INDEX(UnitCostGrid,MATCH(C19,PayItemKeys,0),$I$11)="",INDEX(UnitCostGrid,MATCH(C19,PayItemKeys,0),1),INDEX(UnitCostGrid,MATCH(C19,PayItemKeys,0),$I$11)))</f>
        <v>N/A</v>
      </c>
      <c r="G19" s="31" t="n">
        <f aca="false">IF(C19="",0,F19*E19)</f>
        <v>0</v>
      </c>
      <c r="I19" s="21" t="str">
        <f aca="false">IF(C19="","",IF(INDEX(UnitCostGrid,MATCH(C19,PayItemKeys,0),$I$11)="",0,1))</f>
        <v/>
      </c>
      <c r="O19" s="1" t="s">
        <v>30</v>
      </c>
      <c r="P19" s="34" t="n">
        <f aca="false">SUM(P16:P18)</f>
        <v>230995.133333333</v>
      </c>
      <c r="T19" s="6" t="s">
        <v>28</v>
      </c>
      <c r="X19" s="37" t="n">
        <f aca="false">('General Information'!$D$36/100)*X18</f>
        <v>31081.2472083333</v>
      </c>
      <c r="AE19" s="1" t="s">
        <v>30</v>
      </c>
      <c r="AF19" s="34" t="n">
        <f aca="false">SUM(AF16:AF18)</f>
        <v>230995.133333333</v>
      </c>
      <c r="AM19" s="6" t="s">
        <v>27</v>
      </c>
      <c r="AN19" s="37" t="n">
        <f aca="false">SUM(AN13:AN18)</f>
        <v>1009970.0125</v>
      </c>
      <c r="AU19" s="1" t="s">
        <v>30</v>
      </c>
      <c r="AV19" s="34" t="n">
        <f aca="false">SUM(AV16:AV18)</f>
        <v>230995.133333333</v>
      </c>
      <c r="AZ19" s="6" t="s">
        <v>28</v>
      </c>
      <c r="BD19" s="37" t="n">
        <f aca="false">('General Information'!$D$36/100)*BD18</f>
        <v>31081.2472083333</v>
      </c>
      <c r="BK19" s="1" t="s">
        <v>30</v>
      </c>
      <c r="BL19" s="34" t="n">
        <f aca="false">SUM(BL16:BL18)</f>
        <v>230995.133333333</v>
      </c>
    </row>
    <row r="20" customFormat="false" ht="19.5" hidden="false" customHeight="true" outlineLevel="0" collapsed="false">
      <c r="A20" s="0" t="n">
        <v>8</v>
      </c>
      <c r="B20" s="26" t="str">
        <f aca="false">IF(C20="","",VLOOKUP(C20,CHOOSE({1,2},Table2[Pay Item Description],Table2[Pay Item No.]),2,0))</f>
        <v/>
      </c>
      <c r="C20" s="27"/>
      <c r="D20" s="28" t="str">
        <f aca="false">IF(C20="","N/A",VLOOKUP(C20,CHOOSE({1,2},Table2[Pay Item Description],Table2[Units]),2,0))</f>
        <v>N/A</v>
      </c>
      <c r="E20" s="157" t="n">
        <v>0</v>
      </c>
      <c r="F20" s="30" t="str">
        <f aca="false">IF(C20="","N/A",IF(INDEX(UnitCostGrid,MATCH(C20,PayItemKeys,0),$I$11)="",INDEX(UnitCostGrid,MATCH(C20,PayItemKeys,0),1),INDEX(UnitCostGrid,MATCH(C20,PayItemKeys,0),$I$11)))</f>
        <v>N/A</v>
      </c>
      <c r="G20" s="31" t="n">
        <f aca="false">IF(C20="",0,F20*E20)</f>
        <v>0</v>
      </c>
      <c r="I20" s="21" t="str">
        <f aca="false">IF(C20="","",IF(INDEX(UnitCostGrid,MATCH(C20,PayItemKeys,0),$I$11)="",0,1))</f>
        <v/>
      </c>
      <c r="T20" s="6" t="s">
        <v>29</v>
      </c>
      <c r="X20" s="37" t="n">
        <f aca="false">('General Information'!$D$37/100)*X18</f>
        <v>15540.6236041667</v>
      </c>
      <c r="AJ20" s="6" t="s">
        <v>28</v>
      </c>
      <c r="AN20" s="37" t="n">
        <f aca="false">('General Information'!$D$36/100)*AN19</f>
        <v>100997.00125</v>
      </c>
      <c r="AZ20" s="6" t="s">
        <v>29</v>
      </c>
      <c r="BD20" s="37" t="n">
        <f aca="false">('General Information'!$D$37/100)*BD18</f>
        <v>15540.6236041667</v>
      </c>
    </row>
    <row r="21" customFormat="false" ht="19.5" hidden="false" customHeight="true" outlineLevel="0" collapsed="false">
      <c r="A21" s="0" t="n">
        <v>9</v>
      </c>
      <c r="B21" s="26" t="str">
        <f aca="false">IF(C21="","",VLOOKUP(C21,CHOOSE({1,2},Table2[Pay Item Description],Table2[Pay Item No.]),2,0))</f>
        <v/>
      </c>
      <c r="C21" s="27"/>
      <c r="D21" s="28" t="str">
        <f aca="false">IF(C21="","N/A",VLOOKUP(C21,CHOOSE({1,2},Table2[Pay Item Description],Table2[Units]),2,0))</f>
        <v>N/A</v>
      </c>
      <c r="E21" s="157" t="n">
        <v>0</v>
      </c>
      <c r="F21" s="30" t="str">
        <f aca="false">IF(C21="","N/A",IF(INDEX(UnitCostGrid,MATCH(C21,PayItemKeys,0),$I$11)="",INDEX(UnitCostGrid,MATCH(C21,PayItemKeys,0),1),INDEX(UnitCostGrid,MATCH(C21,PayItemKeys,0),$I$11)))</f>
        <v>N/A</v>
      </c>
      <c r="G21" s="31" t="n">
        <f aca="false">IF(C21="",0,F21*E21)</f>
        <v>0</v>
      </c>
      <c r="I21" s="21" t="str">
        <f aca="false">IF(C21="","",IF(INDEX(UnitCostGrid,MATCH(C21,PayItemKeys,0),$I$11)="",0,1))</f>
        <v/>
      </c>
      <c r="W21" s="6" t="s">
        <v>30</v>
      </c>
      <c r="X21" s="37" t="n">
        <f aca="false">SUM(X18:X20)</f>
        <v>357434.342895833</v>
      </c>
      <c r="AJ21" s="6" t="s">
        <v>29</v>
      </c>
      <c r="AN21" s="37" t="n">
        <f aca="false">('General Information'!$D$37/100)*AN19</f>
        <v>50498.500625</v>
      </c>
      <c r="BC21" s="6" t="s">
        <v>30</v>
      </c>
      <c r="BD21" s="37" t="n">
        <f aca="false">SUM(BD18:BD20)</f>
        <v>357434.342895833</v>
      </c>
    </row>
    <row r="22" customFormat="false" ht="19.5" hidden="false" customHeight="true" outlineLevel="0" collapsed="false">
      <c r="A22" s="0" t="n">
        <v>10</v>
      </c>
      <c r="B22" s="26" t="str">
        <f aca="false">IF(C22="","",VLOOKUP(C22,CHOOSE({1,2},Table2[Pay Item Description],Table2[Pay Item No.]),2,0))</f>
        <v/>
      </c>
      <c r="C22" s="27"/>
      <c r="D22" s="28" t="str">
        <f aca="false">IF(C22="","N/A",VLOOKUP(C22,CHOOSE({1,2},Table2[Pay Item Description],Table2[Units]),2,0))</f>
        <v>N/A</v>
      </c>
      <c r="E22" s="157" t="n">
        <v>0</v>
      </c>
      <c r="F22" s="30" t="str">
        <f aca="false">IF(C22="","N/A",IF(INDEX(UnitCostGrid,MATCH(C22,PayItemKeys,0),$I$11)="",INDEX(UnitCostGrid,MATCH(C22,PayItemKeys,0),1),INDEX(UnitCostGrid,MATCH(C22,PayItemKeys,0),$I$11)))</f>
        <v>N/A</v>
      </c>
      <c r="G22" s="31" t="n">
        <f aca="false">IF(C22="",0,F22*E22)</f>
        <v>0</v>
      </c>
      <c r="I22" s="21" t="str">
        <f aca="false">IF(C22="","",IF(INDEX(UnitCostGrid,MATCH(C22,PayItemKeys,0),$I$11)="",0,1))</f>
        <v/>
      </c>
      <c r="AM22" s="6" t="s">
        <v>30</v>
      </c>
      <c r="AN22" s="37" t="n">
        <f aca="false">SUM(AN19:AN21)</f>
        <v>1161465.514375</v>
      </c>
    </row>
    <row r="23" customFormat="false" ht="15" hidden="false" customHeight="false" outlineLevel="0" collapsed="false">
      <c r="G23" s="37"/>
    </row>
    <row r="24" customFormat="false" ht="15" hidden="false" customHeight="false" outlineLevel="0" collapsed="false">
      <c r="A24" s="38" t="s">
        <v>27</v>
      </c>
      <c r="B24" s="38"/>
      <c r="G24" s="37" t="n">
        <f aca="false">SUM(G13:G22)</f>
        <v>0</v>
      </c>
    </row>
    <row r="25" customFormat="false" ht="15" hidden="false" customHeight="false" outlineLevel="0" collapsed="false">
      <c r="A25" s="38"/>
      <c r="B25" s="38" t="s">
        <v>28</v>
      </c>
      <c r="G25" s="37" t="n">
        <f aca="false">('General Information'!$D$36/100)*G24</f>
        <v>0</v>
      </c>
    </row>
    <row r="26" customFormat="false" ht="15" hidden="false" customHeight="false" outlineLevel="0" collapsed="false">
      <c r="A26" s="38"/>
      <c r="B26" s="38" t="s">
        <v>29</v>
      </c>
      <c r="G26" s="37" t="n">
        <f aca="false">('General Information'!$D$37/100)*G24</f>
        <v>0</v>
      </c>
    </row>
    <row r="27" s="7" customFormat="true" ht="21.75" hidden="false" customHeight="true" outlineLevel="0" collapsed="false">
      <c r="A27" s="39" t="s">
        <v>30</v>
      </c>
      <c r="B27" s="39"/>
      <c r="C27" s="39"/>
      <c r="D27" s="39"/>
      <c r="E27" s="39"/>
      <c r="F27" s="39"/>
      <c r="G27" s="40" t="n">
        <f aca="false">SUM(G24:G26)</f>
        <v>0</v>
      </c>
      <c r="J27" s="10"/>
      <c r="K27" s="10"/>
      <c r="L27" s="10"/>
      <c r="M27" s="10"/>
      <c r="N27" s="10"/>
      <c r="O27" s="10"/>
      <c r="P27" s="10"/>
      <c r="Z27" s="10"/>
      <c r="AA27" s="10"/>
      <c r="AB27" s="10"/>
      <c r="AC27" s="10"/>
      <c r="AD27" s="10"/>
      <c r="AE27" s="10"/>
      <c r="AF27" s="10"/>
      <c r="AP27" s="10"/>
      <c r="AQ27" s="10"/>
      <c r="AR27" s="10"/>
      <c r="AS27" s="10"/>
      <c r="AT27" s="10"/>
      <c r="AU27" s="10"/>
      <c r="AV27" s="10"/>
      <c r="BF27" s="10"/>
      <c r="BG27" s="10"/>
      <c r="BH27" s="10"/>
      <c r="BI27" s="10"/>
      <c r="BJ27" s="10"/>
      <c r="BK27" s="10"/>
      <c r="BL27" s="10"/>
    </row>
    <row r="32" customFormat="false" ht="15" hidden="false" customHeight="false" outlineLevel="0" collapsed="false">
      <c r="A32" s="7" t="s">
        <v>31</v>
      </c>
    </row>
    <row r="33" customFormat="false" ht="19.5" hidden="false" customHeight="true" outlineLevel="0" collapsed="false">
      <c r="A33" s="42" t="s">
        <v>741</v>
      </c>
      <c r="I33" s="6" t="s">
        <v>0</v>
      </c>
    </row>
    <row r="35" customFormat="false" ht="19.5" hidden="false" customHeight="true" outlineLevel="0" collapsed="false">
      <c r="B35" s="24" t="s">
        <v>33</v>
      </c>
      <c r="C35" s="25" t="s">
        <v>34</v>
      </c>
      <c r="D35" s="25" t="s">
        <v>35</v>
      </c>
      <c r="E35" s="25" t="s">
        <v>36</v>
      </c>
    </row>
    <row r="36" customFormat="false" ht="15" hidden="false" customHeight="false" outlineLevel="0" collapsed="false">
      <c r="B36" s="43" t="s">
        <v>37</v>
      </c>
      <c r="C36" s="44" t="n">
        <f aca="false">C6</f>
        <v>2028</v>
      </c>
      <c r="D36" s="45" t="n">
        <f aca="false">G27</f>
        <v>0</v>
      </c>
      <c r="E36" s="46" t="n">
        <f aca="false">D36</f>
        <v>0</v>
      </c>
      <c r="K36" s="1" t="s">
        <v>38</v>
      </c>
      <c r="L36" s="1" t="s">
        <v>738</v>
      </c>
      <c r="M36" s="1" t="s">
        <v>739</v>
      </c>
    </row>
    <row r="37" customFormat="false" ht="15" hidden="false" customHeight="false" outlineLevel="0" collapsed="false">
      <c r="B37" s="47" t="s">
        <v>3</v>
      </c>
      <c r="C37" s="48" t="n">
        <f aca="false">'Maintenance Policies'!E51</f>
        <v>4</v>
      </c>
      <c r="D37" s="49" t="n">
        <f aca="false">P19</f>
        <v>230995.133333333</v>
      </c>
      <c r="E37" s="50" t="n">
        <f aca="false">IF(C37&gt;'General Information'!$D$33,0,D37/(1+('General Information'!$D$34/100))^C37)</f>
        <v>205236.184098224</v>
      </c>
      <c r="K37" s="1" t="n">
        <f aca="false">C6</f>
        <v>2028</v>
      </c>
      <c r="L37" s="34" t="n">
        <f aca="false">IF(K37-$C$6&gt;'General Information'!$D$33,0,IF(K37=$C$6,$D$36,0)+SUMIF($C$37:$C$44,K37-$C$6,$D$37:$D$44))</f>
        <v>0</v>
      </c>
      <c r="M37" s="34" t="n">
        <f aca="false">IF(K37-$C$6&gt;'General Information'!$D$33,0,IF(K37=$C$6,$E$36,0)+SUMIF($C$37:$C$44,K37-$C$6,$E$37:$E$44))</f>
        <v>0</v>
      </c>
    </row>
    <row r="38" customFormat="false" ht="15" hidden="false" customHeight="false" outlineLevel="0" collapsed="false">
      <c r="B38" s="47" t="s">
        <v>665</v>
      </c>
      <c r="C38" s="48" t="n">
        <f aca="false">'Maintenance Policies'!E53</f>
        <v>8</v>
      </c>
      <c r="D38" s="49" t="n">
        <f aca="false">X21</f>
        <v>357434.342895833</v>
      </c>
      <c r="E38" s="50" t="n">
        <f aca="false">IF(C38&gt;'General Information'!$D$33,0,D38/(1+('General Information'!$D$34/100))^C38)</f>
        <v>282161.970942905</v>
      </c>
      <c r="K38" s="1" t="n">
        <f aca="false">K37+1</f>
        <v>2029</v>
      </c>
      <c r="L38" s="34" t="n">
        <f aca="false">IF(K38-$C$6&gt;'General Information'!$D$33,0,IF(K38=$C$6,$D$36,0)+SUMIF($C$37:$C$44,K38-$C$6,$D$37:$D$44))</f>
        <v>0</v>
      </c>
      <c r="M38" s="34" t="n">
        <f aca="false">IF(K38-$C$6&gt;'General Information'!$D$33,0,IF(K38=$C$6,$E$36,0)+SUMIF($C$37:$C$44,K38-$C$6,$E$37:$E$44))</f>
        <v>0</v>
      </c>
    </row>
    <row r="39" customFormat="false" ht="15" hidden="false" customHeight="false" outlineLevel="0" collapsed="false">
      <c r="B39" s="47" t="s">
        <v>666</v>
      </c>
      <c r="C39" s="48" t="n">
        <f aca="false">'Maintenance Policies'!E57</f>
        <v>12</v>
      </c>
      <c r="D39" s="49" t="n">
        <f aca="false">AF19</f>
        <v>230995.133333333</v>
      </c>
      <c r="E39" s="50" t="n">
        <f aca="false">IF(C39&gt;'General Information'!$D$33,0,D39/(1+('General Information'!$D$34/100))^C39)</f>
        <v>162015.338942493</v>
      </c>
      <c r="K39" s="1" t="n">
        <f aca="false">K38+1</f>
        <v>2030</v>
      </c>
      <c r="L39" s="34" t="n">
        <f aca="false">IF(K39-$C$6&gt;'General Information'!$D$33,0,IF(K39=$C$6,$D$36,0)+SUMIF($C$37:$C$44,K39-$C$6,$D$37:$D$44))</f>
        <v>0</v>
      </c>
      <c r="M39" s="34" t="n">
        <f aca="false">IF(K39-$C$6&gt;'General Information'!$D$33,0,IF(K39=$C$6,$E$36,0)+SUMIF($C$37:$C$44,K39-$C$6,$E$37:$E$44))</f>
        <v>0</v>
      </c>
    </row>
    <row r="40" customFormat="false" ht="15" hidden="false" customHeight="false" outlineLevel="0" collapsed="false">
      <c r="B40" s="52" t="s">
        <v>4</v>
      </c>
      <c r="C40" s="53" t="n">
        <f aca="false">'Maintenance Policies'!E59</f>
        <v>16</v>
      </c>
      <c r="D40" s="54" t="n">
        <f aca="false">AN22</f>
        <v>1161465.514375</v>
      </c>
      <c r="E40" s="54" t="n">
        <f aca="false">IF(C40&gt;'General Information'!$D$33,0,D40/(1+('General Information'!$D$34/100))^C40)</f>
        <v>723786.909602784</v>
      </c>
      <c r="K40" s="1" t="n">
        <f aca="false">K39+1</f>
        <v>2031</v>
      </c>
      <c r="L40" s="34" t="n">
        <f aca="false">IF(K40-$C$6&gt;'General Information'!$D$33,0,IF(K40=$C$6,$D$36,0)+SUMIF($C$37:$C$44,K40-$C$6,$D$37:$D$44))</f>
        <v>0</v>
      </c>
      <c r="M40" s="34" t="n">
        <f aca="false">IF(K40-$C$6&gt;'General Information'!$D$33,0,IF(K40=$C$6,$E$36,0)+SUMIF($C$37:$C$44,K40-$C$6,$E$37:$E$44))</f>
        <v>0</v>
      </c>
    </row>
    <row r="41" customFormat="false" ht="15" hidden="false" customHeight="false" outlineLevel="0" collapsed="false">
      <c r="B41" s="47" t="s">
        <v>671</v>
      </c>
      <c r="C41" s="48" t="n">
        <f aca="false">'Maintenance Policies'!E63</f>
        <v>20</v>
      </c>
      <c r="D41" s="49" t="n">
        <f aca="false">AV19</f>
        <v>230995.133333333</v>
      </c>
      <c r="E41" s="50" t="n">
        <f aca="false">IF(C41&gt;'General Information'!$D$33,0,D41/(1+('General Information'!$D$34/100))^C41)</f>
        <v>127896.404661706</v>
      </c>
      <c r="K41" s="1" t="n">
        <f aca="false">K40+1</f>
        <v>2032</v>
      </c>
      <c r="L41" s="34" t="n">
        <f aca="false">IF(K41-$C$6&gt;'General Information'!$D$33,0,IF(K41=$C$6,$D$36,0)+SUMIF($C$37:$C$44,K41-$C$6,$D$37:$D$44))</f>
        <v>230995.133333333</v>
      </c>
      <c r="M41" s="34" t="n">
        <f aca="false">IF(K41-$C$6&gt;'General Information'!$D$33,0,IF(K41=$C$6,$E$36,0)+SUMIF($C$37:$C$44,K41-$C$6,$E$37:$E$44))</f>
        <v>205236.184098224</v>
      </c>
    </row>
    <row r="42" customFormat="false" ht="15" hidden="false" customHeight="false" outlineLevel="0" collapsed="false">
      <c r="B42" s="47" t="s">
        <v>677</v>
      </c>
      <c r="C42" s="48" t="n">
        <f aca="false">'Maintenance Policies'!E65</f>
        <v>24</v>
      </c>
      <c r="D42" s="49" t="n">
        <f aca="false">BD21</f>
        <v>357434.342895833</v>
      </c>
      <c r="E42" s="50" t="n">
        <f aca="false">IF(C42&gt;'General Information'!$D$33,0,D42/(1+('General Information'!$D$34/100))^C42)</f>
        <v>175834.011796805</v>
      </c>
      <c r="K42" s="1" t="n">
        <f aca="false">K41+1</f>
        <v>2033</v>
      </c>
      <c r="L42" s="34" t="n">
        <f aca="false">IF(K42-$C$6&gt;'General Information'!$D$33,0,IF(K42=$C$6,$D$36,0)+SUMIF($C$37:$C$44,K42-$C$6,$D$37:$D$44))</f>
        <v>0</v>
      </c>
      <c r="M42" s="34" t="n">
        <f aca="false">IF(K42-$C$6&gt;'General Information'!$D$33,0,IF(K42=$C$6,$E$36,0)+SUMIF($C$37:$C$44,K42-$C$6,$E$37:$E$44))</f>
        <v>0</v>
      </c>
    </row>
    <row r="43" customFormat="false" ht="15" hidden="false" customHeight="false" outlineLevel="0" collapsed="false">
      <c r="B43" s="47" t="s">
        <v>678</v>
      </c>
      <c r="C43" s="48" t="n">
        <f aca="false">'Maintenance Policies'!E69</f>
        <v>28</v>
      </c>
      <c r="D43" s="49" t="n">
        <f aca="false">BL19</f>
        <v>230995.133333333</v>
      </c>
      <c r="E43" s="50" t="n">
        <f aca="false">IF(C43&gt;'General Information'!$D$33,0,D43/(1+('General Information'!$D$34/100))^C43)</f>
        <v>100962.602875503</v>
      </c>
      <c r="K43" s="1" t="n">
        <f aca="false">K42+1</f>
        <v>2034</v>
      </c>
      <c r="L43" s="34" t="n">
        <f aca="false">IF(K43-$C$6&gt;'General Information'!$D$33,0,IF(K43=$C$6,$D$36,0)+SUMIF($C$37:$C$44,K43-$C$6,$D$37:$D$44))</f>
        <v>0</v>
      </c>
      <c r="M43" s="34" t="n">
        <f aca="false">IF(K43-$C$6&gt;'General Information'!$D$33,0,IF(K43=$C$6,$E$36,0)+SUMIF($C$37:$C$44,K43-$C$6,$E$37:$E$44))</f>
        <v>0</v>
      </c>
    </row>
    <row r="44" customFormat="false" ht="15" hidden="false" customHeight="false" outlineLevel="0" collapsed="false">
      <c r="B44" s="55" t="s">
        <v>44</v>
      </c>
      <c r="C44" s="56" t="n">
        <f aca="false">'General Information'!D33</f>
        <v>30</v>
      </c>
      <c r="D44" s="57" t="n">
        <f aca="false">-'Maintenance Policies'!D71*AN22</f>
        <v>-0</v>
      </c>
      <c r="E44" s="57" t="n">
        <f aca="false">IF(C44&gt;'General Information'!$D$33,0,D44/(1+('General Information'!$D$34/100))^C44)</f>
        <v>-0</v>
      </c>
      <c r="K44" s="1" t="n">
        <f aca="false">K43+1</f>
        <v>2035</v>
      </c>
      <c r="L44" s="34" t="n">
        <f aca="false">IF(K44-$C$6&gt;'General Information'!$D$33,0,IF(K44=$C$6,$D$36,0)+SUMIF($C$37:$C$44,K44-$C$6,$D$37:$D$44))</f>
        <v>0</v>
      </c>
      <c r="M44" s="34" t="n">
        <f aca="false">IF(K44-$C$6&gt;'General Information'!$D$33,0,IF(K44=$C$6,$E$36,0)+SUMIF($C$37:$C$44,K44-$C$6,$E$37:$E$44))</f>
        <v>0</v>
      </c>
    </row>
    <row r="45" customFormat="false" ht="25.5" hidden="false" customHeight="true" outlineLevel="0" collapsed="false">
      <c r="B45" s="58" t="s">
        <v>31</v>
      </c>
      <c r="C45" s="59"/>
      <c r="D45" s="59"/>
      <c r="E45" s="60" t="n">
        <f aca="false">SUM(E36:E44)</f>
        <v>1777893.42292042</v>
      </c>
      <c r="K45" s="1" t="n">
        <f aca="false">K44+1</f>
        <v>2036</v>
      </c>
      <c r="L45" s="34" t="n">
        <f aca="false">IF(K45-$C$6&gt;'General Information'!$D$33,0,IF(K45=$C$6,$D$36,0)+SUMIF($C$37:$C$44,K45-$C$6,$D$37:$D$44))</f>
        <v>357434.342895833</v>
      </c>
      <c r="M45" s="34" t="n">
        <f aca="false">IF(K45-$C$6&gt;'General Information'!$D$33,0,IF(K45=$C$6,$E$36,0)+SUMIF($C$37:$C$44,K45-$C$6,$E$37:$E$44))</f>
        <v>282161.970942905</v>
      </c>
    </row>
    <row r="46" customFormat="false" ht="15" hidden="false" customHeight="false" outlineLevel="0" collapsed="false">
      <c r="K46" s="1" t="n">
        <f aca="false">K45+1</f>
        <v>2037</v>
      </c>
      <c r="L46" s="34" t="n">
        <f aca="false">IF(K46-$C$6&gt;'General Information'!$D$33,0,IF(K46=$C$6,$D$36,0)+SUMIF($C$37:$C$44,K46-$C$6,$D$37:$D$44))</f>
        <v>0</v>
      </c>
      <c r="M46" s="34" t="n">
        <f aca="false">IF(K46-$C$6&gt;'General Information'!$D$33,0,IF(K46=$C$6,$E$36,0)+SUMIF($C$37:$C$44,K46-$C$6,$E$37:$E$44))</f>
        <v>0</v>
      </c>
    </row>
    <row r="47" customFormat="false" ht="15" hidden="false" customHeight="false" outlineLevel="0" collapsed="false">
      <c r="K47" s="1" t="n">
        <f aca="false">K46+1</f>
        <v>2038</v>
      </c>
      <c r="L47" s="34" t="n">
        <f aca="false">IF(K47-$C$6&gt;'General Information'!$D$33,0,IF(K47=$C$6,$D$36,0)+SUMIF($C$37:$C$44,K47-$C$6,$D$37:$D$44))</f>
        <v>0</v>
      </c>
      <c r="M47" s="34" t="n">
        <f aca="false">IF(K47-$C$6&gt;'General Information'!$D$33,0,IF(K47=$C$6,$E$36,0)+SUMIF($C$37:$C$44,K47-$C$6,$E$37:$E$44))</f>
        <v>0</v>
      </c>
    </row>
    <row r="48" customFormat="false" ht="15" hidden="false" customHeight="false" outlineLevel="0" collapsed="false">
      <c r="K48" s="1" t="n">
        <f aca="false">K47+1</f>
        <v>2039</v>
      </c>
      <c r="L48" s="34" t="n">
        <f aca="false">IF(K48-$C$6&gt;'General Information'!$D$33,0,IF(K48=$C$6,$D$36,0)+SUMIF($C$37:$C$44,K48-$C$6,$D$37:$D$44))</f>
        <v>0</v>
      </c>
      <c r="M48" s="34" t="n">
        <f aca="false">IF(K48-$C$6&gt;'General Information'!$D$33,0,IF(K48=$C$6,$E$36,0)+SUMIF($C$37:$C$44,K48-$C$6,$E$37:$E$44))</f>
        <v>0</v>
      </c>
    </row>
    <row r="49" customFormat="false" ht="15" hidden="false" customHeight="false" outlineLevel="0" collapsed="false">
      <c r="K49" s="1" t="n">
        <f aca="false">K48+1</f>
        <v>2040</v>
      </c>
      <c r="L49" s="34" t="n">
        <f aca="false">IF(K49-$C$6&gt;'General Information'!$D$33,0,IF(K49=$C$6,$D$36,0)+SUMIF($C$37:$C$44,K49-$C$6,$D$37:$D$44))</f>
        <v>230995.133333333</v>
      </c>
      <c r="M49" s="34" t="n">
        <f aca="false">IF(K49-$C$6&gt;'General Information'!$D$33,0,IF(K49=$C$6,$E$36,0)+SUMIF($C$37:$C$44,K49-$C$6,$E$37:$E$44))</f>
        <v>162015.338942493</v>
      </c>
    </row>
    <row r="50" customFormat="false" ht="15" hidden="false" customHeight="false" outlineLevel="0" collapsed="false">
      <c r="K50" s="1" t="n">
        <f aca="false">K49+1</f>
        <v>2041</v>
      </c>
      <c r="L50" s="34" t="n">
        <f aca="false">IF(K50-$C$6&gt;'General Information'!$D$33,0,IF(K50=$C$6,$D$36,0)+SUMIF($C$37:$C$44,K50-$C$6,$D$37:$D$44))</f>
        <v>0</v>
      </c>
      <c r="M50" s="34" t="n">
        <f aca="false">IF(K50-$C$6&gt;'General Information'!$D$33,0,IF(K50=$C$6,$E$36,0)+SUMIF($C$37:$C$44,K50-$C$6,$E$37:$E$44))</f>
        <v>0</v>
      </c>
    </row>
    <row r="51" customFormat="false" ht="15" hidden="false" customHeight="false" outlineLevel="0" collapsed="false">
      <c r="K51" s="1" t="n">
        <f aca="false">K50+1</f>
        <v>2042</v>
      </c>
      <c r="L51" s="34" t="n">
        <f aca="false">IF(K51-$C$6&gt;'General Information'!$D$33,0,IF(K51=$C$6,$D$36,0)+SUMIF($C$37:$C$44,K51-$C$6,$D$37:$D$44))</f>
        <v>0</v>
      </c>
      <c r="M51" s="34" t="n">
        <f aca="false">IF(K51-$C$6&gt;'General Information'!$D$33,0,IF(K51=$C$6,$E$36,0)+SUMIF($C$37:$C$44,K51-$C$6,$E$37:$E$44))</f>
        <v>0</v>
      </c>
    </row>
    <row r="52" customFormat="false" ht="15" hidden="false" customHeight="false" outlineLevel="0" collapsed="false">
      <c r="K52" s="1" t="n">
        <f aca="false">K51+1</f>
        <v>2043</v>
      </c>
      <c r="L52" s="34" t="n">
        <f aca="false">IF(K52-$C$6&gt;'General Information'!$D$33,0,IF(K52=$C$6,$D$36,0)+SUMIF($C$37:$C$44,K52-$C$6,$D$37:$D$44))</f>
        <v>0</v>
      </c>
      <c r="M52" s="34" t="n">
        <f aca="false">IF(K52-$C$6&gt;'General Information'!$D$33,0,IF(K52=$C$6,$E$36,0)+SUMIF($C$37:$C$44,K52-$C$6,$E$37:$E$44))</f>
        <v>0</v>
      </c>
    </row>
    <row r="53" customFormat="false" ht="15" hidden="false" customHeight="false" outlineLevel="0" collapsed="false">
      <c r="K53" s="1" t="n">
        <f aca="false">K52+1</f>
        <v>2044</v>
      </c>
      <c r="L53" s="34" t="n">
        <f aca="false">IF(K53-$C$6&gt;'General Information'!$D$33,0,IF(K53=$C$6,$D$36,0)+SUMIF($C$37:$C$44,K53-$C$6,$D$37:$D$44))</f>
        <v>1161465.514375</v>
      </c>
      <c r="M53" s="34" t="n">
        <f aca="false">IF(K53-$C$6&gt;'General Information'!$D$33,0,IF(K53=$C$6,$E$36,0)+SUMIF($C$37:$C$44,K53-$C$6,$E$37:$E$44))</f>
        <v>723786.909602784</v>
      </c>
    </row>
    <row r="54" customFormat="false" ht="15" hidden="false" customHeight="false" outlineLevel="0" collapsed="false">
      <c r="K54" s="1" t="n">
        <f aca="false">K53+1</f>
        <v>2045</v>
      </c>
      <c r="L54" s="34" t="n">
        <f aca="false">IF(K54-$C$6&gt;'General Information'!$D$33,0,IF(K54=$C$6,$D$36,0)+SUMIF($C$37:$C$44,K54-$C$6,$D$37:$D$44))</f>
        <v>0</v>
      </c>
      <c r="M54" s="34" t="n">
        <f aca="false">IF(K54-$C$6&gt;'General Information'!$D$33,0,IF(K54=$C$6,$E$36,0)+SUMIF($C$37:$C$44,K54-$C$6,$E$37:$E$44))</f>
        <v>0</v>
      </c>
    </row>
    <row r="55" customFormat="false" ht="15" hidden="false" customHeight="false" outlineLevel="0" collapsed="false">
      <c r="K55" s="1" t="n">
        <f aca="false">K54+1</f>
        <v>2046</v>
      </c>
      <c r="L55" s="34" t="n">
        <f aca="false">IF(K55-$C$6&gt;'General Information'!$D$33,0,IF(K55=$C$6,$D$36,0)+SUMIF($C$37:$C$44,K55-$C$6,$D$37:$D$44))</f>
        <v>0</v>
      </c>
      <c r="M55" s="34" t="n">
        <f aca="false">IF(K55-$C$6&gt;'General Information'!$D$33,0,IF(K55=$C$6,$E$36,0)+SUMIF($C$37:$C$44,K55-$C$6,$E$37:$E$44))</f>
        <v>0</v>
      </c>
    </row>
    <row r="56" customFormat="false" ht="15" hidden="false" customHeight="false" outlineLevel="0" collapsed="false">
      <c r="K56" s="1" t="n">
        <f aca="false">K55+1</f>
        <v>2047</v>
      </c>
      <c r="L56" s="34" t="n">
        <f aca="false">IF(K56-$C$6&gt;'General Information'!$D$33,0,IF(K56=$C$6,$D$36,0)+SUMIF($C$37:$C$44,K56-$C$6,$D$37:$D$44))</f>
        <v>0</v>
      </c>
      <c r="M56" s="34" t="n">
        <f aca="false">IF(K56-$C$6&gt;'General Information'!$D$33,0,IF(K56=$C$6,$E$36,0)+SUMIF($C$37:$C$44,K56-$C$6,$E$37:$E$44))</f>
        <v>0</v>
      </c>
    </row>
    <row r="57" customFormat="false" ht="15" hidden="false" customHeight="false" outlineLevel="0" collapsed="false">
      <c r="K57" s="1" t="n">
        <f aca="false">K56+1</f>
        <v>2048</v>
      </c>
      <c r="L57" s="34" t="n">
        <f aca="false">IF(K57-$C$6&gt;'General Information'!$D$33,0,IF(K57=$C$6,$D$36,0)+SUMIF($C$37:$C$44,K57-$C$6,$D$37:$D$44))</f>
        <v>230995.133333333</v>
      </c>
      <c r="M57" s="34" t="n">
        <f aca="false">IF(K57-$C$6&gt;'General Information'!$D$33,0,IF(K57=$C$6,$E$36,0)+SUMIF($C$37:$C$44,K57-$C$6,$E$37:$E$44))</f>
        <v>127896.404661706</v>
      </c>
    </row>
    <row r="58" customFormat="false" ht="15" hidden="false" customHeight="false" outlineLevel="0" collapsed="false">
      <c r="K58" s="1" t="n">
        <f aca="false">K57+1</f>
        <v>2049</v>
      </c>
      <c r="L58" s="34" t="n">
        <f aca="false">IF(K58-$C$6&gt;'General Information'!$D$33,0,IF(K58=$C$6,$D$36,0)+SUMIF($C$37:$C$44,K58-$C$6,$D$37:$D$44))</f>
        <v>0</v>
      </c>
      <c r="M58" s="34" t="n">
        <f aca="false">IF(K58-$C$6&gt;'General Information'!$D$33,0,IF(K58=$C$6,$E$36,0)+SUMIF($C$37:$C$44,K58-$C$6,$E$37:$E$44))</f>
        <v>0</v>
      </c>
    </row>
    <row r="59" customFormat="false" ht="15" hidden="false" customHeight="false" outlineLevel="0" collapsed="false">
      <c r="K59" s="1" t="n">
        <f aca="false">K58+1</f>
        <v>2050</v>
      </c>
      <c r="L59" s="34" t="n">
        <f aca="false">IF(K59-$C$6&gt;'General Information'!$D$33,0,IF(K59=$C$6,$D$36,0)+SUMIF($C$37:$C$44,K59-$C$6,$D$37:$D$44))</f>
        <v>0</v>
      </c>
      <c r="M59" s="34" t="n">
        <f aca="false">IF(K59-$C$6&gt;'General Information'!$D$33,0,IF(K59=$C$6,$E$36,0)+SUMIF($C$37:$C$44,K59-$C$6,$E$37:$E$44))</f>
        <v>0</v>
      </c>
    </row>
    <row r="60" customFormat="false" ht="15" hidden="false" customHeight="false" outlineLevel="0" collapsed="false">
      <c r="K60" s="1" t="n">
        <f aca="false">K59+1</f>
        <v>2051</v>
      </c>
      <c r="L60" s="34" t="n">
        <f aca="false">IF(K60-$C$6&gt;'General Information'!$D$33,0,IF(K60=$C$6,$D$36,0)+SUMIF($C$37:$C$44,K60-$C$6,$D$37:$D$44))</f>
        <v>0</v>
      </c>
      <c r="M60" s="34" t="n">
        <f aca="false">IF(K60-$C$6&gt;'General Information'!$D$33,0,IF(K60=$C$6,$E$36,0)+SUMIF($C$37:$C$44,K60-$C$6,$E$37:$E$44))</f>
        <v>0</v>
      </c>
    </row>
    <row r="61" customFormat="false" ht="15" hidden="false" customHeight="false" outlineLevel="0" collapsed="false">
      <c r="K61" s="1" t="n">
        <f aca="false">K60+1</f>
        <v>2052</v>
      </c>
      <c r="L61" s="34" t="n">
        <f aca="false">IF(K61-$C$6&gt;'General Information'!$D$33,0,IF(K61=$C$6,$D$36,0)+SUMIF($C$37:$C$44,K61-$C$6,$D$37:$D$44))</f>
        <v>357434.342895833</v>
      </c>
      <c r="M61" s="34" t="n">
        <f aca="false">IF(K61-$C$6&gt;'General Information'!$D$33,0,IF(K61=$C$6,$E$36,0)+SUMIF($C$37:$C$44,K61-$C$6,$E$37:$E$44))</f>
        <v>175834.011796805</v>
      </c>
    </row>
    <row r="62" customFormat="false" ht="15" hidden="false" customHeight="false" outlineLevel="0" collapsed="false">
      <c r="K62" s="1" t="n">
        <f aca="false">K61+1</f>
        <v>2053</v>
      </c>
      <c r="L62" s="34" t="n">
        <f aca="false">IF(K62-$C$6&gt;'General Information'!$D$33,0,IF(K62=$C$6,$D$36,0)+SUMIF($C$37:$C$44,K62-$C$6,$D$37:$D$44))</f>
        <v>0</v>
      </c>
      <c r="M62" s="34" t="n">
        <f aca="false">IF(K62-$C$6&gt;'General Information'!$D$33,0,IF(K62=$C$6,$E$36,0)+SUMIF($C$37:$C$44,K62-$C$6,$E$37:$E$44))</f>
        <v>0</v>
      </c>
    </row>
    <row r="63" customFormat="false" ht="15" hidden="false" customHeight="false" outlineLevel="0" collapsed="false">
      <c r="K63" s="1" t="n">
        <f aca="false">K62+1</f>
        <v>2054</v>
      </c>
      <c r="L63" s="34" t="n">
        <f aca="false">IF(K63-$C$6&gt;'General Information'!$D$33,0,IF(K63=$C$6,$D$36,0)+SUMIF($C$37:$C$44,K63-$C$6,$D$37:$D$44))</f>
        <v>0</v>
      </c>
      <c r="M63" s="34" t="n">
        <f aca="false">IF(K63-$C$6&gt;'General Information'!$D$33,0,IF(K63=$C$6,$E$36,0)+SUMIF($C$37:$C$44,K63-$C$6,$E$37:$E$44))</f>
        <v>0</v>
      </c>
    </row>
    <row r="64" customFormat="false" ht="15" hidden="false" customHeight="false" outlineLevel="0" collapsed="false">
      <c r="K64" s="1" t="n">
        <f aca="false">K63+1</f>
        <v>2055</v>
      </c>
      <c r="L64" s="34" t="n">
        <f aca="false">IF(K64-$C$6&gt;'General Information'!$D$33,0,IF(K64=$C$6,$D$36,0)+SUMIF($C$37:$C$44,K64-$C$6,$D$37:$D$44))</f>
        <v>0</v>
      </c>
      <c r="M64" s="34" t="n">
        <f aca="false">IF(K64-$C$6&gt;'General Information'!$D$33,0,IF(K64=$C$6,$E$36,0)+SUMIF($C$37:$C$44,K64-$C$6,$E$37:$E$44))</f>
        <v>0</v>
      </c>
    </row>
    <row r="65" customFormat="false" ht="15" hidden="false" customHeight="false" outlineLevel="0" collapsed="false">
      <c r="K65" s="1" t="n">
        <f aca="false">K64+1</f>
        <v>2056</v>
      </c>
      <c r="L65" s="34" t="n">
        <f aca="false">IF(K65-$C$6&gt;'General Information'!$D$33,0,IF(K65=$C$6,$D$36,0)+SUMIF($C$37:$C$44,K65-$C$6,$D$37:$D$44))</f>
        <v>230995.133333333</v>
      </c>
      <c r="M65" s="34" t="n">
        <f aca="false">IF(K65-$C$6&gt;'General Information'!$D$33,0,IF(K65=$C$6,$E$36,0)+SUMIF($C$37:$C$44,K65-$C$6,$E$37:$E$44))</f>
        <v>100962.602875503</v>
      </c>
    </row>
    <row r="66" customFormat="false" ht="15" hidden="false" customHeight="false" outlineLevel="0" collapsed="false">
      <c r="K66" s="1" t="n">
        <f aca="false">K65+1</f>
        <v>2057</v>
      </c>
      <c r="L66" s="34" t="n">
        <f aca="false">IF(K66-$C$6&gt;'General Information'!$D$33,0,IF(K66=$C$6,$D$36,0)+SUMIF($C$37:$C$44,K66-$C$6,$D$37:$D$44))</f>
        <v>0</v>
      </c>
      <c r="M66" s="34" t="n">
        <f aca="false">IF(K66-$C$6&gt;'General Information'!$D$33,0,IF(K66=$C$6,$E$36,0)+SUMIF($C$37:$C$44,K66-$C$6,$E$37:$E$44))</f>
        <v>0</v>
      </c>
    </row>
    <row r="67" customFormat="false" ht="15" hidden="false" customHeight="false" outlineLevel="0" collapsed="false">
      <c r="K67" s="1" t="n">
        <f aca="false">K66+1</f>
        <v>2058</v>
      </c>
      <c r="L67" s="34" t="n">
        <f aca="false">IF(K67-$C$6&gt;'General Information'!$D$33,0,IF(K67=$C$6,$D$36,0)+SUMIF($C$37:$C$44,K67-$C$6,$D$37:$D$44))</f>
        <v>0</v>
      </c>
      <c r="M67" s="34" t="n">
        <f aca="false">IF(K67-$C$6&gt;'General Information'!$D$33,0,IF(K67=$C$6,$E$36,0)+SUMIF($C$37:$C$44,K67-$C$6,$E$37:$E$44))</f>
        <v>0</v>
      </c>
    </row>
  </sheetData>
  <mergeCells count="3">
    <mergeCell ref="A1:B1"/>
    <mergeCell ref="A3:G3"/>
    <mergeCell ref="D11:G11"/>
  </mergeCells>
  <dataValidations count="2">
    <dataValidation allowBlank="false" error="Choose Regular, Middle, West or East." errorStyle="stop" errorTitle="Pricing source" operator="between" prompt="Which unit cost column on Pay_Items this alternative is priced from. Regular is the statewide Unit Cost column." promptTitle="Price from" showDropDown="false" showErrorMessage="true" showInputMessage="true" sqref="C11" type="list">
      <formula1>"Regular,Middle,West,East"</formula1>
      <formula2>0</formula2>
    </dataValidation>
    <dataValidation allowBlank="true" error="Select from list" errorStyle="stop" operator="between" showDropDown="false" showErrorMessage="true" showInputMessage="true" sqref="C7" type="list">
      <formula1>Pay_Items!$D$48:$D$53</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6A6A6"/>
    <pageSetUpPr fitToPage="false"/>
  </sheetPr>
  <dimension ref="A1:E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sheetData>
    <row r="1" customFormat="false" ht="15" hidden="false" customHeight="false" outlineLevel="0" collapsed="false">
      <c r="A1" s="0" t="s">
        <v>742</v>
      </c>
    </row>
    <row r="45" customFormat="false" ht="15" hidden="false" customHeight="false" outlineLevel="0" collapsed="false">
      <c r="E45" s="0" t="s">
        <v>743</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78D6"/>
    <pageSetUpPr fitToPage="true"/>
  </sheetPr>
  <dimension ref="A1:AJ3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1" topLeftCell="A1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true" outlineLevel="0" max="1" min="1" style="0" width="22"/>
    <col collapsed="false" customWidth="true" hidden="true" outlineLevel="0" max="2" min="2" style="0" width="32"/>
    <col collapsed="false" customWidth="true" hidden="true" outlineLevel="0" max="4" min="3" style="0" width="17"/>
    <col collapsed="false" customWidth="true" hidden="true" outlineLevel="0" max="5" min="5" style="0" width="34"/>
    <col collapsed="false" customWidth="true" hidden="true" outlineLevel="0" max="6" min="6" style="0" width="3"/>
    <col collapsed="false" customWidth="true" hidden="false" outlineLevel="0" max="7" min="7" style="0" width="16"/>
    <col collapsed="false" customWidth="true" hidden="false" outlineLevel="0" max="8" min="8" style="0" width="20"/>
    <col collapsed="false" customWidth="true" hidden="false" outlineLevel="0" max="9" min="9" style="0" width="12"/>
    <col collapsed="false" customWidth="true" hidden="false" outlineLevel="0" max="15" min="10" style="0" width="13"/>
    <col collapsed="false" customWidth="true" hidden="false" outlineLevel="0" max="17" min="16" style="0" width="21"/>
    <col collapsed="false" customWidth="true" hidden="false" outlineLevel="0" max="18" min="18" style="0" width="12"/>
    <col collapsed="false" customWidth="true" hidden="false" outlineLevel="0" max="22" min="19" style="0" width="14"/>
    <col collapsed="false" customWidth="true" hidden="false" outlineLevel="0" max="23" min="23" style="0" width="24"/>
    <col collapsed="false" customWidth="true" hidden="false" outlineLevel="0" max="37" min="24" style="0" width="13"/>
  </cols>
  <sheetData>
    <row r="1" customFormat="false" ht="39.75" hidden="false" customHeight="true" outlineLevel="0" collapsed="false">
      <c r="G1" s="3" t="str">
        <f aca="false">HYPERLINK("#'General Information'!D9","◄ General Information")</f>
        <v>◄ General Information</v>
      </c>
      <c r="H1" s="4" t="str">
        <f aca="false">HYPERLINK("#Instructions!B9","Instructions")</f>
        <v>Instructions</v>
      </c>
      <c r="I1" s="42" t="s">
        <v>744</v>
      </c>
      <c r="K1" s="95" t="s">
        <v>745</v>
      </c>
      <c r="W1" s="177" t="s">
        <v>746</v>
      </c>
    </row>
    <row r="2" customFormat="false" ht="16.5" hidden="false" customHeight="true" outlineLevel="0" collapsed="false">
      <c r="G2" s="177" t="str">
        <f aca="false">IF('General Information'!$D$9="","No airport selected yet: pick one on General Information.",'General Information'!$D$9&amp;" ("&amp;'General Information'!$D$10&amp;")  |  "&amp;'General Information'!$D$11&amp;", "&amp;'General Information'!$D$13&amp;" region"&amp;IF('General Information'!$D$22="",""," |  "&amp;'General Information'!$D$22)&amp;IF('General Information'!$D$23="",""," ("&amp;'General Information'!$D$23&amp;")")&amp;"  |  construction "&amp;TEXT('General Information'!$D$25,"0")&amp;"  |  "&amp;TEXT('General Information'!$D$33,"0")&amp;" years at "&amp;TEXT('General Information'!$D$34,"0.##")&amp;"%")</f>
        <v>Gatlinburg-Pigeon Forge Airport (GKT)  |  Sevierville, East region |  Runway 10-28 (Reconstruction)  |  construction 2028  |  30 years at 3%</v>
      </c>
    </row>
    <row r="3" customFormat="false" ht="13.5" hidden="false" customHeight="true" outlineLevel="0" collapsed="false">
      <c r="A3" s="178" t="s">
        <v>747</v>
      </c>
      <c r="B3" s="178" t="s">
        <v>120</v>
      </c>
      <c r="C3" s="178" t="s">
        <v>37</v>
      </c>
      <c r="D3" s="178" t="s">
        <v>748</v>
      </c>
      <c r="E3" s="178" t="s">
        <v>749</v>
      </c>
      <c r="G3" s="179" t="s">
        <v>750</v>
      </c>
      <c r="H3" s="179"/>
      <c r="I3" s="179"/>
      <c r="J3" s="179"/>
      <c r="K3" s="179" t="s">
        <v>751</v>
      </c>
      <c r="L3" s="179"/>
      <c r="M3" s="179"/>
      <c r="N3" s="179"/>
      <c r="O3" s="179" t="s">
        <v>752</v>
      </c>
      <c r="P3" s="179"/>
      <c r="Q3" s="179"/>
      <c r="R3" s="179"/>
      <c r="W3" s="177" t="s">
        <v>753</v>
      </c>
    </row>
    <row r="4" customFormat="false" ht="25.5" hidden="false" customHeight="true" outlineLevel="0" collapsed="false">
      <c r="A4" s="0" t="s">
        <v>754</v>
      </c>
      <c r="B4" s="0" t="s">
        <v>641</v>
      </c>
      <c r="C4" s="37" t="n">
        <f aca="false">'Alt 1 (New HMA)'!G27</f>
        <v>4285511.8</v>
      </c>
      <c r="D4" s="37" t="n">
        <f aca="false">'Alt 1 (New HMA)'!E52</f>
        <v>6036217.26873333</v>
      </c>
      <c r="E4" s="0" t="s">
        <v>755</v>
      </c>
      <c r="G4" s="180" t="str">
        <f aca="false">IF(COUNT($O$12:$O$15)=0,"-",TEXT(MIN($O$12:$O$15),"$#,##0"))</f>
        <v>$5,852,247</v>
      </c>
      <c r="H4" s="180"/>
      <c r="I4" s="180"/>
      <c r="J4" s="180"/>
      <c r="K4" s="180" t="str">
        <f aca="false">IF(COUNT($O$12:$O$15)&lt;2,"-",TEXT(IF(COUNT($O$12:$O$15)&lt;2,0,SMALL($O$12:$O$15,2)-MIN($O$12:$O$15)),"$#,##0"))</f>
        <v>$183,970</v>
      </c>
      <c r="L4" s="180"/>
      <c r="M4" s="180"/>
      <c r="N4" s="180"/>
      <c r="O4" s="180" t="str">
        <f aca="false">IF(COUNT($O$12:$O$15)=0,"-",TEXT(MIN($O$12:$O$15)*(('General Information'!$D$34/100)*(1+'General Information'!$D$34/100)^'General Information'!$D$33/((1+'General Information'!$D$34/100)^'General Information'!$D$33-1)),"$#,##0"))</f>
        <v>$298,577</v>
      </c>
      <c r="P4" s="180"/>
      <c r="Q4" s="180"/>
      <c r="R4" s="180"/>
      <c r="W4" s="178" t="s">
        <v>756</v>
      </c>
      <c r="X4" s="178" t="str">
        <f aca="false">IF($H$12="","",$H$12)</f>
        <v>Alternative 1</v>
      </c>
      <c r="Y4" s="178" t="str">
        <f aca="false">IF($H$13="","",$H$13)</f>
        <v>Alternative 2</v>
      </c>
      <c r="Z4" s="178" t="str">
        <f aca="false">IF($H$14="","",$H$14)</f>
        <v>Alternative 3</v>
      </c>
      <c r="AA4" s="178" t="str">
        <f aca="false">IF($H$15="","",$H$15)</f>
        <v/>
      </c>
    </row>
    <row r="5" customFormat="false" ht="19.5" hidden="false" customHeight="true" outlineLevel="0" collapsed="false">
      <c r="A5" s="0" t="s">
        <v>757</v>
      </c>
      <c r="B5" s="0" t="s">
        <v>645</v>
      </c>
      <c r="C5" s="37" t="n">
        <f aca="false">'Alt 2 (New PCC)'!G27</f>
        <v>5918906.25</v>
      </c>
      <c r="D5" s="37" t="n">
        <f aca="false">'Alt 2 (New PCC)'!E43</f>
        <v>6065224.90655861</v>
      </c>
      <c r="E5" s="0" t="s">
        <v>758</v>
      </c>
      <c r="G5" s="181" t="str">
        <f aca="false">IF(COUNT($O$12:$O$15)=0,"No alternatives yet",INDEX($H$12:$H$15,MATCH(MIN($O$12:$O$15),$O$12:$O$15,0))&amp;IF(INDEX($P$93:$P$96,MATCH(MIN($O$12:$O$15),$O$12:$O$15,0))="",""," - "&amp;INDEX($P$93:$P$96,MATCH(MIN($O$12:$O$15),$O$12:$O$15,0))))</f>
        <v>Alternative 3 - 11" P501 on 6" P209</v>
      </c>
      <c r="H5" s="181"/>
      <c r="I5" s="181"/>
      <c r="J5" s="181"/>
      <c r="K5" s="181" t="str">
        <f aca="false">IF(COUNT($O$12:$O$15)&lt;2,"only one alternative so far",TEXT(IF(COUNT($O$12:$O$15)&lt;2,0,SMALL($O$12:$O$15,2)-MIN($O$12:$O$15))/MIN($O$12:$O$15),"0.0%")&amp;IF(IF(COUNT($O$12:$O$15)&lt;2,0,SMALL($O$12:$O$15,2)-MIN($O$12:$O$15))/MIN($O$12:$O$15)&lt;0.05," - under 5%, treat the two as tied"," of the lowest present worth"))</f>
        <v>3.1% - under 5%, treat the two as tied</v>
      </c>
      <c r="L5" s="181"/>
      <c r="M5" s="181"/>
      <c r="N5" s="181"/>
      <c r="O5" s="181" t="str">
        <f aca="false">"per year, "&amp;'General Information'!$D$33&amp;" years at "&amp;'General Information'!$D$34&amp;"%"</f>
        <v>per year, 30 years at 3%</v>
      </c>
      <c r="P5" s="181"/>
      <c r="Q5" s="181"/>
      <c r="R5" s="181"/>
      <c r="W5" s="182" t="s">
        <v>759</v>
      </c>
      <c r="X5" s="183" t="n">
        <f aca="false">IF(J12="",0,J12)</f>
        <v>4285511.8</v>
      </c>
      <c r="Y5" s="183" t="n">
        <f aca="false">IF(J13="",0,J13)</f>
        <v>5918906.25</v>
      </c>
      <c r="Z5" s="183" t="n">
        <f aca="false">IF(J14="",0,J14)</f>
        <v>5681473.8</v>
      </c>
      <c r="AA5" s="183" t="n">
        <f aca="false">IF(J15="",0,J15)</f>
        <v>0</v>
      </c>
    </row>
    <row r="6" customFormat="false" ht="6.75" hidden="false" customHeight="true" outlineLevel="0" collapsed="false">
      <c r="A6" s="0" t="s">
        <v>760</v>
      </c>
      <c r="B6" s="0" t="s">
        <v>648</v>
      </c>
      <c r="C6" s="37" t="n">
        <f aca="false">'Alt 3 (New PCC)'!G27</f>
        <v>5681473.8</v>
      </c>
      <c r="D6" s="37" t="n">
        <f aca="false">'Alt 3 (New PCC)'!E43</f>
        <v>5852247.21297847</v>
      </c>
      <c r="E6" s="0" t="s">
        <v>761</v>
      </c>
      <c r="W6" s="182" t="s">
        <v>762</v>
      </c>
      <c r="X6" s="183" t="n">
        <f aca="false">IF(K12="",0,K12)</f>
        <v>1094529.48555918</v>
      </c>
      <c r="Y6" s="183" t="n">
        <f aca="false">IF(K13="",0,K13)</f>
        <v>359652.398857314</v>
      </c>
      <c r="Z6" s="183" t="n">
        <f aca="false">IF(K14="",0,K14)</f>
        <v>359652.398857314</v>
      </c>
      <c r="AA6" s="183" t="n">
        <f aca="false">IF(K15="",0,K15)</f>
        <v>0</v>
      </c>
    </row>
    <row r="7" customFormat="false" ht="13.5" hidden="false" customHeight="true" outlineLevel="0" collapsed="false">
      <c r="G7" s="179" t="s">
        <v>763</v>
      </c>
      <c r="H7" s="179"/>
      <c r="I7" s="179"/>
      <c r="J7" s="179"/>
      <c r="K7" s="179" t="s">
        <v>764</v>
      </c>
      <c r="L7" s="179"/>
      <c r="M7" s="179"/>
      <c r="N7" s="179"/>
      <c r="O7" s="179" t="s">
        <v>765</v>
      </c>
      <c r="P7" s="179"/>
      <c r="Q7" s="179"/>
      <c r="R7" s="179"/>
      <c r="W7" s="182" t="s">
        <v>654</v>
      </c>
      <c r="X7" s="183" t="n">
        <f aca="false">IF(L12="",0,L12)</f>
        <v>647019.312926701</v>
      </c>
      <c r="Y7" s="183" t="n">
        <f aca="false">IF(L13="",0,L13)</f>
        <v>332276.940438261</v>
      </c>
      <c r="Z7" s="183" t="n">
        <f aca="false">IF(L14="",0,L14)</f>
        <v>332276.940438261</v>
      </c>
      <c r="AA7" s="183" t="n">
        <f aca="false">IF(L15="",0,L15)</f>
        <v>0</v>
      </c>
    </row>
    <row r="8" customFormat="false" ht="25.5" hidden="false" customHeight="true" outlineLevel="0" collapsed="false">
      <c r="G8" s="180" t="str">
        <f aca="false">IF(COUNT($O$12:$O$15)=0,"-",TEXT(INDEX($J$12:$J$15,MATCH(MIN($O$12:$O$15),$O$12:$O$15,0)),"$#,##0"))</f>
        <v>$5,681,474</v>
      </c>
      <c r="H8" s="180"/>
      <c r="I8" s="180"/>
      <c r="J8" s="180"/>
      <c r="K8" s="180" t="str">
        <f aca="false">IF(OR(COUNT($O$12:$O$15)=0,'General Information'!$D$26=0,'General Information'!$D$26=""),"-",TEXT(INDEX($J$12:$J$15,MATCH(MIN($O$12:$O$15),$O$12:$O$15,0))/'General Information'!$D$26,"$#,##0")&amp;" / S.Y.")</f>
        <v>$124 / S.Y.</v>
      </c>
      <c r="L8" s="180"/>
      <c r="M8" s="180"/>
      <c r="N8" s="180"/>
      <c r="O8" s="180" t="str">
        <f aca="false">IF(COUNT($O$12:$O$15)&lt;2,"-",IF(COUNTIF($AB$12:$AB$36,INDEX($H$12:$H$15,MATCH(MIN($O$12:$O$15),$O$12:$O$15,0)))=25,"holds 2-8%","the winner changes"))</f>
        <v>the winner changes</v>
      </c>
      <c r="P8" s="180"/>
      <c r="Q8" s="180"/>
      <c r="R8" s="180"/>
      <c r="W8" s="182" t="s">
        <v>766</v>
      </c>
      <c r="X8" s="183" t="n">
        <f aca="false">IF(M12="",0,M12)</f>
        <v>189697.845335986</v>
      </c>
      <c r="Y8" s="183" t="n">
        <f aca="false">IF(M13="",0,M13)</f>
        <v>64017.0687170223</v>
      </c>
      <c r="Z8" s="183" t="n">
        <f aca="false">IF(M14="",0,M14)</f>
        <v>64017.0687170223</v>
      </c>
      <c r="AA8" s="183" t="n">
        <f aca="false">IF(M15="",0,M15)</f>
        <v>0</v>
      </c>
    </row>
    <row r="9" customFormat="false" ht="19.5" hidden="false" customHeight="true" outlineLevel="0" collapsed="false">
      <c r="G9" s="181" t="s">
        <v>767</v>
      </c>
      <c r="H9" s="181"/>
      <c r="I9" s="181"/>
      <c r="J9" s="181"/>
      <c r="K9" s="181" t="s">
        <v>768</v>
      </c>
      <c r="L9" s="181"/>
      <c r="M9" s="181"/>
      <c r="N9" s="181"/>
      <c r="O9" s="181" t="str">
        <f aca="false">IF(COUNT($O$12:$O$15)&lt;2,"needs two alternatives",IF(COUNTIF($AB$12:$AB$36,INDEX($H$12:$H$15,MATCH(MIN($O$12:$O$15),$O$12:$O$15,0)))=25,"the same alternative is lowest at all 25 rates tested, 2% to 8%","the lowest-cost alternative is not the same at every rate: see chart 2"))</f>
        <v>the lowest-cost alternative is not the same at every rate: see chart 2</v>
      </c>
      <c r="P9" s="181"/>
      <c r="Q9" s="181"/>
      <c r="R9" s="181"/>
      <c r="W9" s="182" t="s">
        <v>44</v>
      </c>
      <c r="X9" s="183" t="n">
        <f aca="false">IF(N12="",0,N12)</f>
        <v>-180541.175088532</v>
      </c>
      <c r="Y9" s="183" t="n">
        <f aca="false">IF(N13="",0,N13)</f>
        <v>-609627.751453986</v>
      </c>
      <c r="Z9" s="183" t="n">
        <f aca="false">IF(N14="",0,N14)</f>
        <v>-585172.995034131</v>
      </c>
      <c r="AA9" s="183" t="n">
        <f aca="false">IF(N15="",0,N15)</f>
        <v>0</v>
      </c>
    </row>
    <row r="10" customFormat="false" ht="25.5" hidden="false" customHeight="true" outlineLevel="0" collapsed="false">
      <c r="G10" s="184" t="str">
        <f aca="false">IF(COUNT($O$12:$O$15)=0,"No alternatives yet. Add them from General Information and this line names the winner.","Lowest present worth:  "&amp;INDEX($H$12:$H$15,MATCH(MIN($O$12:$O$15),$O$12:$O$15,0))&amp;"     "&amp;TEXT(MIN($O$12:$O$15),"$#,##0")&amp;"     "&amp;IF(COUNT($O$12:$O$15)&lt;2,"only one alternative so far",TEXT(SMALL($O$12:$O$15,2)-MIN($O$12:$O$15),"$#,##0")&amp;" ahead of the next"))</f>
        <v>Lowest present worth:  Alternative 3     $5,852,247     $183,970 ahead of the next</v>
      </c>
      <c r="H10" s="184"/>
      <c r="I10" s="184"/>
      <c r="J10" s="184"/>
      <c r="K10" s="184"/>
      <c r="L10" s="184"/>
      <c r="M10" s="184"/>
      <c r="N10" s="184"/>
      <c r="O10" s="184"/>
      <c r="P10" s="184"/>
      <c r="Q10" s="184"/>
      <c r="R10" s="184"/>
      <c r="W10" s="177" t="s">
        <v>769</v>
      </c>
    </row>
    <row r="11" customFormat="false" ht="23.85" hidden="false" customHeight="false" outlineLevel="0" collapsed="false">
      <c r="G11" s="185" t="s">
        <v>770</v>
      </c>
      <c r="H11" s="185" t="s">
        <v>747</v>
      </c>
      <c r="I11" s="185" t="s">
        <v>639</v>
      </c>
      <c r="J11" s="185" t="s">
        <v>759</v>
      </c>
      <c r="K11" s="185" t="s">
        <v>771</v>
      </c>
      <c r="L11" s="185" t="s">
        <v>772</v>
      </c>
      <c r="M11" s="185" t="s">
        <v>773</v>
      </c>
      <c r="N11" s="185" t="s">
        <v>774</v>
      </c>
      <c r="O11" s="185" t="s">
        <v>775</v>
      </c>
      <c r="P11" s="185" t="s">
        <v>776</v>
      </c>
      <c r="Q11" s="185" t="s">
        <v>777</v>
      </c>
      <c r="R11" s="185" t="s">
        <v>778</v>
      </c>
      <c r="W11" s="178" t="s">
        <v>779</v>
      </c>
      <c r="X11" s="178" t="str">
        <f aca="false">IF(X$4="","",X$4)</f>
        <v>Alternative 1</v>
      </c>
      <c r="Y11" s="178" t="str">
        <f aca="false">IF(Y$4="","",Y$4)</f>
        <v>Alternative 2</v>
      </c>
      <c r="Z11" s="178" t="str">
        <f aca="false">IF(Z$4="","",Z$4)</f>
        <v>Alternative 3</v>
      </c>
      <c r="AA11" s="178" t="str">
        <f aca="false">IF(AA$4="","",AA$4)</f>
        <v/>
      </c>
      <c r="AB11" s="177" t="s">
        <v>780</v>
      </c>
    </row>
    <row r="12" customFormat="false" ht="15" hidden="false" customHeight="false" outlineLevel="0" collapsed="false">
      <c r="G12" s="186" t="str">
        <f aca="false">IF(INDEX(Database!$D:$D,4)="","",INDEX(Database!$D:$D,4))</f>
        <v>Alt 1 (New HMA)</v>
      </c>
      <c r="H12" s="186" t="str">
        <f aca="false">IF($G12="","",INDEX(Database!$A:$A,4))</f>
        <v>Alternative 1</v>
      </c>
      <c r="I12" s="186" t="str">
        <f aca="false">IF($G12="","",INDEX(Database!$B:$B,4))</f>
        <v>HMA-New</v>
      </c>
      <c r="J12" s="187" t="n">
        <f aca="true">IF($G12="","",IFERROR(INDEX(INDIRECT("'"&amp;$G12&amp;"'!$G$1:$G$70"),MATCH("Total",INDIRECT("'"&amp;$G12&amp;"'!$A$1:$A$70"),0)),0))</f>
        <v>4285511.8</v>
      </c>
      <c r="K12" s="187" t="n">
        <f aca="true">IF($G12="","",IFERROR(SUMIFS(INDIRECT("'"&amp;$G12&amp;"'!$E$37:$E$52"),INDIRECT("'"&amp;$G12&amp;"'!$B$37:$B$52"),"Maintenance*",INDIRECT("'"&amp;$G12&amp;"'!$B$37:$B$52"),"&lt;&gt;*Indirect*"),0))</f>
        <v>1094529.48555918</v>
      </c>
      <c r="L12" s="187" t="n">
        <f aca="true">IF($G12="","",IFERROR(SUMIFS(INDIRECT("'"&amp;$G12&amp;"'!$E$37:$E$52"),INDIRECT("'"&amp;$G12&amp;"'!$B$37:$B$52"),"Rehabilitation*",INDIRECT("'"&amp;$G12&amp;"'!$B$37:$B$52"),"&lt;&gt;*Indirect*"),0))</f>
        <v>647019.312926701</v>
      </c>
      <c r="M12" s="187" t="n">
        <f aca="true">IF($G12="","",IFERROR(SUMIFS(INDIRECT("'"&amp;$G12&amp;"'!$E$37:$E$52"),INDIRECT("'"&amp;$G12&amp;"'!$B$37:$B$52"),"*Indirect*"),0))</f>
        <v>189697.845335986</v>
      </c>
      <c r="N12" s="187" t="n">
        <f aca="true">IF($G12="","",IFERROR(SUMIFS(INDIRECT("'"&amp;$G12&amp;"'!$E$37:$E$52"),INDIRECT("'"&amp;$G12&amp;"'!$B$37:$B$52"),"Salvage*"),0))</f>
        <v>-180541.175088532</v>
      </c>
      <c r="O12" s="187" t="n">
        <f aca="true">IF($G12="","",IFERROR(INDEX(INDIRECT("'"&amp;$G12&amp;"'!$E$1:$E$70"),MATCH("Net Present Worth",INDIRECT("'"&amp;$G12&amp;"'!$B$1:$B$70"),0)),0))</f>
        <v>6036217.26873333</v>
      </c>
      <c r="P12" s="187" t="n">
        <f aca="false">IF($G12="","",O12-MIN($O$12:$O$15))</f>
        <v>183970.055754866</v>
      </c>
      <c r="Q12" s="188" t="n">
        <f aca="true">IF($G12="","",IF(IFERROR(INDIRECT("'"&amp;$G12&amp;"'!$F$2"),0)&gt;0,SUM($AG$41:$AG$71),IFERROR(SUM(INDIRECT("'"&amp;$G12&amp;"'!$F$4:$F$10")),0)))</f>
        <v>56</v>
      </c>
      <c r="R12" s="189" t="n">
        <f aca="false">IF($G12="","",1-Q12/('General Information'!$D$33*365))</f>
        <v>0.994885844748858</v>
      </c>
      <c r="W12" s="190" t="n">
        <v>2</v>
      </c>
      <c r="X12" s="183" t="n">
        <f aca="true">IF($G$12="",0,IFERROR($J$12+SUMPRODUCT((INDIRECT("'"&amp;$G$12&amp;"'!$C$37:$C$52")&lt;='General Information'!$D$33)*INDIRECT("'"&amp;$G$12&amp;"'!$D$37:$D$52")/(1+$W12/100)^INDIRECT("'"&amp;$G$12&amp;"'!$C$37:$C$52")),0))</f>
        <v>6310890.56725527</v>
      </c>
      <c r="Y12" s="183" t="n">
        <f aca="true">IF($G$13="",0,IFERROR($J$13+SUMPRODUCT((INDIRECT("'"&amp;$G$13&amp;"'!$C$37:$C$52")&lt;='General Information'!$D$33)*INDIRECT("'"&amp;$G$13&amp;"'!$D$37:$D$52")/(1+$W12/100)^INDIRECT("'"&amp;$G$13&amp;"'!$C$37:$C$52")),0))</f>
        <v>6048190.84807672</v>
      </c>
      <c r="Z12" s="183" t="n">
        <f aca="true">IF($G$14="",0,IFERROR($J$14+SUMPRODUCT((INDIRECT("'"&amp;$G$14&amp;"'!$C$37:$C$52")&lt;='General Information'!$D$33)*INDIRECT("'"&amp;$G$14&amp;"'!$D$37:$D$52")/(1+$W12/100)^INDIRECT("'"&amp;$G$14&amp;"'!$C$37:$C$52")),0))</f>
        <v>5843528.28401276</v>
      </c>
      <c r="AA12" s="183" t="n">
        <f aca="true">IF($G$15="",0,IFERROR($J$15+SUMPRODUCT((INDIRECT("'"&amp;$G$15&amp;"'!$C$37:$C$52")&lt;='General Information'!$D$33)*INDIRECT("'"&amp;$G$15&amp;"'!$D$37:$D$52")/(1+$W12/100)^INDIRECT("'"&amp;$G$15&amp;"'!$C$37:$C$52")),0))</f>
        <v>0</v>
      </c>
      <c r="AB12" s="182" t="str">
        <f aca="false">IF(COUNTIF($X12:$AA12,"&lt;&gt;0")=0,"",INDEX($H$12:$H$15,MATCH(SMALL($X12:$AA12,COUNTIF($X12:$AA12,0)+1),$X12:$AA12,0)))</f>
        <v>Alternative 3</v>
      </c>
    </row>
    <row r="13" customFormat="false" ht="15" hidden="false" customHeight="false" outlineLevel="0" collapsed="false">
      <c r="G13" s="186" t="str">
        <f aca="false">IF(INDEX(Database!$D:$D,5)="","",INDEX(Database!$D:$D,5))</f>
        <v>Alt 2 (New PCC)</v>
      </c>
      <c r="H13" s="186" t="str">
        <f aca="false">IF($G13="","",INDEX(Database!$A:$A,5))</f>
        <v>Alternative 2</v>
      </c>
      <c r="I13" s="186" t="str">
        <f aca="false">IF($G13="","",INDEX(Database!$B:$B,5))</f>
        <v>PCC-New</v>
      </c>
      <c r="J13" s="187" t="n">
        <f aca="true">IF($G13="","",IFERROR(INDEX(INDIRECT("'"&amp;$G13&amp;"'!$G$1:$G$70"),MATCH("Total",INDIRECT("'"&amp;$G13&amp;"'!$A$1:$A$70"),0)),0))</f>
        <v>5918906.25</v>
      </c>
      <c r="K13" s="187" t="n">
        <f aca="true">IF($G13="","",IFERROR(SUMIFS(INDIRECT("'"&amp;$G13&amp;"'!$E$37:$E$52"),INDIRECT("'"&amp;$G13&amp;"'!$B$37:$B$52"),"Maintenance*",INDIRECT("'"&amp;$G13&amp;"'!$B$37:$B$52"),"&lt;&gt;*Indirect*"),0))</f>
        <v>359652.398857314</v>
      </c>
      <c r="L13" s="187" t="n">
        <f aca="true">IF($G13="","",IFERROR(SUMIFS(INDIRECT("'"&amp;$G13&amp;"'!$E$37:$E$52"),INDIRECT("'"&amp;$G13&amp;"'!$B$37:$B$52"),"Rehabilitation*",INDIRECT("'"&amp;$G13&amp;"'!$B$37:$B$52"),"&lt;&gt;*Indirect*"),0))</f>
        <v>332276.940438261</v>
      </c>
      <c r="M13" s="187" t="n">
        <f aca="true">IF($G13="","",IFERROR(SUMIFS(INDIRECT("'"&amp;$G13&amp;"'!$E$37:$E$52"),INDIRECT("'"&amp;$G13&amp;"'!$B$37:$B$52"),"*Indirect*"),0))</f>
        <v>64017.0687170223</v>
      </c>
      <c r="N13" s="187" t="n">
        <f aca="true">IF($G13="","",IFERROR(SUMIFS(INDIRECT("'"&amp;$G13&amp;"'!$E$37:$E$52"),INDIRECT("'"&amp;$G13&amp;"'!$B$37:$B$52"),"Salvage*"),0))</f>
        <v>-609627.751453986</v>
      </c>
      <c r="O13" s="187" t="n">
        <f aca="true">IF($G13="","",IFERROR(INDEX(INDIRECT("'"&amp;$G13&amp;"'!$E$1:$E$70"),MATCH("Net Present Worth",INDIRECT("'"&amp;$G13&amp;"'!$B$1:$B$70"),0)),0))</f>
        <v>6065224.90655861</v>
      </c>
      <c r="P13" s="187" t="n">
        <f aca="false">IF($G13="","",O13-MIN($O$12:$O$15))</f>
        <v>212977.693580144</v>
      </c>
      <c r="Q13" s="188" t="n">
        <f aca="true">IF($G13="","",IF(IFERROR(INDIRECT("'"&amp;$G13&amp;"'!$F$2"),0)&gt;0,SUM($AH$41:$AH$71),IFERROR(SUM(INDIRECT("'"&amp;$G13&amp;"'!$F$4:$F$10")),0)))</f>
        <v>24</v>
      </c>
      <c r="R13" s="189" t="n">
        <f aca="false">IF($G13="","",1-Q13/('General Information'!$D$33*365))</f>
        <v>0.997808219178082</v>
      </c>
      <c r="W13" s="190" t="n">
        <v>2.25</v>
      </c>
      <c r="X13" s="183" t="n">
        <f aca="true">IF($G$12="",0,IFERROR($J$12+SUMPRODUCT((INDIRECT("'"&amp;$G$12&amp;"'!$C$37:$C$52")&lt;='General Information'!$D$33)*INDIRECT("'"&amp;$G$12&amp;"'!$D$37:$D$52")/(1+$W13/100)^INDIRECT("'"&amp;$G$12&amp;"'!$C$37:$C$52")),0))</f>
        <v>6237611.72170497</v>
      </c>
      <c r="Y13" s="183" t="n">
        <f aca="true">IF($G$13="",0,IFERROR($J$13+SUMPRODUCT((INDIRECT("'"&amp;$G$13&amp;"'!$C$37:$C$52")&lt;='General Information'!$D$33)*INDIRECT("'"&amp;$G$13&amp;"'!$D$37:$D$52")/(1+$W13/100)^INDIRECT("'"&amp;$G$13&amp;"'!$C$37:$C$52")),0))</f>
        <v>6054084.04269818</v>
      </c>
      <c r="Z13" s="183" t="n">
        <f aca="true">IF($G$14="",0,IFERROR($J$14+SUMPRODUCT((INDIRECT("'"&amp;$G$14&amp;"'!$C$37:$C$52")&lt;='General Information'!$D$33)*INDIRECT("'"&amp;$G$14&amp;"'!$D$37:$D$52")/(1+$W13/100)^INDIRECT("'"&amp;$G$14&amp;"'!$C$37:$C$52")),0))</f>
        <v>5847101.1219036</v>
      </c>
      <c r="AA13" s="183" t="n">
        <f aca="true">IF($G$15="",0,IFERROR($J$15+SUMPRODUCT((INDIRECT("'"&amp;$G$15&amp;"'!$C$37:$C$52")&lt;='General Information'!$D$33)*INDIRECT("'"&amp;$G$15&amp;"'!$D$37:$D$52")/(1+$W13/100)^INDIRECT("'"&amp;$G$15&amp;"'!$C$37:$C$52")),0))</f>
        <v>0</v>
      </c>
      <c r="AB13" s="182" t="str">
        <f aca="false">IF(COUNTIF($X13:$AA13,"&lt;&gt;0")=0,"",INDEX($H$12:$H$15,MATCH(SMALL($X13:$AA13,COUNTIF($X13:$AA13,0)+1),$X13:$AA13,0)))</f>
        <v>Alternative 3</v>
      </c>
    </row>
    <row r="14" customFormat="false" ht="15" hidden="false" customHeight="false" outlineLevel="0" collapsed="false">
      <c r="G14" s="186" t="str">
        <f aca="false">IF(INDEX(Database!$D:$D,6)="","",INDEX(Database!$D:$D,6))</f>
        <v>Alt 3 (New PCC)</v>
      </c>
      <c r="H14" s="186" t="str">
        <f aca="false">IF($G14="","",INDEX(Database!$A:$A,6))</f>
        <v>Alternative 3</v>
      </c>
      <c r="I14" s="186" t="str">
        <f aca="false">IF($G14="","",INDEX(Database!$B:$B,6))</f>
        <v>PCC-New</v>
      </c>
      <c r="J14" s="187" t="n">
        <f aca="true">IF($G14="","",IFERROR(INDEX(INDIRECT("'"&amp;$G14&amp;"'!$G$1:$G$70"),MATCH("Total",INDIRECT("'"&amp;$G14&amp;"'!$A$1:$A$70"),0)),0))</f>
        <v>5681473.8</v>
      </c>
      <c r="K14" s="187" t="n">
        <f aca="true">IF($G14="","",IFERROR(SUMIFS(INDIRECT("'"&amp;$G14&amp;"'!$E$37:$E$52"),INDIRECT("'"&amp;$G14&amp;"'!$B$37:$B$52"),"Maintenance*",INDIRECT("'"&amp;$G14&amp;"'!$B$37:$B$52"),"&lt;&gt;*Indirect*"),0))</f>
        <v>359652.398857314</v>
      </c>
      <c r="L14" s="187" t="n">
        <f aca="true">IF($G14="","",IFERROR(SUMIFS(INDIRECT("'"&amp;$G14&amp;"'!$E$37:$E$52"),INDIRECT("'"&amp;$G14&amp;"'!$B$37:$B$52"),"Rehabilitation*",INDIRECT("'"&amp;$G14&amp;"'!$B$37:$B$52"),"&lt;&gt;*Indirect*"),0))</f>
        <v>332276.940438261</v>
      </c>
      <c r="M14" s="187" t="n">
        <f aca="true">IF($G14="","",IFERROR(SUMIFS(INDIRECT("'"&amp;$G14&amp;"'!$E$37:$E$52"),INDIRECT("'"&amp;$G14&amp;"'!$B$37:$B$52"),"*Indirect*"),0))</f>
        <v>64017.0687170223</v>
      </c>
      <c r="N14" s="187" t="n">
        <f aca="true">IF($G14="","",IFERROR(SUMIFS(INDIRECT("'"&amp;$G14&amp;"'!$E$37:$E$52"),INDIRECT("'"&amp;$G14&amp;"'!$B$37:$B$52"),"Salvage*"),0))</f>
        <v>-585172.995034131</v>
      </c>
      <c r="O14" s="187" t="n">
        <f aca="true">IF($G14="","",IFERROR(INDEX(INDIRECT("'"&amp;$G14&amp;"'!$E$1:$E$70"),MATCH("Net Present Worth",INDIRECT("'"&amp;$G14&amp;"'!$B$1:$B$70"),0)),0))</f>
        <v>5852247.21297847</v>
      </c>
      <c r="P14" s="187" t="n">
        <f aca="false">IF($G14="","",O14-MIN($O$12:$O$15))</f>
        <v>0</v>
      </c>
      <c r="Q14" s="188" t="n">
        <f aca="true">IF($G14="","",IF(IFERROR(INDIRECT("'"&amp;$G14&amp;"'!$F$2"),0)&gt;0,SUM($AI$41:$AI$71),IFERROR(SUM(INDIRECT("'"&amp;$G14&amp;"'!$F$4:$F$10")),0)))</f>
        <v>24</v>
      </c>
      <c r="R14" s="189" t="n">
        <f aca="false">IF($G14="","",1-Q14/('General Information'!$D$33*365))</f>
        <v>0.997808219178082</v>
      </c>
      <c r="W14" s="190" t="n">
        <v>2.5</v>
      </c>
      <c r="X14" s="183" t="n">
        <f aca="true">IF($G$12="",0,IFERROR($J$12+SUMPRODUCT((INDIRECT("'"&amp;$G$12&amp;"'!$C$37:$C$52")&lt;='General Information'!$D$33)*INDIRECT("'"&amp;$G$12&amp;"'!$D$37:$D$52")/(1+$W14/100)^INDIRECT("'"&amp;$G$12&amp;"'!$C$37:$C$52")),0))</f>
        <v>6167504.60095674</v>
      </c>
      <c r="Y14" s="183" t="n">
        <f aca="true">IF($G$13="",0,IFERROR($J$13+SUMPRODUCT((INDIRECT("'"&amp;$G$13&amp;"'!$C$37:$C$52")&lt;='General Information'!$D$33)*INDIRECT("'"&amp;$G$13&amp;"'!$D$37:$D$52")/(1+$W14/100)^INDIRECT("'"&amp;$G$13&amp;"'!$C$37:$C$52")),0))</f>
        <v>6058804.56730555</v>
      </c>
      <c r="Z14" s="183" t="n">
        <f aca="true">IF($G$14="",0,IFERROR($J$14+SUMPRODUCT((INDIRECT("'"&amp;$G$14&amp;"'!$C$37:$C$52")&lt;='General Information'!$D$33)*INDIRECT("'"&amp;$G$14&amp;"'!$D$37:$D$52")/(1+$W14/100)^INDIRECT("'"&amp;$G$14&amp;"'!$C$37:$C$52")),0))</f>
        <v>5849670.66324607</v>
      </c>
      <c r="AA14" s="183" t="n">
        <f aca="true">IF($G$15="",0,IFERROR($J$15+SUMPRODUCT((INDIRECT("'"&amp;$G$15&amp;"'!$C$37:$C$52")&lt;='General Information'!$D$33)*INDIRECT("'"&amp;$G$15&amp;"'!$D$37:$D$52")/(1+$W14/100)^INDIRECT("'"&amp;$G$15&amp;"'!$C$37:$C$52")),0))</f>
        <v>0</v>
      </c>
      <c r="AB14" s="182" t="str">
        <f aca="false">IF(COUNTIF($X14:$AA14,"&lt;&gt;0")=0,"",INDEX($H$12:$H$15,MATCH(SMALL($X14:$AA14,COUNTIF($X14:$AA14,0)+1),$X14:$AA14,0)))</f>
        <v>Alternative 3</v>
      </c>
    </row>
    <row r="15" customFormat="false" ht="15" hidden="false" customHeight="false" outlineLevel="0" collapsed="false">
      <c r="G15" s="186" t="str">
        <f aca="false">IF(INDEX(Database!$D:$D,7)="","",INDEX(Database!$D:$D,7))</f>
        <v/>
      </c>
      <c r="H15" s="186" t="str">
        <f aca="false">IF($G15="","",INDEX(Database!$A:$A,7))</f>
        <v/>
      </c>
      <c r="I15" s="186" t="str">
        <f aca="false">IF($G15="","",INDEX(Database!$B:$B,7))</f>
        <v/>
      </c>
      <c r="J15" s="187" t="str">
        <f aca="true">IF($G15="","",IFERROR(INDEX(INDIRECT("'"&amp;$G15&amp;"'!$G$1:$G$70"),MATCH("Total",INDIRECT("'"&amp;$G15&amp;"'!$A$1:$A$70"),0)),0))</f>
        <v/>
      </c>
      <c r="K15" s="187" t="str">
        <f aca="true">IF($G15="","",IFERROR(SUMIFS(INDIRECT("'"&amp;$G15&amp;"'!$E$37:$E$52"),INDIRECT("'"&amp;$G15&amp;"'!$B$37:$B$52"),"Maintenance*",INDIRECT("'"&amp;$G15&amp;"'!$B$37:$B$52"),"&lt;&gt;*Indirect*"),0))</f>
        <v/>
      </c>
      <c r="L15" s="187" t="str">
        <f aca="true">IF($G15="","",IFERROR(SUMIFS(INDIRECT("'"&amp;$G15&amp;"'!$E$37:$E$52"),INDIRECT("'"&amp;$G15&amp;"'!$B$37:$B$52"),"Rehabilitation*",INDIRECT("'"&amp;$G15&amp;"'!$B$37:$B$52"),"&lt;&gt;*Indirect*"),0))</f>
        <v/>
      </c>
      <c r="M15" s="187" t="str">
        <f aca="true">IF($G15="","",IFERROR(SUMIFS(INDIRECT("'"&amp;$G15&amp;"'!$E$37:$E$52"),INDIRECT("'"&amp;$G15&amp;"'!$B$37:$B$52"),"*Indirect*"),0))</f>
        <v/>
      </c>
      <c r="N15" s="187" t="str">
        <f aca="true">IF($G15="","",IFERROR(SUMIFS(INDIRECT("'"&amp;$G15&amp;"'!$E$37:$E$52"),INDIRECT("'"&amp;$G15&amp;"'!$B$37:$B$52"),"Salvage*"),0))</f>
        <v/>
      </c>
      <c r="O15" s="187" t="str">
        <f aca="true">IF($G15="","",IFERROR(INDEX(INDIRECT("'"&amp;$G15&amp;"'!$E$1:$E$70"),MATCH("Net Present Worth",INDIRECT("'"&amp;$G15&amp;"'!$B$1:$B$70"),0)),0))</f>
        <v/>
      </c>
      <c r="P15" s="187" t="str">
        <f aca="false">IF($G15="","",O15-MIN($O$12:$O$15))</f>
        <v/>
      </c>
      <c r="Q15" s="186" t="str">
        <f aca="true">IF($G15="","",IF(IFERROR(INDIRECT("'"&amp;$G15&amp;"'!$F$2"),0)&gt;0,SUM($AJ$41:$AJ$71),IFERROR(SUM(INDIRECT("'"&amp;$G15&amp;"'!$F$4:$F$10")),0)))</f>
        <v/>
      </c>
      <c r="R15" s="189" t="str">
        <f aca="false">IF($G15="","",1-Q15/('General Information'!$D$33*365))</f>
        <v/>
      </c>
      <c r="W15" s="190" t="n">
        <v>2.75</v>
      </c>
      <c r="X15" s="183" t="n">
        <f aca="true">IF($G$12="",0,IFERROR($J$12+SUMPRODUCT((INDIRECT("'"&amp;$G$12&amp;"'!$C$37:$C$52")&lt;='General Information'!$D$33)*INDIRECT("'"&amp;$G$12&amp;"'!$D$37:$D$52")/(1+$W15/100)^INDIRECT("'"&amp;$G$12&amp;"'!$C$37:$C$52")),0))</f>
        <v>6100420.332693</v>
      </c>
      <c r="Y15" s="183" t="n">
        <f aca="true">IF($G$13="",0,IFERROR($J$13+SUMPRODUCT((INDIRECT("'"&amp;$G$13&amp;"'!$C$37:$C$52")&lt;='General Information'!$D$33)*INDIRECT("'"&amp;$G$13&amp;"'!$D$37:$D$52")/(1+$W15/100)^INDIRECT("'"&amp;$G$13&amp;"'!$C$37:$C$52")),0))</f>
        <v>6062479.76066407</v>
      </c>
      <c r="Z15" s="183" t="n">
        <f aca="true">IF($G$14="",0,IFERROR($J$14+SUMPRODUCT((INDIRECT("'"&amp;$G$14&amp;"'!$C$37:$C$52")&lt;='General Information'!$D$33)*INDIRECT("'"&amp;$G$14&amp;"'!$D$37:$D$52")/(1+$W15/100)^INDIRECT("'"&amp;$G$14&amp;"'!$C$37:$C$52")),0))</f>
        <v>5851351.51479246</v>
      </c>
      <c r="AA15" s="183" t="n">
        <f aca="true">IF($G$15="",0,IFERROR($J$15+SUMPRODUCT((INDIRECT("'"&amp;$G$15&amp;"'!$C$37:$C$52")&lt;='General Information'!$D$33)*INDIRECT("'"&amp;$G$15&amp;"'!$D$37:$D$52")/(1+$W15/100)^INDIRECT("'"&amp;$G$15&amp;"'!$C$37:$C$52")),0))</f>
        <v>0</v>
      </c>
      <c r="AB15" s="182" t="str">
        <f aca="false">IF(COUNTIF($X15:$AA15,"&lt;&gt;0")=0,"",INDEX($H$12:$H$15,MATCH(SMALL($X15:$AA15,COUNTIF($X15:$AA15,0)+1),$X15:$AA15,0)))</f>
        <v>Alternative 3</v>
      </c>
    </row>
    <row r="16" customFormat="false" ht="15" hidden="false" customHeight="false" outlineLevel="0" collapsed="false">
      <c r="W16" s="190" t="n">
        <v>3</v>
      </c>
      <c r="X16" s="183" t="n">
        <f aca="true">IF($G$12="",0,IFERROR($J$12+SUMPRODUCT((INDIRECT("'"&amp;$G$12&amp;"'!$C$37:$C$52")&lt;='General Information'!$D$33)*INDIRECT("'"&amp;$G$12&amp;"'!$D$37:$D$52")/(1+$W16/100)^INDIRECT("'"&amp;$G$12&amp;"'!$C$37:$C$52")),0))</f>
        <v>6036217.26873333</v>
      </c>
      <c r="Y16" s="183" t="n">
        <f aca="true">IF($G$13="",0,IFERROR($J$13+SUMPRODUCT((INDIRECT("'"&amp;$G$13&amp;"'!$C$37:$C$52")&lt;='General Information'!$D$33)*INDIRECT("'"&amp;$G$13&amp;"'!$D$37:$D$52")/(1+$W16/100)^INDIRECT("'"&amp;$G$13&amp;"'!$C$37:$C$52")),0))</f>
        <v>6065224.90655861</v>
      </c>
      <c r="Z16" s="183" t="n">
        <f aca="true">IF($G$14="",0,IFERROR($J$14+SUMPRODUCT((INDIRECT("'"&amp;$G$14&amp;"'!$C$37:$C$52")&lt;='General Information'!$D$33)*INDIRECT("'"&amp;$G$14&amp;"'!$D$37:$D$52")/(1+$W16/100)^INDIRECT("'"&amp;$G$14&amp;"'!$C$37:$C$52")),0))</f>
        <v>5852247.21297847</v>
      </c>
      <c r="AA16" s="183" t="n">
        <f aca="true">IF($G$15="",0,IFERROR($J$15+SUMPRODUCT((INDIRECT("'"&amp;$G$15&amp;"'!$C$37:$C$52")&lt;='General Information'!$D$33)*INDIRECT("'"&amp;$G$15&amp;"'!$D$37:$D$52")/(1+$W16/100)^INDIRECT("'"&amp;$G$15&amp;"'!$C$37:$C$52")),0))</f>
        <v>0</v>
      </c>
      <c r="AB16" s="182" t="str">
        <f aca="false">IF(COUNTIF($X16:$AA16,"&lt;&gt;0")=0,"",INDEX($H$12:$H$15,MATCH(SMALL($X16:$AA16,COUNTIF($X16:$AA16,0)+1),$X16:$AA16,0)))</f>
        <v>Alternative 3</v>
      </c>
    </row>
    <row r="17" customFormat="false" ht="15" hidden="false" customHeight="false" outlineLevel="0" collapsed="false">
      <c r="G17" s="191" t="str">
        <f aca="false">IF(COUNT($O$12:$O$15)=0,"No alternatives yet. Go to General Information and click Alternative Setup.","Lowest present worth: "&amp;INDEX($H$12:$H$15,MATCH(MIN($O$12:$O$15),$O$12:$O$15,0))&amp;IF(COUNT($O$12:$O$15)&lt;2,"   |   only one alternative so far",IF(SMALL($O$12:$O$15,2)=MIN($O$12:$O$15),"   |   tied with the next alternative","   |   margin to next: "&amp;TEXT(SMALL($O$12:$O$15,2)-MIN($O$12:$O$15),"$#,##0")))&amp;"   |   "&amp;'General Information'!$D$34&amp;"% over "&amp;'General Information'!$D$33&amp;" years   |   lost revenue: "&amp;'General Information'!$D$38)</f>
        <v>Lowest present worth: Alternative 3   |   margin to next: $183,970   |   3% over 30 years   |   lost revenue: Yes</v>
      </c>
      <c r="H17" s="192"/>
      <c r="I17" s="192"/>
      <c r="J17" s="192"/>
      <c r="K17" s="192"/>
      <c r="L17" s="192"/>
      <c r="M17" s="192"/>
      <c r="N17" s="192"/>
      <c r="O17" s="192"/>
      <c r="P17" s="192"/>
      <c r="Q17" s="192"/>
      <c r="R17" s="192"/>
      <c r="W17" s="190" t="n">
        <v>3.25</v>
      </c>
      <c r="X17" s="183" t="n">
        <f aca="true">IF($G$12="",0,IFERROR($J$12+SUMPRODUCT((INDIRECT("'"&amp;$G$12&amp;"'!$C$37:$C$52")&lt;='General Information'!$D$33)*INDIRECT("'"&amp;$G$12&amp;"'!$D$37:$D$52")/(1+$W17/100)^INDIRECT("'"&amp;$G$12&amp;"'!$C$37:$C$52")),0))</f>
        <v>5974760.6377353</v>
      </c>
      <c r="Y17" s="183" t="n">
        <f aca="true">IF($G$13="",0,IFERROR($J$13+SUMPRODUCT((INDIRECT("'"&amp;$G$13&amp;"'!$C$37:$C$52")&lt;='General Information'!$D$33)*INDIRECT("'"&amp;$G$13&amp;"'!$D$37:$D$52")/(1+$W17/100)^INDIRECT("'"&amp;$G$13&amp;"'!$C$37:$C$52")),0))</f>
        <v>6067144.32428507</v>
      </c>
      <c r="Z17" s="183" t="n">
        <f aca="true">IF($G$14="",0,IFERROR($J$14+SUMPRODUCT((INDIRECT("'"&amp;$G$14&amp;"'!$C$37:$C$52")&lt;='General Information'!$D$33)*INDIRECT("'"&amp;$G$14&amp;"'!$D$37:$D$52")/(1+$W17/100)^INDIRECT("'"&amp;$G$14&amp;"'!$C$37:$C$52")),0))</f>
        <v>5852451.23613988</v>
      </c>
      <c r="AA17" s="183" t="n">
        <f aca="true">IF($G$15="",0,IFERROR($J$15+SUMPRODUCT((INDIRECT("'"&amp;$G$15&amp;"'!$C$37:$C$52")&lt;='General Information'!$D$33)*INDIRECT("'"&amp;$G$15&amp;"'!$D$37:$D$52")/(1+$W17/100)^INDIRECT("'"&amp;$G$15&amp;"'!$C$37:$C$52")),0))</f>
        <v>0</v>
      </c>
      <c r="AB17" s="182" t="str">
        <f aca="false">IF(COUNTIF($X17:$AA17,"&lt;&gt;0")=0,"",INDEX($H$12:$H$15,MATCH(SMALL($X17:$AA17,COUNTIF($X17:$AA17,0)+1),$X17:$AA17,0)))</f>
        <v>Alternative 3</v>
      </c>
    </row>
    <row r="18" customFormat="false" ht="15" hidden="false" customHeight="false" outlineLevel="0" collapsed="false">
      <c r="G18" s="106" t="str">
        <f aca="false">IF(COUNT($O$12:$O$15)&lt;2,"",IF(INDEX($H$12:$H$15,MATCH(MIN($O$12:$O$15),$O$12:$O$15,0))=INDEX($H$12:$H$15,MATCH(SMALL($X$12:$AA$12,COUNTIF($X$12:$AA$12,0)+1),$X$12:$AA$12,0)),"Same lowest-cost alternative at 2% (OMB A-94 real rate, FAA PGL 22-01)","At 2% (OMB A-94 real rate, FAA PGL 22-01) the lowest-cost alternative changes")&amp;"   |   "&amp;IF(INDEX($H$12:$H$15,MATCH(MIN($O$12:$O$15),$O$12:$O$15,0))=INDEX($H$12:$H$15,MATCH(SMALL($X$32:$AA$32,COUNTIF($X$32:$AA$32,0)+1),$X$32:$AA$32,0)),"same at 7% (pre-2022 AIP rule)","changes at 7% (pre-2022 AIP rule): see chart 2"))</f>
        <v>Same lowest-cost alternative at 2% (OMB A-94 real rate, FAA PGL 22-01)   |   changes at 7% (pre-2022 AIP rule): see chart 2</v>
      </c>
      <c r="W18" s="190" t="n">
        <v>3.5</v>
      </c>
      <c r="X18" s="183" t="n">
        <f aca="true">IF($G$12="",0,IFERROR($J$12+SUMPRODUCT((INDIRECT("'"&amp;$G$12&amp;"'!$C$37:$C$52")&lt;='General Information'!$D$33)*INDIRECT("'"&amp;$G$12&amp;"'!$D$37:$D$52")/(1+$W18/100)^INDIRECT("'"&amp;$G$12&amp;"'!$C$37:$C$52")),0))</f>
        <v>5915922.21328862</v>
      </c>
      <c r="Y18" s="183" t="n">
        <f aca="true">IF($G$13="",0,IFERROR($J$13+SUMPRODUCT((INDIRECT("'"&amp;$G$13&amp;"'!$C$37:$C$52")&lt;='General Information'!$D$33)*INDIRECT("'"&amp;$G$13&amp;"'!$D$37:$D$52")/(1+$W18/100)^INDIRECT("'"&amp;$G$13&amp;"'!$C$37:$C$52")),0))</f>
        <v>6068332.36172395</v>
      </c>
      <c r="Z18" s="183" t="n">
        <f aca="true">IF($G$14="",0,IFERROR($J$14+SUMPRODUCT((INDIRECT("'"&amp;$G$14&amp;"'!$C$37:$C$52")&lt;='General Information'!$D$33)*INDIRECT("'"&amp;$G$14&amp;"'!$D$37:$D$52")/(1+$W18/100)^INDIRECT("'"&amp;$G$14&amp;"'!$C$37:$C$52")),0))</f>
        <v>5852047.92570181</v>
      </c>
      <c r="AA18" s="183" t="n">
        <f aca="true">IF($G$15="",0,IFERROR($J$15+SUMPRODUCT((INDIRECT("'"&amp;$G$15&amp;"'!$C$37:$C$52")&lt;='General Information'!$D$33)*INDIRECT("'"&amp;$G$15&amp;"'!$D$37:$D$52")/(1+$W18/100)^INDIRECT("'"&amp;$G$15&amp;"'!$C$37:$C$52")),0))</f>
        <v>0</v>
      </c>
      <c r="AB18" s="182" t="str">
        <f aca="false">IF(COUNTIF($X18:$AA18,"&lt;&gt;0")=0,"",INDEX($H$12:$H$15,MATCH(SMALL($X18:$AA18,COUNTIF($X18:$AA18,0)+1),$X18:$AA18,0)))</f>
        <v>Alternative 3</v>
      </c>
    </row>
    <row r="19" customFormat="false" ht="15" hidden="false" customHeight="false" outlineLevel="0" collapsed="false">
      <c r="W19" s="190" t="n">
        <v>3.75</v>
      </c>
      <c r="X19" s="183" t="n">
        <f aca="true">IF($G$12="",0,IFERROR($J$12+SUMPRODUCT((INDIRECT("'"&amp;$G$12&amp;"'!$C$37:$C$52")&lt;='General Information'!$D$33)*INDIRECT("'"&amp;$G$12&amp;"'!$D$37:$D$52")/(1+$W19/100)^INDIRECT("'"&amp;$G$12&amp;"'!$C$37:$C$52")),0))</f>
        <v>5859579.99690182</v>
      </c>
      <c r="Y19" s="183" t="n">
        <f aca="true">IF($G$13="",0,IFERROR($J$13+SUMPRODUCT((INDIRECT("'"&amp;$G$13&amp;"'!$C$37:$C$52")&lt;='General Information'!$D$33)*INDIRECT("'"&amp;$G$13&amp;"'!$D$37:$D$52")/(1+$W19/100)^INDIRECT("'"&amp;$G$13&amp;"'!$C$37:$C$52")),0))</f>
        <v>6068874.29971924</v>
      </c>
      <c r="Z19" s="183" t="n">
        <f aca="true">IF($G$14="",0,IFERROR($J$14+SUMPRODUCT((INDIRECT("'"&amp;$G$14&amp;"'!$C$37:$C$52")&lt;='General Information'!$D$33)*INDIRECT("'"&amp;$G$14&amp;"'!$D$37:$D$52")/(1+$W19/100)^INDIRECT("'"&amp;$G$14&amp;"'!$C$37:$C$52")),0))</f>
        <v>5851113.32452814</v>
      </c>
      <c r="AA19" s="183" t="n">
        <f aca="true">IF($G$15="",0,IFERROR($J$15+SUMPRODUCT((INDIRECT("'"&amp;$G$15&amp;"'!$C$37:$C$52")&lt;='General Information'!$D$33)*INDIRECT("'"&amp;$G$15&amp;"'!$D$37:$D$52")/(1+$W19/100)^INDIRECT("'"&amp;$G$15&amp;"'!$C$37:$C$52")),0))</f>
        <v>0</v>
      </c>
      <c r="AB19" s="182" t="str">
        <f aca="false">IF(COUNTIF($X19:$AA19,"&lt;&gt;0")=0,"",INDEX($H$12:$H$15,MATCH(SMALL($X19:$AA19,COUNTIF($X19:$AA19,0)+1),$X19:$AA19,0)))</f>
        <v>Alternative 3</v>
      </c>
    </row>
    <row r="20" customFormat="false" ht="15" hidden="false" customHeight="false" outlineLevel="0" collapsed="false">
      <c r="G20" s="193" t="s">
        <v>781</v>
      </c>
      <c r="W20" s="190" t="n">
        <v>4</v>
      </c>
      <c r="X20" s="183" t="n">
        <f aca="true">IF($G$12="",0,IFERROR($J$12+SUMPRODUCT((INDIRECT("'"&amp;$G$12&amp;"'!$C$37:$C$52")&lt;='General Information'!$D$33)*INDIRECT("'"&amp;$G$12&amp;"'!$D$37:$D$52")/(1+$W20/100)^INDIRECT("'"&amp;$G$12&amp;"'!$C$37:$C$52")),0))</f>
        <v>5805617.9153728</v>
      </c>
      <c r="Y20" s="183" t="n">
        <f aca="true">IF($G$13="",0,IFERROR($J$13+SUMPRODUCT((INDIRECT("'"&amp;$G$13&amp;"'!$C$37:$C$52")&lt;='General Information'!$D$33)*INDIRECT("'"&amp;$G$13&amp;"'!$D$37:$D$52")/(1+$W20/100)^INDIRECT("'"&amp;$G$13&amp;"'!$C$37:$C$52")),0))</f>
        <v>6068847.17569675</v>
      </c>
      <c r="Z20" s="183" t="n">
        <f aca="true">IF($G$14="",0,IFERROR($J$14+SUMPRODUCT((INDIRECT("'"&amp;$G$14&amp;"'!$C$37:$C$52")&lt;='General Information'!$D$33)*INDIRECT("'"&amp;$G$14&amp;"'!$D$37:$D$52")/(1+$W20/100)^INDIRECT("'"&amp;$G$14&amp;"'!$C$37:$C$52")),0))</f>
        <v>5849715.93987617</v>
      </c>
      <c r="AA20" s="183" t="n">
        <f aca="true">IF($G$15="",0,IFERROR($J$15+SUMPRODUCT((INDIRECT("'"&amp;$G$15&amp;"'!$C$37:$C$52")&lt;='General Information'!$D$33)*INDIRECT("'"&amp;$G$15&amp;"'!$D$37:$D$52")/(1+$W20/100)^INDIRECT("'"&amp;$G$15&amp;"'!$C$37:$C$52")),0))</f>
        <v>0</v>
      </c>
      <c r="AB20" s="182" t="str">
        <f aca="false">IF(COUNTIF($X20:$AA20,"&lt;&gt;0")=0,"",INDEX($H$12:$H$15,MATCH(SMALL($X20:$AA20,COUNTIF($X20:$AA20,0)+1),$X20:$AA20,0)))</f>
        <v>Alternative 1</v>
      </c>
    </row>
    <row r="21" customFormat="false" ht="27" hidden="false" customHeight="true" outlineLevel="0" collapsed="false">
      <c r="G21" s="178" t="s">
        <v>747</v>
      </c>
      <c r="H21" s="178" t="s">
        <v>782</v>
      </c>
      <c r="I21" s="178" t="s">
        <v>783</v>
      </c>
      <c r="J21" s="178" t="s">
        <v>784</v>
      </c>
      <c r="K21" s="178" t="s">
        <v>785</v>
      </c>
      <c r="L21" s="178" t="s">
        <v>786</v>
      </c>
      <c r="M21" s="178" t="s">
        <v>787</v>
      </c>
      <c r="N21" s="178" t="s">
        <v>788</v>
      </c>
      <c r="O21" s="178" t="s">
        <v>789</v>
      </c>
      <c r="P21" s="178" t="s">
        <v>790</v>
      </c>
      <c r="W21" s="190" t="n">
        <v>4.25</v>
      </c>
      <c r="X21" s="183" t="n">
        <f aca="true">IF($G$12="",0,IFERROR($J$12+SUMPRODUCT((INDIRECT("'"&amp;$G$12&amp;"'!$C$37:$C$52")&lt;='General Information'!$D$33)*INDIRECT("'"&amp;$G$12&amp;"'!$D$37:$D$52")/(1+$W21/100)^INDIRECT("'"&amp;$G$12&amp;"'!$C$37:$C$52")),0))</f>
        <v>5753925.53203103</v>
      </c>
      <c r="Y21" s="183" t="n">
        <f aca="true">IF($G$13="",0,IFERROR($J$13+SUMPRODUCT((INDIRECT("'"&amp;$G$13&amp;"'!$C$37:$C$52")&lt;='General Information'!$D$33)*INDIRECT("'"&amp;$G$13&amp;"'!$D$37:$D$52")/(1+$W21/100)^INDIRECT("'"&amp;$G$13&amp;"'!$C$37:$C$52")),0))</f>
        <v>6068320.53373981</v>
      </c>
      <c r="Z21" s="183" t="n">
        <f aca="true">IF($G$14="",0,IFERROR($J$14+SUMPRODUCT((INDIRECT("'"&amp;$G$14&amp;"'!$C$37:$C$52")&lt;='General Information'!$D$33)*INDIRECT("'"&amp;$G$14&amp;"'!$D$37:$D$52")/(1+$W21/100)^INDIRECT("'"&amp;$G$14&amp;"'!$C$37:$C$52")),0))</f>
        <v>5847917.43772664</v>
      </c>
      <c r="AA21" s="183" t="n">
        <f aca="true">IF($G$15="",0,IFERROR($J$15+SUMPRODUCT((INDIRECT("'"&amp;$G$15&amp;"'!$C$37:$C$52")&lt;='General Information'!$D$33)*INDIRECT("'"&amp;$G$15&amp;"'!$D$37:$D$52")/(1+$W21/100)^INDIRECT("'"&amp;$G$15&amp;"'!$C$37:$C$52")),0))</f>
        <v>0</v>
      </c>
      <c r="AB21" s="182" t="str">
        <f aca="false">IF(COUNTIF($X21:$AA21,"&lt;&gt;0")=0,"",INDEX($H$12:$H$15,MATCH(SMALL($X21:$AA21,COUNTIF($X21:$AA21,0)+1),$X21:$AA21,0)))</f>
        <v>Alternative 1</v>
      </c>
    </row>
    <row r="22" customFormat="false" ht="15" hidden="false" customHeight="false" outlineLevel="0" collapsed="false">
      <c r="G22" s="186" t="str">
        <f aca="false">IF($G$12="","",$H$12)</f>
        <v>Alternative 1</v>
      </c>
      <c r="H22" s="187" t="n">
        <f aca="false">IF($G$12="","",$J$12+$K$12+$L$12+$N$12)</f>
        <v>5846519.42339735</v>
      </c>
      <c r="I22" s="187" t="n">
        <f aca="false">IF($G$12="","",H22*(('General Information'!$D$34/100)*(1+'General Information'!$D$34/100)^'General Information'!$D$33/((1+'General Information'!$D$34/100)^'General Information'!$D$33-1)))</f>
        <v>298285.090583203</v>
      </c>
      <c r="J22" s="187" t="n">
        <f aca="false">IF($G$12="","",$M$12)</f>
        <v>189697.845335986</v>
      </c>
      <c r="K22" s="187" t="n">
        <f aca="false">IF($G$12="","",J22*(('General Information'!$D$34/100)*(1+'General Information'!$D$34/100)^'General Information'!$D$33/((1+'General Information'!$D$34/100)^'General Information'!$D$33-1)))</f>
        <v>9678.24356368981</v>
      </c>
      <c r="L22" s="187" t="n">
        <f aca="false">IF($G$12="","",$O$12)</f>
        <v>6036217.26873333</v>
      </c>
      <c r="M22" s="187" t="n">
        <f aca="false">IF($G$12="","",L22*(('General Information'!$D$34/100)*(1+'General Information'!$D$34/100)^'General Information'!$D$33/((1+'General Information'!$D$34/100)^'General Information'!$D$33-1)))</f>
        <v>307963.334146893</v>
      </c>
      <c r="N22" s="187" t="n">
        <f aca="false">IF($G$12="","",$P$12)</f>
        <v>183970.055754866</v>
      </c>
      <c r="O22" s="194" t="n">
        <f aca="false">IF($G$12="","",IFERROR($P$12/MIN($O$12:$O$15),0))</f>
        <v>0.0314357970638831</v>
      </c>
      <c r="P22" s="186" t="str">
        <f aca="false">IF($G$12="","",IF($O$12=MIN($O$12:$O$15),"lowest",""))</f>
        <v/>
      </c>
      <c r="W22" s="190" t="n">
        <v>4.5</v>
      </c>
      <c r="X22" s="183" t="n">
        <f aca="true">IF($G$12="",0,IFERROR($J$12+SUMPRODUCT((INDIRECT("'"&amp;$G$12&amp;"'!$C$37:$C$52")&lt;='General Information'!$D$33)*INDIRECT("'"&amp;$G$12&amp;"'!$D$37:$D$52")/(1+$W22/100)^INDIRECT("'"&amp;$G$12&amp;"'!$C$37:$C$52")),0))</f>
        <v>5704397.77133911</v>
      </c>
      <c r="Y22" s="183" t="n">
        <f aca="true">IF($G$13="",0,IFERROR($J$13+SUMPRODUCT((INDIRECT("'"&amp;$G$13&amp;"'!$C$37:$C$52")&lt;='General Information'!$D$33)*INDIRECT("'"&amp;$G$13&amp;"'!$D$37:$D$52")/(1+$W22/100)^INDIRECT("'"&amp;$G$13&amp;"'!$C$37:$C$52")),0))</f>
        <v>6067357.10768891</v>
      </c>
      <c r="Z22" s="183" t="n">
        <f aca="true">IF($G$14="",0,IFERROR($J$14+SUMPRODUCT((INDIRECT("'"&amp;$G$14&amp;"'!$C$37:$C$52")&lt;='General Information'!$D$33)*INDIRECT("'"&amp;$G$14&amp;"'!$D$37:$D$52")/(1+$W22/100)^INDIRECT("'"&amp;$G$14&amp;"'!$C$37:$C$52")),0))</f>
        <v>5845773.27464687</v>
      </c>
      <c r="AA22" s="183" t="n">
        <f aca="true">IF($G$15="",0,IFERROR($J$15+SUMPRODUCT((INDIRECT("'"&amp;$G$15&amp;"'!$C$37:$C$52")&lt;='General Information'!$D$33)*INDIRECT("'"&amp;$G$15&amp;"'!$D$37:$D$52")/(1+$W22/100)^INDIRECT("'"&amp;$G$15&amp;"'!$C$37:$C$52")),0))</f>
        <v>0</v>
      </c>
      <c r="AB22" s="182" t="str">
        <f aca="false">IF(COUNTIF($X22:$AA22,"&lt;&gt;0")=0,"",INDEX($H$12:$H$15,MATCH(SMALL($X22:$AA22,COUNTIF($X22:$AA22,0)+1),$X22:$AA22,0)))</f>
        <v>Alternative 1</v>
      </c>
    </row>
    <row r="23" customFormat="false" ht="15" hidden="false" customHeight="false" outlineLevel="0" collapsed="false">
      <c r="G23" s="186" t="str">
        <f aca="false">IF($G$13="","",$H$13)</f>
        <v>Alternative 2</v>
      </c>
      <c r="H23" s="187" t="n">
        <f aca="false">IF($G$13="","",$J$13+$K$13+$L$13+$N$13)</f>
        <v>6001207.83784159</v>
      </c>
      <c r="I23" s="187" t="n">
        <f aca="false">IF($G$13="","",H23*(('General Information'!$D$34/100)*(1+'General Information'!$D$34/100)^'General Information'!$D$33/((1+'General Information'!$D$34/100)^'General Information'!$D$33-1)))</f>
        <v>306177.178913572</v>
      </c>
      <c r="J23" s="187" t="n">
        <f aca="false">IF($G$13="","",$M$13)</f>
        <v>64017.0687170223</v>
      </c>
      <c r="K23" s="187" t="n">
        <f aca="false">IF($G$13="","",J23*(('General Information'!$D$34/100)*(1+'General Information'!$D$34/100)^'General Information'!$D$33/((1+'General Information'!$D$34/100)^'General Information'!$D$33-1)))</f>
        <v>3266.10342979619</v>
      </c>
      <c r="L23" s="187" t="n">
        <f aca="false">IF($G$13="","",$O$13)</f>
        <v>6065224.90655861</v>
      </c>
      <c r="M23" s="187" t="n">
        <f aca="false">IF($G$13="","",L23*(('General Information'!$D$34/100)*(1+'General Information'!$D$34/100)^'General Information'!$D$33/((1+'General Information'!$D$34/100)^'General Information'!$D$33-1)))</f>
        <v>309443.282343368</v>
      </c>
      <c r="N23" s="187" t="n">
        <f aca="false">IF($G$13="","",$P$13)</f>
        <v>212977.693580144</v>
      </c>
      <c r="O23" s="194" t="n">
        <f aca="false">IF($G$13="","",IFERROR($P$13/MIN($O$12:$O$15),0))</f>
        <v>0.0363924635835318</v>
      </c>
      <c r="P23" s="186" t="str">
        <f aca="false">IF($G$13="","",IF($O$13=MIN($O$12:$O$15),"lowest",""))</f>
        <v/>
      </c>
      <c r="W23" s="190" t="n">
        <v>4.75</v>
      </c>
      <c r="X23" s="183" t="n">
        <f aca="true">IF($G$12="",0,IFERROR($J$12+SUMPRODUCT((INDIRECT("'"&amp;$G$12&amp;"'!$C$37:$C$52")&lt;='General Information'!$D$33)*INDIRECT("'"&amp;$G$12&amp;"'!$D$37:$D$52")/(1+$W23/100)^INDIRECT("'"&amp;$G$12&amp;"'!$C$37:$C$52")),0))</f>
        <v>5656934.65634402</v>
      </c>
      <c r="Y23" s="183" t="n">
        <f aca="true">IF($G$13="",0,IFERROR($J$13+SUMPRODUCT((INDIRECT("'"&amp;$G$13&amp;"'!$C$37:$C$52")&lt;='General Information'!$D$33)*INDIRECT("'"&amp;$G$13&amp;"'!$D$37:$D$52")/(1+$W23/100)^INDIRECT("'"&amp;$G$13&amp;"'!$C$37:$C$52")),0))</f>
        <v>6066013.44324092</v>
      </c>
      <c r="Z23" s="183" t="n">
        <f aca="true">IF($G$14="",0,IFERROR($J$14+SUMPRODUCT((INDIRECT("'"&amp;$G$14&amp;"'!$C$37:$C$52")&lt;='General Information'!$D$33)*INDIRECT("'"&amp;$G$14&amp;"'!$D$37:$D$52")/(1+$W23/100)^INDIRECT("'"&amp;$G$14&amp;"'!$C$37:$C$52")),0))</f>
        <v>5843333.27278818</v>
      </c>
      <c r="AA23" s="183" t="n">
        <f aca="true">IF($G$15="",0,IFERROR($J$15+SUMPRODUCT((INDIRECT("'"&amp;$G$15&amp;"'!$C$37:$C$52")&lt;='General Information'!$D$33)*INDIRECT("'"&amp;$G$15&amp;"'!$D$37:$D$52")/(1+$W23/100)^INDIRECT("'"&amp;$G$15&amp;"'!$C$37:$C$52")),0))</f>
        <v>0</v>
      </c>
      <c r="AB23" s="182" t="str">
        <f aca="false">IF(COUNTIF($X23:$AA23,"&lt;&gt;0")=0,"",INDEX($H$12:$H$15,MATCH(SMALL($X23:$AA23,COUNTIF($X23:$AA23,0)+1),$X23:$AA23,0)))</f>
        <v>Alternative 1</v>
      </c>
    </row>
    <row r="24" customFormat="false" ht="15" hidden="false" customHeight="false" outlineLevel="0" collapsed="false">
      <c r="G24" s="186" t="str">
        <f aca="false">IF($G$14="","",$H$14)</f>
        <v>Alternative 3</v>
      </c>
      <c r="H24" s="187" t="n">
        <f aca="false">IF($G$14="","",$J$14+$K$14+$L$14+$N$14)</f>
        <v>5788230.14426145</v>
      </c>
      <c r="I24" s="187" t="n">
        <f aca="false">IF($G$14="","",H24*(('General Information'!$D$34/100)*(1+'General Information'!$D$34/100)^'General Information'!$D$33/((1+'General Information'!$D$34/100)^'General Information'!$D$33-1)))</f>
        <v>295311.214735378</v>
      </c>
      <c r="J24" s="187" t="n">
        <f aca="false">IF($G$14="","",$M$14)</f>
        <v>64017.0687170223</v>
      </c>
      <c r="K24" s="187" t="n">
        <f aca="false">IF($G$14="","",J24*(('General Information'!$D$34/100)*(1+'General Information'!$D$34/100)^'General Information'!$D$33/((1+'General Information'!$D$34/100)^'General Information'!$D$33-1)))</f>
        <v>3266.10342979619</v>
      </c>
      <c r="L24" s="187" t="n">
        <f aca="false">IF($G$14="","",$O$14)</f>
        <v>5852247.21297847</v>
      </c>
      <c r="M24" s="187" t="n">
        <f aca="false">IF($G$14="","",L24*(('General Information'!$D$34/100)*(1+'General Information'!$D$34/100)^'General Information'!$D$33/((1+'General Information'!$D$34/100)^'General Information'!$D$33-1)))</f>
        <v>298577.318165174</v>
      </c>
      <c r="N24" s="187" t="n">
        <f aca="false">IF($G$14="","",$P$14)</f>
        <v>0</v>
      </c>
      <c r="O24" s="194" t="n">
        <f aca="false">IF($G$14="","",IFERROR($P$14/MIN($O$12:$O$15),0))</f>
        <v>0</v>
      </c>
      <c r="P24" s="186" t="str">
        <f aca="false">IF($G$14="","",IF($O$14=MIN($O$12:$O$15),"lowest",""))</f>
        <v>lowest</v>
      </c>
      <c r="W24" s="190" t="n">
        <v>5</v>
      </c>
      <c r="X24" s="183" t="n">
        <f aca="true">IF($G$12="",0,IFERROR($J$12+SUMPRODUCT((INDIRECT("'"&amp;$G$12&amp;"'!$C$37:$C$52")&lt;='General Information'!$D$33)*INDIRECT("'"&amp;$G$12&amp;"'!$D$37:$D$52")/(1+$W24/100)^INDIRECT("'"&amp;$G$12&amp;"'!$C$37:$C$52")),0))</f>
        <v>5611441.05847404</v>
      </c>
      <c r="Y24" s="183" t="n">
        <f aca="true">IF($G$13="",0,IFERROR($J$13+SUMPRODUCT((INDIRECT("'"&amp;$G$13&amp;"'!$C$37:$C$52")&lt;='General Information'!$D$33)*INDIRECT("'"&amp;$G$13&amp;"'!$D$37:$D$52")/(1+$W24/100)^INDIRECT("'"&amp;$G$13&amp;"'!$C$37:$C$52")),0))</f>
        <v>6064340.46448573</v>
      </c>
      <c r="Z24" s="183" t="n">
        <f aca="true">IF($G$14="",0,IFERROR($J$14+SUMPRODUCT((INDIRECT("'"&amp;$G$14&amp;"'!$C$37:$C$52")&lt;='General Information'!$D$33)*INDIRECT("'"&amp;$G$14&amp;"'!$D$37:$D$52")/(1+$W24/100)^INDIRECT("'"&amp;$G$14&amp;"'!$C$37:$C$52")),0))</f>
        <v>5840642.14311301</v>
      </c>
      <c r="AA24" s="183" t="n">
        <f aca="true">IF($G$15="",0,IFERROR($J$15+SUMPRODUCT((INDIRECT("'"&amp;$G$15&amp;"'!$C$37:$C$52")&lt;='General Information'!$D$33)*INDIRECT("'"&amp;$G$15&amp;"'!$D$37:$D$52")/(1+$W24/100)^INDIRECT("'"&amp;$G$15&amp;"'!$C$37:$C$52")),0))</f>
        <v>0</v>
      </c>
      <c r="AB24" s="182" t="str">
        <f aca="false">IF(COUNTIF($X24:$AA24,"&lt;&gt;0")=0,"",INDEX($H$12:$H$15,MATCH(SMALL($X24:$AA24,COUNTIF($X24:$AA24,0)+1),$X24:$AA24,0)))</f>
        <v>Alternative 1</v>
      </c>
    </row>
    <row r="25" customFormat="false" ht="15" hidden="false" customHeight="false" outlineLevel="0" collapsed="false">
      <c r="G25" s="186" t="str">
        <f aca="false">IF($G$15="","",$H$15)</f>
        <v/>
      </c>
      <c r="H25" s="187" t="str">
        <f aca="false">IF($G$15="","",$J$15+$K$15+$L$15+$N$15)</f>
        <v/>
      </c>
      <c r="I25" s="187" t="str">
        <f aca="false">IF($G$15="","",H25*(('General Information'!$D$34/100)*(1+'General Information'!$D$34/100)^'General Information'!$D$33/((1+'General Information'!$D$34/100)^'General Information'!$D$33-1)))</f>
        <v/>
      </c>
      <c r="J25" s="187" t="str">
        <f aca="false">IF($G$15="","",$M$15)</f>
        <v/>
      </c>
      <c r="K25" s="187" t="str">
        <f aca="false">IF($G$15="","",J25*(('General Information'!$D$34/100)*(1+'General Information'!$D$34/100)^'General Information'!$D$33/((1+'General Information'!$D$34/100)^'General Information'!$D$33-1)))</f>
        <v/>
      </c>
      <c r="L25" s="187" t="str">
        <f aca="false">IF($G$15="","",$O$15)</f>
        <v/>
      </c>
      <c r="M25" s="187" t="str">
        <f aca="false">IF($G$15="","",L25*(('General Information'!$D$34/100)*(1+'General Information'!$D$34/100)^'General Information'!$D$33/((1+'General Information'!$D$34/100)^'General Information'!$D$33-1)))</f>
        <v/>
      </c>
      <c r="N25" s="187" t="str">
        <f aca="false">IF($G$15="","",$P$15)</f>
        <v/>
      </c>
      <c r="O25" s="194" t="str">
        <f aca="false">IF($G$15="","",IFERROR($P$15/MIN($O$12:$O$15),0))</f>
        <v/>
      </c>
      <c r="P25" s="186" t="str">
        <f aca="false">IF($G$15="","",IF($O$15=MIN($O$12:$O$15),"lowest",""))</f>
        <v/>
      </c>
      <c r="W25" s="190" t="n">
        <v>5.25</v>
      </c>
      <c r="X25" s="183" t="n">
        <f aca="true">IF($G$12="",0,IFERROR($J$12+SUMPRODUCT((INDIRECT("'"&amp;$G$12&amp;"'!$C$37:$C$52")&lt;='General Information'!$D$33)*INDIRECT("'"&amp;$G$12&amp;"'!$D$37:$D$52")/(1+$W25/100)^INDIRECT("'"&amp;$G$12&amp;"'!$C$37:$C$52")),0))</f>
        <v>5567826.45918433</v>
      </c>
      <c r="Y25" s="183" t="n">
        <f aca="true">IF($G$13="",0,IFERROR($J$13+SUMPRODUCT((INDIRECT("'"&amp;$G$13&amp;"'!$C$37:$C$52")&lt;='General Information'!$D$33)*INDIRECT("'"&amp;$G$13&amp;"'!$D$37:$D$52")/(1+$W25/100)^INDIRECT("'"&amp;$G$13&amp;"'!$C$37:$C$52")),0))</f>
        <v>6062383.98982985</v>
      </c>
      <c r="Z25" s="183" t="n">
        <f aca="true">IF($G$14="",0,IFERROR($J$14+SUMPRODUCT((INDIRECT("'"&amp;$G$14&amp;"'!$C$37:$C$52")&lt;='General Information'!$D$33)*INDIRECT("'"&amp;$G$14&amp;"'!$D$37:$D$52")/(1+$W25/100)^INDIRECT("'"&amp;$G$14&amp;"'!$C$37:$C$52")),0))</f>
        <v>5837739.96148807</v>
      </c>
      <c r="AA25" s="183" t="n">
        <f aca="true">IF($G$15="",0,IFERROR($J$15+SUMPRODUCT((INDIRECT("'"&amp;$G$15&amp;"'!$C$37:$C$52")&lt;='General Information'!$D$33)*INDIRECT("'"&amp;$G$15&amp;"'!$D$37:$D$52")/(1+$W25/100)^INDIRECT("'"&amp;$G$15&amp;"'!$C$37:$C$52")),0))</f>
        <v>0</v>
      </c>
      <c r="AB25" s="182" t="str">
        <f aca="false">IF(COUNTIF($X25:$AA25,"&lt;&gt;0")=0,"",INDEX($H$12:$H$15,MATCH(SMALL($X25:$AA25,COUNTIF($X25:$AA25,0)+1),$X25:$AA25,0)))</f>
        <v>Alternative 1</v>
      </c>
    </row>
    <row r="26" customFormat="false" ht="15" hidden="false" customHeight="false" outlineLevel="0" collapsed="false">
      <c r="G26" s="106" t="s">
        <v>791</v>
      </c>
      <c r="W26" s="190" t="n">
        <v>5.5</v>
      </c>
      <c r="X26" s="183" t="n">
        <f aca="true">IF($G$12="",0,IFERROR($J$12+SUMPRODUCT((INDIRECT("'"&amp;$G$12&amp;"'!$C$37:$C$52")&lt;='General Information'!$D$33)*INDIRECT("'"&amp;$G$12&amp;"'!$D$37:$D$52")/(1+$W26/100)^INDIRECT("'"&amp;$G$12&amp;"'!$C$37:$C$52")),0))</f>
        <v>5526004.72296373</v>
      </c>
      <c r="Y26" s="183" t="n">
        <f aca="true">IF($G$13="",0,IFERROR($J$13+SUMPRODUCT((INDIRECT("'"&amp;$G$13&amp;"'!$C$37:$C$52")&lt;='General Information'!$D$33)*INDIRECT("'"&amp;$G$13&amp;"'!$D$37:$D$52")/(1+$W26/100)^INDIRECT("'"&amp;$G$13&amp;"'!$C$37:$C$52")),0))</f>
        <v>6060185.20181233</v>
      </c>
      <c r="Z26" s="183" t="n">
        <f aca="true">IF($G$14="",0,IFERROR($J$14+SUMPRODUCT((INDIRECT("'"&amp;$G$14&amp;"'!$C$37:$C$52")&lt;='General Information'!$D$33)*INDIRECT("'"&amp;$G$14&amp;"'!$D$37:$D$52")/(1+$W26/100)^INDIRECT("'"&amp;$G$14&amp;"'!$C$37:$C$52")),0))</f>
        <v>5834662.60186207</v>
      </c>
      <c r="AA26" s="183" t="n">
        <f aca="true">IF($G$15="",0,IFERROR($J$15+SUMPRODUCT((INDIRECT("'"&amp;$G$15&amp;"'!$C$37:$C$52")&lt;='General Information'!$D$33)*INDIRECT("'"&amp;$G$15&amp;"'!$D$37:$D$52")/(1+$W26/100)^INDIRECT("'"&amp;$G$15&amp;"'!$C$37:$C$52")),0))</f>
        <v>0</v>
      </c>
      <c r="AB26" s="182" t="str">
        <f aca="false">IF(COUNTIF($X26:$AA26,"&lt;&gt;0")=0,"",INDEX($H$12:$H$15,MATCH(SMALL($X26:$AA26,COUNTIF($X26:$AA26,0)+1),$X26:$AA26,0)))</f>
        <v>Alternative 1</v>
      </c>
    </row>
    <row r="27" customFormat="false" ht="15" hidden="false" customHeight="false" outlineLevel="0" collapsed="false">
      <c r="W27" s="190" t="n">
        <v>5.75</v>
      </c>
      <c r="X27" s="183" t="n">
        <f aca="true">IF($G$12="",0,IFERROR($J$12+SUMPRODUCT((INDIRECT("'"&amp;$G$12&amp;"'!$C$37:$C$52")&lt;='General Information'!$D$33)*INDIRECT("'"&amp;$G$12&amp;"'!$D$37:$D$52")/(1+$W27/100)^INDIRECT("'"&amp;$G$12&amp;"'!$C$37:$C$52")),0))</f>
        <v>5485893.88122542</v>
      </c>
      <c r="Y27" s="183" t="n">
        <f aca="true">IF($G$13="",0,IFERROR($J$13+SUMPRODUCT((INDIRECT("'"&amp;$G$13&amp;"'!$C$37:$C$52")&lt;='General Information'!$D$33)*INDIRECT("'"&amp;$G$13&amp;"'!$D$37:$D$52")/(1+$W27/100)^INDIRECT("'"&amp;$G$13&amp;"'!$C$37:$C$52")),0))</f>
        <v>6057781.0749149</v>
      </c>
      <c r="Z27" s="183" t="n">
        <f aca="true">IF($G$14="",0,IFERROR($J$14+SUMPRODUCT((INDIRECT("'"&amp;$G$14&amp;"'!$C$37:$C$52")&lt;='General Information'!$D$33)*INDIRECT("'"&amp;$G$14&amp;"'!$D$37:$D$52")/(1+$W27/100)^INDIRECT("'"&amp;$G$14&amp;"'!$C$37:$C$52")),0))</f>
        <v>5831442.13036722</v>
      </c>
      <c r="AA27" s="183" t="n">
        <f aca="true">IF($G$15="",0,IFERROR($J$15+SUMPRODUCT((INDIRECT("'"&amp;$G$15&amp;"'!$C$37:$C$52")&lt;='General Information'!$D$33)*INDIRECT("'"&amp;$G$15&amp;"'!$D$37:$D$52")/(1+$W27/100)^INDIRECT("'"&amp;$G$15&amp;"'!$C$37:$C$52")),0))</f>
        <v>0</v>
      </c>
      <c r="AB27" s="182" t="str">
        <f aca="false">IF(COUNTIF($X27:$AA27,"&lt;&gt;0")=0,"",INDEX($H$12:$H$15,MATCH(SMALL($X27:$AA27,COUNTIF($X27:$AA27,0)+1),$X27:$AA27,0)))</f>
        <v>Alternative 1</v>
      </c>
    </row>
    <row r="28" customFormat="false" ht="43.5" hidden="false" customHeight="true" outlineLevel="0" collapsed="false">
      <c r="G28" s="193" t="s">
        <v>792</v>
      </c>
      <c r="W28" s="190" t="n">
        <v>6</v>
      </c>
      <c r="X28" s="183" t="n">
        <f aca="true">IF($G$12="",0,IFERROR($J$12+SUMPRODUCT((INDIRECT("'"&amp;$G$12&amp;"'!$C$37:$C$52")&lt;='General Information'!$D$33)*INDIRECT("'"&amp;$G$12&amp;"'!$D$37:$D$52")/(1+$W28/100)^INDIRECT("'"&amp;$G$12&amp;"'!$C$37:$C$52")),0))</f>
        <v>5447415.92661612</v>
      </c>
      <c r="Y28" s="183" t="n">
        <f aca="true">IF($G$13="",0,IFERROR($J$13+SUMPRODUCT((INDIRECT("'"&amp;$G$13&amp;"'!$C$37:$C$52")&lt;='General Information'!$D$33)*INDIRECT("'"&amp;$G$13&amp;"'!$D$37:$D$52")/(1+$W28/100)^INDIRECT("'"&amp;$G$13&amp;"'!$C$37:$C$52")),0))</f>
        <v>6055204.76510075</v>
      </c>
      <c r="Z28" s="183" t="n">
        <f aca="true">IF($G$14="",0,IFERROR($J$14+SUMPRODUCT((INDIRECT("'"&amp;$G$14&amp;"'!$C$37:$C$52")&lt;='General Information'!$D$33)*INDIRECT("'"&amp;$G$14&amp;"'!$D$37:$D$52")/(1+$W28/100)^INDIRECT("'"&amp;$G$14&amp;"'!$C$37:$C$52")),0))</f>
        <v>5828107.16383873</v>
      </c>
      <c r="AA28" s="183" t="n">
        <f aca="true">IF($G$15="",0,IFERROR($J$15+SUMPRODUCT((INDIRECT("'"&amp;$G$15&amp;"'!$C$37:$C$52")&lt;='General Information'!$D$33)*INDIRECT("'"&amp;$G$15&amp;"'!$D$37:$D$52")/(1+$W28/100)^INDIRECT("'"&amp;$G$15&amp;"'!$C$37:$C$52")),0))</f>
        <v>0</v>
      </c>
      <c r="AB28" s="182" t="str">
        <f aca="false">IF(COUNTIF($X28:$AA28,"&lt;&gt;0")=0,"",INDEX($H$12:$H$15,MATCH(SMALL($X28:$AA28,COUNTIF($X28:$AA28,0)+1),$X28:$AA28,0)))</f>
        <v>Alternative 1</v>
      </c>
    </row>
    <row r="29" customFormat="false" ht="25.5" hidden="false" customHeight="true" outlineLevel="0" collapsed="false">
      <c r="G29" s="106" t="s">
        <v>793</v>
      </c>
      <c r="W29" s="190" t="n">
        <v>6.25</v>
      </c>
      <c r="X29" s="183" t="n">
        <f aca="true">IF($G$12="",0,IFERROR($J$12+SUMPRODUCT((INDIRECT("'"&amp;$G$12&amp;"'!$C$37:$C$52")&lt;='General Information'!$D$33)*INDIRECT("'"&amp;$G$12&amp;"'!$D$37:$D$52")/(1+$W29/100)^INDIRECT("'"&amp;$G$12&amp;"'!$C$37:$C$52")),0))</f>
        <v>5410496.6172906</v>
      </c>
      <c r="Y29" s="183" t="n">
        <f aca="true">IF($G$13="",0,IFERROR($J$13+SUMPRODUCT((INDIRECT("'"&amp;$G$13&amp;"'!$C$37:$C$52")&lt;='General Information'!$D$33)*INDIRECT("'"&amp;$G$13&amp;"'!$D$37:$D$52")/(1+$W29/100)^INDIRECT("'"&amp;$G$13&amp;"'!$C$37:$C$52")),0))</f>
        <v>6052485.96448286</v>
      </c>
      <c r="Z29" s="183" t="n">
        <f aca="true">IF($G$14="",0,IFERROR($J$14+SUMPRODUCT((INDIRECT("'"&amp;$G$14&amp;"'!$C$37:$C$52")&lt;='General Information'!$D$33)*INDIRECT("'"&amp;$G$14&amp;"'!$D$37:$D$52")/(1+$W29/100)^INDIRECT("'"&amp;$G$14&amp;"'!$C$37:$C$52")),0))</f>
        <v>5824683.19593296</v>
      </c>
      <c r="AA29" s="183" t="n">
        <f aca="true">IF($G$15="",0,IFERROR($J$15+SUMPRODUCT((INDIRECT("'"&amp;$G$15&amp;"'!$C$37:$C$52")&lt;='General Information'!$D$33)*INDIRECT("'"&amp;$G$15&amp;"'!$D$37:$D$52")/(1+$W29/100)^INDIRECT("'"&amp;$G$15&amp;"'!$C$37:$C$52")),0))</f>
        <v>0</v>
      </c>
      <c r="AB29" s="182" t="str">
        <f aca="false">IF(COUNTIF($X29:$AA29,"&lt;&gt;0")=0,"",INDEX($H$12:$H$15,MATCH(SMALL($X29:$AA29,COUNTIF($X29:$AA29,0)+1),$X29:$AA29,0)))</f>
        <v>Alternative 1</v>
      </c>
    </row>
    <row r="30" customFormat="false" ht="25.5" hidden="false" customHeight="true" outlineLevel="0" collapsed="false">
      <c r="W30" s="190" t="n">
        <v>6.5</v>
      </c>
      <c r="X30" s="183" t="n">
        <f aca="true">IF($G$12="",0,IFERROR($J$12+SUMPRODUCT((INDIRECT("'"&amp;$G$12&amp;"'!$C$37:$C$52")&lt;='General Information'!$D$33)*INDIRECT("'"&amp;$G$12&amp;"'!$D$37:$D$52")/(1+$W30/100)^INDIRECT("'"&amp;$G$12&amp;"'!$C$37:$C$52")),0))</f>
        <v>5375065.29071191</v>
      </c>
      <c r="Y30" s="183" t="n">
        <f aca="true">IF($G$13="",0,IFERROR($J$13+SUMPRODUCT((INDIRECT("'"&amp;$G$13&amp;"'!$C$37:$C$52")&lt;='General Information'!$D$33)*INDIRECT("'"&amp;$G$13&amp;"'!$D$37:$D$52")/(1+$W30/100)^INDIRECT("'"&amp;$G$13&amp;"'!$C$37:$C$52")),0))</f>
        <v>6049651.2242189</v>
      </c>
      <c r="Z30" s="183" t="n">
        <f aca="true">IF($G$14="",0,IFERROR($J$14+SUMPRODUCT((INDIRECT("'"&amp;$G$14&amp;"'!$C$37:$C$52")&lt;='General Information'!$D$33)*INDIRECT("'"&amp;$G$14&amp;"'!$D$37:$D$52")/(1+$W30/100)^INDIRECT("'"&amp;$G$14&amp;"'!$C$37:$C$52")),0))</f>
        <v>5821192.89373948</v>
      </c>
      <c r="AA30" s="183" t="n">
        <f aca="true">IF($G$15="",0,IFERROR($J$15+SUMPRODUCT((INDIRECT("'"&amp;$G$15&amp;"'!$C$37:$C$52")&lt;='General Information'!$D$33)*INDIRECT("'"&amp;$G$15&amp;"'!$D$37:$D$52")/(1+$W30/100)^INDIRECT("'"&amp;$G$15&amp;"'!$C$37:$C$52")),0))</f>
        <v>0</v>
      </c>
      <c r="AB30" s="182" t="str">
        <f aca="false">IF(COUNTIF($X30:$AA30,"&lt;&gt;0")=0,"",INDEX($H$12:$H$15,MATCH(SMALL($X30:$AA30,COUNTIF($X30:$AA30,0)+1),$X30:$AA30,0)))</f>
        <v>Alternative 1</v>
      </c>
    </row>
    <row r="31" customFormat="false" ht="15" hidden="false" customHeight="false" outlineLevel="0" collapsed="false">
      <c r="W31" s="190" t="n">
        <v>6.75</v>
      </c>
      <c r="X31" s="183" t="n">
        <f aca="true">IF($G$12="",0,IFERROR($J$12+SUMPRODUCT((INDIRECT("'"&amp;$G$12&amp;"'!$C$37:$C$52")&lt;='General Information'!$D$33)*INDIRECT("'"&amp;$G$12&amp;"'!$D$37:$D$52")/(1+$W31/100)^INDIRECT("'"&amp;$G$12&amp;"'!$C$37:$C$52")),0))</f>
        <v>5341054.68655108</v>
      </c>
      <c r="Y31" s="183" t="n">
        <f aca="true">IF($G$13="",0,IFERROR($J$13+SUMPRODUCT((INDIRECT("'"&amp;$G$13&amp;"'!$C$37:$C$52")&lt;='General Information'!$D$33)*INDIRECT("'"&amp;$G$13&amp;"'!$D$37:$D$52")/(1+$W31/100)^INDIRECT("'"&amp;$G$13&amp;"'!$C$37:$C$52")),0))</f>
        <v>6046724.24845363</v>
      </c>
      <c r="Z31" s="183" t="n">
        <f aca="true">IF($G$14="",0,IFERROR($J$14+SUMPRODUCT((INDIRECT("'"&amp;$G$14&amp;"'!$C$37:$C$52")&lt;='General Information'!$D$33)*INDIRECT("'"&amp;$G$14&amp;"'!$D$37:$D$52")/(1+$W31/100)^INDIRECT("'"&amp;$G$14&amp;"'!$C$37:$C$52")),0))</f>
        <v>5817656.36752326</v>
      </c>
      <c r="AA31" s="183" t="n">
        <f aca="true">IF($G$15="",0,IFERROR($J$15+SUMPRODUCT((INDIRECT("'"&amp;$G$15&amp;"'!$C$37:$C$52")&lt;='General Information'!$D$33)*INDIRECT("'"&amp;$G$15&amp;"'!$D$37:$D$52")/(1+$W31/100)^INDIRECT("'"&amp;$G$15&amp;"'!$C$37:$C$52")),0))</f>
        <v>0</v>
      </c>
      <c r="AB31" s="182" t="str">
        <f aca="false">IF(COUNTIF($X31:$AA31,"&lt;&gt;0")=0,"",INDEX($H$12:$H$15,MATCH(SMALL($X31:$AA31,COUNTIF($X31:$AA31,0)+1),$X31:$AA31,0)))</f>
        <v>Alternative 1</v>
      </c>
    </row>
    <row r="32" customFormat="false" ht="15" hidden="false" customHeight="false" outlineLevel="0" collapsed="false">
      <c r="W32" s="190" t="n">
        <v>7</v>
      </c>
      <c r="X32" s="183" t="n">
        <f aca="true">IF($G$12="",0,IFERROR($J$12+SUMPRODUCT((INDIRECT("'"&amp;$G$12&amp;"'!$C$37:$C$52")&lt;='General Information'!$D$33)*INDIRECT("'"&amp;$G$12&amp;"'!$D$37:$D$52")/(1+$W32/100)^INDIRECT("'"&amp;$G$12&amp;"'!$C$37:$C$52")),0))</f>
        <v>5308400.77827413</v>
      </c>
      <c r="Y32" s="183" t="n">
        <f aca="true">IF($G$13="",0,IFERROR($J$13+SUMPRODUCT((INDIRECT("'"&amp;$G$13&amp;"'!$C$37:$C$52")&lt;='General Information'!$D$33)*INDIRECT("'"&amp;$G$13&amp;"'!$D$37:$D$52")/(1+$W32/100)^INDIRECT("'"&amp;$G$13&amp;"'!$C$37:$C$52")),0))</f>
        <v>6043726.16187808</v>
      </c>
      <c r="Z32" s="183" t="n">
        <f aca="true">IF($G$14="",0,IFERROR($J$14+SUMPRODUCT((INDIRECT("'"&amp;$G$14&amp;"'!$C$37:$C$52")&lt;='General Information'!$D$33)*INDIRECT("'"&amp;$G$14&amp;"'!$D$37:$D$52")/(1+$W32/100)^INDIRECT("'"&amp;$G$14&amp;"'!$C$37:$C$52")),0))</f>
        <v>5814091.41599695</v>
      </c>
      <c r="AA32" s="183" t="n">
        <f aca="true">IF($G$15="",0,IFERROR($J$15+SUMPRODUCT((INDIRECT("'"&amp;$G$15&amp;"'!$C$37:$C$52")&lt;='General Information'!$D$33)*INDIRECT("'"&amp;$G$15&amp;"'!$D$37:$D$52")/(1+$W32/100)^INDIRECT("'"&amp;$G$15&amp;"'!$C$37:$C$52")),0))</f>
        <v>0</v>
      </c>
      <c r="AB32" s="182" t="str">
        <f aca="false">IF(COUNTIF($X32:$AA32,"&lt;&gt;0")=0,"",INDEX($H$12:$H$15,MATCH(SMALL($X32:$AA32,COUNTIF($X32:$AA32,0)+1),$X32:$AA32,0)))</f>
        <v>Alternative 1</v>
      </c>
    </row>
    <row r="33" customFormat="false" ht="15" hidden="false" customHeight="false" outlineLevel="0" collapsed="false">
      <c r="W33" s="190" t="n">
        <v>7.25</v>
      </c>
      <c r="X33" s="183" t="n">
        <f aca="true">IF($G$12="",0,IFERROR($J$12+SUMPRODUCT((INDIRECT("'"&amp;$G$12&amp;"'!$C$37:$C$52")&lt;='General Information'!$D$33)*INDIRECT("'"&amp;$G$12&amp;"'!$D$37:$D$52")/(1+$W33/100)^INDIRECT("'"&amp;$G$12&amp;"'!$C$37:$C$52")),0))</f>
        <v>5277042.6130186</v>
      </c>
      <c r="Y33" s="183" t="n">
        <f aca="true">IF($G$13="",0,IFERROR($J$13+SUMPRODUCT((INDIRECT("'"&amp;$G$13&amp;"'!$C$37:$C$52")&lt;='General Information'!$D$33)*INDIRECT("'"&amp;$G$13&amp;"'!$D$37:$D$52")/(1+$W33/100)^INDIRECT("'"&amp;$G$13&amp;"'!$C$37:$C$52")),0))</f>
        <v>6040675.75324653</v>
      </c>
      <c r="Z33" s="183" t="n">
        <f aca="true">IF($G$14="",0,IFERROR($J$14+SUMPRODUCT((INDIRECT("'"&amp;$G$14&amp;"'!$C$37:$C$52")&lt;='General Information'!$D$33)*INDIRECT("'"&amp;$G$14&amp;"'!$D$37:$D$52")/(1+$W33/100)^INDIRECT("'"&amp;$G$14&amp;"'!$C$37:$C$52")),0))</f>
        <v>5810513.74930888</v>
      </c>
      <c r="AA33" s="183" t="n">
        <f aca="true">IF($G$15="",0,IFERROR($J$15+SUMPRODUCT((INDIRECT("'"&amp;$G$15&amp;"'!$C$37:$C$52")&lt;='General Information'!$D$33)*INDIRECT("'"&amp;$G$15&amp;"'!$D$37:$D$52")/(1+$W33/100)^INDIRECT("'"&amp;$G$15&amp;"'!$C$37:$C$52")),0))</f>
        <v>0</v>
      </c>
      <c r="AB33" s="182" t="str">
        <f aca="false">IF(COUNTIF($X33:$AA33,"&lt;&gt;0")=0,"",INDEX($H$12:$H$15,MATCH(SMALL($X33:$AA33,COUNTIF($X33:$AA33,0)+1),$X33:$AA33,0)))</f>
        <v>Alternative 1</v>
      </c>
    </row>
    <row r="34" customFormat="false" ht="15" hidden="false" customHeight="false" outlineLevel="0" collapsed="false">
      <c r="W34" s="190" t="n">
        <v>7.5</v>
      </c>
      <c r="X34" s="183" t="n">
        <f aca="true">IF($G$12="",0,IFERROR($J$12+SUMPRODUCT((INDIRECT("'"&amp;$G$12&amp;"'!$C$37:$C$52")&lt;='General Information'!$D$33)*INDIRECT("'"&amp;$G$12&amp;"'!$D$37:$D$52")/(1+$W34/100)^INDIRECT("'"&amp;$G$12&amp;"'!$C$37:$C$52")),0))</f>
        <v>5246922.15937594</v>
      </c>
      <c r="Y34" s="183" t="n">
        <f aca="true">IF($G$13="",0,IFERROR($J$13+SUMPRODUCT((INDIRECT("'"&amp;$G$13&amp;"'!$C$37:$C$52")&lt;='General Information'!$D$33)*INDIRECT("'"&amp;$G$13&amp;"'!$D$37:$D$52")/(1+$W34/100)^INDIRECT("'"&amp;$G$13&amp;"'!$C$37:$C$52")),0))</f>
        <v>6037589.69698364</v>
      </c>
      <c r="Z34" s="183" t="n">
        <f aca="true">IF($G$14="",0,IFERROR($J$14+SUMPRODUCT((INDIRECT("'"&amp;$G$14&amp;"'!$C$37:$C$52")&lt;='General Information'!$D$33)*INDIRECT("'"&amp;$G$14&amp;"'!$D$37:$D$52")/(1+$W34/100)^INDIRECT("'"&amp;$G$14&amp;"'!$C$37:$C$52")),0))</f>
        <v>5806937.19173707</v>
      </c>
      <c r="AA34" s="183" t="n">
        <f aca="true">IF($G$15="",0,IFERROR($J$15+SUMPRODUCT((INDIRECT("'"&amp;$G$15&amp;"'!$C$37:$C$52")&lt;='General Information'!$D$33)*INDIRECT("'"&amp;$G$15&amp;"'!$D$37:$D$52")/(1+$W34/100)^INDIRECT("'"&amp;$G$15&amp;"'!$C$37:$C$52")),0))</f>
        <v>0</v>
      </c>
      <c r="AB34" s="182" t="str">
        <f aca="false">IF(COUNTIF($X34:$AA34,"&lt;&gt;0")=0,"",INDEX($H$12:$H$15,MATCH(SMALL($X34:$AA34,COUNTIF($X34:$AA34,0)+1),$X34:$AA34,0)))</f>
        <v>Alternative 1</v>
      </c>
    </row>
    <row r="35" customFormat="false" ht="15" hidden="false" customHeight="false" outlineLevel="0" collapsed="false">
      <c r="W35" s="190" t="n">
        <v>7.75</v>
      </c>
      <c r="X35" s="183" t="n">
        <f aca="true">IF($G$12="",0,IFERROR($J$12+SUMPRODUCT((INDIRECT("'"&amp;$G$12&amp;"'!$C$37:$C$52")&lt;='General Information'!$D$33)*INDIRECT("'"&amp;$G$12&amp;"'!$D$37:$D$52")/(1+$W35/100)^INDIRECT("'"&amp;$G$12&amp;"'!$C$37:$C$52")),0))</f>
        <v>5217984.16271049</v>
      </c>
      <c r="Y35" s="183" t="n">
        <f aca="true">IF($G$13="",0,IFERROR($J$13+SUMPRODUCT((INDIRECT("'"&amp;$G$13&amp;"'!$C$37:$C$52")&lt;='General Information'!$D$33)*INDIRECT("'"&amp;$G$13&amp;"'!$D$37:$D$52")/(1+$W35/100)^INDIRECT("'"&amp;$G$13&amp;"'!$C$37:$C$52")),0))</f>
        <v>6034482.75482506</v>
      </c>
      <c r="Z35" s="183" t="n">
        <f aca="true">IF($G$14="",0,IFERROR($J$14+SUMPRODUCT((INDIRECT("'"&amp;$G$14&amp;"'!$C$37:$C$52")&lt;='General Information'!$D$33)*INDIRECT("'"&amp;$G$14&amp;"'!$D$37:$D$52")/(1+$W35/100)^INDIRECT("'"&amp;$G$14&amp;"'!$C$37:$C$52")),0))</f>
        <v>5803373.86590174</v>
      </c>
      <c r="AA35" s="183" t="n">
        <f aca="true">IF($G$15="",0,IFERROR($J$15+SUMPRODUCT((INDIRECT("'"&amp;$G$15&amp;"'!$C$37:$C$52")&lt;='General Information'!$D$33)*INDIRECT("'"&amp;$G$15&amp;"'!$D$37:$D$52")/(1+$W35/100)^INDIRECT("'"&amp;$G$15&amp;"'!$C$37:$C$52")),0))</f>
        <v>0</v>
      </c>
      <c r="AB35" s="182" t="str">
        <f aca="false">IF(COUNTIF($X35:$AA35,"&lt;&gt;0")=0,"",INDEX($H$12:$H$15,MATCH(SMALL($X35:$AA35,COUNTIF($X35:$AA35,0)+1),$X35:$AA35,0)))</f>
        <v>Alternative 1</v>
      </c>
    </row>
    <row r="36" customFormat="false" ht="15" hidden="false" customHeight="false" outlineLevel="0" collapsed="false">
      <c r="W36" s="190" t="n">
        <v>8</v>
      </c>
      <c r="X36" s="183" t="n">
        <f aca="true">IF($G$12="",0,IFERROR($J$12+SUMPRODUCT((INDIRECT("'"&amp;$G$12&amp;"'!$C$37:$C$52")&lt;='General Information'!$D$33)*INDIRECT("'"&amp;$G$12&amp;"'!$D$37:$D$52")/(1+$W36/100)^INDIRECT("'"&amp;$G$12&amp;"'!$C$37:$C$52")),0))</f>
        <v>5190176.00765992</v>
      </c>
      <c r="Y36" s="183" t="n">
        <f aca="true">IF($G$13="",0,IFERROR($J$13+SUMPRODUCT((INDIRECT("'"&amp;$G$13&amp;"'!$C$37:$C$52")&lt;='General Information'!$D$33)*INDIRECT("'"&amp;$G$13&amp;"'!$D$37:$D$52")/(1+$W36/100)^INDIRECT("'"&amp;$G$13&amp;"'!$C$37:$C$52")),0))</f>
        <v>6031367.95926198</v>
      </c>
      <c r="Z36" s="183" t="n">
        <f aca="true">IF($G$14="",0,IFERROR($J$14+SUMPRODUCT((INDIRECT("'"&amp;$G$14&amp;"'!$C$37:$C$52")&lt;='General Information'!$D$33)*INDIRECT("'"&amp;$G$14&amp;"'!$D$37:$D$52")/(1+$W36/100)^INDIRECT("'"&amp;$G$14&amp;"'!$C$37:$C$52")),0))</f>
        <v>5799834.36014742</v>
      </c>
      <c r="AA36" s="183" t="n">
        <f aca="true">IF($G$15="",0,IFERROR($J$15+SUMPRODUCT((INDIRECT("'"&amp;$G$15&amp;"'!$C$37:$C$52")&lt;='General Information'!$D$33)*INDIRECT("'"&amp;$G$15&amp;"'!$D$37:$D$52")/(1+$W36/100)^INDIRECT("'"&amp;$G$15&amp;"'!$C$37:$C$52")),0))</f>
        <v>0</v>
      </c>
      <c r="AB36" s="182" t="str">
        <f aca="false">IF(COUNTIF($X36:$AA36,"&lt;&gt;0")=0,"",INDEX($H$12:$H$15,MATCH(SMALL($X36:$AA36,COUNTIF($X36:$AA36,0)+1),$X36:$AA36,0)))</f>
        <v>Alternative 1</v>
      </c>
    </row>
    <row r="39" customFormat="false" ht="15" hidden="false" customHeight="false" outlineLevel="0" collapsed="false">
      <c r="W39" s="177" t="s">
        <v>794</v>
      </c>
    </row>
    <row r="40" customFormat="false" ht="15" hidden="false" customHeight="false" outlineLevel="0" collapsed="false">
      <c r="W40" s="178" t="s">
        <v>38</v>
      </c>
      <c r="X40" s="178" t="s">
        <v>795</v>
      </c>
      <c r="Y40" s="178" t="str">
        <f aca="false">IF(X$4=""," ",X$4&amp;" spend")</f>
        <v>Alternative 1 spend</v>
      </c>
      <c r="Z40" s="178" t="str">
        <f aca="false">IF(Y$4=""," ",Y$4&amp;" spend")</f>
        <v>Alternative 2 spend</v>
      </c>
      <c r="AA40" s="178" t="str">
        <f aca="false">IF(Z$4=""," ",Z$4&amp;" spend")</f>
        <v>Alternative 3 spend</v>
      </c>
      <c r="AB40" s="178" t="str">
        <f aca="false">IF(AA$4=""," ",AA$4&amp;" spend")</f>
        <v> </v>
      </c>
      <c r="AC40" s="178" t="str">
        <f aca="false">IF(X$4=""," ",X$4&amp;" cumulative PW")</f>
        <v>Alternative 1 cumulative PW</v>
      </c>
      <c r="AD40" s="178" t="str">
        <f aca="false">IF(Y$4=""," ",Y$4&amp;" cumulative PW")</f>
        <v>Alternative 2 cumulative PW</v>
      </c>
      <c r="AE40" s="178" t="str">
        <f aca="false">IF(Z$4=""," ",Z$4&amp;" cumulative PW")</f>
        <v>Alternative 3 cumulative PW</v>
      </c>
      <c r="AF40" s="178" t="str">
        <f aca="false">IF(AA$4=""," ",AA$4&amp;" cumulative PW")</f>
        <v> </v>
      </c>
      <c r="AG40" s="178" t="str">
        <f aca="false">IF(X$4=""," ",X$4&amp;" closure days")</f>
        <v>Alternative 1 closure days</v>
      </c>
      <c r="AH40" s="178" t="str">
        <f aca="false">IF(Y$4=""," ",Y$4&amp;" closure days")</f>
        <v>Alternative 2 closure days</v>
      </c>
      <c r="AI40" s="178" t="str">
        <f aca="false">IF(Z$4=""," ",Z$4&amp;" closure days")</f>
        <v>Alternative 3 closure days</v>
      </c>
      <c r="AJ40" s="178" t="str">
        <f aca="false">IF(AA$4=""," ",AA$4&amp;" closure days")</f>
        <v> </v>
      </c>
    </row>
    <row r="41" customFormat="false" ht="15" hidden="false" customHeight="false" outlineLevel="0" collapsed="false">
      <c r="W41" s="182" t="n">
        <v>0</v>
      </c>
      <c r="X41" s="182" t="n">
        <f aca="false">'General Information'!$D$25+W41</f>
        <v>2028</v>
      </c>
      <c r="Y41" s="183" t="n">
        <f aca="true">IF($G$12="",0,IF(W41&gt;'General Information'!$D$33,0,IF(W41=0,$J$12,IFERROR(SUMIF(INDIRECT("'"&amp;$G$12&amp;"'!$C$37:$C$52"),W41,INDIRECT("'"&amp;$G$12&amp;"'!$D$37:$D$52")),0))))</f>
        <v>4285511.8</v>
      </c>
      <c r="Z41" s="183" t="n">
        <f aca="true">IF($G$13="",0,IF(W41&gt;'General Information'!$D$33,0,IF(W41=0,$J$13,IFERROR(SUMIF(INDIRECT("'"&amp;$G$13&amp;"'!$C$37:$C$52"),W41,INDIRECT("'"&amp;$G$13&amp;"'!$D$37:$D$52")),0))))</f>
        <v>5918906.25</v>
      </c>
      <c r="AA41" s="183" t="n">
        <f aca="true">IF($G$14="",0,IF(W41&gt;'General Information'!$D$33,0,IF(W41=0,$J$14,IFERROR(SUMIF(INDIRECT("'"&amp;$G$14&amp;"'!$C$37:$C$52"),W41,INDIRECT("'"&amp;$G$14&amp;"'!$D$37:$D$52")),0))))</f>
        <v>5681473.8</v>
      </c>
      <c r="AB41" s="183" t="n">
        <f aca="true">IF($G$15="",0,IF(W41&gt;'General Information'!$D$33,0,IF(W41=0,$J$15,IFERROR(SUMIF(INDIRECT("'"&amp;$G$15&amp;"'!$C$37:$C$52"),W41,INDIRECT("'"&amp;$G$15&amp;"'!$D$37:$D$52")),0))))</f>
        <v>0</v>
      </c>
      <c r="AC41" s="183" t="n">
        <f aca="true">IF($G$12="",0,IF(W41&gt;'General Information'!$D$33,0,IF(W41=0,$J$12,IFERROR(SUMIF(INDIRECT("'"&amp;$G$12&amp;"'!$C$37:$C$52"),W41,INDIRECT("'"&amp;$G$12&amp;"'!$E$37:$E$52")),0))))</f>
        <v>4285511.8</v>
      </c>
      <c r="AD41" s="183" t="n">
        <f aca="true">IF($G$13="",0,IF(W41&gt;'General Information'!$D$33,0,IF(W41=0,$J$13,IFERROR(SUMIF(INDIRECT("'"&amp;$G$13&amp;"'!$C$37:$C$52"),W41,INDIRECT("'"&amp;$G$13&amp;"'!$E$37:$E$52")),0))))</f>
        <v>5918906.25</v>
      </c>
      <c r="AE41" s="183" t="n">
        <f aca="true">IF($G$14="",0,IF(W41&gt;'General Information'!$D$33,0,IF(W41=0,$J$14,IFERROR(SUMIF(INDIRECT("'"&amp;$G$14&amp;"'!$C$37:$C$52"),W41,INDIRECT("'"&amp;$G$14&amp;"'!$E$37:$E$52")),0))))</f>
        <v>5681473.8</v>
      </c>
      <c r="AF41" s="183" t="n">
        <f aca="true">IF($G$15="",0,IF(W41&gt;'General Information'!$D$33,0,IF(W41=0,$J$15,IFERROR(SUMIF(INDIRECT("'"&amp;$G$15&amp;"'!$C$37:$C$52"),W41,INDIRECT("'"&amp;$G$15&amp;"'!$E$37:$E$52")),0))))</f>
        <v>0</v>
      </c>
      <c r="AG41" s="195" t="n">
        <f aca="true">IF($G$12="",0,IF(W41&gt;'General Information'!$D$33,0,IFERROR(SUMIFS(INDIRECT("'"&amp;$G$12&amp;"'!$D$37:$D$52"),INDIRECT("'"&amp;$G$12&amp;"'!$C$37:$C$52"),W41,INDIRECT("'"&amp;$G$12&amp;"'!$B$37:$B$52"),"*Indirect*")/INDIRECT("'"&amp;$G$12&amp;"'!$F$2"),0)))</f>
        <v>0</v>
      </c>
      <c r="AH41" s="195" t="n">
        <f aca="true">IF($G$13="",0,IF(W41&gt;'General Information'!$D$33,0,IFERROR(SUMIFS(INDIRECT("'"&amp;$G$13&amp;"'!$D$37:$D$52"),INDIRECT("'"&amp;$G$13&amp;"'!$C$37:$C$52"),W41,INDIRECT("'"&amp;$G$13&amp;"'!$B$37:$B$52"),"*Indirect*")/INDIRECT("'"&amp;$G$13&amp;"'!$F$2"),0)))</f>
        <v>0</v>
      </c>
      <c r="AI41" s="195" t="n">
        <f aca="true">IF($G$14="",0,IF(W41&gt;'General Information'!$D$33,0,IFERROR(SUMIFS(INDIRECT("'"&amp;$G$14&amp;"'!$D$37:$D$52"),INDIRECT("'"&amp;$G$14&amp;"'!$C$37:$C$52"),W41,INDIRECT("'"&amp;$G$14&amp;"'!$B$37:$B$52"),"*Indirect*")/INDIRECT("'"&amp;$G$14&amp;"'!$F$2"),0)))</f>
        <v>0</v>
      </c>
      <c r="AJ41" s="195" t="n">
        <f aca="true">IF($G$15="",0,IF(W41&gt;'General Information'!$D$33,0,IFERROR(SUMIFS(INDIRECT("'"&amp;$G$15&amp;"'!$D$37:$D$52"),INDIRECT("'"&amp;$G$15&amp;"'!$C$37:$C$52"),W41,INDIRECT("'"&amp;$G$15&amp;"'!$B$37:$B$52"),"*Indirect*")/INDIRECT("'"&amp;$G$15&amp;"'!$F$2"),0)))</f>
        <v>0</v>
      </c>
    </row>
    <row r="42" customFormat="false" ht="15" hidden="false" customHeight="false" outlineLevel="0" collapsed="false">
      <c r="W42" s="182" t="n">
        <v>1</v>
      </c>
      <c r="X42" s="182" t="n">
        <f aca="false">'General Information'!$D$25+W42</f>
        <v>2029</v>
      </c>
      <c r="Y42" s="183" t="n">
        <f aca="true">IF($G$12="",0,IF(W42&gt;'General Information'!$D$33,0,IF(W42=0,$J$12,IFERROR(SUMIF(INDIRECT("'"&amp;$G$12&amp;"'!$C$37:$C$52"),W42,INDIRECT("'"&amp;$G$12&amp;"'!$D$37:$D$52")),0))))</f>
        <v>0</v>
      </c>
      <c r="Z42" s="183" t="n">
        <f aca="true">IF($G$13="",0,IF(W42&gt;'General Information'!$D$33,0,IF(W42=0,$J$13,IFERROR(SUMIF(INDIRECT("'"&amp;$G$13&amp;"'!$C$37:$C$52"),W42,INDIRECT("'"&amp;$G$13&amp;"'!$D$37:$D$52")),0))))</f>
        <v>0</v>
      </c>
      <c r="AA42" s="183" t="n">
        <f aca="true">IF($G$14="",0,IF(W42&gt;'General Information'!$D$33,0,IF(W42=0,$J$14,IFERROR(SUMIF(INDIRECT("'"&amp;$G$14&amp;"'!$C$37:$C$52"),W42,INDIRECT("'"&amp;$G$14&amp;"'!$D$37:$D$52")),0))))</f>
        <v>0</v>
      </c>
      <c r="AB42" s="183" t="n">
        <f aca="true">IF($G$15="",0,IF(W42&gt;'General Information'!$D$33,0,IF(W42=0,$J$15,IFERROR(SUMIF(INDIRECT("'"&amp;$G$15&amp;"'!$C$37:$C$52"),W42,INDIRECT("'"&amp;$G$15&amp;"'!$D$37:$D$52")),0))))</f>
        <v>0</v>
      </c>
      <c r="AC42" s="183" t="n">
        <f aca="true">IF($G$12="",0,AC41+IF(W42&gt;'General Information'!$D$33,0,IF(W42=0,$J$12,IFERROR(SUMIF(INDIRECT("'"&amp;$G$12&amp;"'!$C$37:$C$52"),W42,INDIRECT("'"&amp;$G$12&amp;"'!$E$37:$E$52")),0))))</f>
        <v>4285511.8</v>
      </c>
      <c r="AD42" s="183" t="n">
        <f aca="true">IF($G$13="",0,AD41+IF(W42&gt;'General Information'!$D$33,0,IF(W42=0,$J$13,IFERROR(SUMIF(INDIRECT("'"&amp;$G$13&amp;"'!$C$37:$C$52"),W42,INDIRECT("'"&amp;$G$13&amp;"'!$E$37:$E$52")),0))))</f>
        <v>5918906.25</v>
      </c>
      <c r="AE42" s="183" t="n">
        <f aca="true">IF($G$14="",0,AE41+IF(W42&gt;'General Information'!$D$33,0,IF(W42=0,$J$14,IFERROR(SUMIF(INDIRECT("'"&amp;$G$14&amp;"'!$C$37:$C$52"),W42,INDIRECT("'"&amp;$G$14&amp;"'!$E$37:$E$52")),0))))</f>
        <v>5681473.8</v>
      </c>
      <c r="AF42" s="183" t="n">
        <f aca="true">IF($G$15="",0,AF41+IF(W42&gt;'General Information'!$D$33,0,IF(W42=0,$J$15,IFERROR(SUMIF(INDIRECT("'"&amp;$G$15&amp;"'!$C$37:$C$52"),W42,INDIRECT("'"&amp;$G$15&amp;"'!$E$37:$E$52")),0))))</f>
        <v>0</v>
      </c>
      <c r="AG42" s="195" t="n">
        <f aca="true">IF($G$12="",0,IF(W42&gt;'General Information'!$D$33,0,IFERROR(SUMIFS(INDIRECT("'"&amp;$G$12&amp;"'!$D$37:$D$52"),INDIRECT("'"&amp;$G$12&amp;"'!$C$37:$C$52"),W42,INDIRECT("'"&amp;$G$12&amp;"'!$B$37:$B$52"),"*Indirect*")/INDIRECT("'"&amp;$G$12&amp;"'!$F$2"),0)))</f>
        <v>0</v>
      </c>
      <c r="AH42" s="195" t="n">
        <f aca="true">IF($G$13="",0,IF(W42&gt;'General Information'!$D$33,0,IFERROR(SUMIFS(INDIRECT("'"&amp;$G$13&amp;"'!$D$37:$D$52"),INDIRECT("'"&amp;$G$13&amp;"'!$C$37:$C$52"),W42,INDIRECT("'"&amp;$G$13&amp;"'!$B$37:$B$52"),"*Indirect*")/INDIRECT("'"&amp;$G$13&amp;"'!$F$2"),0)))</f>
        <v>0</v>
      </c>
      <c r="AI42" s="195" t="n">
        <f aca="true">IF($G$14="",0,IF(W42&gt;'General Information'!$D$33,0,IFERROR(SUMIFS(INDIRECT("'"&amp;$G$14&amp;"'!$D$37:$D$52"),INDIRECT("'"&amp;$G$14&amp;"'!$C$37:$C$52"),W42,INDIRECT("'"&amp;$G$14&amp;"'!$B$37:$B$52"),"*Indirect*")/INDIRECT("'"&amp;$G$14&amp;"'!$F$2"),0)))</f>
        <v>0</v>
      </c>
      <c r="AJ42" s="195" t="n">
        <f aca="true">IF($G$15="",0,IF(W42&gt;'General Information'!$D$33,0,IFERROR(SUMIFS(INDIRECT("'"&amp;$G$15&amp;"'!$D$37:$D$52"),INDIRECT("'"&amp;$G$15&amp;"'!$C$37:$C$52"),W42,INDIRECT("'"&amp;$G$15&amp;"'!$B$37:$B$52"),"*Indirect*")/INDIRECT("'"&amp;$G$15&amp;"'!$F$2"),0)))</f>
        <v>0</v>
      </c>
    </row>
    <row r="43" customFormat="false" ht="15" hidden="false" customHeight="false" outlineLevel="0" collapsed="false">
      <c r="W43" s="182" t="n">
        <v>2</v>
      </c>
      <c r="X43" s="182" t="n">
        <f aca="false">'General Information'!$D$25+W43</f>
        <v>2030</v>
      </c>
      <c r="Y43" s="183" t="n">
        <f aca="true">IF($G$12="",0,IF(W43&gt;'General Information'!$D$33,0,IF(W43=0,$J$12,IFERROR(SUMIF(INDIRECT("'"&amp;$G$12&amp;"'!$C$37:$C$52"),W43,INDIRECT("'"&amp;$G$12&amp;"'!$D$37:$D$52")),0))))</f>
        <v>0</v>
      </c>
      <c r="Z43" s="183" t="n">
        <f aca="true">IF($G$13="",0,IF(W43&gt;'General Information'!$D$33,0,IF(W43=0,$J$13,IFERROR(SUMIF(INDIRECT("'"&amp;$G$13&amp;"'!$C$37:$C$52"),W43,INDIRECT("'"&amp;$G$13&amp;"'!$D$37:$D$52")),0))))</f>
        <v>0</v>
      </c>
      <c r="AA43" s="183" t="n">
        <f aca="true">IF($G$14="",0,IF(W43&gt;'General Information'!$D$33,0,IF(W43=0,$J$14,IFERROR(SUMIF(INDIRECT("'"&amp;$G$14&amp;"'!$C$37:$C$52"),W43,INDIRECT("'"&amp;$G$14&amp;"'!$D$37:$D$52")),0))))</f>
        <v>0</v>
      </c>
      <c r="AB43" s="183" t="n">
        <f aca="true">IF($G$15="",0,IF(W43&gt;'General Information'!$D$33,0,IF(W43=0,$J$15,IFERROR(SUMIF(INDIRECT("'"&amp;$G$15&amp;"'!$C$37:$C$52"),W43,INDIRECT("'"&amp;$G$15&amp;"'!$D$37:$D$52")),0))))</f>
        <v>0</v>
      </c>
      <c r="AC43" s="183" t="n">
        <f aca="true">IF($G$12="",0,AC42+IF(W43&gt;'General Information'!$D$33,0,IF(W43=0,$J$12,IFERROR(SUMIF(INDIRECT("'"&amp;$G$12&amp;"'!$C$37:$C$52"),W43,INDIRECT("'"&amp;$G$12&amp;"'!$E$37:$E$52")),0))))</f>
        <v>4285511.8</v>
      </c>
      <c r="AD43" s="183" t="n">
        <f aca="true">IF($G$13="",0,AD42+IF(W43&gt;'General Information'!$D$33,0,IF(W43=0,$J$13,IFERROR(SUMIF(INDIRECT("'"&amp;$G$13&amp;"'!$C$37:$C$52"),W43,INDIRECT("'"&amp;$G$13&amp;"'!$E$37:$E$52")),0))))</f>
        <v>5918906.25</v>
      </c>
      <c r="AE43" s="183" t="n">
        <f aca="true">IF($G$14="",0,AE42+IF(W43&gt;'General Information'!$D$33,0,IF(W43=0,$J$14,IFERROR(SUMIF(INDIRECT("'"&amp;$G$14&amp;"'!$C$37:$C$52"),W43,INDIRECT("'"&amp;$G$14&amp;"'!$E$37:$E$52")),0))))</f>
        <v>5681473.8</v>
      </c>
      <c r="AF43" s="183" t="n">
        <f aca="true">IF($G$15="",0,AF42+IF(W43&gt;'General Information'!$D$33,0,IF(W43=0,$J$15,IFERROR(SUMIF(INDIRECT("'"&amp;$G$15&amp;"'!$C$37:$C$52"),W43,INDIRECT("'"&amp;$G$15&amp;"'!$E$37:$E$52")),0))))</f>
        <v>0</v>
      </c>
      <c r="AG43" s="195" t="n">
        <f aca="true">IF($G$12="",0,IF(W43&gt;'General Information'!$D$33,0,IFERROR(SUMIFS(INDIRECT("'"&amp;$G$12&amp;"'!$D$37:$D$52"),INDIRECT("'"&amp;$G$12&amp;"'!$C$37:$C$52"),W43,INDIRECT("'"&amp;$G$12&amp;"'!$B$37:$B$52"),"*Indirect*")/INDIRECT("'"&amp;$G$12&amp;"'!$F$2"),0)))</f>
        <v>0</v>
      </c>
      <c r="AH43" s="195" t="n">
        <f aca="true">IF($G$13="",0,IF(W43&gt;'General Information'!$D$33,0,IFERROR(SUMIFS(INDIRECT("'"&amp;$G$13&amp;"'!$D$37:$D$52"),INDIRECT("'"&amp;$G$13&amp;"'!$C$37:$C$52"),W43,INDIRECT("'"&amp;$G$13&amp;"'!$B$37:$B$52"),"*Indirect*")/INDIRECT("'"&amp;$G$13&amp;"'!$F$2"),0)))</f>
        <v>0</v>
      </c>
      <c r="AI43" s="195" t="n">
        <f aca="true">IF($G$14="",0,IF(W43&gt;'General Information'!$D$33,0,IFERROR(SUMIFS(INDIRECT("'"&amp;$G$14&amp;"'!$D$37:$D$52"),INDIRECT("'"&amp;$G$14&amp;"'!$C$37:$C$52"),W43,INDIRECT("'"&amp;$G$14&amp;"'!$B$37:$B$52"),"*Indirect*")/INDIRECT("'"&amp;$G$14&amp;"'!$F$2"),0)))</f>
        <v>0</v>
      </c>
      <c r="AJ43" s="195" t="n">
        <f aca="true">IF($G$15="",0,IF(W43&gt;'General Information'!$D$33,0,IFERROR(SUMIFS(INDIRECT("'"&amp;$G$15&amp;"'!$D$37:$D$52"),INDIRECT("'"&amp;$G$15&amp;"'!$C$37:$C$52"),W43,INDIRECT("'"&amp;$G$15&amp;"'!$B$37:$B$52"),"*Indirect*")/INDIRECT("'"&amp;$G$15&amp;"'!$F$2"),0)))</f>
        <v>0</v>
      </c>
    </row>
    <row r="44" customFormat="false" ht="15" hidden="false" customHeight="false" outlineLevel="0" collapsed="false">
      <c r="W44" s="182" t="n">
        <v>3</v>
      </c>
      <c r="X44" s="182" t="n">
        <f aca="false">'General Information'!$D$25+W44</f>
        <v>2031</v>
      </c>
      <c r="Y44" s="183" t="n">
        <f aca="true">IF($G$12="",0,IF(W44&gt;'General Information'!$D$33,0,IF(W44=0,$J$12,IFERROR(SUMIF(INDIRECT("'"&amp;$G$12&amp;"'!$C$37:$C$52"),W44,INDIRECT("'"&amp;$G$12&amp;"'!$D$37:$D$52")),0))))</f>
        <v>0</v>
      </c>
      <c r="Z44" s="183" t="n">
        <f aca="true">IF($G$13="",0,IF(W44&gt;'General Information'!$D$33,0,IF(W44=0,$J$13,IFERROR(SUMIF(INDIRECT("'"&amp;$G$13&amp;"'!$C$37:$C$52"),W44,INDIRECT("'"&amp;$G$13&amp;"'!$D$37:$D$52")),0))))</f>
        <v>0</v>
      </c>
      <c r="AA44" s="183" t="n">
        <f aca="true">IF($G$14="",0,IF(W44&gt;'General Information'!$D$33,0,IF(W44=0,$J$14,IFERROR(SUMIF(INDIRECT("'"&amp;$G$14&amp;"'!$C$37:$C$52"),W44,INDIRECT("'"&amp;$G$14&amp;"'!$D$37:$D$52")),0))))</f>
        <v>0</v>
      </c>
      <c r="AB44" s="183" t="n">
        <f aca="true">IF($G$15="",0,IF(W44&gt;'General Information'!$D$33,0,IF(W44=0,$J$15,IFERROR(SUMIF(INDIRECT("'"&amp;$G$15&amp;"'!$C$37:$C$52"),W44,INDIRECT("'"&amp;$G$15&amp;"'!$D$37:$D$52")),0))))</f>
        <v>0</v>
      </c>
      <c r="AC44" s="183" t="n">
        <f aca="true">IF($G$12="",0,AC43+IF(W44&gt;'General Information'!$D$33,0,IF(W44=0,$J$12,IFERROR(SUMIF(INDIRECT("'"&amp;$G$12&amp;"'!$C$37:$C$52"),W44,INDIRECT("'"&amp;$G$12&amp;"'!$E$37:$E$52")),0))))</f>
        <v>4285511.8</v>
      </c>
      <c r="AD44" s="183" t="n">
        <f aca="true">IF($G$13="",0,AD43+IF(W44&gt;'General Information'!$D$33,0,IF(W44=0,$J$13,IFERROR(SUMIF(INDIRECT("'"&amp;$G$13&amp;"'!$C$37:$C$52"),W44,INDIRECT("'"&amp;$G$13&amp;"'!$E$37:$E$52")),0))))</f>
        <v>5918906.25</v>
      </c>
      <c r="AE44" s="183" t="n">
        <f aca="true">IF($G$14="",0,AE43+IF(W44&gt;'General Information'!$D$33,0,IF(W44=0,$J$14,IFERROR(SUMIF(INDIRECT("'"&amp;$G$14&amp;"'!$C$37:$C$52"),W44,INDIRECT("'"&amp;$G$14&amp;"'!$E$37:$E$52")),0))))</f>
        <v>5681473.8</v>
      </c>
      <c r="AF44" s="183" t="n">
        <f aca="true">IF($G$15="",0,AF43+IF(W44&gt;'General Information'!$D$33,0,IF(W44=0,$J$15,IFERROR(SUMIF(INDIRECT("'"&amp;$G$15&amp;"'!$C$37:$C$52"),W44,INDIRECT("'"&amp;$G$15&amp;"'!$E$37:$E$52")),0))))</f>
        <v>0</v>
      </c>
      <c r="AG44" s="195" t="n">
        <f aca="true">IF($G$12="",0,IF(W44&gt;'General Information'!$D$33,0,IFERROR(SUMIFS(INDIRECT("'"&amp;$G$12&amp;"'!$D$37:$D$52"),INDIRECT("'"&amp;$G$12&amp;"'!$C$37:$C$52"),W44,INDIRECT("'"&amp;$G$12&amp;"'!$B$37:$B$52"),"*Indirect*")/INDIRECT("'"&amp;$G$12&amp;"'!$F$2"),0)))</f>
        <v>0</v>
      </c>
      <c r="AH44" s="195" t="n">
        <f aca="true">IF($G$13="",0,IF(W44&gt;'General Information'!$D$33,0,IFERROR(SUMIFS(INDIRECT("'"&amp;$G$13&amp;"'!$D$37:$D$52"),INDIRECT("'"&amp;$G$13&amp;"'!$C$37:$C$52"),W44,INDIRECT("'"&amp;$G$13&amp;"'!$B$37:$B$52"),"*Indirect*")/INDIRECT("'"&amp;$G$13&amp;"'!$F$2"),0)))</f>
        <v>0</v>
      </c>
      <c r="AI44" s="195" t="n">
        <f aca="true">IF($G$14="",0,IF(W44&gt;'General Information'!$D$33,0,IFERROR(SUMIFS(INDIRECT("'"&amp;$G$14&amp;"'!$D$37:$D$52"),INDIRECT("'"&amp;$G$14&amp;"'!$C$37:$C$52"),W44,INDIRECT("'"&amp;$G$14&amp;"'!$B$37:$B$52"),"*Indirect*")/INDIRECT("'"&amp;$G$14&amp;"'!$F$2"),0)))</f>
        <v>0</v>
      </c>
      <c r="AJ44" s="195" t="n">
        <f aca="true">IF($G$15="",0,IF(W44&gt;'General Information'!$D$33,0,IFERROR(SUMIFS(INDIRECT("'"&amp;$G$15&amp;"'!$D$37:$D$52"),INDIRECT("'"&amp;$G$15&amp;"'!$C$37:$C$52"),W44,INDIRECT("'"&amp;$G$15&amp;"'!$B$37:$B$52"),"*Indirect*")/INDIRECT("'"&amp;$G$15&amp;"'!$F$2"),0)))</f>
        <v>0</v>
      </c>
    </row>
    <row r="45" customFormat="false" ht="15" hidden="false" customHeight="false" outlineLevel="0" collapsed="false">
      <c r="W45" s="182" t="n">
        <v>4</v>
      </c>
      <c r="X45" s="182" t="n">
        <f aca="false">'General Information'!$D$25+W45</f>
        <v>2032</v>
      </c>
      <c r="Y45" s="183" t="n">
        <f aca="true">IF($G$12="",0,IF(W45&gt;'General Information'!$D$33,0,IF(W45=0,$J$12,IFERROR(SUMIF(INDIRECT("'"&amp;$G$12&amp;"'!$C$37:$C$52"),W45,INDIRECT("'"&amp;$G$12&amp;"'!$D$37:$D$52")),0))))</f>
        <v>263642.153333333</v>
      </c>
      <c r="Z45" s="183" t="n">
        <f aca="true">IF($G$13="",0,IF(W45&gt;'General Information'!$D$33,0,IF(W45=0,$J$13,IFERROR(SUMIF(INDIRECT("'"&amp;$G$13&amp;"'!$C$37:$C$52"),W45,INDIRECT("'"&amp;$G$13&amp;"'!$D$37:$D$52")),0))))</f>
        <v>0</v>
      </c>
      <c r="AA45" s="183" t="n">
        <f aca="true">IF($G$14="",0,IF(W45&gt;'General Information'!$D$33,0,IF(W45=0,$J$14,IFERROR(SUMIF(INDIRECT("'"&amp;$G$14&amp;"'!$C$37:$C$52"),W45,INDIRECT("'"&amp;$G$14&amp;"'!$D$37:$D$52")),0))))</f>
        <v>0</v>
      </c>
      <c r="AB45" s="183" t="n">
        <f aca="true">IF($G$15="",0,IF(W45&gt;'General Information'!$D$33,0,IF(W45=0,$J$15,IFERROR(SUMIF(INDIRECT("'"&amp;$G$15&amp;"'!$C$37:$C$52"),W45,INDIRECT("'"&amp;$G$15&amp;"'!$D$37:$D$52")),0))))</f>
        <v>0</v>
      </c>
      <c r="AC45" s="183" t="n">
        <f aca="true">IF($G$12="",0,AC44+IF(W45&gt;'General Information'!$D$33,0,IF(W45=0,$J$12,IFERROR(SUMIF(INDIRECT("'"&amp;$G$12&amp;"'!$C$37:$C$52"),W45,INDIRECT("'"&amp;$G$12&amp;"'!$E$37:$E$52")),0))))</f>
        <v>4519754.43852127</v>
      </c>
      <c r="AD45" s="183" t="n">
        <f aca="true">IF($G$13="",0,AD44+IF(W45&gt;'General Information'!$D$33,0,IF(W45=0,$J$13,IFERROR(SUMIF(INDIRECT("'"&amp;$G$13&amp;"'!$C$37:$C$52"),W45,INDIRECT("'"&amp;$G$13&amp;"'!$E$37:$E$52")),0))))</f>
        <v>5918906.25</v>
      </c>
      <c r="AE45" s="183" t="n">
        <f aca="true">IF($G$14="",0,AE44+IF(W45&gt;'General Information'!$D$33,0,IF(W45=0,$J$14,IFERROR(SUMIF(INDIRECT("'"&amp;$G$14&amp;"'!$C$37:$C$52"),W45,INDIRECT("'"&amp;$G$14&amp;"'!$E$37:$E$52")),0))))</f>
        <v>5681473.8</v>
      </c>
      <c r="AF45" s="183" t="n">
        <f aca="true">IF($G$15="",0,AF44+IF(W45&gt;'General Information'!$D$33,0,IF(W45=0,$J$15,IFERROR(SUMIF(INDIRECT("'"&amp;$G$15&amp;"'!$C$37:$C$52"),W45,INDIRECT("'"&amp;$G$15&amp;"'!$E$37:$E$52")),0))))</f>
        <v>0</v>
      </c>
      <c r="AG45" s="195" t="n">
        <f aca="true">IF($G$12="",0,IF(W45&gt;'General Information'!$D$33,0,IFERROR(SUMIFS(INDIRECT("'"&amp;$G$12&amp;"'!$D$37:$D$52"),INDIRECT("'"&amp;$G$12&amp;"'!$C$37:$C$52"),W45,INDIRECT("'"&amp;$G$12&amp;"'!$B$37:$B$52"),"*Indirect*")/INDIRECT("'"&amp;$G$12&amp;"'!$F$2"),0)))</f>
        <v>6</v>
      </c>
      <c r="AH45" s="195" t="n">
        <f aca="true">IF($G$13="",0,IF(W45&gt;'General Information'!$D$33,0,IFERROR(SUMIFS(INDIRECT("'"&amp;$G$13&amp;"'!$D$37:$D$52"),INDIRECT("'"&amp;$G$13&amp;"'!$C$37:$C$52"),W45,INDIRECT("'"&amp;$G$13&amp;"'!$B$37:$B$52"),"*Indirect*")/INDIRECT("'"&amp;$G$13&amp;"'!$F$2"),0)))</f>
        <v>0</v>
      </c>
      <c r="AI45" s="195" t="n">
        <f aca="true">IF($G$14="",0,IF(W45&gt;'General Information'!$D$33,0,IFERROR(SUMIFS(INDIRECT("'"&amp;$G$14&amp;"'!$D$37:$D$52"),INDIRECT("'"&amp;$G$14&amp;"'!$C$37:$C$52"),W45,INDIRECT("'"&amp;$G$14&amp;"'!$B$37:$B$52"),"*Indirect*")/INDIRECT("'"&amp;$G$14&amp;"'!$F$2"),0)))</f>
        <v>0</v>
      </c>
      <c r="AJ45" s="195" t="n">
        <f aca="true">IF($G$15="",0,IF(W45&gt;'General Information'!$D$33,0,IFERROR(SUMIFS(INDIRECT("'"&amp;$G$15&amp;"'!$D$37:$D$52"),INDIRECT("'"&amp;$G$15&amp;"'!$C$37:$C$52"),W45,INDIRECT("'"&amp;$G$15&amp;"'!$B$37:$B$52"),"*Indirect*")/INDIRECT("'"&amp;$G$15&amp;"'!$F$2"),0)))</f>
        <v>0</v>
      </c>
    </row>
    <row r="46" customFormat="false" ht="15" hidden="false" customHeight="false" outlineLevel="0" collapsed="false">
      <c r="G46" s="196" t="s">
        <v>796</v>
      </c>
      <c r="W46" s="182" t="n">
        <v>5</v>
      </c>
      <c r="X46" s="182" t="n">
        <f aca="false">'General Information'!$D$25+W46</f>
        <v>2033</v>
      </c>
      <c r="Y46" s="183" t="n">
        <f aca="true">IF($G$12="",0,IF(W46&gt;'General Information'!$D$33,0,IF(W46=0,$J$12,IFERROR(SUMIF(INDIRECT("'"&amp;$G$12&amp;"'!$C$37:$C$52"),W46,INDIRECT("'"&amp;$G$12&amp;"'!$D$37:$D$52")),0))))</f>
        <v>0</v>
      </c>
      <c r="Z46" s="183" t="n">
        <f aca="true">IF($G$13="",0,IF(W46&gt;'General Information'!$D$33,0,IF(W46=0,$J$13,IFERROR(SUMIF(INDIRECT("'"&amp;$G$13&amp;"'!$C$37:$C$52"),W46,INDIRECT("'"&amp;$G$13&amp;"'!$D$37:$D$52")),0))))</f>
        <v>0</v>
      </c>
      <c r="AA46" s="183" t="n">
        <f aca="true">IF($G$14="",0,IF(W46&gt;'General Information'!$D$33,0,IF(W46=0,$J$14,IFERROR(SUMIF(INDIRECT("'"&amp;$G$14&amp;"'!$C$37:$C$52"),W46,INDIRECT("'"&amp;$G$14&amp;"'!$D$37:$D$52")),0))))</f>
        <v>0</v>
      </c>
      <c r="AB46" s="183" t="n">
        <f aca="true">IF($G$15="",0,IF(W46&gt;'General Information'!$D$33,0,IF(W46=0,$J$15,IFERROR(SUMIF(INDIRECT("'"&amp;$G$15&amp;"'!$C$37:$C$52"),W46,INDIRECT("'"&amp;$G$15&amp;"'!$D$37:$D$52")),0))))</f>
        <v>0</v>
      </c>
      <c r="AC46" s="183" t="n">
        <f aca="true">IF($G$12="",0,AC45+IF(W46&gt;'General Information'!$D$33,0,IF(W46=0,$J$12,IFERROR(SUMIF(INDIRECT("'"&amp;$G$12&amp;"'!$C$37:$C$52"),W46,INDIRECT("'"&amp;$G$12&amp;"'!$E$37:$E$52")),0))))</f>
        <v>4519754.43852127</v>
      </c>
      <c r="AD46" s="183" t="n">
        <f aca="true">IF($G$13="",0,AD45+IF(W46&gt;'General Information'!$D$33,0,IF(W46=0,$J$13,IFERROR(SUMIF(INDIRECT("'"&amp;$G$13&amp;"'!$C$37:$C$52"),W46,INDIRECT("'"&amp;$G$13&amp;"'!$E$37:$E$52")),0))))</f>
        <v>5918906.25</v>
      </c>
      <c r="AE46" s="183" t="n">
        <f aca="true">IF($G$14="",0,AE45+IF(W46&gt;'General Information'!$D$33,0,IF(W46=0,$J$14,IFERROR(SUMIF(INDIRECT("'"&amp;$G$14&amp;"'!$C$37:$C$52"),W46,INDIRECT("'"&amp;$G$14&amp;"'!$E$37:$E$52")),0))))</f>
        <v>5681473.8</v>
      </c>
      <c r="AF46" s="183" t="n">
        <f aca="true">IF($G$15="",0,AF45+IF(W46&gt;'General Information'!$D$33,0,IF(W46=0,$J$15,IFERROR(SUMIF(INDIRECT("'"&amp;$G$15&amp;"'!$C$37:$C$52"),W46,INDIRECT("'"&amp;$G$15&amp;"'!$E$37:$E$52")),0))))</f>
        <v>0</v>
      </c>
      <c r="AG46" s="195" t="n">
        <f aca="true">IF($G$12="",0,IF(W46&gt;'General Information'!$D$33,0,IFERROR(SUMIFS(INDIRECT("'"&amp;$G$12&amp;"'!$D$37:$D$52"),INDIRECT("'"&amp;$G$12&amp;"'!$C$37:$C$52"),W46,INDIRECT("'"&amp;$G$12&amp;"'!$B$37:$B$52"),"*Indirect*")/INDIRECT("'"&amp;$G$12&amp;"'!$F$2"),0)))</f>
        <v>0</v>
      </c>
      <c r="AH46" s="195" t="n">
        <f aca="true">IF($G$13="",0,IF(W46&gt;'General Information'!$D$33,0,IFERROR(SUMIFS(INDIRECT("'"&amp;$G$13&amp;"'!$D$37:$D$52"),INDIRECT("'"&amp;$G$13&amp;"'!$C$37:$C$52"),W46,INDIRECT("'"&amp;$G$13&amp;"'!$B$37:$B$52"),"*Indirect*")/INDIRECT("'"&amp;$G$13&amp;"'!$F$2"),0)))</f>
        <v>0</v>
      </c>
      <c r="AI46" s="195" t="n">
        <f aca="true">IF($G$14="",0,IF(W46&gt;'General Information'!$D$33,0,IFERROR(SUMIFS(INDIRECT("'"&amp;$G$14&amp;"'!$D$37:$D$52"),INDIRECT("'"&amp;$G$14&amp;"'!$C$37:$C$52"),W46,INDIRECT("'"&amp;$G$14&amp;"'!$B$37:$B$52"),"*Indirect*")/INDIRECT("'"&amp;$G$14&amp;"'!$F$2"),0)))</f>
        <v>0</v>
      </c>
      <c r="AJ46" s="195" t="n">
        <f aca="true">IF($G$15="",0,IF(W46&gt;'General Information'!$D$33,0,IFERROR(SUMIFS(INDIRECT("'"&amp;$G$15&amp;"'!$D$37:$D$52"),INDIRECT("'"&amp;$G$15&amp;"'!$C$37:$C$52"),W46,INDIRECT("'"&amp;$G$15&amp;"'!$B$37:$B$52"),"*Indirect*")/INDIRECT("'"&amp;$G$15&amp;"'!$F$2"),0)))</f>
        <v>0</v>
      </c>
    </row>
    <row r="47" customFormat="false" ht="15" hidden="false" customHeight="false" outlineLevel="0" collapsed="false">
      <c r="W47" s="182" t="n">
        <v>6</v>
      </c>
      <c r="X47" s="182" t="n">
        <f aca="false">'General Information'!$D$25+W47</f>
        <v>2034</v>
      </c>
      <c r="Y47" s="183" t="n">
        <f aca="true">IF($G$12="",0,IF(W47&gt;'General Information'!$D$33,0,IF(W47=0,$J$12,IFERROR(SUMIF(INDIRECT("'"&amp;$G$12&amp;"'!$C$37:$C$52"),W47,INDIRECT("'"&amp;$G$12&amp;"'!$D$37:$D$52")),0))))</f>
        <v>0</v>
      </c>
      <c r="Z47" s="183" t="n">
        <f aca="true">IF($G$13="",0,IF(W47&gt;'General Information'!$D$33,0,IF(W47=0,$J$13,IFERROR(SUMIF(INDIRECT("'"&amp;$G$13&amp;"'!$C$37:$C$52"),W47,INDIRECT("'"&amp;$G$13&amp;"'!$D$37:$D$52")),0))))</f>
        <v>0</v>
      </c>
      <c r="AA47" s="183" t="n">
        <f aca="true">IF($G$14="",0,IF(W47&gt;'General Information'!$D$33,0,IF(W47=0,$J$14,IFERROR(SUMIF(INDIRECT("'"&amp;$G$14&amp;"'!$C$37:$C$52"),W47,INDIRECT("'"&amp;$G$14&amp;"'!$D$37:$D$52")),0))))</f>
        <v>0</v>
      </c>
      <c r="AB47" s="183" t="n">
        <f aca="true">IF($G$15="",0,IF(W47&gt;'General Information'!$D$33,0,IF(W47=0,$J$15,IFERROR(SUMIF(INDIRECT("'"&amp;$G$15&amp;"'!$C$37:$C$52"),W47,INDIRECT("'"&amp;$G$15&amp;"'!$D$37:$D$52")),0))))</f>
        <v>0</v>
      </c>
      <c r="AC47" s="183" t="n">
        <f aca="true">IF($G$12="",0,AC46+IF(W47&gt;'General Information'!$D$33,0,IF(W47=0,$J$12,IFERROR(SUMIF(INDIRECT("'"&amp;$G$12&amp;"'!$C$37:$C$52"),W47,INDIRECT("'"&amp;$G$12&amp;"'!$E$37:$E$52")),0))))</f>
        <v>4519754.43852127</v>
      </c>
      <c r="AD47" s="183" t="n">
        <f aca="true">IF($G$13="",0,AD46+IF(W47&gt;'General Information'!$D$33,0,IF(W47=0,$J$13,IFERROR(SUMIF(INDIRECT("'"&amp;$G$13&amp;"'!$C$37:$C$52"),W47,INDIRECT("'"&amp;$G$13&amp;"'!$E$37:$E$52")),0))))</f>
        <v>5918906.25</v>
      </c>
      <c r="AE47" s="183" t="n">
        <f aca="true">IF($G$14="",0,AE46+IF(W47&gt;'General Information'!$D$33,0,IF(W47=0,$J$14,IFERROR(SUMIF(INDIRECT("'"&amp;$G$14&amp;"'!$C$37:$C$52"),W47,INDIRECT("'"&amp;$G$14&amp;"'!$E$37:$E$52")),0))))</f>
        <v>5681473.8</v>
      </c>
      <c r="AF47" s="183" t="n">
        <f aca="true">IF($G$15="",0,AF46+IF(W47&gt;'General Information'!$D$33,0,IF(W47=0,$J$15,IFERROR(SUMIF(INDIRECT("'"&amp;$G$15&amp;"'!$C$37:$C$52"),W47,INDIRECT("'"&amp;$G$15&amp;"'!$E$37:$E$52")),0))))</f>
        <v>0</v>
      </c>
      <c r="AG47" s="195" t="n">
        <f aca="true">IF($G$12="",0,IF(W47&gt;'General Information'!$D$33,0,IFERROR(SUMIFS(INDIRECT("'"&amp;$G$12&amp;"'!$D$37:$D$52"),INDIRECT("'"&amp;$G$12&amp;"'!$C$37:$C$52"),W47,INDIRECT("'"&amp;$G$12&amp;"'!$B$37:$B$52"),"*Indirect*")/INDIRECT("'"&amp;$G$12&amp;"'!$F$2"),0)))</f>
        <v>0</v>
      </c>
      <c r="AH47" s="195" t="n">
        <f aca="true">IF($G$13="",0,IF(W47&gt;'General Information'!$D$33,0,IFERROR(SUMIFS(INDIRECT("'"&amp;$G$13&amp;"'!$D$37:$D$52"),INDIRECT("'"&amp;$G$13&amp;"'!$C$37:$C$52"),W47,INDIRECT("'"&amp;$G$13&amp;"'!$B$37:$B$52"),"*Indirect*")/INDIRECT("'"&amp;$G$13&amp;"'!$F$2"),0)))</f>
        <v>0</v>
      </c>
      <c r="AI47" s="195" t="n">
        <f aca="true">IF($G$14="",0,IF(W47&gt;'General Information'!$D$33,0,IFERROR(SUMIFS(INDIRECT("'"&amp;$G$14&amp;"'!$D$37:$D$52"),INDIRECT("'"&amp;$G$14&amp;"'!$C$37:$C$52"),W47,INDIRECT("'"&amp;$G$14&amp;"'!$B$37:$B$52"),"*Indirect*")/INDIRECT("'"&amp;$G$14&amp;"'!$F$2"),0)))</f>
        <v>0</v>
      </c>
      <c r="AJ47" s="195" t="n">
        <f aca="true">IF($G$15="",0,IF(W47&gt;'General Information'!$D$33,0,IFERROR(SUMIFS(INDIRECT("'"&amp;$G$15&amp;"'!$D$37:$D$52"),INDIRECT("'"&amp;$G$15&amp;"'!$C$37:$C$52"),W47,INDIRECT("'"&amp;$G$15&amp;"'!$B$37:$B$52"),"*Indirect*")/INDIRECT("'"&amp;$G$15&amp;"'!$F$2"),0)))</f>
        <v>0</v>
      </c>
    </row>
    <row r="48" customFormat="false" ht="15" hidden="false" customHeight="false" outlineLevel="0" collapsed="false">
      <c r="W48" s="182" t="n">
        <v>7</v>
      </c>
      <c r="X48" s="182" t="n">
        <f aca="false">'General Information'!$D$25+W48</f>
        <v>2035</v>
      </c>
      <c r="Y48" s="183" t="n">
        <f aca="true">IF($G$12="",0,IF(W48&gt;'General Information'!$D$33,0,IF(W48=0,$J$12,IFERROR(SUMIF(INDIRECT("'"&amp;$G$12&amp;"'!$C$37:$C$52"),W48,INDIRECT("'"&amp;$G$12&amp;"'!$D$37:$D$52")),0))))</f>
        <v>0</v>
      </c>
      <c r="Z48" s="183" t="n">
        <f aca="true">IF($G$13="",0,IF(W48&gt;'General Information'!$D$33,0,IF(W48=0,$J$13,IFERROR(SUMIF(INDIRECT("'"&amp;$G$13&amp;"'!$C$37:$C$52"),W48,INDIRECT("'"&amp;$G$13&amp;"'!$D$37:$D$52")),0))))</f>
        <v>0</v>
      </c>
      <c r="AA48" s="183" t="n">
        <f aca="true">IF($G$14="",0,IF(W48&gt;'General Information'!$D$33,0,IF(W48=0,$J$14,IFERROR(SUMIF(INDIRECT("'"&amp;$G$14&amp;"'!$C$37:$C$52"),W48,INDIRECT("'"&amp;$G$14&amp;"'!$D$37:$D$52")),0))))</f>
        <v>0</v>
      </c>
      <c r="AB48" s="183" t="n">
        <f aca="true">IF($G$15="",0,IF(W48&gt;'General Information'!$D$33,0,IF(W48=0,$J$15,IFERROR(SUMIF(INDIRECT("'"&amp;$G$15&amp;"'!$C$37:$C$52"),W48,INDIRECT("'"&amp;$G$15&amp;"'!$D$37:$D$52")),0))))</f>
        <v>0</v>
      </c>
      <c r="AC48" s="183" t="n">
        <f aca="true">IF($G$12="",0,AC47+IF(W48&gt;'General Information'!$D$33,0,IF(W48=0,$J$12,IFERROR(SUMIF(INDIRECT("'"&amp;$G$12&amp;"'!$C$37:$C$52"),W48,INDIRECT("'"&amp;$G$12&amp;"'!$E$37:$E$52")),0))))</f>
        <v>4519754.43852127</v>
      </c>
      <c r="AD48" s="183" t="n">
        <f aca="true">IF($G$13="",0,AD47+IF(W48&gt;'General Information'!$D$33,0,IF(W48=0,$J$13,IFERROR(SUMIF(INDIRECT("'"&amp;$G$13&amp;"'!$C$37:$C$52"),W48,INDIRECT("'"&amp;$G$13&amp;"'!$E$37:$E$52")),0))))</f>
        <v>5918906.25</v>
      </c>
      <c r="AE48" s="183" t="n">
        <f aca="true">IF($G$14="",0,AE47+IF(W48&gt;'General Information'!$D$33,0,IF(W48=0,$J$14,IFERROR(SUMIF(INDIRECT("'"&amp;$G$14&amp;"'!$C$37:$C$52"),W48,INDIRECT("'"&amp;$G$14&amp;"'!$E$37:$E$52")),0))))</f>
        <v>5681473.8</v>
      </c>
      <c r="AF48" s="183" t="n">
        <f aca="true">IF($G$15="",0,AF47+IF(W48&gt;'General Information'!$D$33,0,IF(W48=0,$J$15,IFERROR(SUMIF(INDIRECT("'"&amp;$G$15&amp;"'!$C$37:$C$52"),W48,INDIRECT("'"&amp;$G$15&amp;"'!$E$37:$E$52")),0))))</f>
        <v>0</v>
      </c>
      <c r="AG48" s="195" t="n">
        <f aca="true">IF($G$12="",0,IF(W48&gt;'General Information'!$D$33,0,IFERROR(SUMIFS(INDIRECT("'"&amp;$G$12&amp;"'!$D$37:$D$52"),INDIRECT("'"&amp;$G$12&amp;"'!$C$37:$C$52"),W48,INDIRECT("'"&amp;$G$12&amp;"'!$B$37:$B$52"),"*Indirect*")/INDIRECT("'"&amp;$G$12&amp;"'!$F$2"),0)))</f>
        <v>0</v>
      </c>
      <c r="AH48" s="195" t="n">
        <f aca="true">IF($G$13="",0,IF(W48&gt;'General Information'!$D$33,0,IFERROR(SUMIFS(INDIRECT("'"&amp;$G$13&amp;"'!$D$37:$D$52"),INDIRECT("'"&amp;$G$13&amp;"'!$C$37:$C$52"),W48,INDIRECT("'"&amp;$G$13&amp;"'!$B$37:$B$52"),"*Indirect*")/INDIRECT("'"&amp;$G$13&amp;"'!$F$2"),0)))</f>
        <v>0</v>
      </c>
      <c r="AI48" s="195" t="n">
        <f aca="true">IF($G$14="",0,IF(W48&gt;'General Information'!$D$33,0,IFERROR(SUMIFS(INDIRECT("'"&amp;$G$14&amp;"'!$D$37:$D$52"),INDIRECT("'"&amp;$G$14&amp;"'!$C$37:$C$52"),W48,INDIRECT("'"&amp;$G$14&amp;"'!$B$37:$B$52"),"*Indirect*")/INDIRECT("'"&amp;$G$14&amp;"'!$F$2"),0)))</f>
        <v>0</v>
      </c>
      <c r="AJ48" s="195" t="n">
        <f aca="true">IF($G$15="",0,IF(W48&gt;'General Information'!$D$33,0,IFERROR(SUMIFS(INDIRECT("'"&amp;$G$15&amp;"'!$D$37:$D$52"),INDIRECT("'"&amp;$G$15&amp;"'!$C$37:$C$52"),W48,INDIRECT("'"&amp;$G$15&amp;"'!$B$37:$B$52"),"*Indirect*")/INDIRECT("'"&amp;$G$15&amp;"'!$F$2"),0)))</f>
        <v>0</v>
      </c>
    </row>
    <row r="49" customFormat="false" ht="15" hidden="false" customHeight="false" outlineLevel="0" collapsed="false">
      <c r="W49" s="182" t="n">
        <v>8</v>
      </c>
      <c r="X49" s="182" t="n">
        <f aca="false">'General Information'!$D$25+W49</f>
        <v>2036</v>
      </c>
      <c r="Y49" s="183" t="n">
        <f aca="true">IF($G$12="",0,IF(W49&gt;'General Information'!$D$33,0,IF(W49=0,$J$12,IFERROR(SUMIF(INDIRECT("'"&amp;$G$12&amp;"'!$C$37:$C$52"),W49,INDIRECT("'"&amp;$G$12&amp;"'!$D$37:$D$52")),0))))</f>
        <v>263642.153333333</v>
      </c>
      <c r="Z49" s="183" t="n">
        <f aca="true">IF($G$13="",0,IF(W49&gt;'General Information'!$D$33,0,IF(W49=0,$J$13,IFERROR(SUMIF(INDIRECT("'"&amp;$G$13&amp;"'!$C$37:$C$52"),W49,INDIRECT("'"&amp;$G$13&amp;"'!$D$37:$D$52")),0))))</f>
        <v>0</v>
      </c>
      <c r="AA49" s="183" t="n">
        <f aca="true">IF($G$14="",0,IF(W49&gt;'General Information'!$D$33,0,IF(W49=0,$J$14,IFERROR(SUMIF(INDIRECT("'"&amp;$G$14&amp;"'!$C$37:$C$52"),W49,INDIRECT("'"&amp;$G$14&amp;"'!$D$37:$D$52")),0))))</f>
        <v>0</v>
      </c>
      <c r="AB49" s="183" t="n">
        <f aca="true">IF($G$15="",0,IF(W49&gt;'General Information'!$D$33,0,IF(W49=0,$J$15,IFERROR(SUMIF(INDIRECT("'"&amp;$G$15&amp;"'!$C$37:$C$52"),W49,INDIRECT("'"&amp;$G$15&amp;"'!$D$37:$D$52")),0))))</f>
        <v>0</v>
      </c>
      <c r="AC49" s="183" t="n">
        <f aca="true">IF($G$12="",0,AC48+IF(W49&gt;'General Information'!$D$33,0,IF(W49=0,$J$12,IFERROR(SUMIF(INDIRECT("'"&amp;$G$12&amp;"'!$C$37:$C$52"),W49,INDIRECT("'"&amp;$G$12&amp;"'!$E$37:$E$52")),0))))</f>
        <v>4727875.98891701</v>
      </c>
      <c r="AD49" s="183" t="n">
        <f aca="true">IF($G$13="",0,AD48+IF(W49&gt;'General Information'!$D$33,0,IF(W49=0,$J$13,IFERROR(SUMIF(INDIRECT("'"&amp;$G$13&amp;"'!$C$37:$C$52"),W49,INDIRECT("'"&amp;$G$13&amp;"'!$E$37:$E$52")),0))))</f>
        <v>5918906.25</v>
      </c>
      <c r="AE49" s="183" t="n">
        <f aca="true">IF($G$14="",0,AE48+IF(W49&gt;'General Information'!$D$33,0,IF(W49=0,$J$14,IFERROR(SUMIF(INDIRECT("'"&amp;$G$14&amp;"'!$C$37:$C$52"),W49,INDIRECT("'"&amp;$G$14&amp;"'!$E$37:$E$52")),0))))</f>
        <v>5681473.8</v>
      </c>
      <c r="AF49" s="183" t="n">
        <f aca="true">IF($G$15="",0,AF48+IF(W49&gt;'General Information'!$D$33,0,IF(W49=0,$J$15,IFERROR(SUMIF(INDIRECT("'"&amp;$G$15&amp;"'!$C$37:$C$52"),W49,INDIRECT("'"&amp;$G$15&amp;"'!$E$37:$E$52")),0))))</f>
        <v>0</v>
      </c>
      <c r="AG49" s="195" t="n">
        <f aca="true">IF($G$12="",0,IF(W49&gt;'General Information'!$D$33,0,IFERROR(SUMIFS(INDIRECT("'"&amp;$G$12&amp;"'!$D$37:$D$52"),INDIRECT("'"&amp;$G$12&amp;"'!$C$37:$C$52"),W49,INDIRECT("'"&amp;$G$12&amp;"'!$B$37:$B$52"),"*Indirect*")/INDIRECT("'"&amp;$G$12&amp;"'!$F$2"),0)))</f>
        <v>6</v>
      </c>
      <c r="AH49" s="195" t="n">
        <f aca="true">IF($G$13="",0,IF(W49&gt;'General Information'!$D$33,0,IFERROR(SUMIFS(INDIRECT("'"&amp;$G$13&amp;"'!$D$37:$D$52"),INDIRECT("'"&amp;$G$13&amp;"'!$C$37:$C$52"),W49,INDIRECT("'"&amp;$G$13&amp;"'!$B$37:$B$52"),"*Indirect*")/INDIRECT("'"&amp;$G$13&amp;"'!$F$2"),0)))</f>
        <v>0</v>
      </c>
      <c r="AI49" s="195" t="n">
        <f aca="true">IF($G$14="",0,IF(W49&gt;'General Information'!$D$33,0,IFERROR(SUMIFS(INDIRECT("'"&amp;$G$14&amp;"'!$D$37:$D$52"),INDIRECT("'"&amp;$G$14&amp;"'!$C$37:$C$52"),W49,INDIRECT("'"&amp;$G$14&amp;"'!$B$37:$B$52"),"*Indirect*")/INDIRECT("'"&amp;$G$14&amp;"'!$F$2"),0)))</f>
        <v>0</v>
      </c>
      <c r="AJ49" s="195" t="n">
        <f aca="true">IF($G$15="",0,IF(W49&gt;'General Information'!$D$33,0,IFERROR(SUMIFS(INDIRECT("'"&amp;$G$15&amp;"'!$D$37:$D$52"),INDIRECT("'"&amp;$G$15&amp;"'!$C$37:$C$52"),W49,INDIRECT("'"&amp;$G$15&amp;"'!$B$37:$B$52"),"*Indirect*")/INDIRECT("'"&amp;$G$15&amp;"'!$F$2"),0)))</f>
        <v>0</v>
      </c>
    </row>
    <row r="50" customFormat="false" ht="15" hidden="false" customHeight="false" outlineLevel="0" collapsed="false">
      <c r="W50" s="182" t="n">
        <v>9</v>
      </c>
      <c r="X50" s="182" t="n">
        <f aca="false">'General Information'!$D$25+W50</f>
        <v>2037</v>
      </c>
      <c r="Y50" s="183" t="n">
        <f aca="true">IF($G$12="",0,IF(W50&gt;'General Information'!$D$33,0,IF(W50=0,$J$12,IFERROR(SUMIF(INDIRECT("'"&amp;$G$12&amp;"'!$C$37:$C$52"),W50,INDIRECT("'"&amp;$G$12&amp;"'!$D$37:$D$52")),0))))</f>
        <v>0</v>
      </c>
      <c r="Z50" s="183" t="n">
        <f aca="true">IF($G$13="",0,IF(W50&gt;'General Information'!$D$33,0,IF(W50=0,$J$13,IFERROR(SUMIF(INDIRECT("'"&amp;$G$13&amp;"'!$C$37:$C$52"),W50,INDIRECT("'"&amp;$G$13&amp;"'!$D$37:$D$52")),0))))</f>
        <v>0</v>
      </c>
      <c r="AA50" s="183" t="n">
        <f aca="true">IF($G$14="",0,IF(W50&gt;'General Information'!$D$33,0,IF(W50=0,$J$14,IFERROR(SUMIF(INDIRECT("'"&amp;$G$14&amp;"'!$C$37:$C$52"),W50,INDIRECT("'"&amp;$G$14&amp;"'!$D$37:$D$52")),0))))</f>
        <v>0</v>
      </c>
      <c r="AB50" s="183" t="n">
        <f aca="true">IF($G$15="",0,IF(W50&gt;'General Information'!$D$33,0,IF(W50=0,$J$15,IFERROR(SUMIF(INDIRECT("'"&amp;$G$15&amp;"'!$C$37:$C$52"),W50,INDIRECT("'"&amp;$G$15&amp;"'!$D$37:$D$52")),0))))</f>
        <v>0</v>
      </c>
      <c r="AC50" s="183" t="n">
        <f aca="true">IF($G$12="",0,AC49+IF(W50&gt;'General Information'!$D$33,0,IF(W50=0,$J$12,IFERROR(SUMIF(INDIRECT("'"&amp;$G$12&amp;"'!$C$37:$C$52"),W50,INDIRECT("'"&amp;$G$12&amp;"'!$E$37:$E$52")),0))))</f>
        <v>4727875.98891701</v>
      </c>
      <c r="AD50" s="183" t="n">
        <f aca="true">IF($G$13="",0,AD49+IF(W50&gt;'General Information'!$D$33,0,IF(W50=0,$J$13,IFERROR(SUMIF(INDIRECT("'"&amp;$G$13&amp;"'!$C$37:$C$52"),W50,INDIRECT("'"&amp;$G$13&amp;"'!$E$37:$E$52")),0))))</f>
        <v>5918906.25</v>
      </c>
      <c r="AE50" s="183" t="n">
        <f aca="true">IF($G$14="",0,AE49+IF(W50&gt;'General Information'!$D$33,0,IF(W50=0,$J$14,IFERROR(SUMIF(INDIRECT("'"&amp;$G$14&amp;"'!$C$37:$C$52"),W50,INDIRECT("'"&amp;$G$14&amp;"'!$E$37:$E$52")),0))))</f>
        <v>5681473.8</v>
      </c>
      <c r="AF50" s="183" t="n">
        <f aca="true">IF($G$15="",0,AF49+IF(W50&gt;'General Information'!$D$33,0,IF(W50=0,$J$15,IFERROR(SUMIF(INDIRECT("'"&amp;$G$15&amp;"'!$C$37:$C$52"),W50,INDIRECT("'"&amp;$G$15&amp;"'!$E$37:$E$52")),0))))</f>
        <v>0</v>
      </c>
      <c r="AG50" s="195" t="n">
        <f aca="true">IF($G$12="",0,IF(W50&gt;'General Information'!$D$33,0,IFERROR(SUMIFS(INDIRECT("'"&amp;$G$12&amp;"'!$D$37:$D$52"),INDIRECT("'"&amp;$G$12&amp;"'!$C$37:$C$52"),W50,INDIRECT("'"&amp;$G$12&amp;"'!$B$37:$B$52"),"*Indirect*")/INDIRECT("'"&amp;$G$12&amp;"'!$F$2"),0)))</f>
        <v>0</v>
      </c>
      <c r="AH50" s="195" t="n">
        <f aca="true">IF($G$13="",0,IF(W50&gt;'General Information'!$D$33,0,IFERROR(SUMIFS(INDIRECT("'"&amp;$G$13&amp;"'!$D$37:$D$52"),INDIRECT("'"&amp;$G$13&amp;"'!$C$37:$C$52"),W50,INDIRECT("'"&amp;$G$13&amp;"'!$B$37:$B$52"),"*Indirect*")/INDIRECT("'"&amp;$G$13&amp;"'!$F$2"),0)))</f>
        <v>0</v>
      </c>
      <c r="AI50" s="195" t="n">
        <f aca="true">IF($G$14="",0,IF(W50&gt;'General Information'!$D$33,0,IFERROR(SUMIFS(INDIRECT("'"&amp;$G$14&amp;"'!$D$37:$D$52"),INDIRECT("'"&amp;$G$14&amp;"'!$C$37:$C$52"),W50,INDIRECT("'"&amp;$G$14&amp;"'!$B$37:$B$52"),"*Indirect*")/INDIRECT("'"&amp;$G$14&amp;"'!$F$2"),0)))</f>
        <v>0</v>
      </c>
      <c r="AJ50" s="195" t="n">
        <f aca="true">IF($G$15="",0,IF(W50&gt;'General Information'!$D$33,0,IFERROR(SUMIFS(INDIRECT("'"&amp;$G$15&amp;"'!$D$37:$D$52"),INDIRECT("'"&amp;$G$15&amp;"'!$C$37:$C$52"),W50,INDIRECT("'"&amp;$G$15&amp;"'!$B$37:$B$52"),"*Indirect*")/INDIRECT("'"&amp;$G$15&amp;"'!$F$2"),0)))</f>
        <v>0</v>
      </c>
    </row>
    <row r="51" customFormat="false" ht="15" hidden="false" customHeight="false" outlineLevel="0" collapsed="false">
      <c r="W51" s="182" t="n">
        <v>10</v>
      </c>
      <c r="X51" s="182" t="n">
        <f aca="false">'General Information'!$D$25+W51</f>
        <v>2038</v>
      </c>
      <c r="Y51" s="183" t="n">
        <f aca="true">IF($G$12="",0,IF(W51&gt;'General Information'!$D$33,0,IF(W51=0,$J$12,IFERROR(SUMIF(INDIRECT("'"&amp;$G$12&amp;"'!$C$37:$C$52"),W51,INDIRECT("'"&amp;$G$12&amp;"'!$D$37:$D$52")),0))))</f>
        <v>0</v>
      </c>
      <c r="Z51" s="183" t="n">
        <f aca="true">IF($G$13="",0,IF(W51&gt;'General Information'!$D$33,0,IF(W51=0,$J$13,IFERROR(SUMIF(INDIRECT("'"&amp;$G$13&amp;"'!$C$37:$C$52"),W51,INDIRECT("'"&amp;$G$13&amp;"'!$D$37:$D$52")),0))))</f>
        <v>0</v>
      </c>
      <c r="AA51" s="183" t="n">
        <f aca="true">IF($G$14="",0,IF(W51&gt;'General Information'!$D$33,0,IF(W51=0,$J$14,IFERROR(SUMIF(INDIRECT("'"&amp;$G$14&amp;"'!$C$37:$C$52"),W51,INDIRECT("'"&amp;$G$14&amp;"'!$D$37:$D$52")),0))))</f>
        <v>0</v>
      </c>
      <c r="AB51" s="183" t="n">
        <f aca="true">IF($G$15="",0,IF(W51&gt;'General Information'!$D$33,0,IF(W51=0,$J$15,IFERROR(SUMIF(INDIRECT("'"&amp;$G$15&amp;"'!$C$37:$C$52"),W51,INDIRECT("'"&amp;$G$15&amp;"'!$D$37:$D$52")),0))))</f>
        <v>0</v>
      </c>
      <c r="AC51" s="183" t="n">
        <f aca="true">IF($G$12="",0,AC50+IF(W51&gt;'General Information'!$D$33,0,IF(W51=0,$J$12,IFERROR(SUMIF(INDIRECT("'"&amp;$G$12&amp;"'!$C$37:$C$52"),W51,INDIRECT("'"&amp;$G$12&amp;"'!$E$37:$E$52")),0))))</f>
        <v>4727875.98891701</v>
      </c>
      <c r="AD51" s="183" t="n">
        <f aca="true">IF($G$13="",0,AD50+IF(W51&gt;'General Information'!$D$33,0,IF(W51=0,$J$13,IFERROR(SUMIF(INDIRECT("'"&amp;$G$13&amp;"'!$C$37:$C$52"),W51,INDIRECT("'"&amp;$G$13&amp;"'!$E$37:$E$52")),0))))</f>
        <v>5918906.25</v>
      </c>
      <c r="AE51" s="183" t="n">
        <f aca="true">IF($G$14="",0,AE50+IF(W51&gt;'General Information'!$D$33,0,IF(W51=0,$J$14,IFERROR(SUMIF(INDIRECT("'"&amp;$G$14&amp;"'!$C$37:$C$52"),W51,INDIRECT("'"&amp;$G$14&amp;"'!$E$37:$E$52")),0))))</f>
        <v>5681473.8</v>
      </c>
      <c r="AF51" s="183" t="n">
        <f aca="true">IF($G$15="",0,AF50+IF(W51&gt;'General Information'!$D$33,0,IF(W51=0,$J$15,IFERROR(SUMIF(INDIRECT("'"&amp;$G$15&amp;"'!$C$37:$C$52"),W51,INDIRECT("'"&amp;$G$15&amp;"'!$E$37:$E$52")),0))))</f>
        <v>0</v>
      </c>
      <c r="AG51" s="195" t="n">
        <f aca="true">IF($G$12="",0,IF(W51&gt;'General Information'!$D$33,0,IFERROR(SUMIFS(INDIRECT("'"&amp;$G$12&amp;"'!$D$37:$D$52"),INDIRECT("'"&amp;$G$12&amp;"'!$C$37:$C$52"),W51,INDIRECT("'"&amp;$G$12&amp;"'!$B$37:$B$52"),"*Indirect*")/INDIRECT("'"&amp;$G$12&amp;"'!$F$2"),0)))</f>
        <v>0</v>
      </c>
      <c r="AH51" s="195" t="n">
        <f aca="true">IF($G$13="",0,IF(W51&gt;'General Information'!$D$33,0,IFERROR(SUMIFS(INDIRECT("'"&amp;$G$13&amp;"'!$D$37:$D$52"),INDIRECT("'"&amp;$G$13&amp;"'!$C$37:$C$52"),W51,INDIRECT("'"&amp;$G$13&amp;"'!$B$37:$B$52"),"*Indirect*")/INDIRECT("'"&amp;$G$13&amp;"'!$F$2"),0)))</f>
        <v>0</v>
      </c>
      <c r="AI51" s="195" t="n">
        <f aca="true">IF($G$14="",0,IF(W51&gt;'General Information'!$D$33,0,IFERROR(SUMIFS(INDIRECT("'"&amp;$G$14&amp;"'!$D$37:$D$52"),INDIRECT("'"&amp;$G$14&amp;"'!$C$37:$C$52"),W51,INDIRECT("'"&amp;$G$14&amp;"'!$B$37:$B$52"),"*Indirect*")/INDIRECT("'"&amp;$G$14&amp;"'!$F$2"),0)))</f>
        <v>0</v>
      </c>
      <c r="AJ51" s="195" t="n">
        <f aca="true">IF($G$15="",0,IF(W51&gt;'General Information'!$D$33,0,IFERROR(SUMIFS(INDIRECT("'"&amp;$G$15&amp;"'!$D$37:$D$52"),INDIRECT("'"&amp;$G$15&amp;"'!$C$37:$C$52"),W51,INDIRECT("'"&amp;$G$15&amp;"'!$B$37:$B$52"),"*Indirect*")/INDIRECT("'"&amp;$G$15&amp;"'!$F$2"),0)))</f>
        <v>0</v>
      </c>
    </row>
    <row r="52" customFormat="false" ht="15" hidden="false" customHeight="false" outlineLevel="0" collapsed="false">
      <c r="W52" s="182" t="n">
        <v>11</v>
      </c>
      <c r="X52" s="182" t="n">
        <f aca="false">'General Information'!$D$25+W52</f>
        <v>2039</v>
      </c>
      <c r="Y52" s="183" t="n">
        <f aca="true">IF($G$12="",0,IF(W52&gt;'General Information'!$D$33,0,IF(W52=0,$J$12,IFERROR(SUMIF(INDIRECT("'"&amp;$G$12&amp;"'!$C$37:$C$52"),W52,INDIRECT("'"&amp;$G$12&amp;"'!$D$37:$D$52")),0))))</f>
        <v>0</v>
      </c>
      <c r="Z52" s="183" t="n">
        <f aca="true">IF($G$13="",0,IF(W52&gt;'General Information'!$D$33,0,IF(W52=0,$J$13,IFERROR(SUMIF(INDIRECT("'"&amp;$G$13&amp;"'!$C$37:$C$52"),W52,INDIRECT("'"&amp;$G$13&amp;"'!$D$37:$D$52")),0))))</f>
        <v>0</v>
      </c>
      <c r="AA52" s="183" t="n">
        <f aca="true">IF($G$14="",0,IF(W52&gt;'General Information'!$D$33,0,IF(W52=0,$J$14,IFERROR(SUMIF(INDIRECT("'"&amp;$G$14&amp;"'!$C$37:$C$52"),W52,INDIRECT("'"&amp;$G$14&amp;"'!$D$37:$D$52")),0))))</f>
        <v>0</v>
      </c>
      <c r="AB52" s="183" t="n">
        <f aca="true">IF($G$15="",0,IF(W52&gt;'General Information'!$D$33,0,IF(W52=0,$J$15,IFERROR(SUMIF(INDIRECT("'"&amp;$G$15&amp;"'!$C$37:$C$52"),W52,INDIRECT("'"&amp;$G$15&amp;"'!$D$37:$D$52")),0))))</f>
        <v>0</v>
      </c>
      <c r="AC52" s="183" t="n">
        <f aca="true">IF($G$12="",0,AC51+IF(W52&gt;'General Information'!$D$33,0,IF(W52=0,$J$12,IFERROR(SUMIF(INDIRECT("'"&amp;$G$12&amp;"'!$C$37:$C$52"),W52,INDIRECT("'"&amp;$G$12&amp;"'!$E$37:$E$52")),0))))</f>
        <v>4727875.98891701</v>
      </c>
      <c r="AD52" s="183" t="n">
        <f aca="true">IF($G$13="",0,AD51+IF(W52&gt;'General Information'!$D$33,0,IF(W52=0,$J$13,IFERROR(SUMIF(INDIRECT("'"&amp;$G$13&amp;"'!$C$37:$C$52"),W52,INDIRECT("'"&amp;$G$13&amp;"'!$E$37:$E$52")),0))))</f>
        <v>5918906.25</v>
      </c>
      <c r="AE52" s="183" t="n">
        <f aca="true">IF($G$14="",0,AE51+IF(W52&gt;'General Information'!$D$33,0,IF(W52=0,$J$14,IFERROR(SUMIF(INDIRECT("'"&amp;$G$14&amp;"'!$C$37:$C$52"),W52,INDIRECT("'"&amp;$G$14&amp;"'!$E$37:$E$52")),0))))</f>
        <v>5681473.8</v>
      </c>
      <c r="AF52" s="183" t="n">
        <f aca="true">IF($G$15="",0,AF51+IF(W52&gt;'General Information'!$D$33,0,IF(W52=0,$J$15,IFERROR(SUMIF(INDIRECT("'"&amp;$G$15&amp;"'!$C$37:$C$52"),W52,INDIRECT("'"&amp;$G$15&amp;"'!$E$37:$E$52")),0))))</f>
        <v>0</v>
      </c>
      <c r="AG52" s="195" t="n">
        <f aca="true">IF($G$12="",0,IF(W52&gt;'General Information'!$D$33,0,IFERROR(SUMIFS(INDIRECT("'"&amp;$G$12&amp;"'!$D$37:$D$52"),INDIRECT("'"&amp;$G$12&amp;"'!$C$37:$C$52"),W52,INDIRECT("'"&amp;$G$12&amp;"'!$B$37:$B$52"),"*Indirect*")/INDIRECT("'"&amp;$G$12&amp;"'!$F$2"),0)))</f>
        <v>0</v>
      </c>
      <c r="AH52" s="195" t="n">
        <f aca="true">IF($G$13="",0,IF(W52&gt;'General Information'!$D$33,0,IFERROR(SUMIFS(INDIRECT("'"&amp;$G$13&amp;"'!$D$37:$D$52"),INDIRECT("'"&amp;$G$13&amp;"'!$C$37:$C$52"),W52,INDIRECT("'"&amp;$G$13&amp;"'!$B$37:$B$52"),"*Indirect*")/INDIRECT("'"&amp;$G$13&amp;"'!$F$2"),0)))</f>
        <v>0</v>
      </c>
      <c r="AI52" s="195" t="n">
        <f aca="true">IF($G$14="",0,IF(W52&gt;'General Information'!$D$33,0,IFERROR(SUMIFS(INDIRECT("'"&amp;$G$14&amp;"'!$D$37:$D$52"),INDIRECT("'"&amp;$G$14&amp;"'!$C$37:$C$52"),W52,INDIRECT("'"&amp;$G$14&amp;"'!$B$37:$B$52"),"*Indirect*")/INDIRECT("'"&amp;$G$14&amp;"'!$F$2"),0)))</f>
        <v>0</v>
      </c>
      <c r="AJ52" s="195" t="n">
        <f aca="true">IF($G$15="",0,IF(W52&gt;'General Information'!$D$33,0,IFERROR(SUMIFS(INDIRECT("'"&amp;$G$15&amp;"'!$D$37:$D$52"),INDIRECT("'"&amp;$G$15&amp;"'!$C$37:$C$52"),W52,INDIRECT("'"&amp;$G$15&amp;"'!$B$37:$B$52"),"*Indirect*")/INDIRECT("'"&amp;$G$15&amp;"'!$F$2"),0)))</f>
        <v>0</v>
      </c>
    </row>
    <row r="53" customFormat="false" ht="15" hidden="false" customHeight="false" outlineLevel="0" collapsed="false">
      <c r="W53" s="182" t="n">
        <v>12</v>
      </c>
      <c r="X53" s="182" t="n">
        <f aca="false">'General Information'!$D$25+W53</f>
        <v>2040</v>
      </c>
      <c r="Y53" s="183" t="n">
        <f aca="true">IF($G$12="",0,IF(W53&gt;'General Information'!$D$33,0,IF(W53=0,$J$12,IFERROR(SUMIF(INDIRECT("'"&amp;$G$12&amp;"'!$C$37:$C$52"),W53,INDIRECT("'"&amp;$G$12&amp;"'!$D$37:$D$52")),0))))</f>
        <v>366534.246770833</v>
      </c>
      <c r="Z53" s="183" t="n">
        <f aca="true">IF($G$13="",0,IF(W53&gt;'General Information'!$D$33,0,IF(W53=0,$J$13,IFERROR(SUMIF(INDIRECT("'"&amp;$G$13&amp;"'!$C$37:$C$52"),W53,INDIRECT("'"&amp;$G$13&amp;"'!$D$37:$D$52")),0))))</f>
        <v>0</v>
      </c>
      <c r="AA53" s="183" t="n">
        <f aca="true">IF($G$14="",0,IF(W53&gt;'General Information'!$D$33,0,IF(W53=0,$J$14,IFERROR(SUMIF(INDIRECT("'"&amp;$G$14&amp;"'!$C$37:$C$52"),W53,INDIRECT("'"&amp;$G$14&amp;"'!$D$37:$D$52")),0))))</f>
        <v>0</v>
      </c>
      <c r="AB53" s="183" t="n">
        <f aca="true">IF($G$15="",0,IF(W53&gt;'General Information'!$D$33,0,IF(W53=0,$J$15,IFERROR(SUMIF(INDIRECT("'"&amp;$G$15&amp;"'!$C$37:$C$52"),W53,INDIRECT("'"&amp;$G$15&amp;"'!$D$37:$D$52")),0))))</f>
        <v>0</v>
      </c>
      <c r="AC53" s="183" t="n">
        <f aca="true">IF($G$12="",0,AC52+IF(W53&gt;'General Information'!$D$33,0,IF(W53=0,$J$12,IFERROR(SUMIF(INDIRECT("'"&amp;$G$12&amp;"'!$C$37:$C$52"),W53,INDIRECT("'"&amp;$G$12&amp;"'!$E$37:$E$52")),0))))</f>
        <v>4984955.73500376</v>
      </c>
      <c r="AD53" s="183" t="n">
        <f aca="true">IF($G$13="",0,AD52+IF(W53&gt;'General Information'!$D$33,0,IF(W53=0,$J$13,IFERROR(SUMIF(INDIRECT("'"&amp;$G$13&amp;"'!$C$37:$C$52"),W53,INDIRECT("'"&amp;$G$13&amp;"'!$E$37:$E$52")),0))))</f>
        <v>5918906.25</v>
      </c>
      <c r="AE53" s="183" t="n">
        <f aca="true">IF($G$14="",0,AE52+IF(W53&gt;'General Information'!$D$33,0,IF(W53=0,$J$14,IFERROR(SUMIF(INDIRECT("'"&amp;$G$14&amp;"'!$C$37:$C$52"),W53,INDIRECT("'"&amp;$G$14&amp;"'!$E$37:$E$52")),0))))</f>
        <v>5681473.8</v>
      </c>
      <c r="AF53" s="183" t="n">
        <f aca="true">IF($G$15="",0,AF52+IF(W53&gt;'General Information'!$D$33,0,IF(W53=0,$J$15,IFERROR(SUMIF(INDIRECT("'"&amp;$G$15&amp;"'!$C$37:$C$52"),W53,INDIRECT("'"&amp;$G$15&amp;"'!$E$37:$E$52")),0))))</f>
        <v>0</v>
      </c>
      <c r="AG53" s="195" t="n">
        <f aca="true">IF($G$12="",0,IF(W53&gt;'General Information'!$D$33,0,IFERROR(SUMIFS(INDIRECT("'"&amp;$G$12&amp;"'!$D$37:$D$52"),INDIRECT("'"&amp;$G$12&amp;"'!$C$37:$C$52"),W53,INDIRECT("'"&amp;$G$12&amp;"'!$B$37:$B$52"),"*Indirect*")/INDIRECT("'"&amp;$G$12&amp;"'!$F$2"),0)))</f>
        <v>8</v>
      </c>
      <c r="AH53" s="195" t="n">
        <f aca="true">IF($G$13="",0,IF(W53&gt;'General Information'!$D$33,0,IFERROR(SUMIFS(INDIRECT("'"&amp;$G$13&amp;"'!$D$37:$D$52"),INDIRECT("'"&amp;$G$13&amp;"'!$C$37:$C$52"),W53,INDIRECT("'"&amp;$G$13&amp;"'!$B$37:$B$52"),"*Indirect*")/INDIRECT("'"&amp;$G$13&amp;"'!$F$2"),0)))</f>
        <v>0</v>
      </c>
      <c r="AI53" s="195" t="n">
        <f aca="true">IF($G$14="",0,IF(W53&gt;'General Information'!$D$33,0,IFERROR(SUMIFS(INDIRECT("'"&amp;$G$14&amp;"'!$D$37:$D$52"),INDIRECT("'"&amp;$G$14&amp;"'!$C$37:$C$52"),W53,INDIRECT("'"&amp;$G$14&amp;"'!$B$37:$B$52"),"*Indirect*")/INDIRECT("'"&amp;$G$14&amp;"'!$F$2"),0)))</f>
        <v>0</v>
      </c>
      <c r="AJ53" s="195" t="n">
        <f aca="true">IF($G$15="",0,IF(W53&gt;'General Information'!$D$33,0,IFERROR(SUMIFS(INDIRECT("'"&amp;$G$15&amp;"'!$D$37:$D$52"),INDIRECT("'"&amp;$G$15&amp;"'!$C$37:$C$52"),W53,INDIRECT("'"&amp;$G$15&amp;"'!$B$37:$B$52"),"*Indirect*")/INDIRECT("'"&amp;$G$15&amp;"'!$F$2"),0)))</f>
        <v>0</v>
      </c>
    </row>
    <row r="54" customFormat="false" ht="15" hidden="false" customHeight="false" outlineLevel="0" collapsed="false">
      <c r="W54" s="182" t="n">
        <v>13</v>
      </c>
      <c r="X54" s="182" t="n">
        <f aca="false">'General Information'!$D$25+W54</f>
        <v>2041</v>
      </c>
      <c r="Y54" s="183" t="n">
        <f aca="true">IF($G$12="",0,IF(W54&gt;'General Information'!$D$33,0,IF(W54=0,$J$12,IFERROR(SUMIF(INDIRECT("'"&amp;$G$12&amp;"'!$C$37:$C$52"),W54,INDIRECT("'"&amp;$G$12&amp;"'!$D$37:$D$52")),0))))</f>
        <v>0</v>
      </c>
      <c r="Z54" s="183" t="n">
        <f aca="true">IF($G$13="",0,IF(W54&gt;'General Information'!$D$33,0,IF(W54=0,$J$13,IFERROR(SUMIF(INDIRECT("'"&amp;$G$13&amp;"'!$C$37:$C$52"),W54,INDIRECT("'"&amp;$G$13&amp;"'!$D$37:$D$52")),0))))</f>
        <v>0</v>
      </c>
      <c r="AA54" s="183" t="n">
        <f aca="true">IF($G$14="",0,IF(W54&gt;'General Information'!$D$33,0,IF(W54=0,$J$14,IFERROR(SUMIF(INDIRECT("'"&amp;$G$14&amp;"'!$C$37:$C$52"),W54,INDIRECT("'"&amp;$G$14&amp;"'!$D$37:$D$52")),0))))</f>
        <v>0</v>
      </c>
      <c r="AB54" s="183" t="n">
        <f aca="true">IF($G$15="",0,IF(W54&gt;'General Information'!$D$33,0,IF(W54=0,$J$15,IFERROR(SUMIF(INDIRECT("'"&amp;$G$15&amp;"'!$C$37:$C$52"),W54,INDIRECT("'"&amp;$G$15&amp;"'!$D$37:$D$52")),0))))</f>
        <v>0</v>
      </c>
      <c r="AC54" s="183" t="n">
        <f aca="true">IF($G$12="",0,AC53+IF(W54&gt;'General Information'!$D$33,0,IF(W54=0,$J$12,IFERROR(SUMIF(INDIRECT("'"&amp;$G$12&amp;"'!$C$37:$C$52"),W54,INDIRECT("'"&amp;$G$12&amp;"'!$E$37:$E$52")),0))))</f>
        <v>4984955.73500376</v>
      </c>
      <c r="AD54" s="183" t="n">
        <f aca="true">IF($G$13="",0,AD53+IF(W54&gt;'General Information'!$D$33,0,IF(W54=0,$J$13,IFERROR(SUMIF(INDIRECT("'"&amp;$G$13&amp;"'!$C$37:$C$52"),W54,INDIRECT("'"&amp;$G$13&amp;"'!$E$37:$E$52")),0))))</f>
        <v>5918906.25</v>
      </c>
      <c r="AE54" s="183" t="n">
        <f aca="true">IF($G$14="",0,AE53+IF(W54&gt;'General Information'!$D$33,0,IF(W54=0,$J$14,IFERROR(SUMIF(INDIRECT("'"&amp;$G$14&amp;"'!$C$37:$C$52"),W54,INDIRECT("'"&amp;$G$14&amp;"'!$E$37:$E$52")),0))))</f>
        <v>5681473.8</v>
      </c>
      <c r="AF54" s="183" t="n">
        <f aca="true">IF($G$15="",0,AF53+IF(W54&gt;'General Information'!$D$33,0,IF(W54=0,$J$15,IFERROR(SUMIF(INDIRECT("'"&amp;$G$15&amp;"'!$C$37:$C$52"),W54,INDIRECT("'"&amp;$G$15&amp;"'!$E$37:$E$52")),0))))</f>
        <v>0</v>
      </c>
      <c r="AG54" s="195" t="n">
        <f aca="true">IF($G$12="",0,IF(W54&gt;'General Information'!$D$33,0,IFERROR(SUMIFS(INDIRECT("'"&amp;$G$12&amp;"'!$D$37:$D$52"),INDIRECT("'"&amp;$G$12&amp;"'!$C$37:$C$52"),W54,INDIRECT("'"&amp;$G$12&amp;"'!$B$37:$B$52"),"*Indirect*")/INDIRECT("'"&amp;$G$12&amp;"'!$F$2"),0)))</f>
        <v>0</v>
      </c>
      <c r="AH54" s="195" t="n">
        <f aca="true">IF($G$13="",0,IF(W54&gt;'General Information'!$D$33,0,IFERROR(SUMIFS(INDIRECT("'"&amp;$G$13&amp;"'!$D$37:$D$52"),INDIRECT("'"&amp;$G$13&amp;"'!$C$37:$C$52"),W54,INDIRECT("'"&amp;$G$13&amp;"'!$B$37:$B$52"),"*Indirect*")/INDIRECT("'"&amp;$G$13&amp;"'!$F$2"),0)))</f>
        <v>0</v>
      </c>
      <c r="AI54" s="195" t="n">
        <f aca="true">IF($G$14="",0,IF(W54&gt;'General Information'!$D$33,0,IFERROR(SUMIFS(INDIRECT("'"&amp;$G$14&amp;"'!$D$37:$D$52"),INDIRECT("'"&amp;$G$14&amp;"'!$C$37:$C$52"),W54,INDIRECT("'"&amp;$G$14&amp;"'!$B$37:$B$52"),"*Indirect*")/INDIRECT("'"&amp;$G$14&amp;"'!$F$2"),0)))</f>
        <v>0</v>
      </c>
      <c r="AJ54" s="195" t="n">
        <f aca="true">IF($G$15="",0,IF(W54&gt;'General Information'!$D$33,0,IFERROR(SUMIFS(INDIRECT("'"&amp;$G$15&amp;"'!$D$37:$D$52"),INDIRECT("'"&amp;$G$15&amp;"'!$C$37:$C$52"),W54,INDIRECT("'"&amp;$G$15&amp;"'!$B$37:$B$52"),"*Indirect*")/INDIRECT("'"&amp;$G$15&amp;"'!$F$2"),0)))</f>
        <v>0</v>
      </c>
    </row>
    <row r="55" customFormat="false" ht="15" hidden="false" customHeight="false" outlineLevel="0" collapsed="false">
      <c r="W55" s="182" t="n">
        <v>14</v>
      </c>
      <c r="X55" s="182" t="n">
        <f aca="false">'General Information'!$D$25+W55</f>
        <v>2042</v>
      </c>
      <c r="Y55" s="183" t="n">
        <f aca="true">IF($G$12="",0,IF(W55&gt;'General Information'!$D$33,0,IF(W55=0,$J$12,IFERROR(SUMIF(INDIRECT("'"&amp;$G$12&amp;"'!$C$37:$C$52"),W55,INDIRECT("'"&amp;$G$12&amp;"'!$D$37:$D$52")),0))))</f>
        <v>0</v>
      </c>
      <c r="Z55" s="183" t="n">
        <f aca="true">IF($G$13="",0,IF(W55&gt;'General Information'!$D$33,0,IF(W55=0,$J$13,IFERROR(SUMIF(INDIRECT("'"&amp;$G$13&amp;"'!$C$37:$C$52"),W55,INDIRECT("'"&amp;$G$13&amp;"'!$D$37:$D$52")),0))))</f>
        <v>0</v>
      </c>
      <c r="AA55" s="183" t="n">
        <f aca="true">IF($G$14="",0,IF(W55&gt;'General Information'!$D$33,0,IF(W55=0,$J$14,IFERROR(SUMIF(INDIRECT("'"&amp;$G$14&amp;"'!$C$37:$C$52"),W55,INDIRECT("'"&amp;$G$14&amp;"'!$D$37:$D$52")),0))))</f>
        <v>0</v>
      </c>
      <c r="AB55" s="183" t="n">
        <f aca="true">IF($G$15="",0,IF(W55&gt;'General Information'!$D$33,0,IF(W55=0,$J$15,IFERROR(SUMIF(INDIRECT("'"&amp;$G$15&amp;"'!$C$37:$C$52"),W55,INDIRECT("'"&amp;$G$15&amp;"'!$D$37:$D$52")),0))))</f>
        <v>0</v>
      </c>
      <c r="AC55" s="183" t="n">
        <f aca="true">IF($G$12="",0,AC54+IF(W55&gt;'General Information'!$D$33,0,IF(W55=0,$J$12,IFERROR(SUMIF(INDIRECT("'"&amp;$G$12&amp;"'!$C$37:$C$52"),W55,INDIRECT("'"&amp;$G$12&amp;"'!$E$37:$E$52")),0))))</f>
        <v>4984955.73500376</v>
      </c>
      <c r="AD55" s="183" t="n">
        <f aca="true">IF($G$13="",0,AD54+IF(W55&gt;'General Information'!$D$33,0,IF(W55=0,$J$13,IFERROR(SUMIF(INDIRECT("'"&amp;$G$13&amp;"'!$C$37:$C$52"),W55,INDIRECT("'"&amp;$G$13&amp;"'!$E$37:$E$52")),0))))</f>
        <v>5918906.25</v>
      </c>
      <c r="AE55" s="183" t="n">
        <f aca="true">IF($G$14="",0,AE54+IF(W55&gt;'General Information'!$D$33,0,IF(W55=0,$J$14,IFERROR(SUMIF(INDIRECT("'"&amp;$G$14&amp;"'!$C$37:$C$52"),W55,INDIRECT("'"&amp;$G$14&amp;"'!$E$37:$E$52")),0))))</f>
        <v>5681473.8</v>
      </c>
      <c r="AF55" s="183" t="n">
        <f aca="true">IF($G$15="",0,AF54+IF(W55&gt;'General Information'!$D$33,0,IF(W55=0,$J$15,IFERROR(SUMIF(INDIRECT("'"&amp;$G$15&amp;"'!$C$37:$C$52"),W55,INDIRECT("'"&amp;$G$15&amp;"'!$E$37:$E$52")),0))))</f>
        <v>0</v>
      </c>
      <c r="AG55" s="195" t="n">
        <f aca="true">IF($G$12="",0,IF(W55&gt;'General Information'!$D$33,0,IFERROR(SUMIFS(INDIRECT("'"&amp;$G$12&amp;"'!$D$37:$D$52"),INDIRECT("'"&amp;$G$12&amp;"'!$C$37:$C$52"),W55,INDIRECT("'"&amp;$G$12&amp;"'!$B$37:$B$52"),"*Indirect*")/INDIRECT("'"&amp;$G$12&amp;"'!$F$2"),0)))</f>
        <v>0</v>
      </c>
      <c r="AH55" s="195" t="n">
        <f aca="true">IF($G$13="",0,IF(W55&gt;'General Information'!$D$33,0,IFERROR(SUMIFS(INDIRECT("'"&amp;$G$13&amp;"'!$D$37:$D$52"),INDIRECT("'"&amp;$G$13&amp;"'!$C$37:$C$52"),W55,INDIRECT("'"&amp;$G$13&amp;"'!$B$37:$B$52"),"*Indirect*")/INDIRECT("'"&amp;$G$13&amp;"'!$F$2"),0)))</f>
        <v>0</v>
      </c>
      <c r="AI55" s="195" t="n">
        <f aca="true">IF($G$14="",0,IF(W55&gt;'General Information'!$D$33,0,IFERROR(SUMIFS(INDIRECT("'"&amp;$G$14&amp;"'!$D$37:$D$52"),INDIRECT("'"&amp;$G$14&amp;"'!$C$37:$C$52"),W55,INDIRECT("'"&amp;$G$14&amp;"'!$B$37:$B$52"),"*Indirect*")/INDIRECT("'"&amp;$G$14&amp;"'!$F$2"),0)))</f>
        <v>0</v>
      </c>
      <c r="AJ55" s="195" t="n">
        <f aca="true">IF($G$15="",0,IF(W55&gt;'General Information'!$D$33,0,IFERROR(SUMIFS(INDIRECT("'"&amp;$G$15&amp;"'!$D$37:$D$52"),INDIRECT("'"&amp;$G$15&amp;"'!$C$37:$C$52"),W55,INDIRECT("'"&amp;$G$15&amp;"'!$B$37:$B$52"),"*Indirect*")/INDIRECT("'"&amp;$G$15&amp;"'!$F$2"),0)))</f>
        <v>0</v>
      </c>
    </row>
    <row r="56" customFormat="false" ht="15" hidden="false" customHeight="false" outlineLevel="0" collapsed="false">
      <c r="W56" s="182" t="n">
        <v>15</v>
      </c>
      <c r="X56" s="182" t="n">
        <f aca="false">'General Information'!$D$25+W56</f>
        <v>2043</v>
      </c>
      <c r="Y56" s="183" t="n">
        <f aca="true">IF($G$12="",0,IF(W56&gt;'General Information'!$D$33,0,IF(W56=0,$J$12,IFERROR(SUMIF(INDIRECT("'"&amp;$G$12&amp;"'!$C$37:$C$52"),W56,INDIRECT("'"&amp;$G$12&amp;"'!$D$37:$D$52")),0))))</f>
        <v>0</v>
      </c>
      <c r="Z56" s="183" t="n">
        <f aca="true">IF($G$13="",0,IF(W56&gt;'General Information'!$D$33,0,IF(W56=0,$J$13,IFERROR(SUMIF(INDIRECT("'"&amp;$G$13&amp;"'!$C$37:$C$52"),W56,INDIRECT("'"&amp;$G$13&amp;"'!$D$37:$D$52")),0))))</f>
        <v>0</v>
      </c>
      <c r="AA56" s="183" t="n">
        <f aca="true">IF($G$14="",0,IF(W56&gt;'General Information'!$D$33,0,IF(W56=0,$J$14,IFERROR(SUMIF(INDIRECT("'"&amp;$G$14&amp;"'!$C$37:$C$52"),W56,INDIRECT("'"&amp;$G$14&amp;"'!$D$37:$D$52")),0))))</f>
        <v>0</v>
      </c>
      <c r="AB56" s="183" t="n">
        <f aca="true">IF($G$15="",0,IF(W56&gt;'General Information'!$D$33,0,IF(W56=0,$J$15,IFERROR(SUMIF(INDIRECT("'"&amp;$G$15&amp;"'!$C$37:$C$52"),W56,INDIRECT("'"&amp;$G$15&amp;"'!$D$37:$D$52")),0))))</f>
        <v>0</v>
      </c>
      <c r="AC56" s="183" t="n">
        <f aca="true">IF($G$12="",0,AC55+IF(W56&gt;'General Information'!$D$33,0,IF(W56=0,$J$12,IFERROR(SUMIF(INDIRECT("'"&amp;$G$12&amp;"'!$C$37:$C$52"),W56,INDIRECT("'"&amp;$G$12&amp;"'!$E$37:$E$52")),0))))</f>
        <v>4984955.73500376</v>
      </c>
      <c r="AD56" s="183" t="n">
        <f aca="true">IF($G$13="",0,AD55+IF(W56&gt;'General Information'!$D$33,0,IF(W56=0,$J$13,IFERROR(SUMIF(INDIRECT("'"&amp;$G$13&amp;"'!$C$37:$C$52"),W56,INDIRECT("'"&amp;$G$13&amp;"'!$E$37:$E$52")),0))))</f>
        <v>5918906.25</v>
      </c>
      <c r="AE56" s="183" t="n">
        <f aca="true">IF($G$14="",0,AE55+IF(W56&gt;'General Information'!$D$33,0,IF(W56=0,$J$14,IFERROR(SUMIF(INDIRECT("'"&amp;$G$14&amp;"'!$C$37:$C$52"),W56,INDIRECT("'"&amp;$G$14&amp;"'!$E$37:$E$52")),0))))</f>
        <v>5681473.8</v>
      </c>
      <c r="AF56" s="183" t="n">
        <f aca="true">IF($G$15="",0,AF55+IF(W56&gt;'General Information'!$D$33,0,IF(W56=0,$J$15,IFERROR(SUMIF(INDIRECT("'"&amp;$G$15&amp;"'!$C$37:$C$52"),W56,INDIRECT("'"&amp;$G$15&amp;"'!$E$37:$E$52")),0))))</f>
        <v>0</v>
      </c>
      <c r="AG56" s="195" t="n">
        <f aca="true">IF($G$12="",0,IF(W56&gt;'General Information'!$D$33,0,IFERROR(SUMIFS(INDIRECT("'"&amp;$G$12&amp;"'!$D$37:$D$52"),INDIRECT("'"&amp;$G$12&amp;"'!$C$37:$C$52"),W56,INDIRECT("'"&amp;$G$12&amp;"'!$B$37:$B$52"),"*Indirect*")/INDIRECT("'"&amp;$G$12&amp;"'!$F$2"),0)))</f>
        <v>0</v>
      </c>
      <c r="AH56" s="195" t="n">
        <f aca="true">IF($G$13="",0,IF(W56&gt;'General Information'!$D$33,0,IFERROR(SUMIFS(INDIRECT("'"&amp;$G$13&amp;"'!$D$37:$D$52"),INDIRECT("'"&amp;$G$13&amp;"'!$C$37:$C$52"),W56,INDIRECT("'"&amp;$G$13&amp;"'!$B$37:$B$52"),"*Indirect*")/INDIRECT("'"&amp;$G$13&amp;"'!$F$2"),0)))</f>
        <v>0</v>
      </c>
      <c r="AI56" s="195" t="n">
        <f aca="true">IF($G$14="",0,IF(W56&gt;'General Information'!$D$33,0,IFERROR(SUMIFS(INDIRECT("'"&amp;$G$14&amp;"'!$D$37:$D$52"),INDIRECT("'"&amp;$G$14&amp;"'!$C$37:$C$52"),W56,INDIRECT("'"&amp;$G$14&amp;"'!$B$37:$B$52"),"*Indirect*")/INDIRECT("'"&amp;$G$14&amp;"'!$F$2"),0)))</f>
        <v>0</v>
      </c>
      <c r="AJ56" s="195" t="n">
        <f aca="true">IF($G$15="",0,IF(W56&gt;'General Information'!$D$33,0,IFERROR(SUMIFS(INDIRECT("'"&amp;$G$15&amp;"'!$D$37:$D$52"),INDIRECT("'"&amp;$G$15&amp;"'!$C$37:$C$52"),W56,INDIRECT("'"&amp;$G$15&amp;"'!$B$37:$B$52"),"*Indirect*")/INDIRECT("'"&amp;$G$15&amp;"'!$F$2"),0)))</f>
        <v>0</v>
      </c>
    </row>
    <row r="57" customFormat="false" ht="15" hidden="false" customHeight="false" outlineLevel="0" collapsed="false">
      <c r="W57" s="182" t="n">
        <v>16</v>
      </c>
      <c r="X57" s="182" t="n">
        <f aca="false">'General Information'!$D$25+W57</f>
        <v>2044</v>
      </c>
      <c r="Y57" s="183" t="n">
        <f aca="true">IF($G$12="",0,IF(W57&gt;'General Information'!$D$33,0,IF(W57=0,$J$12,IFERROR(SUMIF(INDIRECT("'"&amp;$G$12&amp;"'!$C$37:$C$52"),W57,INDIRECT("'"&amp;$G$12&amp;"'!$D$37:$D$52")),0))))</f>
        <v>381374.529583333</v>
      </c>
      <c r="Z57" s="183" t="n">
        <f aca="true">IF($G$13="",0,IF(W57&gt;'General Information'!$D$33,0,IF(W57=0,$J$13,IFERROR(SUMIF(INDIRECT("'"&amp;$G$13&amp;"'!$C$37:$C$52"),W57,INDIRECT("'"&amp;$G$13&amp;"'!$D$37:$D$52")),0))))</f>
        <v>0</v>
      </c>
      <c r="AA57" s="183" t="n">
        <f aca="true">IF($G$14="",0,IF(W57&gt;'General Information'!$D$33,0,IF(W57=0,$J$14,IFERROR(SUMIF(INDIRECT("'"&amp;$G$14&amp;"'!$C$37:$C$52"),W57,INDIRECT("'"&amp;$G$14&amp;"'!$D$37:$D$52")),0))))</f>
        <v>0</v>
      </c>
      <c r="AB57" s="183" t="n">
        <f aca="true">IF($G$15="",0,IF(W57&gt;'General Information'!$D$33,0,IF(W57=0,$J$15,IFERROR(SUMIF(INDIRECT("'"&amp;$G$15&amp;"'!$C$37:$C$52"),W57,INDIRECT("'"&amp;$G$15&amp;"'!$D$37:$D$52")),0))))</f>
        <v>0</v>
      </c>
      <c r="AC57" s="183" t="n">
        <f aca="true">IF($G$12="",0,AC56+IF(W57&gt;'General Information'!$D$33,0,IF(W57=0,$J$12,IFERROR(SUMIF(INDIRECT("'"&amp;$G$12&amp;"'!$C$37:$C$52"),W57,INDIRECT("'"&amp;$G$12&amp;"'!$E$37:$E$52")),0))))</f>
        <v>5222615.73330072</v>
      </c>
      <c r="AD57" s="183" t="n">
        <f aca="true">IF($G$13="",0,AD56+IF(W57&gt;'General Information'!$D$33,0,IF(W57=0,$J$13,IFERROR(SUMIF(INDIRECT("'"&amp;$G$13&amp;"'!$C$37:$C$52"),W57,INDIRECT("'"&amp;$G$13&amp;"'!$E$37:$E$52")),0))))</f>
        <v>5918906.25</v>
      </c>
      <c r="AE57" s="183" t="n">
        <f aca="true">IF($G$14="",0,AE56+IF(W57&gt;'General Information'!$D$33,0,IF(W57=0,$J$14,IFERROR(SUMIF(INDIRECT("'"&amp;$G$14&amp;"'!$C$37:$C$52"),W57,INDIRECT("'"&amp;$G$14&amp;"'!$E$37:$E$52")),0))))</f>
        <v>5681473.8</v>
      </c>
      <c r="AF57" s="183" t="n">
        <f aca="true">IF($G$15="",0,AF56+IF(W57&gt;'General Information'!$D$33,0,IF(W57=0,$J$15,IFERROR(SUMIF(INDIRECT("'"&amp;$G$15&amp;"'!$C$37:$C$52"),W57,INDIRECT("'"&amp;$G$15&amp;"'!$E$37:$E$52")),0))))</f>
        <v>0</v>
      </c>
      <c r="AG57" s="195" t="n">
        <f aca="true">IF($G$12="",0,IF(W57&gt;'General Information'!$D$33,0,IFERROR(SUMIFS(INDIRECT("'"&amp;$G$12&amp;"'!$D$37:$D$52"),INDIRECT("'"&amp;$G$12&amp;"'!$C$37:$C$52"),W57,INDIRECT("'"&amp;$G$12&amp;"'!$B$37:$B$52"),"*Indirect*")/INDIRECT("'"&amp;$G$12&amp;"'!$F$2"),0)))</f>
        <v>8</v>
      </c>
      <c r="AH57" s="195" t="n">
        <f aca="true">IF($G$13="",0,IF(W57&gt;'General Information'!$D$33,0,IFERROR(SUMIFS(INDIRECT("'"&amp;$G$13&amp;"'!$D$37:$D$52"),INDIRECT("'"&amp;$G$13&amp;"'!$C$37:$C$52"),W57,INDIRECT("'"&amp;$G$13&amp;"'!$B$37:$B$52"),"*Indirect*")/INDIRECT("'"&amp;$G$13&amp;"'!$F$2"),0)))</f>
        <v>0</v>
      </c>
      <c r="AI57" s="195" t="n">
        <f aca="true">IF($G$14="",0,IF(W57&gt;'General Information'!$D$33,0,IFERROR(SUMIFS(INDIRECT("'"&amp;$G$14&amp;"'!$D$37:$D$52"),INDIRECT("'"&amp;$G$14&amp;"'!$C$37:$C$52"),W57,INDIRECT("'"&amp;$G$14&amp;"'!$B$37:$B$52"),"*Indirect*")/INDIRECT("'"&amp;$G$14&amp;"'!$F$2"),0)))</f>
        <v>0</v>
      </c>
      <c r="AJ57" s="195" t="n">
        <f aca="true">IF($G$15="",0,IF(W57&gt;'General Information'!$D$33,0,IFERROR(SUMIFS(INDIRECT("'"&amp;$G$15&amp;"'!$D$37:$D$52"),INDIRECT("'"&amp;$G$15&amp;"'!$C$37:$C$52"),W57,INDIRECT("'"&amp;$G$15&amp;"'!$B$37:$B$52"),"*Indirect*")/INDIRECT("'"&amp;$G$15&amp;"'!$F$2"),0)))</f>
        <v>0</v>
      </c>
    </row>
    <row r="58" customFormat="false" ht="15" hidden="false" customHeight="false" outlineLevel="0" collapsed="false">
      <c r="W58" s="182" t="n">
        <v>17</v>
      </c>
      <c r="X58" s="182" t="n">
        <f aca="false">'General Information'!$D$25+W58</f>
        <v>2045</v>
      </c>
      <c r="Y58" s="183" t="n">
        <f aca="true">IF($G$12="",0,IF(W58&gt;'General Information'!$D$33,0,IF(W58=0,$J$12,IFERROR(SUMIF(INDIRECT("'"&amp;$G$12&amp;"'!$C$37:$C$52"),W58,INDIRECT("'"&amp;$G$12&amp;"'!$D$37:$D$52")),0))))</f>
        <v>0</v>
      </c>
      <c r="Z58" s="183" t="n">
        <f aca="true">IF($G$13="",0,IF(W58&gt;'General Information'!$D$33,0,IF(W58=0,$J$13,IFERROR(SUMIF(INDIRECT("'"&amp;$G$13&amp;"'!$C$37:$C$52"),W58,INDIRECT("'"&amp;$G$13&amp;"'!$D$37:$D$52")),0))))</f>
        <v>0</v>
      </c>
      <c r="AA58" s="183" t="n">
        <f aca="true">IF($G$14="",0,IF(W58&gt;'General Information'!$D$33,0,IF(W58=0,$J$14,IFERROR(SUMIF(INDIRECT("'"&amp;$G$14&amp;"'!$C$37:$C$52"),W58,INDIRECT("'"&amp;$G$14&amp;"'!$D$37:$D$52")),0))))</f>
        <v>0</v>
      </c>
      <c r="AB58" s="183" t="n">
        <f aca="true">IF($G$15="",0,IF(W58&gt;'General Information'!$D$33,0,IF(W58=0,$J$15,IFERROR(SUMIF(INDIRECT("'"&amp;$G$15&amp;"'!$C$37:$C$52"),W58,INDIRECT("'"&amp;$G$15&amp;"'!$D$37:$D$52")),0))))</f>
        <v>0</v>
      </c>
      <c r="AC58" s="183" t="n">
        <f aca="true">IF($G$12="",0,AC57+IF(W58&gt;'General Information'!$D$33,0,IF(W58=0,$J$12,IFERROR(SUMIF(INDIRECT("'"&amp;$G$12&amp;"'!$C$37:$C$52"),W58,INDIRECT("'"&amp;$G$12&amp;"'!$E$37:$E$52")),0))))</f>
        <v>5222615.73330072</v>
      </c>
      <c r="AD58" s="183" t="n">
        <f aca="true">IF($G$13="",0,AD57+IF(W58&gt;'General Information'!$D$33,0,IF(W58=0,$J$13,IFERROR(SUMIF(INDIRECT("'"&amp;$G$13&amp;"'!$C$37:$C$52"),W58,INDIRECT("'"&amp;$G$13&amp;"'!$E$37:$E$52")),0))))</f>
        <v>5918906.25</v>
      </c>
      <c r="AE58" s="183" t="n">
        <f aca="true">IF($G$14="",0,AE57+IF(W58&gt;'General Information'!$D$33,0,IF(W58=0,$J$14,IFERROR(SUMIF(INDIRECT("'"&amp;$G$14&amp;"'!$C$37:$C$52"),W58,INDIRECT("'"&amp;$G$14&amp;"'!$E$37:$E$52")),0))))</f>
        <v>5681473.8</v>
      </c>
      <c r="AF58" s="183" t="n">
        <f aca="true">IF($G$15="",0,AF57+IF(W58&gt;'General Information'!$D$33,0,IF(W58=0,$J$15,IFERROR(SUMIF(INDIRECT("'"&amp;$G$15&amp;"'!$C$37:$C$52"),W58,INDIRECT("'"&amp;$G$15&amp;"'!$E$37:$E$52")),0))))</f>
        <v>0</v>
      </c>
      <c r="AG58" s="195" t="n">
        <f aca="true">IF($G$12="",0,IF(W58&gt;'General Information'!$D$33,0,IFERROR(SUMIFS(INDIRECT("'"&amp;$G$12&amp;"'!$D$37:$D$52"),INDIRECT("'"&amp;$G$12&amp;"'!$C$37:$C$52"),W58,INDIRECT("'"&amp;$G$12&amp;"'!$B$37:$B$52"),"*Indirect*")/INDIRECT("'"&amp;$G$12&amp;"'!$F$2"),0)))</f>
        <v>0</v>
      </c>
      <c r="AH58" s="195" t="n">
        <f aca="true">IF($G$13="",0,IF(W58&gt;'General Information'!$D$33,0,IFERROR(SUMIFS(INDIRECT("'"&amp;$G$13&amp;"'!$D$37:$D$52"),INDIRECT("'"&amp;$G$13&amp;"'!$C$37:$C$52"),W58,INDIRECT("'"&amp;$G$13&amp;"'!$B$37:$B$52"),"*Indirect*")/INDIRECT("'"&amp;$G$13&amp;"'!$F$2"),0)))</f>
        <v>0</v>
      </c>
      <c r="AI58" s="195" t="n">
        <f aca="true">IF($G$14="",0,IF(W58&gt;'General Information'!$D$33,0,IFERROR(SUMIFS(INDIRECT("'"&amp;$G$14&amp;"'!$D$37:$D$52"),INDIRECT("'"&amp;$G$14&amp;"'!$C$37:$C$52"),W58,INDIRECT("'"&amp;$G$14&amp;"'!$B$37:$B$52"),"*Indirect*")/INDIRECT("'"&amp;$G$14&amp;"'!$F$2"),0)))</f>
        <v>0</v>
      </c>
      <c r="AJ58" s="195" t="n">
        <f aca="true">IF($G$15="",0,IF(W58&gt;'General Information'!$D$33,0,IFERROR(SUMIFS(INDIRECT("'"&amp;$G$15&amp;"'!$D$37:$D$52"),INDIRECT("'"&amp;$G$15&amp;"'!$C$37:$C$52"),W58,INDIRECT("'"&amp;$G$15&amp;"'!$B$37:$B$52"),"*Indirect*")/INDIRECT("'"&amp;$G$15&amp;"'!$F$2"),0)))</f>
        <v>0</v>
      </c>
    </row>
    <row r="59" customFormat="false" ht="15" hidden="false" customHeight="false" outlineLevel="0" collapsed="false">
      <c r="W59" s="182" t="n">
        <v>18</v>
      </c>
      <c r="X59" s="182" t="n">
        <f aca="false">'General Information'!$D$25+W59</f>
        <v>2046</v>
      </c>
      <c r="Y59" s="183" t="n">
        <f aca="true">IF($G$12="",0,IF(W59&gt;'General Information'!$D$33,0,IF(W59=0,$J$12,IFERROR(SUMIF(INDIRECT("'"&amp;$G$12&amp;"'!$C$37:$C$52"),W59,INDIRECT("'"&amp;$G$12&amp;"'!$D$37:$D$52")),0))))</f>
        <v>0</v>
      </c>
      <c r="Z59" s="183" t="n">
        <f aca="true">IF($G$13="",0,IF(W59&gt;'General Information'!$D$33,0,IF(W59=0,$J$13,IFERROR(SUMIF(INDIRECT("'"&amp;$G$13&amp;"'!$C$37:$C$52"),W59,INDIRECT("'"&amp;$G$13&amp;"'!$D$37:$D$52")),0))))</f>
        <v>0</v>
      </c>
      <c r="AA59" s="183" t="n">
        <f aca="true">IF($G$14="",0,IF(W59&gt;'General Information'!$D$33,0,IF(W59=0,$J$14,IFERROR(SUMIF(INDIRECT("'"&amp;$G$14&amp;"'!$C$37:$C$52"),W59,INDIRECT("'"&amp;$G$14&amp;"'!$D$37:$D$52")),0))))</f>
        <v>0</v>
      </c>
      <c r="AB59" s="183" t="n">
        <f aca="true">IF($G$15="",0,IF(W59&gt;'General Information'!$D$33,0,IF(W59=0,$J$15,IFERROR(SUMIF(INDIRECT("'"&amp;$G$15&amp;"'!$C$37:$C$52"),W59,INDIRECT("'"&amp;$G$15&amp;"'!$D$37:$D$52")),0))))</f>
        <v>0</v>
      </c>
      <c r="AC59" s="183" t="n">
        <f aca="true">IF($G$12="",0,AC58+IF(W59&gt;'General Information'!$D$33,0,IF(W59=0,$J$12,IFERROR(SUMIF(INDIRECT("'"&amp;$G$12&amp;"'!$C$37:$C$52"),W59,INDIRECT("'"&amp;$G$12&amp;"'!$E$37:$E$52")),0))))</f>
        <v>5222615.73330072</v>
      </c>
      <c r="AD59" s="183" t="n">
        <f aca="true">IF($G$13="",0,AD58+IF(W59&gt;'General Information'!$D$33,0,IF(W59=0,$J$13,IFERROR(SUMIF(INDIRECT("'"&amp;$G$13&amp;"'!$C$37:$C$52"),W59,INDIRECT("'"&amp;$G$13&amp;"'!$E$37:$E$52")),0))))</f>
        <v>5918906.25</v>
      </c>
      <c r="AE59" s="183" t="n">
        <f aca="true">IF($G$14="",0,AE58+IF(W59&gt;'General Information'!$D$33,0,IF(W59=0,$J$14,IFERROR(SUMIF(INDIRECT("'"&amp;$G$14&amp;"'!$C$37:$C$52"),W59,INDIRECT("'"&amp;$G$14&amp;"'!$E$37:$E$52")),0))))</f>
        <v>5681473.8</v>
      </c>
      <c r="AF59" s="183" t="n">
        <f aca="true">IF($G$15="",0,AF58+IF(W59&gt;'General Information'!$D$33,0,IF(W59=0,$J$15,IFERROR(SUMIF(INDIRECT("'"&amp;$G$15&amp;"'!$C$37:$C$52"),W59,INDIRECT("'"&amp;$G$15&amp;"'!$E$37:$E$52")),0))))</f>
        <v>0</v>
      </c>
      <c r="AG59" s="195" t="n">
        <f aca="true">IF($G$12="",0,IF(W59&gt;'General Information'!$D$33,0,IFERROR(SUMIFS(INDIRECT("'"&amp;$G$12&amp;"'!$D$37:$D$52"),INDIRECT("'"&amp;$G$12&amp;"'!$C$37:$C$52"),W59,INDIRECT("'"&amp;$G$12&amp;"'!$B$37:$B$52"),"*Indirect*")/INDIRECT("'"&amp;$G$12&amp;"'!$F$2"),0)))</f>
        <v>0</v>
      </c>
      <c r="AH59" s="195" t="n">
        <f aca="true">IF($G$13="",0,IF(W59&gt;'General Information'!$D$33,0,IFERROR(SUMIFS(INDIRECT("'"&amp;$G$13&amp;"'!$D$37:$D$52"),INDIRECT("'"&amp;$G$13&amp;"'!$C$37:$C$52"),W59,INDIRECT("'"&amp;$G$13&amp;"'!$B$37:$B$52"),"*Indirect*")/INDIRECT("'"&amp;$G$13&amp;"'!$F$2"),0)))</f>
        <v>0</v>
      </c>
      <c r="AI59" s="195" t="n">
        <f aca="true">IF($G$14="",0,IF(W59&gt;'General Information'!$D$33,0,IFERROR(SUMIFS(INDIRECT("'"&amp;$G$14&amp;"'!$D$37:$D$52"),INDIRECT("'"&amp;$G$14&amp;"'!$C$37:$C$52"),W59,INDIRECT("'"&amp;$G$14&amp;"'!$B$37:$B$52"),"*Indirect*")/INDIRECT("'"&amp;$G$14&amp;"'!$F$2"),0)))</f>
        <v>0</v>
      </c>
      <c r="AJ59" s="195" t="n">
        <f aca="true">IF($G$15="",0,IF(W59&gt;'General Information'!$D$33,0,IFERROR(SUMIFS(INDIRECT("'"&amp;$G$15&amp;"'!$D$37:$D$52"),INDIRECT("'"&amp;$G$15&amp;"'!$C$37:$C$52"),W59,INDIRECT("'"&amp;$G$15&amp;"'!$B$37:$B$52"),"*Indirect*")/INDIRECT("'"&amp;$G$15&amp;"'!$F$2"),0)))</f>
        <v>0</v>
      </c>
    </row>
    <row r="60" customFormat="false" ht="15" hidden="false" customHeight="false" outlineLevel="0" collapsed="false">
      <c r="W60" s="182" t="n">
        <v>19</v>
      </c>
      <c r="X60" s="182" t="n">
        <f aca="false">'General Information'!$D$25+W60</f>
        <v>2047</v>
      </c>
      <c r="Y60" s="183" t="n">
        <f aca="true">IF($G$12="",0,IF(W60&gt;'General Information'!$D$33,0,IF(W60=0,$J$12,IFERROR(SUMIF(INDIRECT("'"&amp;$G$12&amp;"'!$C$37:$C$52"),W60,INDIRECT("'"&amp;$G$12&amp;"'!$D$37:$D$52")),0))))</f>
        <v>0</v>
      </c>
      <c r="Z60" s="183" t="n">
        <f aca="true">IF($G$13="",0,IF(W60&gt;'General Information'!$D$33,0,IF(W60=0,$J$13,IFERROR(SUMIF(INDIRECT("'"&amp;$G$13&amp;"'!$C$37:$C$52"),W60,INDIRECT("'"&amp;$G$13&amp;"'!$D$37:$D$52")),0))))</f>
        <v>674182.0184</v>
      </c>
      <c r="AA60" s="183" t="n">
        <f aca="true">IF($G$14="",0,IF(W60&gt;'General Information'!$D$33,0,IF(W60=0,$J$14,IFERROR(SUMIF(INDIRECT("'"&amp;$G$14&amp;"'!$C$37:$C$52"),W60,INDIRECT("'"&amp;$G$14&amp;"'!$D$37:$D$52")),0))))</f>
        <v>674182.0184</v>
      </c>
      <c r="AB60" s="183" t="n">
        <f aca="true">IF($G$15="",0,IF(W60&gt;'General Information'!$D$33,0,IF(W60=0,$J$15,IFERROR(SUMIF(INDIRECT("'"&amp;$G$15&amp;"'!$C$37:$C$52"),W60,INDIRECT("'"&amp;$G$15&amp;"'!$D$37:$D$52")),0))))</f>
        <v>0</v>
      </c>
      <c r="AC60" s="183" t="n">
        <f aca="true">IF($G$12="",0,AC59+IF(W60&gt;'General Information'!$D$33,0,IF(W60=0,$J$12,IFERROR(SUMIF(INDIRECT("'"&amp;$G$12&amp;"'!$C$37:$C$52"),W60,INDIRECT("'"&amp;$G$12&amp;"'!$E$37:$E$52")),0))))</f>
        <v>5222615.73330072</v>
      </c>
      <c r="AD60" s="183" t="n">
        <f aca="true">IF($G$13="",0,AD59+IF(W60&gt;'General Information'!$D$33,0,IF(W60=0,$J$13,IFERROR(SUMIF(INDIRECT("'"&amp;$G$13&amp;"'!$C$37:$C$52"),W60,INDIRECT("'"&amp;$G$13&amp;"'!$E$37:$E$52")),0))))</f>
        <v>6303382.83462138</v>
      </c>
      <c r="AE60" s="183" t="n">
        <f aca="true">IF($G$14="",0,AE59+IF(W60&gt;'General Information'!$D$33,0,IF(W60=0,$J$14,IFERROR(SUMIF(INDIRECT("'"&amp;$G$14&amp;"'!$C$37:$C$52"),W60,INDIRECT("'"&amp;$G$14&amp;"'!$E$37:$E$52")),0))))</f>
        <v>6065950.38462138</v>
      </c>
      <c r="AF60" s="183" t="n">
        <f aca="true">IF($G$15="",0,AF59+IF(W60&gt;'General Information'!$D$33,0,IF(W60=0,$J$15,IFERROR(SUMIF(INDIRECT("'"&amp;$G$15&amp;"'!$C$37:$C$52"),W60,INDIRECT("'"&amp;$G$15&amp;"'!$E$37:$E$52")),0))))</f>
        <v>0</v>
      </c>
      <c r="AG60" s="195" t="n">
        <f aca="true">IF($G$12="",0,IF(W60&gt;'General Information'!$D$33,0,IFERROR(SUMIFS(INDIRECT("'"&amp;$G$12&amp;"'!$D$37:$D$52"),INDIRECT("'"&amp;$G$12&amp;"'!$C$37:$C$52"),W60,INDIRECT("'"&amp;$G$12&amp;"'!$B$37:$B$52"),"*Indirect*")/INDIRECT("'"&amp;$G$12&amp;"'!$F$2"),0)))</f>
        <v>0</v>
      </c>
      <c r="AH60" s="195" t="n">
        <f aca="true">IF($G$13="",0,IF(W60&gt;'General Information'!$D$33,0,IFERROR(SUMIFS(INDIRECT("'"&amp;$G$13&amp;"'!$D$37:$D$52"),INDIRECT("'"&amp;$G$13&amp;"'!$C$37:$C$52"),W60,INDIRECT("'"&amp;$G$13&amp;"'!$B$37:$B$52"),"*Indirect*")/INDIRECT("'"&amp;$G$13&amp;"'!$F$2"),0)))</f>
        <v>8</v>
      </c>
      <c r="AI60" s="195" t="n">
        <f aca="true">IF($G$14="",0,IF(W60&gt;'General Information'!$D$33,0,IFERROR(SUMIFS(INDIRECT("'"&amp;$G$14&amp;"'!$D$37:$D$52"),INDIRECT("'"&amp;$G$14&amp;"'!$C$37:$C$52"),W60,INDIRECT("'"&amp;$G$14&amp;"'!$B$37:$B$52"),"*Indirect*")/INDIRECT("'"&amp;$G$14&amp;"'!$F$2"),0)))</f>
        <v>8</v>
      </c>
      <c r="AJ60" s="195" t="n">
        <f aca="true">IF($G$15="",0,IF(W60&gt;'General Information'!$D$33,0,IFERROR(SUMIFS(INDIRECT("'"&amp;$G$15&amp;"'!$D$37:$D$52"),INDIRECT("'"&amp;$G$15&amp;"'!$C$37:$C$52"),W60,INDIRECT("'"&amp;$G$15&amp;"'!$B$37:$B$52"),"*Indirect*")/INDIRECT("'"&amp;$G$15&amp;"'!$F$2"),0)))</f>
        <v>0</v>
      </c>
    </row>
    <row r="61" customFormat="false" ht="15" hidden="false" customHeight="false" outlineLevel="0" collapsed="false">
      <c r="W61" s="182" t="n">
        <v>20</v>
      </c>
      <c r="X61" s="182" t="n">
        <f aca="false">'General Information'!$D$25+W61</f>
        <v>2048</v>
      </c>
      <c r="Y61" s="183" t="n">
        <f aca="true">IF($G$12="",0,IF(W61&gt;'General Information'!$D$33,0,IF(W61=0,$J$12,IFERROR(SUMIF(INDIRECT("'"&amp;$G$12&amp;"'!$C$37:$C$52"),W61,INDIRECT("'"&amp;$G$12&amp;"'!$D$37:$D$52")),0))))</f>
        <v>1244765.230125</v>
      </c>
      <c r="Z61" s="183" t="n">
        <f aca="true">IF($G$13="",0,IF(W61&gt;'General Information'!$D$33,0,IF(W61=0,$J$13,IFERROR(SUMIF(INDIRECT("'"&amp;$G$13&amp;"'!$C$37:$C$52"),W61,INDIRECT("'"&amp;$G$13&amp;"'!$D$37:$D$52")),0))))</f>
        <v>0</v>
      </c>
      <c r="AA61" s="183" t="n">
        <f aca="true">IF($G$14="",0,IF(W61&gt;'General Information'!$D$33,0,IF(W61=0,$J$14,IFERROR(SUMIF(INDIRECT("'"&amp;$G$14&amp;"'!$C$37:$C$52"),W61,INDIRECT("'"&amp;$G$14&amp;"'!$D$37:$D$52")),0))))</f>
        <v>0</v>
      </c>
      <c r="AB61" s="183" t="n">
        <f aca="true">IF($G$15="",0,IF(W61&gt;'General Information'!$D$33,0,IF(W61=0,$J$15,IFERROR(SUMIF(INDIRECT("'"&amp;$G$15&amp;"'!$C$37:$C$52"),W61,INDIRECT("'"&amp;$G$15&amp;"'!$D$37:$D$52")),0))))</f>
        <v>0</v>
      </c>
      <c r="AC61" s="183" t="n">
        <f aca="true">IF($G$12="",0,AC60+IF(W61&gt;'General Information'!$D$33,0,IF(W61=0,$J$12,IFERROR(SUMIF(INDIRECT("'"&amp;$G$12&amp;"'!$C$37:$C$52"),W61,INDIRECT("'"&amp;$G$12&amp;"'!$E$37:$E$52")),0))))</f>
        <v>5911812.0608751</v>
      </c>
      <c r="AD61" s="183" t="n">
        <f aca="true">IF($G$13="",0,AD60+IF(W61&gt;'General Information'!$D$33,0,IF(W61=0,$J$13,IFERROR(SUMIF(INDIRECT("'"&amp;$G$13&amp;"'!$C$37:$C$52"),W61,INDIRECT("'"&amp;$G$13&amp;"'!$E$37:$E$52")),0))))</f>
        <v>6303382.83462138</v>
      </c>
      <c r="AE61" s="183" t="n">
        <f aca="true">IF($G$14="",0,AE60+IF(W61&gt;'General Information'!$D$33,0,IF(W61=0,$J$14,IFERROR(SUMIF(INDIRECT("'"&amp;$G$14&amp;"'!$C$37:$C$52"),W61,INDIRECT("'"&amp;$G$14&amp;"'!$E$37:$E$52")),0))))</f>
        <v>6065950.38462138</v>
      </c>
      <c r="AF61" s="183" t="n">
        <f aca="true">IF($G$15="",0,AF60+IF(W61&gt;'General Information'!$D$33,0,IF(W61=0,$J$15,IFERROR(SUMIF(INDIRECT("'"&amp;$G$15&amp;"'!$C$37:$C$52"),W61,INDIRECT("'"&amp;$G$15&amp;"'!$E$37:$E$52")),0))))</f>
        <v>0</v>
      </c>
      <c r="AG61" s="195" t="n">
        <f aca="true">IF($G$12="",0,IF(W61&gt;'General Information'!$D$33,0,IFERROR(SUMIFS(INDIRECT("'"&amp;$G$12&amp;"'!$D$37:$D$52"),INDIRECT("'"&amp;$G$12&amp;"'!$C$37:$C$52"),W61,INDIRECT("'"&amp;$G$12&amp;"'!$B$37:$B$52"),"*Indirect*")/INDIRECT("'"&amp;$G$12&amp;"'!$F$2"),0)))</f>
        <v>14</v>
      </c>
      <c r="AH61" s="195" t="n">
        <f aca="true">IF($G$13="",0,IF(W61&gt;'General Information'!$D$33,0,IFERROR(SUMIFS(INDIRECT("'"&amp;$G$13&amp;"'!$D$37:$D$52"),INDIRECT("'"&amp;$G$13&amp;"'!$C$37:$C$52"),W61,INDIRECT("'"&amp;$G$13&amp;"'!$B$37:$B$52"),"*Indirect*")/INDIRECT("'"&amp;$G$13&amp;"'!$F$2"),0)))</f>
        <v>0</v>
      </c>
      <c r="AI61" s="195" t="n">
        <f aca="true">IF($G$14="",0,IF(W61&gt;'General Information'!$D$33,0,IFERROR(SUMIFS(INDIRECT("'"&amp;$G$14&amp;"'!$D$37:$D$52"),INDIRECT("'"&amp;$G$14&amp;"'!$C$37:$C$52"),W61,INDIRECT("'"&amp;$G$14&amp;"'!$B$37:$B$52"),"*Indirect*")/INDIRECT("'"&amp;$G$14&amp;"'!$F$2"),0)))</f>
        <v>0</v>
      </c>
      <c r="AJ61" s="195" t="n">
        <f aca="true">IF($G$15="",0,IF(W61&gt;'General Information'!$D$33,0,IFERROR(SUMIFS(INDIRECT("'"&amp;$G$15&amp;"'!$D$37:$D$52"),INDIRECT("'"&amp;$G$15&amp;"'!$C$37:$C$52"),W61,INDIRECT("'"&amp;$G$15&amp;"'!$B$37:$B$52"),"*Indirect*")/INDIRECT("'"&amp;$G$15&amp;"'!$F$2"),0)))</f>
        <v>0</v>
      </c>
    </row>
    <row r="62" customFormat="false" ht="15" hidden="false" customHeight="false" outlineLevel="0" collapsed="false">
      <c r="W62" s="182" t="n">
        <v>21</v>
      </c>
      <c r="X62" s="182" t="n">
        <f aca="false">'General Information'!$D$25+W62</f>
        <v>2049</v>
      </c>
      <c r="Y62" s="183" t="n">
        <f aca="true">IF($G$12="",0,IF(W62&gt;'General Information'!$D$33,0,IF(W62=0,$J$12,IFERROR(SUMIF(INDIRECT("'"&amp;$G$12&amp;"'!$C$37:$C$52"),W62,INDIRECT("'"&amp;$G$12&amp;"'!$D$37:$D$52")),0))))</f>
        <v>0</v>
      </c>
      <c r="Z62" s="183" t="n">
        <f aca="true">IF($G$13="",0,IF(W62&gt;'General Information'!$D$33,0,IF(W62=0,$J$13,IFERROR(SUMIF(INDIRECT("'"&amp;$G$13&amp;"'!$C$37:$C$52"),W62,INDIRECT("'"&amp;$G$13&amp;"'!$D$37:$D$52")),0))))</f>
        <v>0</v>
      </c>
      <c r="AA62" s="183" t="n">
        <f aca="true">IF($G$14="",0,IF(W62&gt;'General Information'!$D$33,0,IF(W62=0,$J$14,IFERROR(SUMIF(INDIRECT("'"&amp;$G$14&amp;"'!$C$37:$C$52"),W62,INDIRECT("'"&amp;$G$14&amp;"'!$D$37:$D$52")),0))))</f>
        <v>0</v>
      </c>
      <c r="AB62" s="183" t="n">
        <f aca="true">IF($G$15="",0,IF(W62&gt;'General Information'!$D$33,0,IF(W62=0,$J$15,IFERROR(SUMIF(INDIRECT("'"&amp;$G$15&amp;"'!$C$37:$C$52"),W62,INDIRECT("'"&amp;$G$15&amp;"'!$D$37:$D$52")),0))))</f>
        <v>0</v>
      </c>
      <c r="AC62" s="183" t="n">
        <f aca="true">IF($G$12="",0,AC61+IF(W62&gt;'General Information'!$D$33,0,IF(W62=0,$J$12,IFERROR(SUMIF(INDIRECT("'"&amp;$G$12&amp;"'!$C$37:$C$52"),W62,INDIRECT("'"&amp;$G$12&amp;"'!$E$37:$E$52")),0))))</f>
        <v>5911812.0608751</v>
      </c>
      <c r="AD62" s="183" t="n">
        <f aca="true">IF($G$13="",0,AD61+IF(W62&gt;'General Information'!$D$33,0,IF(W62=0,$J$13,IFERROR(SUMIF(INDIRECT("'"&amp;$G$13&amp;"'!$C$37:$C$52"),W62,INDIRECT("'"&amp;$G$13&amp;"'!$E$37:$E$52")),0))))</f>
        <v>6303382.83462138</v>
      </c>
      <c r="AE62" s="183" t="n">
        <f aca="true">IF($G$14="",0,AE61+IF(W62&gt;'General Information'!$D$33,0,IF(W62=0,$J$14,IFERROR(SUMIF(INDIRECT("'"&amp;$G$14&amp;"'!$C$37:$C$52"),W62,INDIRECT("'"&amp;$G$14&amp;"'!$E$37:$E$52")),0))))</f>
        <v>6065950.38462138</v>
      </c>
      <c r="AF62" s="183" t="n">
        <f aca="true">IF($G$15="",0,AF61+IF(W62&gt;'General Information'!$D$33,0,IF(W62=0,$J$15,IFERROR(SUMIF(INDIRECT("'"&amp;$G$15&amp;"'!$C$37:$C$52"),W62,INDIRECT("'"&amp;$G$15&amp;"'!$E$37:$E$52")),0))))</f>
        <v>0</v>
      </c>
      <c r="AG62" s="195" t="n">
        <f aca="true">IF($G$12="",0,IF(W62&gt;'General Information'!$D$33,0,IFERROR(SUMIFS(INDIRECT("'"&amp;$G$12&amp;"'!$D$37:$D$52"),INDIRECT("'"&amp;$G$12&amp;"'!$C$37:$C$52"),W62,INDIRECT("'"&amp;$G$12&amp;"'!$B$37:$B$52"),"*Indirect*")/INDIRECT("'"&amp;$G$12&amp;"'!$F$2"),0)))</f>
        <v>0</v>
      </c>
      <c r="AH62" s="195" t="n">
        <f aca="true">IF($G$13="",0,IF(W62&gt;'General Information'!$D$33,0,IFERROR(SUMIFS(INDIRECT("'"&amp;$G$13&amp;"'!$D$37:$D$52"),INDIRECT("'"&amp;$G$13&amp;"'!$C$37:$C$52"),W62,INDIRECT("'"&amp;$G$13&amp;"'!$B$37:$B$52"),"*Indirect*")/INDIRECT("'"&amp;$G$13&amp;"'!$F$2"),0)))</f>
        <v>0</v>
      </c>
      <c r="AI62" s="195" t="n">
        <f aca="true">IF($G$14="",0,IF(W62&gt;'General Information'!$D$33,0,IFERROR(SUMIFS(INDIRECT("'"&amp;$G$14&amp;"'!$D$37:$D$52"),INDIRECT("'"&amp;$G$14&amp;"'!$C$37:$C$52"),W62,INDIRECT("'"&amp;$G$14&amp;"'!$B$37:$B$52"),"*Indirect*")/INDIRECT("'"&amp;$G$14&amp;"'!$F$2"),0)))</f>
        <v>0</v>
      </c>
      <c r="AJ62" s="195" t="n">
        <f aca="true">IF($G$15="",0,IF(W62&gt;'General Information'!$D$33,0,IFERROR(SUMIFS(INDIRECT("'"&amp;$G$15&amp;"'!$D$37:$D$52"),INDIRECT("'"&amp;$G$15&amp;"'!$C$37:$C$52"),W62,INDIRECT("'"&amp;$G$15&amp;"'!$B$37:$B$52"),"*Indirect*")/INDIRECT("'"&amp;$G$15&amp;"'!$F$2"),0)))</f>
        <v>0</v>
      </c>
    </row>
    <row r="63" customFormat="false" ht="15" hidden="false" customHeight="false" outlineLevel="0" collapsed="false">
      <c r="W63" s="182" t="n">
        <v>22</v>
      </c>
      <c r="X63" s="182" t="n">
        <f aca="false">'General Information'!$D$25+W63</f>
        <v>2050</v>
      </c>
      <c r="Y63" s="183" t="n">
        <f aca="true">IF($G$12="",0,IF(W63&gt;'General Information'!$D$33,0,IF(W63=0,$J$12,IFERROR(SUMIF(INDIRECT("'"&amp;$G$12&amp;"'!$C$37:$C$52"),W63,INDIRECT("'"&amp;$G$12&amp;"'!$D$37:$D$52")),0))))</f>
        <v>0</v>
      </c>
      <c r="Z63" s="183" t="n">
        <f aca="true">IF($G$13="",0,IF(W63&gt;'General Information'!$D$33,0,IF(W63=0,$J$13,IFERROR(SUMIF(INDIRECT("'"&amp;$G$13&amp;"'!$C$37:$C$52"),W63,INDIRECT("'"&amp;$G$13&amp;"'!$D$37:$D$52")),0))))</f>
        <v>0</v>
      </c>
      <c r="AA63" s="183" t="n">
        <f aca="true">IF($G$14="",0,IF(W63&gt;'General Information'!$D$33,0,IF(W63=0,$J$14,IFERROR(SUMIF(INDIRECT("'"&amp;$G$14&amp;"'!$C$37:$C$52"),W63,INDIRECT("'"&amp;$G$14&amp;"'!$D$37:$D$52")),0))))</f>
        <v>0</v>
      </c>
      <c r="AB63" s="183" t="n">
        <f aca="true">IF($G$15="",0,IF(W63&gt;'General Information'!$D$33,0,IF(W63=0,$J$15,IFERROR(SUMIF(INDIRECT("'"&amp;$G$15&amp;"'!$C$37:$C$52"),W63,INDIRECT("'"&amp;$G$15&amp;"'!$D$37:$D$52")),0))))</f>
        <v>0</v>
      </c>
      <c r="AC63" s="183" t="n">
        <f aca="true">IF($G$12="",0,AC62+IF(W63&gt;'General Information'!$D$33,0,IF(W63=0,$J$12,IFERROR(SUMIF(INDIRECT("'"&amp;$G$12&amp;"'!$C$37:$C$52"),W63,INDIRECT("'"&amp;$G$12&amp;"'!$E$37:$E$52")),0))))</f>
        <v>5911812.0608751</v>
      </c>
      <c r="AD63" s="183" t="n">
        <f aca="true">IF($G$13="",0,AD62+IF(W63&gt;'General Information'!$D$33,0,IF(W63=0,$J$13,IFERROR(SUMIF(INDIRECT("'"&amp;$G$13&amp;"'!$C$37:$C$52"),W63,INDIRECT("'"&amp;$G$13&amp;"'!$E$37:$E$52")),0))))</f>
        <v>6303382.83462138</v>
      </c>
      <c r="AE63" s="183" t="n">
        <f aca="true">IF($G$14="",0,AE62+IF(W63&gt;'General Information'!$D$33,0,IF(W63=0,$J$14,IFERROR(SUMIF(INDIRECT("'"&amp;$G$14&amp;"'!$C$37:$C$52"),W63,INDIRECT("'"&amp;$G$14&amp;"'!$E$37:$E$52")),0))))</f>
        <v>6065950.38462138</v>
      </c>
      <c r="AF63" s="183" t="n">
        <f aca="true">IF($G$15="",0,AF62+IF(W63&gt;'General Information'!$D$33,0,IF(W63=0,$J$15,IFERROR(SUMIF(INDIRECT("'"&amp;$G$15&amp;"'!$C$37:$C$52"),W63,INDIRECT("'"&amp;$G$15&amp;"'!$E$37:$E$52")),0))))</f>
        <v>0</v>
      </c>
      <c r="AG63" s="195" t="n">
        <f aca="true">IF($G$12="",0,IF(W63&gt;'General Information'!$D$33,0,IFERROR(SUMIFS(INDIRECT("'"&amp;$G$12&amp;"'!$D$37:$D$52"),INDIRECT("'"&amp;$G$12&amp;"'!$C$37:$C$52"),W63,INDIRECT("'"&amp;$G$12&amp;"'!$B$37:$B$52"),"*Indirect*")/INDIRECT("'"&amp;$G$12&amp;"'!$F$2"),0)))</f>
        <v>0</v>
      </c>
      <c r="AH63" s="195" t="n">
        <f aca="true">IF($G$13="",0,IF(W63&gt;'General Information'!$D$33,0,IFERROR(SUMIFS(INDIRECT("'"&amp;$G$13&amp;"'!$D$37:$D$52"),INDIRECT("'"&amp;$G$13&amp;"'!$C$37:$C$52"),W63,INDIRECT("'"&amp;$G$13&amp;"'!$B$37:$B$52"),"*Indirect*")/INDIRECT("'"&amp;$G$13&amp;"'!$F$2"),0)))</f>
        <v>0</v>
      </c>
      <c r="AI63" s="195" t="n">
        <f aca="true">IF($G$14="",0,IF(W63&gt;'General Information'!$D$33,0,IFERROR(SUMIFS(INDIRECT("'"&amp;$G$14&amp;"'!$D$37:$D$52"),INDIRECT("'"&amp;$G$14&amp;"'!$C$37:$C$52"),W63,INDIRECT("'"&amp;$G$14&amp;"'!$B$37:$B$52"),"*Indirect*")/INDIRECT("'"&amp;$G$14&amp;"'!$F$2"),0)))</f>
        <v>0</v>
      </c>
      <c r="AJ63" s="195" t="n">
        <f aca="true">IF($G$15="",0,IF(W63&gt;'General Information'!$D$33,0,IFERROR(SUMIFS(INDIRECT("'"&amp;$G$15&amp;"'!$D$37:$D$52"),INDIRECT("'"&amp;$G$15&amp;"'!$C$37:$C$52"),W63,INDIRECT("'"&amp;$G$15&amp;"'!$B$37:$B$52"),"*Indirect*")/INDIRECT("'"&amp;$G$15&amp;"'!$F$2"),0)))</f>
        <v>0</v>
      </c>
    </row>
    <row r="64" customFormat="false" ht="15" hidden="false" customHeight="false" outlineLevel="0" collapsed="false">
      <c r="W64" s="182" t="n">
        <v>23</v>
      </c>
      <c r="X64" s="182" t="n">
        <f aca="false">'General Information'!$D$25+W64</f>
        <v>2051</v>
      </c>
      <c r="Y64" s="183" t="n">
        <f aca="true">IF($G$12="",0,IF(W64&gt;'General Information'!$D$33,0,IF(W64=0,$J$12,IFERROR(SUMIF(INDIRECT("'"&amp;$G$12&amp;"'!$C$37:$C$52"),W64,INDIRECT("'"&amp;$G$12&amp;"'!$D$37:$D$52")),0))))</f>
        <v>0</v>
      </c>
      <c r="Z64" s="183" t="n">
        <f aca="true">IF($G$13="",0,IF(W64&gt;'General Information'!$D$33,0,IF(W64=0,$J$13,IFERROR(SUMIF(INDIRECT("'"&amp;$G$13&amp;"'!$C$37:$C$52"),W64,INDIRECT("'"&amp;$G$13&amp;"'!$D$37:$D$52")),0))))</f>
        <v>0</v>
      </c>
      <c r="AA64" s="183" t="n">
        <f aca="true">IF($G$14="",0,IF(W64&gt;'General Information'!$D$33,0,IF(W64=0,$J$14,IFERROR(SUMIF(INDIRECT("'"&amp;$G$14&amp;"'!$C$37:$C$52"),W64,INDIRECT("'"&amp;$G$14&amp;"'!$D$37:$D$52")),0))))</f>
        <v>0</v>
      </c>
      <c r="AB64" s="183" t="n">
        <f aca="true">IF($G$15="",0,IF(W64&gt;'General Information'!$D$33,0,IF(W64=0,$J$15,IFERROR(SUMIF(INDIRECT("'"&amp;$G$15&amp;"'!$C$37:$C$52"),W64,INDIRECT("'"&amp;$G$15&amp;"'!$D$37:$D$52")),0))))</f>
        <v>0</v>
      </c>
      <c r="AC64" s="183" t="n">
        <f aca="true">IF($G$12="",0,AC63+IF(W64&gt;'General Information'!$D$33,0,IF(W64=0,$J$12,IFERROR(SUMIF(INDIRECT("'"&amp;$G$12&amp;"'!$C$37:$C$52"),W64,INDIRECT("'"&amp;$G$12&amp;"'!$E$37:$E$52")),0))))</f>
        <v>5911812.0608751</v>
      </c>
      <c r="AD64" s="183" t="n">
        <f aca="true">IF($G$13="",0,AD63+IF(W64&gt;'General Information'!$D$33,0,IF(W64=0,$J$13,IFERROR(SUMIF(INDIRECT("'"&amp;$G$13&amp;"'!$C$37:$C$52"),W64,INDIRECT("'"&amp;$G$13&amp;"'!$E$37:$E$52")),0))))</f>
        <v>6303382.83462138</v>
      </c>
      <c r="AE64" s="183" t="n">
        <f aca="true">IF($G$14="",0,AE63+IF(W64&gt;'General Information'!$D$33,0,IF(W64=0,$J$14,IFERROR(SUMIF(INDIRECT("'"&amp;$G$14&amp;"'!$C$37:$C$52"),W64,INDIRECT("'"&amp;$G$14&amp;"'!$E$37:$E$52")),0))))</f>
        <v>6065950.38462138</v>
      </c>
      <c r="AF64" s="183" t="n">
        <f aca="true">IF($G$15="",0,AF63+IF(W64&gt;'General Information'!$D$33,0,IF(W64=0,$J$15,IFERROR(SUMIF(INDIRECT("'"&amp;$G$15&amp;"'!$C$37:$C$52"),W64,INDIRECT("'"&amp;$G$15&amp;"'!$E$37:$E$52")),0))))</f>
        <v>0</v>
      </c>
      <c r="AG64" s="195" t="n">
        <f aca="true">IF($G$12="",0,IF(W64&gt;'General Information'!$D$33,0,IFERROR(SUMIFS(INDIRECT("'"&amp;$G$12&amp;"'!$D$37:$D$52"),INDIRECT("'"&amp;$G$12&amp;"'!$C$37:$C$52"),W64,INDIRECT("'"&amp;$G$12&amp;"'!$B$37:$B$52"),"*Indirect*")/INDIRECT("'"&amp;$G$12&amp;"'!$F$2"),0)))</f>
        <v>0</v>
      </c>
      <c r="AH64" s="195" t="n">
        <f aca="true">IF($G$13="",0,IF(W64&gt;'General Information'!$D$33,0,IFERROR(SUMIFS(INDIRECT("'"&amp;$G$13&amp;"'!$D$37:$D$52"),INDIRECT("'"&amp;$G$13&amp;"'!$C$37:$C$52"),W64,INDIRECT("'"&amp;$G$13&amp;"'!$B$37:$B$52"),"*Indirect*")/INDIRECT("'"&amp;$G$13&amp;"'!$F$2"),0)))</f>
        <v>0</v>
      </c>
      <c r="AI64" s="195" t="n">
        <f aca="true">IF($G$14="",0,IF(W64&gt;'General Information'!$D$33,0,IFERROR(SUMIFS(INDIRECT("'"&amp;$G$14&amp;"'!$D$37:$D$52"),INDIRECT("'"&amp;$G$14&amp;"'!$C$37:$C$52"),W64,INDIRECT("'"&amp;$G$14&amp;"'!$B$37:$B$52"),"*Indirect*")/INDIRECT("'"&amp;$G$14&amp;"'!$F$2"),0)))</f>
        <v>0</v>
      </c>
      <c r="AJ64" s="195" t="n">
        <f aca="true">IF($G$15="",0,IF(W64&gt;'General Information'!$D$33,0,IFERROR(SUMIFS(INDIRECT("'"&amp;$G$15&amp;"'!$D$37:$D$52"),INDIRECT("'"&amp;$G$15&amp;"'!$C$37:$C$52"),W64,INDIRECT("'"&amp;$G$15&amp;"'!$B$37:$B$52"),"*Indirect*")/INDIRECT("'"&amp;$G$15&amp;"'!$F$2"),0)))</f>
        <v>0</v>
      </c>
    </row>
    <row r="65" customFormat="false" ht="15" hidden="false" customHeight="false" outlineLevel="0" collapsed="false">
      <c r="W65" s="182" t="n">
        <v>24</v>
      </c>
      <c r="X65" s="182" t="n">
        <f aca="false">'General Information'!$D$25+W65</f>
        <v>2052</v>
      </c>
      <c r="Y65" s="183" t="n">
        <f aca="true">IF($G$12="",0,IF(W65&gt;'General Information'!$D$33,0,IF(W65=0,$J$12,IFERROR(SUMIF(INDIRECT("'"&amp;$G$12&amp;"'!$C$37:$C$52"),W65,INDIRECT("'"&amp;$G$12&amp;"'!$D$37:$D$52")),0))))</f>
        <v>263642.153333333</v>
      </c>
      <c r="Z65" s="183" t="n">
        <f aca="true">IF($G$13="",0,IF(W65&gt;'General Information'!$D$33,0,IF(W65=0,$J$13,IFERROR(SUMIF(INDIRECT("'"&amp;$G$13&amp;"'!$C$37:$C$52"),W65,INDIRECT("'"&amp;$G$13&amp;"'!$D$37:$D$52")),0))))</f>
        <v>0</v>
      </c>
      <c r="AA65" s="183" t="n">
        <f aca="true">IF($G$14="",0,IF(W65&gt;'General Information'!$D$33,0,IF(W65=0,$J$14,IFERROR(SUMIF(INDIRECT("'"&amp;$G$14&amp;"'!$C$37:$C$52"),W65,INDIRECT("'"&amp;$G$14&amp;"'!$D$37:$D$52")),0))))</f>
        <v>0</v>
      </c>
      <c r="AB65" s="183" t="n">
        <f aca="true">IF($G$15="",0,IF(W65&gt;'General Information'!$D$33,0,IF(W65=0,$J$15,IFERROR(SUMIF(INDIRECT("'"&amp;$G$15&amp;"'!$C$37:$C$52"),W65,INDIRECT("'"&amp;$G$15&amp;"'!$D$37:$D$52")),0))))</f>
        <v>0</v>
      </c>
      <c r="AC65" s="183" t="n">
        <f aca="true">IF($G$12="",0,AC64+IF(W65&gt;'General Information'!$D$33,0,IF(W65=0,$J$12,IFERROR(SUMIF(INDIRECT("'"&amp;$G$12&amp;"'!$C$37:$C$52"),W65,INDIRECT("'"&amp;$G$12&amp;"'!$E$37:$E$52")),0))))</f>
        <v>6041506.53042096</v>
      </c>
      <c r="AD65" s="183" t="n">
        <f aca="true">IF($G$13="",0,AD64+IF(W65&gt;'General Information'!$D$33,0,IF(W65=0,$J$13,IFERROR(SUMIF(INDIRECT("'"&amp;$G$13&amp;"'!$C$37:$C$52"),W65,INDIRECT("'"&amp;$G$13&amp;"'!$E$37:$E$52")),0))))</f>
        <v>6303382.83462138</v>
      </c>
      <c r="AE65" s="183" t="n">
        <f aca="true">IF($G$14="",0,AE64+IF(W65&gt;'General Information'!$D$33,0,IF(W65=0,$J$14,IFERROR(SUMIF(INDIRECT("'"&amp;$G$14&amp;"'!$C$37:$C$52"),W65,INDIRECT("'"&amp;$G$14&amp;"'!$E$37:$E$52")),0))))</f>
        <v>6065950.38462138</v>
      </c>
      <c r="AF65" s="183" t="n">
        <f aca="true">IF($G$15="",0,AF64+IF(W65&gt;'General Information'!$D$33,0,IF(W65=0,$J$15,IFERROR(SUMIF(INDIRECT("'"&amp;$G$15&amp;"'!$C$37:$C$52"),W65,INDIRECT("'"&amp;$G$15&amp;"'!$E$37:$E$52")),0))))</f>
        <v>0</v>
      </c>
      <c r="AG65" s="195" t="n">
        <f aca="true">IF($G$12="",0,IF(W65&gt;'General Information'!$D$33,0,IFERROR(SUMIFS(INDIRECT("'"&amp;$G$12&amp;"'!$D$37:$D$52"),INDIRECT("'"&amp;$G$12&amp;"'!$C$37:$C$52"),W65,INDIRECT("'"&amp;$G$12&amp;"'!$B$37:$B$52"),"*Indirect*")/INDIRECT("'"&amp;$G$12&amp;"'!$F$2"),0)))</f>
        <v>6</v>
      </c>
      <c r="AH65" s="195" t="n">
        <f aca="true">IF($G$13="",0,IF(W65&gt;'General Information'!$D$33,0,IFERROR(SUMIFS(INDIRECT("'"&amp;$G$13&amp;"'!$D$37:$D$52"),INDIRECT("'"&amp;$G$13&amp;"'!$C$37:$C$52"),W65,INDIRECT("'"&amp;$G$13&amp;"'!$B$37:$B$52"),"*Indirect*")/INDIRECT("'"&amp;$G$13&amp;"'!$F$2"),0)))</f>
        <v>0</v>
      </c>
      <c r="AI65" s="195" t="n">
        <f aca="true">IF($G$14="",0,IF(W65&gt;'General Information'!$D$33,0,IFERROR(SUMIFS(INDIRECT("'"&amp;$G$14&amp;"'!$D$37:$D$52"),INDIRECT("'"&amp;$G$14&amp;"'!$C$37:$C$52"),W65,INDIRECT("'"&amp;$G$14&amp;"'!$B$37:$B$52"),"*Indirect*")/INDIRECT("'"&amp;$G$14&amp;"'!$F$2"),0)))</f>
        <v>0</v>
      </c>
      <c r="AJ65" s="195" t="n">
        <f aca="true">IF($G$15="",0,IF(W65&gt;'General Information'!$D$33,0,IFERROR(SUMIFS(INDIRECT("'"&amp;$G$15&amp;"'!$D$37:$D$52"),INDIRECT("'"&amp;$G$15&amp;"'!$C$37:$C$52"),W65,INDIRECT("'"&amp;$G$15&amp;"'!$B$37:$B$52"),"*Indirect*")/INDIRECT("'"&amp;$G$15&amp;"'!$F$2"),0)))</f>
        <v>0</v>
      </c>
    </row>
    <row r="66" customFormat="false" ht="15" hidden="false" customHeight="false" outlineLevel="0" collapsed="false">
      <c r="W66" s="182" t="n">
        <v>25</v>
      </c>
      <c r="X66" s="182" t="n">
        <f aca="false">'General Information'!$D$25+W66</f>
        <v>2053</v>
      </c>
      <c r="Y66" s="183" t="n">
        <f aca="true">IF($G$12="",0,IF(W66&gt;'General Information'!$D$33,0,IF(W66=0,$J$12,IFERROR(SUMIF(INDIRECT("'"&amp;$G$12&amp;"'!$C$37:$C$52"),W66,INDIRECT("'"&amp;$G$12&amp;"'!$D$37:$D$52")),0))))</f>
        <v>0</v>
      </c>
      <c r="Z66" s="183" t="n">
        <f aca="true">IF($G$13="",0,IF(W66&gt;'General Information'!$D$33,0,IF(W66=0,$J$13,IFERROR(SUMIF(INDIRECT("'"&amp;$G$13&amp;"'!$C$37:$C$52"),W66,INDIRECT("'"&amp;$G$13&amp;"'!$D$37:$D$52")),0))))</f>
        <v>0</v>
      </c>
      <c r="AA66" s="183" t="n">
        <f aca="true">IF($G$14="",0,IF(W66&gt;'General Information'!$D$33,0,IF(W66=0,$J$14,IFERROR(SUMIF(INDIRECT("'"&amp;$G$14&amp;"'!$C$37:$C$52"),W66,INDIRECT("'"&amp;$G$14&amp;"'!$D$37:$D$52")),0))))</f>
        <v>0</v>
      </c>
      <c r="AB66" s="183" t="n">
        <f aca="true">IF($G$15="",0,IF(W66&gt;'General Information'!$D$33,0,IF(W66=0,$J$15,IFERROR(SUMIF(INDIRECT("'"&amp;$G$15&amp;"'!$C$37:$C$52"),W66,INDIRECT("'"&amp;$G$15&amp;"'!$D$37:$D$52")),0))))</f>
        <v>0</v>
      </c>
      <c r="AC66" s="183" t="n">
        <f aca="true">IF($G$12="",0,AC65+IF(W66&gt;'General Information'!$D$33,0,IF(W66=0,$J$12,IFERROR(SUMIF(INDIRECT("'"&amp;$G$12&amp;"'!$C$37:$C$52"),W66,INDIRECT("'"&amp;$G$12&amp;"'!$E$37:$E$52")),0))))</f>
        <v>6041506.53042096</v>
      </c>
      <c r="AD66" s="183" t="n">
        <f aca="true">IF($G$13="",0,AD65+IF(W66&gt;'General Information'!$D$33,0,IF(W66=0,$J$13,IFERROR(SUMIF(INDIRECT("'"&amp;$G$13&amp;"'!$C$37:$C$52"),W66,INDIRECT("'"&amp;$G$13&amp;"'!$E$37:$E$52")),0))))</f>
        <v>6303382.83462138</v>
      </c>
      <c r="AE66" s="183" t="n">
        <f aca="true">IF($G$14="",0,AE65+IF(W66&gt;'General Information'!$D$33,0,IF(W66=0,$J$14,IFERROR(SUMIF(INDIRECT("'"&amp;$G$14&amp;"'!$C$37:$C$52"),W66,INDIRECT("'"&amp;$G$14&amp;"'!$E$37:$E$52")),0))))</f>
        <v>6065950.38462138</v>
      </c>
      <c r="AF66" s="183" t="n">
        <f aca="true">IF($G$15="",0,AF65+IF(W66&gt;'General Information'!$D$33,0,IF(W66=0,$J$15,IFERROR(SUMIF(INDIRECT("'"&amp;$G$15&amp;"'!$C$37:$C$52"),W66,INDIRECT("'"&amp;$G$15&amp;"'!$E$37:$E$52")),0))))</f>
        <v>0</v>
      </c>
      <c r="AG66" s="195" t="n">
        <f aca="true">IF($G$12="",0,IF(W66&gt;'General Information'!$D$33,0,IFERROR(SUMIFS(INDIRECT("'"&amp;$G$12&amp;"'!$D$37:$D$52"),INDIRECT("'"&amp;$G$12&amp;"'!$C$37:$C$52"),W66,INDIRECT("'"&amp;$G$12&amp;"'!$B$37:$B$52"),"*Indirect*")/INDIRECT("'"&amp;$G$12&amp;"'!$F$2"),0)))</f>
        <v>0</v>
      </c>
      <c r="AH66" s="195" t="n">
        <f aca="true">IF($G$13="",0,IF(W66&gt;'General Information'!$D$33,0,IFERROR(SUMIFS(INDIRECT("'"&amp;$G$13&amp;"'!$D$37:$D$52"),INDIRECT("'"&amp;$G$13&amp;"'!$C$37:$C$52"),W66,INDIRECT("'"&amp;$G$13&amp;"'!$B$37:$B$52"),"*Indirect*")/INDIRECT("'"&amp;$G$13&amp;"'!$F$2"),0)))</f>
        <v>0</v>
      </c>
      <c r="AI66" s="195" t="n">
        <f aca="true">IF($G$14="",0,IF(W66&gt;'General Information'!$D$33,0,IFERROR(SUMIFS(INDIRECT("'"&amp;$G$14&amp;"'!$D$37:$D$52"),INDIRECT("'"&amp;$G$14&amp;"'!$C$37:$C$52"),W66,INDIRECT("'"&amp;$G$14&amp;"'!$B$37:$B$52"),"*Indirect*")/INDIRECT("'"&amp;$G$14&amp;"'!$F$2"),0)))</f>
        <v>0</v>
      </c>
      <c r="AJ66" s="195" t="n">
        <f aca="true">IF($G$15="",0,IF(W66&gt;'General Information'!$D$33,0,IFERROR(SUMIFS(INDIRECT("'"&amp;$G$15&amp;"'!$D$37:$D$52"),INDIRECT("'"&amp;$G$15&amp;"'!$C$37:$C$52"),W66,INDIRECT("'"&amp;$G$15&amp;"'!$B$37:$B$52"),"*Indirect*")/INDIRECT("'"&amp;$G$15&amp;"'!$F$2"),0)))</f>
        <v>0</v>
      </c>
    </row>
    <row r="67" customFormat="false" ht="15" hidden="false" customHeight="false" outlineLevel="0" collapsed="false">
      <c r="W67" s="182" t="n">
        <v>26</v>
      </c>
      <c r="X67" s="182" t="n">
        <f aca="false">'General Information'!$D$25+W67</f>
        <v>2054</v>
      </c>
      <c r="Y67" s="183" t="n">
        <f aca="true">IF($G$12="",0,IF(W67&gt;'General Information'!$D$33,0,IF(W67=0,$J$12,IFERROR(SUMIF(INDIRECT("'"&amp;$G$12&amp;"'!$C$37:$C$52"),W67,INDIRECT("'"&amp;$G$12&amp;"'!$D$37:$D$52")),0))))</f>
        <v>0</v>
      </c>
      <c r="Z67" s="183" t="n">
        <f aca="true">IF($G$13="",0,IF(W67&gt;'General Information'!$D$33,0,IF(W67=0,$J$13,IFERROR(SUMIF(INDIRECT("'"&amp;$G$13&amp;"'!$C$37:$C$52"),W67,INDIRECT("'"&amp;$G$13&amp;"'!$D$37:$D$52")),0))))</f>
        <v>0</v>
      </c>
      <c r="AA67" s="183" t="n">
        <f aca="true">IF($G$14="",0,IF(W67&gt;'General Information'!$D$33,0,IF(W67=0,$J$14,IFERROR(SUMIF(INDIRECT("'"&amp;$G$14&amp;"'!$C$37:$C$52"),W67,INDIRECT("'"&amp;$G$14&amp;"'!$D$37:$D$52")),0))))</f>
        <v>0</v>
      </c>
      <c r="AB67" s="183" t="n">
        <f aca="true">IF($G$15="",0,IF(W67&gt;'General Information'!$D$33,0,IF(W67=0,$J$15,IFERROR(SUMIF(INDIRECT("'"&amp;$G$15&amp;"'!$C$37:$C$52"),W67,INDIRECT("'"&amp;$G$15&amp;"'!$D$37:$D$52")),0))))</f>
        <v>0</v>
      </c>
      <c r="AC67" s="183" t="n">
        <f aca="true">IF($G$12="",0,AC66+IF(W67&gt;'General Information'!$D$33,0,IF(W67=0,$J$12,IFERROR(SUMIF(INDIRECT("'"&amp;$G$12&amp;"'!$C$37:$C$52"),W67,INDIRECT("'"&amp;$G$12&amp;"'!$E$37:$E$52")),0))))</f>
        <v>6041506.53042096</v>
      </c>
      <c r="AD67" s="183" t="n">
        <f aca="true">IF($G$13="",0,AD66+IF(W67&gt;'General Information'!$D$33,0,IF(W67=0,$J$13,IFERROR(SUMIF(INDIRECT("'"&amp;$G$13&amp;"'!$C$37:$C$52"),W67,INDIRECT("'"&amp;$G$13&amp;"'!$E$37:$E$52")),0))))</f>
        <v>6303382.83462138</v>
      </c>
      <c r="AE67" s="183" t="n">
        <f aca="true">IF($G$14="",0,AE66+IF(W67&gt;'General Information'!$D$33,0,IF(W67=0,$J$14,IFERROR(SUMIF(INDIRECT("'"&amp;$G$14&amp;"'!$C$37:$C$52"),W67,INDIRECT("'"&amp;$G$14&amp;"'!$E$37:$E$52")),0))))</f>
        <v>6065950.38462138</v>
      </c>
      <c r="AF67" s="183" t="n">
        <f aca="true">IF($G$15="",0,AF66+IF(W67&gt;'General Information'!$D$33,0,IF(W67=0,$J$15,IFERROR(SUMIF(INDIRECT("'"&amp;$G$15&amp;"'!$C$37:$C$52"),W67,INDIRECT("'"&amp;$G$15&amp;"'!$E$37:$E$52")),0))))</f>
        <v>0</v>
      </c>
      <c r="AG67" s="195" t="n">
        <f aca="true">IF($G$12="",0,IF(W67&gt;'General Information'!$D$33,0,IFERROR(SUMIFS(INDIRECT("'"&amp;$G$12&amp;"'!$D$37:$D$52"),INDIRECT("'"&amp;$G$12&amp;"'!$C$37:$C$52"),W67,INDIRECT("'"&amp;$G$12&amp;"'!$B$37:$B$52"),"*Indirect*")/INDIRECT("'"&amp;$G$12&amp;"'!$F$2"),0)))</f>
        <v>0</v>
      </c>
      <c r="AH67" s="195" t="n">
        <f aca="true">IF($G$13="",0,IF(W67&gt;'General Information'!$D$33,0,IFERROR(SUMIFS(INDIRECT("'"&amp;$G$13&amp;"'!$D$37:$D$52"),INDIRECT("'"&amp;$G$13&amp;"'!$C$37:$C$52"),W67,INDIRECT("'"&amp;$G$13&amp;"'!$B$37:$B$52"),"*Indirect*")/INDIRECT("'"&amp;$G$13&amp;"'!$F$2"),0)))</f>
        <v>0</v>
      </c>
      <c r="AI67" s="195" t="n">
        <f aca="true">IF($G$14="",0,IF(W67&gt;'General Information'!$D$33,0,IFERROR(SUMIFS(INDIRECT("'"&amp;$G$14&amp;"'!$D$37:$D$52"),INDIRECT("'"&amp;$G$14&amp;"'!$C$37:$C$52"),W67,INDIRECT("'"&amp;$G$14&amp;"'!$B$37:$B$52"),"*Indirect*")/INDIRECT("'"&amp;$G$14&amp;"'!$F$2"),0)))</f>
        <v>0</v>
      </c>
      <c r="AJ67" s="195" t="n">
        <f aca="true">IF($G$15="",0,IF(W67&gt;'General Information'!$D$33,0,IFERROR(SUMIFS(INDIRECT("'"&amp;$G$15&amp;"'!$D$37:$D$52"),INDIRECT("'"&amp;$G$15&amp;"'!$C$37:$C$52"),W67,INDIRECT("'"&amp;$G$15&amp;"'!$B$37:$B$52"),"*Indirect*")/INDIRECT("'"&amp;$G$15&amp;"'!$F$2"),0)))</f>
        <v>0</v>
      </c>
    </row>
    <row r="68" customFormat="false" ht="15" hidden="false" customHeight="false" outlineLevel="0" collapsed="false">
      <c r="W68" s="182" t="n">
        <v>27</v>
      </c>
      <c r="X68" s="182" t="n">
        <f aca="false">'General Information'!$D$25+W68</f>
        <v>2055</v>
      </c>
      <c r="Y68" s="183" t="n">
        <f aca="true">IF($G$12="",0,IF(W68&gt;'General Information'!$D$33,0,IF(W68=0,$J$12,IFERROR(SUMIF(INDIRECT("'"&amp;$G$12&amp;"'!$C$37:$C$52"),W68,INDIRECT("'"&amp;$G$12&amp;"'!$D$37:$D$52")),0))))</f>
        <v>0</v>
      </c>
      <c r="Z68" s="183" t="n">
        <f aca="true">IF($G$13="",0,IF(W68&gt;'General Information'!$D$33,0,IF(W68=0,$J$13,IFERROR(SUMIF(INDIRECT("'"&amp;$G$13&amp;"'!$C$37:$C$52"),W68,INDIRECT("'"&amp;$G$13&amp;"'!$D$37:$D$52")),0))))</f>
        <v>825141.8346</v>
      </c>
      <c r="AA68" s="183" t="n">
        <f aca="true">IF($G$14="",0,IF(W68&gt;'General Information'!$D$33,0,IF(W68=0,$J$14,IFERROR(SUMIF(INDIRECT("'"&amp;$G$14&amp;"'!$C$37:$C$52"),W68,INDIRECT("'"&amp;$G$14&amp;"'!$D$37:$D$52")),0))))</f>
        <v>825141.8346</v>
      </c>
      <c r="AB68" s="183" t="n">
        <f aca="true">IF($G$15="",0,IF(W68&gt;'General Information'!$D$33,0,IF(W68=0,$J$15,IFERROR(SUMIF(INDIRECT("'"&amp;$G$15&amp;"'!$C$37:$C$52"),W68,INDIRECT("'"&amp;$G$15&amp;"'!$D$37:$D$52")),0))))</f>
        <v>0</v>
      </c>
      <c r="AC68" s="183" t="n">
        <f aca="true">IF($G$12="",0,AC67+IF(W68&gt;'General Information'!$D$33,0,IF(W68=0,$J$12,IFERROR(SUMIF(INDIRECT("'"&amp;$G$12&amp;"'!$C$37:$C$52"),W68,INDIRECT("'"&amp;$G$12&amp;"'!$E$37:$E$52")),0))))</f>
        <v>6041506.53042096</v>
      </c>
      <c r="AD68" s="183" t="n">
        <f aca="true">IF($G$13="",0,AD67+IF(W68&gt;'General Information'!$D$33,0,IF(W68=0,$J$13,IFERROR(SUMIF(INDIRECT("'"&amp;$G$13&amp;"'!$C$37:$C$52"),W68,INDIRECT("'"&amp;$G$13&amp;"'!$E$37:$E$52")),0))))</f>
        <v>6674852.6580126</v>
      </c>
      <c r="AE68" s="183" t="n">
        <f aca="true">IF($G$14="",0,AE67+IF(W68&gt;'General Information'!$D$33,0,IF(W68=0,$J$14,IFERROR(SUMIF(INDIRECT("'"&amp;$G$14&amp;"'!$C$37:$C$52"),W68,INDIRECT("'"&amp;$G$14&amp;"'!$E$37:$E$52")),0))))</f>
        <v>6437420.2080126</v>
      </c>
      <c r="AF68" s="183" t="n">
        <f aca="true">IF($G$15="",0,AF67+IF(W68&gt;'General Information'!$D$33,0,IF(W68=0,$J$15,IFERROR(SUMIF(INDIRECT("'"&amp;$G$15&amp;"'!$C$37:$C$52"),W68,INDIRECT("'"&amp;$G$15&amp;"'!$E$37:$E$52")),0))))</f>
        <v>0</v>
      </c>
      <c r="AG68" s="195" t="n">
        <f aca="true">IF($G$12="",0,IF(W68&gt;'General Information'!$D$33,0,IFERROR(SUMIFS(INDIRECT("'"&amp;$G$12&amp;"'!$D$37:$D$52"),INDIRECT("'"&amp;$G$12&amp;"'!$C$37:$C$52"),W68,INDIRECT("'"&amp;$G$12&amp;"'!$B$37:$B$52"),"*Indirect*")/INDIRECT("'"&amp;$G$12&amp;"'!$F$2"),0)))</f>
        <v>0</v>
      </c>
      <c r="AH68" s="195" t="n">
        <f aca="true">IF($G$13="",0,IF(W68&gt;'General Information'!$D$33,0,IFERROR(SUMIFS(INDIRECT("'"&amp;$G$13&amp;"'!$D$37:$D$52"),INDIRECT("'"&amp;$G$13&amp;"'!$C$37:$C$52"),W68,INDIRECT("'"&amp;$G$13&amp;"'!$B$37:$B$52"),"*Indirect*")/INDIRECT("'"&amp;$G$13&amp;"'!$F$2"),0)))</f>
        <v>16</v>
      </c>
      <c r="AI68" s="195" t="n">
        <f aca="true">IF($G$14="",0,IF(W68&gt;'General Information'!$D$33,0,IFERROR(SUMIFS(INDIRECT("'"&amp;$G$14&amp;"'!$D$37:$D$52"),INDIRECT("'"&amp;$G$14&amp;"'!$C$37:$C$52"),W68,INDIRECT("'"&amp;$G$14&amp;"'!$B$37:$B$52"),"*Indirect*")/INDIRECT("'"&amp;$G$14&amp;"'!$F$2"),0)))</f>
        <v>16</v>
      </c>
      <c r="AJ68" s="195" t="n">
        <f aca="true">IF($G$15="",0,IF(W68&gt;'General Information'!$D$33,0,IFERROR(SUMIFS(INDIRECT("'"&amp;$G$15&amp;"'!$D$37:$D$52"),INDIRECT("'"&amp;$G$15&amp;"'!$C$37:$C$52"),W68,INDIRECT("'"&amp;$G$15&amp;"'!$B$37:$B$52"),"*Indirect*")/INDIRECT("'"&amp;$G$15&amp;"'!$F$2"),0)))</f>
        <v>0</v>
      </c>
    </row>
    <row r="69" customFormat="false" ht="15" hidden="false" customHeight="false" outlineLevel="0" collapsed="false">
      <c r="W69" s="182" t="n">
        <v>28</v>
      </c>
      <c r="X69" s="182" t="n">
        <f aca="false">'General Information'!$D$25+W69</f>
        <v>2056</v>
      </c>
      <c r="Y69" s="183" t="n">
        <f aca="true">IF($G$12="",0,IF(W69&gt;'General Information'!$D$33,0,IF(W69=0,$J$12,IFERROR(SUMIF(INDIRECT("'"&amp;$G$12&amp;"'!$C$37:$C$52"),W69,INDIRECT("'"&amp;$G$12&amp;"'!$D$37:$D$52")),0))))</f>
        <v>400963.702895833</v>
      </c>
      <c r="Z69" s="183" t="n">
        <f aca="true">IF($G$13="",0,IF(W69&gt;'General Information'!$D$33,0,IF(W69=0,$J$13,IFERROR(SUMIF(INDIRECT("'"&amp;$G$13&amp;"'!$C$37:$C$52"),W69,INDIRECT("'"&amp;$G$13&amp;"'!$D$37:$D$52")),0))))</f>
        <v>0</v>
      </c>
      <c r="AA69" s="183" t="n">
        <f aca="true">IF($G$14="",0,IF(W69&gt;'General Information'!$D$33,0,IF(W69=0,$J$14,IFERROR(SUMIF(INDIRECT("'"&amp;$G$14&amp;"'!$C$37:$C$52"),W69,INDIRECT("'"&amp;$G$14&amp;"'!$D$37:$D$52")),0))))</f>
        <v>0</v>
      </c>
      <c r="AB69" s="183" t="n">
        <f aca="true">IF($G$15="",0,IF(W69&gt;'General Information'!$D$33,0,IF(W69=0,$J$15,IFERROR(SUMIF(INDIRECT("'"&amp;$G$15&amp;"'!$C$37:$C$52"),W69,INDIRECT("'"&amp;$G$15&amp;"'!$D$37:$D$52")),0))))</f>
        <v>0</v>
      </c>
      <c r="AC69" s="183" t="n">
        <f aca="true">IF($G$12="",0,AC68+IF(W69&gt;'General Information'!$D$33,0,IF(W69=0,$J$12,IFERROR(SUMIF(INDIRECT("'"&amp;$G$12&amp;"'!$C$37:$C$52"),W69,INDIRECT("'"&amp;$G$12&amp;"'!$E$37:$E$52")),0))))</f>
        <v>6216758.44382187</v>
      </c>
      <c r="AD69" s="183" t="n">
        <f aca="true">IF($G$13="",0,AD68+IF(W69&gt;'General Information'!$D$33,0,IF(W69=0,$J$13,IFERROR(SUMIF(INDIRECT("'"&amp;$G$13&amp;"'!$C$37:$C$52"),W69,INDIRECT("'"&amp;$G$13&amp;"'!$E$37:$E$52")),0))))</f>
        <v>6674852.6580126</v>
      </c>
      <c r="AE69" s="183" t="n">
        <f aca="true">IF($G$14="",0,AE68+IF(W69&gt;'General Information'!$D$33,0,IF(W69=0,$J$14,IFERROR(SUMIF(INDIRECT("'"&amp;$G$14&amp;"'!$C$37:$C$52"),W69,INDIRECT("'"&amp;$G$14&amp;"'!$E$37:$E$52")),0))))</f>
        <v>6437420.2080126</v>
      </c>
      <c r="AF69" s="183" t="n">
        <f aca="true">IF($G$15="",0,AF68+IF(W69&gt;'General Information'!$D$33,0,IF(W69=0,$J$15,IFERROR(SUMIF(INDIRECT("'"&amp;$G$15&amp;"'!$C$37:$C$52"),W69,INDIRECT("'"&amp;$G$15&amp;"'!$E$37:$E$52")),0))))</f>
        <v>0</v>
      </c>
      <c r="AG69" s="195" t="n">
        <f aca="true">IF($G$12="",0,IF(W69&gt;'General Information'!$D$33,0,IFERROR(SUMIFS(INDIRECT("'"&amp;$G$12&amp;"'!$D$37:$D$52"),INDIRECT("'"&amp;$G$12&amp;"'!$C$37:$C$52"),W69,INDIRECT("'"&amp;$G$12&amp;"'!$B$37:$B$52"),"*Indirect*")/INDIRECT("'"&amp;$G$12&amp;"'!$F$2"),0)))</f>
        <v>8</v>
      </c>
      <c r="AH69" s="195" t="n">
        <f aca="true">IF($G$13="",0,IF(W69&gt;'General Information'!$D$33,0,IFERROR(SUMIFS(INDIRECT("'"&amp;$G$13&amp;"'!$D$37:$D$52"),INDIRECT("'"&amp;$G$13&amp;"'!$C$37:$C$52"),W69,INDIRECT("'"&amp;$G$13&amp;"'!$B$37:$B$52"),"*Indirect*")/INDIRECT("'"&amp;$G$13&amp;"'!$F$2"),0)))</f>
        <v>0</v>
      </c>
      <c r="AI69" s="195" t="n">
        <f aca="true">IF($G$14="",0,IF(W69&gt;'General Information'!$D$33,0,IFERROR(SUMIFS(INDIRECT("'"&amp;$G$14&amp;"'!$D$37:$D$52"),INDIRECT("'"&amp;$G$14&amp;"'!$C$37:$C$52"),W69,INDIRECT("'"&amp;$G$14&amp;"'!$B$37:$B$52"),"*Indirect*")/INDIRECT("'"&amp;$G$14&amp;"'!$F$2"),0)))</f>
        <v>0</v>
      </c>
      <c r="AJ69" s="195" t="n">
        <f aca="true">IF($G$15="",0,IF(W69&gt;'General Information'!$D$33,0,IFERROR(SUMIFS(INDIRECT("'"&amp;$G$15&amp;"'!$D$37:$D$52"),INDIRECT("'"&amp;$G$15&amp;"'!$C$37:$C$52"),W69,INDIRECT("'"&amp;$G$15&amp;"'!$B$37:$B$52"),"*Indirect*")/INDIRECT("'"&amp;$G$15&amp;"'!$F$2"),0)))</f>
        <v>0</v>
      </c>
    </row>
    <row r="70" customFormat="false" ht="15" hidden="false" customHeight="false" outlineLevel="0" collapsed="false">
      <c r="W70" s="182" t="n">
        <v>29</v>
      </c>
      <c r="X70" s="182" t="n">
        <f aca="false">'General Information'!$D$25+W70</f>
        <v>2057</v>
      </c>
      <c r="Y70" s="183" t="n">
        <f aca="true">IF($G$12="",0,IF(W70&gt;'General Information'!$D$33,0,IF(W70=0,$J$12,IFERROR(SUMIF(INDIRECT("'"&amp;$G$12&amp;"'!$C$37:$C$52"),W70,INDIRECT("'"&amp;$G$12&amp;"'!$D$37:$D$52")),0))))</f>
        <v>0</v>
      </c>
      <c r="Z70" s="183" t="n">
        <f aca="true">IF($G$13="",0,IF(W70&gt;'General Information'!$D$33,0,IF(W70=0,$J$13,IFERROR(SUMIF(INDIRECT("'"&amp;$G$13&amp;"'!$C$37:$C$52"),W70,INDIRECT("'"&amp;$G$13&amp;"'!$D$37:$D$52")),0))))</f>
        <v>0</v>
      </c>
      <c r="AA70" s="183" t="n">
        <f aca="true">IF($G$14="",0,IF(W70&gt;'General Information'!$D$33,0,IF(W70=0,$J$14,IFERROR(SUMIF(INDIRECT("'"&amp;$G$14&amp;"'!$C$37:$C$52"),W70,INDIRECT("'"&amp;$G$14&amp;"'!$D$37:$D$52")),0))))</f>
        <v>0</v>
      </c>
      <c r="AB70" s="183" t="n">
        <f aca="true">IF($G$15="",0,IF(W70&gt;'General Information'!$D$33,0,IF(W70=0,$J$15,IFERROR(SUMIF(INDIRECT("'"&amp;$G$15&amp;"'!$C$37:$C$52"),W70,INDIRECT("'"&amp;$G$15&amp;"'!$D$37:$D$52")),0))))</f>
        <v>0</v>
      </c>
      <c r="AC70" s="183" t="n">
        <f aca="true">IF($G$12="",0,AC69+IF(W70&gt;'General Information'!$D$33,0,IF(W70=0,$J$12,IFERROR(SUMIF(INDIRECT("'"&amp;$G$12&amp;"'!$C$37:$C$52"),W70,INDIRECT("'"&amp;$G$12&amp;"'!$E$37:$E$52")),0))))</f>
        <v>6216758.44382187</v>
      </c>
      <c r="AD70" s="183" t="n">
        <f aca="true">IF($G$13="",0,AD69+IF(W70&gt;'General Information'!$D$33,0,IF(W70=0,$J$13,IFERROR(SUMIF(INDIRECT("'"&amp;$G$13&amp;"'!$C$37:$C$52"),W70,INDIRECT("'"&amp;$G$13&amp;"'!$E$37:$E$52")),0))))</f>
        <v>6674852.6580126</v>
      </c>
      <c r="AE70" s="183" t="n">
        <f aca="true">IF($G$14="",0,AE69+IF(W70&gt;'General Information'!$D$33,0,IF(W70=0,$J$14,IFERROR(SUMIF(INDIRECT("'"&amp;$G$14&amp;"'!$C$37:$C$52"),W70,INDIRECT("'"&amp;$G$14&amp;"'!$E$37:$E$52")),0))))</f>
        <v>6437420.2080126</v>
      </c>
      <c r="AF70" s="183" t="n">
        <f aca="true">IF($G$15="",0,AF69+IF(W70&gt;'General Information'!$D$33,0,IF(W70=0,$J$15,IFERROR(SUMIF(INDIRECT("'"&amp;$G$15&amp;"'!$C$37:$C$52"),W70,INDIRECT("'"&amp;$G$15&amp;"'!$E$37:$E$52")),0))))</f>
        <v>0</v>
      </c>
      <c r="AG70" s="195" t="n">
        <f aca="true">IF($G$12="",0,IF(W70&gt;'General Information'!$D$33,0,IFERROR(SUMIFS(INDIRECT("'"&amp;$G$12&amp;"'!$D$37:$D$52"),INDIRECT("'"&amp;$G$12&amp;"'!$C$37:$C$52"),W70,INDIRECT("'"&amp;$G$12&amp;"'!$B$37:$B$52"),"*Indirect*")/INDIRECT("'"&amp;$G$12&amp;"'!$F$2"),0)))</f>
        <v>0</v>
      </c>
      <c r="AH70" s="195" t="n">
        <f aca="true">IF($G$13="",0,IF(W70&gt;'General Information'!$D$33,0,IFERROR(SUMIFS(INDIRECT("'"&amp;$G$13&amp;"'!$D$37:$D$52"),INDIRECT("'"&amp;$G$13&amp;"'!$C$37:$C$52"),W70,INDIRECT("'"&amp;$G$13&amp;"'!$B$37:$B$52"),"*Indirect*")/INDIRECT("'"&amp;$G$13&amp;"'!$F$2"),0)))</f>
        <v>0</v>
      </c>
      <c r="AI70" s="195" t="n">
        <f aca="true">IF($G$14="",0,IF(W70&gt;'General Information'!$D$33,0,IFERROR(SUMIFS(INDIRECT("'"&amp;$G$14&amp;"'!$D$37:$D$52"),INDIRECT("'"&amp;$G$14&amp;"'!$C$37:$C$52"),W70,INDIRECT("'"&amp;$G$14&amp;"'!$B$37:$B$52"),"*Indirect*")/INDIRECT("'"&amp;$G$14&amp;"'!$F$2"),0)))</f>
        <v>0</v>
      </c>
      <c r="AJ70" s="195" t="n">
        <f aca="true">IF($G$15="",0,IF(W70&gt;'General Information'!$D$33,0,IFERROR(SUMIFS(INDIRECT("'"&amp;$G$15&amp;"'!$D$37:$D$52"),INDIRECT("'"&amp;$G$15&amp;"'!$C$37:$C$52"),W70,INDIRECT("'"&amp;$G$15&amp;"'!$B$37:$B$52"),"*Indirect*")/INDIRECT("'"&amp;$G$15&amp;"'!$F$2"),0)))</f>
        <v>0</v>
      </c>
    </row>
    <row r="71" customFormat="false" ht="15" hidden="false" customHeight="false" outlineLevel="0" collapsed="false">
      <c r="W71" s="182" t="n">
        <v>30</v>
      </c>
      <c r="X71" s="182" t="n">
        <f aca="false">'General Information'!$D$25+W71</f>
        <v>2058</v>
      </c>
      <c r="Y71" s="183" t="n">
        <f aca="true">IF($G$12="",0,IF(W71&gt;'General Information'!$D$33,0,IF(W71=0,$J$12,IFERROR(SUMIF(INDIRECT("'"&amp;$G$12&amp;"'!$C$37:$C$52"),W71,INDIRECT("'"&amp;$G$12&amp;"'!$D$37:$D$52")),0))))</f>
        <v>-438220.818796875</v>
      </c>
      <c r="Z71" s="183" t="n">
        <f aca="true">IF($G$13="",0,IF(W71&gt;'General Information'!$D$33,0,IF(W71=0,$J$13,IFERROR(SUMIF(INDIRECT("'"&amp;$G$13&amp;"'!$C$37:$C$52"),W71,INDIRECT("'"&amp;$G$13&amp;"'!$D$37:$D$52")),0))))</f>
        <v>-1479726.5625</v>
      </c>
      <c r="AA71" s="183" t="n">
        <f aca="true">IF($G$14="",0,IF(W71&gt;'General Information'!$D$33,0,IF(W71=0,$J$14,IFERROR(SUMIF(INDIRECT("'"&amp;$G$14&amp;"'!$C$37:$C$52"),W71,INDIRECT("'"&amp;$G$14&amp;"'!$D$37:$D$52")),0))))</f>
        <v>-1420368.45</v>
      </c>
      <c r="AB71" s="183" t="n">
        <f aca="true">IF($G$15="",0,IF(W71&gt;'General Information'!$D$33,0,IF(W71=0,$J$15,IFERROR(SUMIF(INDIRECT("'"&amp;$G$15&amp;"'!$C$37:$C$52"),W71,INDIRECT("'"&amp;$G$15&amp;"'!$D$37:$D$52")),0))))</f>
        <v>0</v>
      </c>
      <c r="AC71" s="183" t="n">
        <f aca="true">IF($G$12="",0,AC70+IF(W71&gt;'General Information'!$D$33,0,IF(W71=0,$J$12,IFERROR(SUMIF(INDIRECT("'"&amp;$G$12&amp;"'!$C$37:$C$52"),W71,INDIRECT("'"&amp;$G$12&amp;"'!$E$37:$E$52")),0))))</f>
        <v>6036217.26873333</v>
      </c>
      <c r="AD71" s="183" t="n">
        <f aca="true">IF($G$13="",0,AD70+IF(W71&gt;'General Information'!$D$33,0,IF(W71=0,$J$13,IFERROR(SUMIF(INDIRECT("'"&amp;$G$13&amp;"'!$C$37:$C$52"),W71,INDIRECT("'"&amp;$G$13&amp;"'!$E$37:$E$52")),0))))</f>
        <v>6065224.90655861</v>
      </c>
      <c r="AE71" s="183" t="n">
        <f aca="true">IF($G$14="",0,AE70+IF(W71&gt;'General Information'!$D$33,0,IF(W71=0,$J$14,IFERROR(SUMIF(INDIRECT("'"&amp;$G$14&amp;"'!$C$37:$C$52"),W71,INDIRECT("'"&amp;$G$14&amp;"'!$E$37:$E$52")),0))))</f>
        <v>5852247.21297847</v>
      </c>
      <c r="AF71" s="183" t="n">
        <f aca="true">IF($G$15="",0,AF70+IF(W71&gt;'General Information'!$D$33,0,IF(W71=0,$J$15,IFERROR(SUMIF(INDIRECT("'"&amp;$G$15&amp;"'!$C$37:$C$52"),W71,INDIRECT("'"&amp;$G$15&amp;"'!$E$37:$E$52")),0))))</f>
        <v>0</v>
      </c>
      <c r="AG71" s="195" t="n">
        <f aca="true">IF($G$12="",0,IF(W71&gt;'General Information'!$D$33,0,IFERROR(SUMIFS(INDIRECT("'"&amp;$G$12&amp;"'!$D$37:$D$52"),INDIRECT("'"&amp;$G$12&amp;"'!$C$37:$C$52"),W71,INDIRECT("'"&amp;$G$12&amp;"'!$B$37:$B$52"),"*Indirect*")/INDIRECT("'"&amp;$G$12&amp;"'!$F$2"),0)))</f>
        <v>0</v>
      </c>
      <c r="AH71" s="195" t="n">
        <f aca="true">IF($G$13="",0,IF(W71&gt;'General Information'!$D$33,0,IFERROR(SUMIFS(INDIRECT("'"&amp;$G$13&amp;"'!$D$37:$D$52"),INDIRECT("'"&amp;$G$13&amp;"'!$C$37:$C$52"),W71,INDIRECT("'"&amp;$G$13&amp;"'!$B$37:$B$52"),"*Indirect*")/INDIRECT("'"&amp;$G$13&amp;"'!$F$2"),0)))</f>
        <v>0</v>
      </c>
      <c r="AI71" s="195" t="n">
        <f aca="true">IF($G$14="",0,IF(W71&gt;'General Information'!$D$33,0,IFERROR(SUMIFS(INDIRECT("'"&amp;$G$14&amp;"'!$D$37:$D$52"),INDIRECT("'"&amp;$G$14&amp;"'!$C$37:$C$52"),W71,INDIRECT("'"&amp;$G$14&amp;"'!$B$37:$B$52"),"*Indirect*")/INDIRECT("'"&amp;$G$14&amp;"'!$F$2"),0)))</f>
        <v>0</v>
      </c>
      <c r="AJ71" s="195" t="n">
        <f aca="true">IF($G$15="",0,IF(W71&gt;'General Information'!$D$33,0,IFERROR(SUMIFS(INDIRECT("'"&amp;$G$15&amp;"'!$D$37:$D$52"),INDIRECT("'"&amp;$G$15&amp;"'!$C$37:$C$52"),W71,INDIRECT("'"&amp;$G$15&amp;"'!$B$37:$B$52"),"*Indirect*")/INDIRECT("'"&amp;$G$15&amp;"'!$F$2"),0)))</f>
        <v>0</v>
      </c>
    </row>
    <row r="74" customFormat="false" ht="15" hidden="false" customHeight="false" outlineLevel="0" collapsed="false">
      <c r="W74" s="177" t="s">
        <v>797</v>
      </c>
    </row>
    <row r="75" customFormat="false" ht="15" hidden="false" customHeight="false" outlineLevel="0" collapsed="false">
      <c r="W75" s="178" t="s">
        <v>798</v>
      </c>
      <c r="X75" s="178" t="str">
        <f aca="false">IF(X$4="","",X$4)</f>
        <v>Alternative 1</v>
      </c>
      <c r="Y75" s="178" t="str">
        <f aca="false">IF(Y$4="","",Y$4)</f>
        <v>Alternative 2</v>
      </c>
      <c r="Z75" s="178" t="str">
        <f aca="false">IF(Z$4="","",Z$4)</f>
        <v>Alternative 3</v>
      </c>
      <c r="AA75" s="178" t="str">
        <f aca="false">IF(AA$4="","",AA$4)</f>
        <v/>
      </c>
    </row>
    <row r="76" customFormat="false" ht="15" hidden="false" customHeight="false" outlineLevel="0" collapsed="false">
      <c r="W76" s="182" t="s">
        <v>799</v>
      </c>
      <c r="X76" s="197" t="n">
        <f aca="false">IF($G$12="",0,IFERROR(J93,0))</f>
        <v>5.99986923261339</v>
      </c>
      <c r="Y76" s="197" t="n">
        <f aca="false">IF($G$13="",0,IFERROR(J94,0))</f>
        <v>5.99986923261339</v>
      </c>
      <c r="Z76" s="197" t="n">
        <f aca="false">IF($G$14="",0,IFERROR(J95,0))</f>
        <v>0</v>
      </c>
      <c r="AA76" s="197" t="n">
        <f aca="false">IF($G$15="",0,IFERROR(J96,0))</f>
        <v>0</v>
      </c>
    </row>
    <row r="77" customFormat="false" ht="15" hidden="false" customHeight="false" outlineLevel="0" collapsed="false">
      <c r="W77" s="182" t="s">
        <v>800</v>
      </c>
      <c r="X77" s="197" t="n">
        <f aca="false">IF($G$12="",0,IFERROR(I93,0))</f>
        <v>5.99986923261339</v>
      </c>
      <c r="Y77" s="197" t="n">
        <f aca="false">IF($G$13="",0,IFERROR(I94,0))</f>
        <v>5.99986923261339</v>
      </c>
      <c r="Z77" s="197" t="n">
        <f aca="false">IF($G$14="",0,IFERROR(I95,0))</f>
        <v>5.99986923261339</v>
      </c>
      <c r="AA77" s="197" t="n">
        <f aca="false">IF($G$15="",0,IFERROR(I96,0))</f>
        <v>0</v>
      </c>
    </row>
    <row r="78" customFormat="false" ht="15" hidden="false" customHeight="false" outlineLevel="0" collapsed="false">
      <c r="W78" s="182" t="s">
        <v>801</v>
      </c>
      <c r="X78" s="197" t="n">
        <f aca="true">IF($G$12="",0,IFERROR(IF(SUMIFS(INDIRECT("'"&amp;$G$12&amp;"'!$E$13:$E$22"),INDIRECT("'"&amp;$G$12&amp;"'!$D$13:$D$22"),"TON")&gt;0,H93,0),0))</f>
        <v>8.00035883352485</v>
      </c>
      <c r="Y78" s="197" t="n">
        <f aca="true">IF($G$13="",0,IFERROR(IF(SUMIFS(INDIRECT("'"&amp;$G$13&amp;"'!$E$13:$E$22"),INDIRECT("'"&amp;$G$13&amp;"'!$D$13:$D$22"),"TON")&gt;0,H94,0),0))</f>
        <v>0</v>
      </c>
      <c r="Z78" s="197" t="n">
        <f aca="true">IF($G$14="",0,IFERROR(IF(SUMIFS(INDIRECT("'"&amp;$G$14&amp;"'!$E$13:$E$22"),INDIRECT("'"&amp;$G$14&amp;"'!$D$13:$D$22"),"TON")&gt;0,H95,0),0))</f>
        <v>0</v>
      </c>
      <c r="AA78" s="197" t="n">
        <f aca="true">IF($G$15="",0,IFERROR(IF(SUMIFS(INDIRECT("'"&amp;$G$15&amp;"'!$E$13:$E$22"),INDIRECT("'"&amp;$G$15&amp;"'!$D$13:$D$22"),"TON")&gt;0,H96,0),0))</f>
        <v>0</v>
      </c>
    </row>
    <row r="79" customFormat="false" ht="15" hidden="false" customHeight="false" outlineLevel="0" collapsed="false">
      <c r="W79" s="182" t="s">
        <v>802</v>
      </c>
      <c r="X79" s="197" t="n">
        <f aca="true">IF($G$12="",0,IFERROR(IF(SUMIFS(INDIRECT("'"&amp;$G$12&amp;"'!$E$13:$E$22"),INDIRECT("'"&amp;$G$12&amp;"'!$D$13:$D$22"),"TON")&gt;0,0,H93),0))</f>
        <v>0</v>
      </c>
      <c r="Y79" s="197" t="n">
        <f aca="true">IF($G$13="",0,IFERROR(IF(SUMIFS(INDIRECT("'"&amp;$G$13&amp;"'!$E$13:$E$22"),INDIRECT("'"&amp;$G$13&amp;"'!$D$13:$D$22"),"TON")&gt;0,0,H94),0))</f>
        <v>9</v>
      </c>
      <c r="Z79" s="197" t="n">
        <f aca="true">IF($G$14="",0,IFERROR(IF(SUMIFS(INDIRECT("'"&amp;$G$14&amp;"'!$E$13:$E$22"),INDIRECT("'"&amp;$G$14&amp;"'!$D$13:$D$22"),"TON")&gt;0,0,H95),0))</f>
        <v>11</v>
      </c>
      <c r="AA79" s="197" t="n">
        <f aca="true">IF($G$15="",0,IFERROR(IF(SUMIFS(INDIRECT("'"&amp;$G$15&amp;"'!$E$13:$E$22"),INDIRECT("'"&amp;$G$15&amp;"'!$D$13:$D$22"),"TON")&gt;0,0,H96),0))</f>
        <v>0</v>
      </c>
    </row>
    <row r="81" customFormat="false" ht="15" hidden="false" customHeight="false" outlineLevel="0" collapsed="false">
      <c r="W81" s="177" t="s">
        <v>803</v>
      </c>
    </row>
    <row r="82" customFormat="false" ht="15" hidden="false" customHeight="false" outlineLevel="0" collapsed="false">
      <c r="W82" s="178" t="s">
        <v>798</v>
      </c>
      <c r="X82" s="178" t="str">
        <f aca="false">X$4</f>
        <v>Alternative 1</v>
      </c>
      <c r="Y82" s="178" t="str">
        <f aca="false">Y$4</f>
        <v>Alternative 2</v>
      </c>
      <c r="Z82" s="178" t="str">
        <f aca="false">Z$4</f>
        <v>Alternative 3</v>
      </c>
      <c r="AA82" s="178" t="str">
        <f aca="false">AA$4</f>
        <v/>
      </c>
    </row>
    <row r="83" customFormat="false" ht="15" hidden="false" customHeight="false" outlineLevel="0" collapsed="false">
      <c r="W83" s="182" t="s">
        <v>799</v>
      </c>
      <c r="X83" s="197" t="n">
        <f aca="false">IFERROR(X76*IF('General Information'!$D$27&gt;0,'General Information'!$D$26/('General Information'!$D$26+'General Information'!$D$27),0),0)</f>
        <v>0</v>
      </c>
      <c r="Y83" s="197" t="n">
        <f aca="false">IFERROR(Y76*IF('General Information'!$D$27&gt;0,'General Information'!$D$26/('General Information'!$D$26+'General Information'!$D$27),0),0)</f>
        <v>0</v>
      </c>
      <c r="Z83" s="197" t="n">
        <f aca="false">IFERROR(Z76*IF('General Information'!$D$27&gt;0,'General Information'!$D$26/('General Information'!$D$26+'General Information'!$D$27),0),0)</f>
        <v>0</v>
      </c>
      <c r="AA83" s="197" t="n">
        <f aca="false">IFERROR(AA76*IF('General Information'!$D$27&gt;0,'General Information'!$D$26/('General Information'!$D$26+'General Information'!$D$27),0),0)</f>
        <v>0</v>
      </c>
    </row>
    <row r="84" customFormat="false" ht="15" hidden="false" customHeight="false" outlineLevel="0" collapsed="false">
      <c r="W84" s="182" t="s">
        <v>800</v>
      </c>
      <c r="X84" s="197" t="n">
        <f aca="false">IFERROR(X77*IF('General Information'!$D$27&gt;0,'General Information'!$D$26/('General Information'!$D$26+'General Information'!$D$27),0),0)</f>
        <v>0</v>
      </c>
      <c r="Y84" s="197" t="n">
        <f aca="false">IFERROR(Y77*IF('General Information'!$D$27&gt;0,'General Information'!$D$26/('General Information'!$D$26+'General Information'!$D$27),0),0)</f>
        <v>0</v>
      </c>
      <c r="Z84" s="197" t="n">
        <f aca="false">IFERROR(Z77*IF('General Information'!$D$27&gt;0,'General Information'!$D$26/('General Information'!$D$26+'General Information'!$D$27),0),0)</f>
        <v>0</v>
      </c>
      <c r="AA84" s="197" t="n">
        <f aca="false">IFERROR(AA77*IF('General Information'!$D$27&gt;0,'General Information'!$D$26/('General Information'!$D$26+'General Information'!$D$27),0),0)</f>
        <v>0</v>
      </c>
    </row>
    <row r="85" customFormat="false" ht="15" hidden="false" customHeight="false" outlineLevel="0" collapsed="false">
      <c r="W85" s="182" t="s">
        <v>801</v>
      </c>
      <c r="X85" s="197" t="n">
        <f aca="false">IFERROR(X78*IF('General Information'!$D$27&gt;0,'General Information'!$D$26/('General Information'!$D$26+'General Information'!$D$27),0),0)</f>
        <v>0</v>
      </c>
      <c r="Y85" s="197" t="n">
        <f aca="false">IFERROR(Y78*IF('General Information'!$D$27&gt;0,'General Information'!$D$26/('General Information'!$D$26+'General Information'!$D$27),0),0)</f>
        <v>0</v>
      </c>
      <c r="Z85" s="197" t="n">
        <f aca="false">IFERROR(Z78*IF('General Information'!$D$27&gt;0,'General Information'!$D$26/('General Information'!$D$26+'General Information'!$D$27),0),0)</f>
        <v>0</v>
      </c>
      <c r="AA85" s="197" t="n">
        <f aca="false">IFERROR(AA78*IF('General Information'!$D$27&gt;0,'General Information'!$D$26/('General Information'!$D$26+'General Information'!$D$27),0),0)</f>
        <v>0</v>
      </c>
    </row>
    <row r="86" customFormat="false" ht="15" hidden="false" customHeight="false" outlineLevel="0" collapsed="false">
      <c r="W86" s="182" t="s">
        <v>802</v>
      </c>
      <c r="X86" s="197" t="n">
        <f aca="false">IFERROR(X79*IF('General Information'!$D$27&gt;0,1,0),0)</f>
        <v>0</v>
      </c>
      <c r="Y86" s="197" t="n">
        <f aca="false">IFERROR(Y79*IF('General Information'!$D$27&gt;0,1,0),0)</f>
        <v>0</v>
      </c>
      <c r="Z86" s="197" t="n">
        <f aca="false">IFERROR(Z79*IF('General Information'!$D$27&gt;0,1,0),0)</f>
        <v>0</v>
      </c>
      <c r="AA86" s="197" t="n">
        <f aca="false">IFERROR(AA79*IF('General Information'!$D$27&gt;0,1,0),0)</f>
        <v>0</v>
      </c>
    </row>
    <row r="87" customFormat="false" ht="15" hidden="false" customHeight="false" outlineLevel="0" collapsed="false">
      <c r="G87" s="106" t="s">
        <v>804</v>
      </c>
    </row>
    <row r="89" customFormat="false" ht="15" hidden="false" customHeight="false" outlineLevel="0" collapsed="false">
      <c r="W89" s="177" t="s">
        <v>805</v>
      </c>
    </row>
    <row r="90" customFormat="false" ht="15" hidden="false" customHeight="false" outlineLevel="0" collapsed="false">
      <c r="G90" s="193" t="s">
        <v>806</v>
      </c>
      <c r="W90" s="178" t="s">
        <v>807</v>
      </c>
      <c r="X90" s="178" t="str">
        <f aca="false">IF(X$4="","",X$4)</f>
        <v>Alternative 1</v>
      </c>
      <c r="Y90" s="178" t="str">
        <f aca="false">IF(Y$4="","",Y$4)</f>
        <v>Alternative 2</v>
      </c>
      <c r="Z90" s="178" t="str">
        <f aca="false">IF(Z$4="","",Z$4)</f>
        <v>Alternative 3</v>
      </c>
      <c r="AA90" s="178" t="str">
        <f aca="false">IF(AA$4="","",AA$4)</f>
        <v/>
      </c>
      <c r="AB90" s="178" t="s">
        <v>808</v>
      </c>
    </row>
    <row r="91" customFormat="false" ht="15" hidden="false" customHeight="false" outlineLevel="0" collapsed="false">
      <c r="G91" s="177" t="s">
        <v>809</v>
      </c>
      <c r="J91" s="198" t="n">
        <v>145</v>
      </c>
      <c r="K91" s="106" t="s">
        <v>810</v>
      </c>
      <c r="W91" s="182" t="s">
        <v>811</v>
      </c>
      <c r="X91" s="199" t="n">
        <v>0</v>
      </c>
      <c r="Y91" s="199" t="n">
        <v>0</v>
      </c>
      <c r="Z91" s="199" t="n">
        <v>0</v>
      </c>
      <c r="AA91" s="199" t="n">
        <v>0</v>
      </c>
      <c r="AB91" s="199" t="n">
        <v>210</v>
      </c>
    </row>
    <row r="92" customFormat="false" ht="27" hidden="false" customHeight="true" outlineLevel="0" collapsed="false">
      <c r="G92" s="178" t="s">
        <v>747</v>
      </c>
      <c r="H92" s="178" t="s">
        <v>812</v>
      </c>
      <c r="I92" s="178" t="s">
        <v>813</v>
      </c>
      <c r="J92" s="178" t="s">
        <v>814</v>
      </c>
      <c r="K92" s="178" t="s">
        <v>815</v>
      </c>
      <c r="L92" s="178" t="s">
        <v>816</v>
      </c>
      <c r="M92" s="178" t="s">
        <v>817</v>
      </c>
      <c r="N92" s="178" t="s">
        <v>818</v>
      </c>
      <c r="O92" s="178"/>
      <c r="P92" s="178" t="s">
        <v>819</v>
      </c>
      <c r="Q92" s="178" t="s">
        <v>820</v>
      </c>
      <c r="W92" s="182" t="s">
        <v>821</v>
      </c>
      <c r="X92" s="199" t="n">
        <f aca="false">IFERROR(IF($G$12="",0,$J$12/'General Information'!$D$26),0)</f>
        <v>93.4008630647517</v>
      </c>
      <c r="Y92" s="199" t="n">
        <f aca="false">IFERROR(IF($G$13="",0,$J$13/'General Information'!$D$26),0)</f>
        <v>128.999983654077</v>
      </c>
      <c r="Z92" s="199" t="n">
        <f aca="false">IFERROR(IF($G$14="",0,$J$14/'General Information'!$D$26),0)</f>
        <v>123.825246823442</v>
      </c>
      <c r="AA92" s="199" t="n">
        <f aca="false">IFERROR(IF($G$15="",0,$J$15/'General Information'!$D$26),0)</f>
        <v>0</v>
      </c>
      <c r="AB92" s="199" t="n">
        <v>70</v>
      </c>
    </row>
    <row r="93" customFormat="false" ht="15" hidden="false" customHeight="false" outlineLevel="0" collapsed="false">
      <c r="G93" s="186" t="str">
        <f aca="false">IF($G$12="","",$H$12)</f>
        <v>Alternative 1</v>
      </c>
      <c r="H93" s="200" t="n">
        <f aca="true">IF(OR($G$12="",N('General Information'!$D$26)&lt;=0),"",IF(SUMIFS(INDIRECT("'"&amp;$G$12&amp;"'!$E$13:$E$22"),INDIRECT("'"&amp;$G$12&amp;"'!$D$13:$D$22"),"TON")&gt;0,SUMIFS(INDIRECT("'"&amp;$G$12&amp;"'!$E$13:$E$22"),INDIRECT("'"&amp;$G$12&amp;"'!$D$13:$D$22"),"TON")*2666.6667/($J$91*'General Information'!$D$26),IFERROR(VALUE(TRIM(SUBSTITUTE(MID(IFERROR(INDEX(INDIRECT("'"&amp;$G$12&amp;"'!$C$13:$C$22"),MATCH("Concrete Pavement*",INDIRECT("'"&amp;$G$12&amp;"'!$C$13:$C$22"),0)),""),FIND(",",IFERROR(INDEX(INDIRECT("'"&amp;$G$12&amp;"'!$C$13:$C$22"),MATCH("Concrete Pavement*",INDIRECT("'"&amp;$G$12&amp;"'!$C$13:$C$22"),0)),""))+1,99),"-inch",""))),0)))</f>
        <v>8.00035883352485</v>
      </c>
      <c r="I93" s="200" t="n">
        <f aca="true">IF(OR($G$12="",N('General Information'!$D$26)&lt;=0),"",36*(SUMIFS(INDIRECT("'"&amp;$G$12&amp;"'!$E$13:$E$22"),INDIRECT("'"&amp;$G$12&amp;"'!$D$13:$D$22"),"C.Y.",INDIRECT("'"&amp;$G$12&amp;"'!$B$13:$B$22"),"P-2*")+SUMIFS(INDIRECT("'"&amp;$G$12&amp;"'!$E$13:$E$22"),INDIRECT("'"&amp;$G$12&amp;"'!$D$13:$D$22"),"C.Y.",INDIRECT("'"&amp;$G$12&amp;"'!$B$13:$B$22"),"P-3*"))/'General Information'!$D$26)</f>
        <v>5.99986923261339</v>
      </c>
      <c r="J93" s="200" t="n">
        <f aca="true">IF(OR($G$12="",N('General Information'!$D$26)&lt;=0),"",36*SUMIFS(INDIRECT("'"&amp;$G$12&amp;"'!$E$13:$E$22"),INDIRECT("'"&amp;$G$12&amp;"'!$D$13:$D$22"),"C.Y.",INDIRECT("'"&amp;$G$12&amp;"'!$B$13:$B$22"),"P-154*")/'General Information'!$D$26)</f>
        <v>5.99986923261339</v>
      </c>
      <c r="K93" s="200" t="str">
        <f aca="true">IF(OR($G$12="",N('General Information'!$D$26)&lt;=0),"",IF(SUMIFS(INDIRECT("'"&amp;$G$12&amp;"'!$E$13:$E$22"),INDIRECT("'"&amp;$G$12&amp;"'!$D$13:$D$22"),"S.Y.",INDIRECT("'"&amp;$G$12&amp;"'!$B$13:$B$22"),"P-155*")+SUMIFS(INDIRECT("'"&amp;$G$12&amp;"'!$E$13:$E$22"),INDIRECT("'"&amp;$G$12&amp;"'!$D$13:$D$22"),"S.Y.",INDIRECT("'"&amp;$G$12&amp;"'!$B$13:$B$22"),"P-156*")+SUMIFS(INDIRECT("'"&amp;$G$12&amp;"'!$E$13:$E$22"),INDIRECT("'"&amp;$G$12&amp;"'!$D$13:$D$22"),"S.Y.",INDIRECT("'"&amp;$G$12&amp;"'!$B$13:$B$22"),"P-157*")+SUMIFS(INDIRECT("'"&amp;$G$12&amp;"'!$E$13:$E$22"),INDIRECT("'"&amp;$G$12&amp;"'!$D$13:$D$22"),"S.Y.",INDIRECT("'"&amp;$G$12&amp;"'!$B$13:$B$22"),"P-158*")&gt;0,"yes","-"))</f>
        <v>-</v>
      </c>
      <c r="L93" s="200" t="n">
        <f aca="false">IF(OR($G$12="",N('General Information'!$D$26)&lt;=0),"",H93+I93+J93)</f>
        <v>20.0000972987516</v>
      </c>
      <c r="M93" s="200" t="n">
        <f aca="true">IF(OR($G$12="",N('General Information'!$D$26)&lt;=0),"",36*SUMIFS(INDIRECT("'"&amp;$G$12&amp;"'!$E$13:$E$22"),INDIRECT("'"&amp;$G$12&amp;"'!$D$13:$D$22"),"C.Y.",INDIRECT("'"&amp;$G$12&amp;"'!$B$13:$B$22"),"P-152*")/'General Information'!$D$26)</f>
        <v>20.000348713031</v>
      </c>
      <c r="N93" s="186" t="str">
        <f aca="false">IF(OR($G$12="",N('General Information'!$D$26)&lt;=0),"",IF(M93=0,"no excavation item",IF(ABS(M93-L93)&lt;=0.5,"agrees","differs by "&amp;TEXT(M93-L93,"0.0")&amp;" in")))</f>
        <v>agrees</v>
      </c>
      <c r="P93" s="186" t="str">
        <f aca="true">IF(OR($G$12="",N('General Information'!$D$26)&lt;=0),"",TEXT(H93,"0")&amp;""" "&amp;IF(SUMIFS(INDIRECT("'"&amp;$G$12&amp;"'!$E$13:$E$22"),INDIRECT("'"&amp;$G$12&amp;"'!$D$13:$D$22"),"TON")&gt;0,IFERROR(SUBSTITUTE(LEFT(INDEX(INDIRECT("'"&amp;$G$12&amp;"'!$B$13:$B$22"),MATCH("P-4*",INDIRECT("'"&amp;$G$12&amp;"'!$B$13:$B$22"),0)),5),"-",""),""),IFERROR(SUBSTITUTE(LEFT(INDEX(INDIRECT("'"&amp;$G$12&amp;"'!$B$13:$B$22"),MATCH("P-501*",INDIRECT("'"&amp;$G$12&amp;"'!$B$13:$B$22"),0)),5),"-",""),""))&amp;IF(I93&gt;0," on "&amp;TEXT(I93,"0")&amp;""" "&amp;IFERROR(SUBSTITUTE(LEFT(INDEX(INDIRECT("'"&amp;$G$12&amp;"'!$B$13:$B$22"),MATCH("P-2*",INDIRECT("'"&amp;$G$12&amp;"'!$B$13:$B$22"),0)),5),"-",""),""),"")&amp;IF(J93&gt;0," on "&amp;TEXT(J93,"0")&amp;""" P154",""))</f>
        <v>8" P401 on 6" P209 on 6" P154</v>
      </c>
      <c r="Q93" s="186" t="str">
        <f aca="true">IF(OR(OR($G$12="",N('General Information'!$D$26)&lt;=0),'General Information'!$D$27=0),"",TEXT(IF(SUMIFS(INDIRECT("'"&amp;$G$12&amp;"'!$E$13:$E$22"),INDIRECT("'"&amp;$G$12&amp;"'!$D$13:$D$22"),"TON")&gt;0,H93*'General Information'!$D$26/('General Information'!$D$26+'General Information'!$D$27),H93),"0")&amp;""" "&amp;IF(SUMIFS(INDIRECT("'"&amp;$G$12&amp;"'!$E$13:$E$22"),INDIRECT("'"&amp;$G$12&amp;"'!$D$13:$D$22"),"TON")&gt;0,IFERROR(SUBSTITUTE(LEFT(INDEX(INDIRECT("'"&amp;$G$12&amp;"'!$B$13:$B$22"),MATCH("P-4*",INDIRECT("'"&amp;$G$12&amp;"'!$B$13:$B$22"),0)),5),"-",""),""),IFERROR(SUBSTITUTE(LEFT(INDEX(INDIRECT("'"&amp;$G$12&amp;"'!$B$13:$B$22"),MATCH("P-501*",INDIRECT("'"&amp;$G$12&amp;"'!$B$13:$B$22"),0)),5),"-",""),""))&amp;IF(I93&gt;0," on "&amp;TEXT(I93*'General Information'!$D$26/('General Information'!$D$26+'General Information'!$D$27),"0")&amp;""" "&amp;IFERROR(SUBSTITUTE(LEFT(INDEX(INDIRECT("'"&amp;$G$12&amp;"'!$B$13:$B$22"),MATCH("P-2*",INDIRECT("'"&amp;$G$12&amp;"'!$B$13:$B$22"),0)),5),"-",""),""),"")&amp;IF(J93&gt;0," on "&amp;TEXT(J93*'General Information'!$D$26/('General Information'!$D$26+'General Information'!$D$27),"0")&amp;""" P154",""))</f>
        <v/>
      </c>
    </row>
    <row r="94" customFormat="false" ht="15" hidden="false" customHeight="false" outlineLevel="0" collapsed="false">
      <c r="G94" s="186" t="str">
        <f aca="false">IF($G$13="","",$H$13)</f>
        <v>Alternative 2</v>
      </c>
      <c r="H94" s="200" t="n">
        <f aca="true">IF(OR($G$13="",N('General Information'!$D$26)&lt;=0),"",IF(SUMIFS(INDIRECT("'"&amp;$G$13&amp;"'!$E$13:$E$22"),INDIRECT("'"&amp;$G$13&amp;"'!$D$13:$D$22"),"TON")&gt;0,SUMIFS(INDIRECT("'"&amp;$G$13&amp;"'!$E$13:$E$22"),INDIRECT("'"&amp;$G$13&amp;"'!$D$13:$D$22"),"TON")*2666.6667/($J$91*'General Information'!$D$26),IFERROR(VALUE(TRIM(SUBSTITUTE(MID(IFERROR(INDEX(INDIRECT("'"&amp;$G$13&amp;"'!$C$13:$C$22"),MATCH("Concrete Pavement*",INDIRECT("'"&amp;$G$13&amp;"'!$C$13:$C$22"),0)),""),FIND(",",IFERROR(INDEX(INDIRECT("'"&amp;$G$13&amp;"'!$C$13:$C$22"),MATCH("Concrete Pavement*",INDIRECT("'"&amp;$G$13&amp;"'!$C$13:$C$22"),0)),""))+1,99),"-inch",""))),0)))</f>
        <v>9</v>
      </c>
      <c r="I94" s="200" t="n">
        <f aca="true">IF(OR($G$13="",N('General Information'!$D$26)&lt;=0),"",36*(SUMIFS(INDIRECT("'"&amp;$G$13&amp;"'!$E$13:$E$22"),INDIRECT("'"&amp;$G$13&amp;"'!$D$13:$D$22"),"C.Y.",INDIRECT("'"&amp;$G$13&amp;"'!$B$13:$B$22"),"P-2*")+SUMIFS(INDIRECT("'"&amp;$G$13&amp;"'!$E$13:$E$22"),INDIRECT("'"&amp;$G$13&amp;"'!$D$13:$D$22"),"C.Y.",INDIRECT("'"&amp;$G$13&amp;"'!$B$13:$B$22"),"P-3*"))/'General Information'!$D$26)</f>
        <v>5.99986923261339</v>
      </c>
      <c r="J94" s="200" t="n">
        <f aca="true">IF(OR($G$13="",N('General Information'!$D$26)&lt;=0),"",36*SUMIFS(INDIRECT("'"&amp;$G$13&amp;"'!$E$13:$E$22"),INDIRECT("'"&amp;$G$13&amp;"'!$D$13:$D$22"),"C.Y.",INDIRECT("'"&amp;$G$13&amp;"'!$B$13:$B$22"),"P-154*")/'General Information'!$D$26)</f>
        <v>5.99986923261339</v>
      </c>
      <c r="K94" s="200" t="str">
        <f aca="true">IF(OR($G$13="",N('General Information'!$D$26)&lt;=0),"",IF(SUMIFS(INDIRECT("'"&amp;$G$13&amp;"'!$E$13:$E$22"),INDIRECT("'"&amp;$G$13&amp;"'!$D$13:$D$22"),"S.Y.",INDIRECT("'"&amp;$G$13&amp;"'!$B$13:$B$22"),"P-155*")+SUMIFS(INDIRECT("'"&amp;$G$13&amp;"'!$E$13:$E$22"),INDIRECT("'"&amp;$G$13&amp;"'!$D$13:$D$22"),"S.Y.",INDIRECT("'"&amp;$G$13&amp;"'!$B$13:$B$22"),"P-156*")+SUMIFS(INDIRECT("'"&amp;$G$13&amp;"'!$E$13:$E$22"),INDIRECT("'"&amp;$G$13&amp;"'!$D$13:$D$22"),"S.Y.",INDIRECT("'"&amp;$G$13&amp;"'!$B$13:$B$22"),"P-157*")+SUMIFS(INDIRECT("'"&amp;$G$13&amp;"'!$E$13:$E$22"),INDIRECT("'"&amp;$G$13&amp;"'!$D$13:$D$22"),"S.Y.",INDIRECT("'"&amp;$G$13&amp;"'!$B$13:$B$22"),"P-158*")&gt;0,"yes","-"))</f>
        <v>-</v>
      </c>
      <c r="L94" s="200" t="n">
        <f aca="false">IF(OR($G$13="",N('General Information'!$D$26)&lt;=0),"",H94+I94+J94)</f>
        <v>20.9997384652268</v>
      </c>
      <c r="M94" s="200" t="n">
        <f aca="true">IF(OR($G$13="",N('General Information'!$D$26)&lt;=0),"",36*SUMIFS(INDIRECT("'"&amp;$G$13&amp;"'!$E$13:$E$22"),INDIRECT("'"&amp;$G$13&amp;"'!$D$13:$D$22"),"C.Y.",INDIRECT("'"&amp;$G$13&amp;"'!$B$13:$B$22"),"P-152*")/'General Information'!$D$26)</f>
        <v>20.9999346163067</v>
      </c>
      <c r="N94" s="186" t="str">
        <f aca="false">IF(OR($G$13="",N('General Information'!$D$26)&lt;=0),"",IF(M94=0,"no excavation item",IF(ABS(M94-L94)&lt;=0.5,"agrees","differs by "&amp;TEXT(M94-L94,"0.0")&amp;" in")))</f>
        <v>agrees</v>
      </c>
      <c r="P94" s="186" t="str">
        <f aca="true">IF(OR($G$13="",N('General Information'!$D$26)&lt;=0),"",TEXT(H94,"0")&amp;""" "&amp;IF(SUMIFS(INDIRECT("'"&amp;$G$13&amp;"'!$E$13:$E$22"),INDIRECT("'"&amp;$G$13&amp;"'!$D$13:$D$22"),"TON")&gt;0,IFERROR(SUBSTITUTE(LEFT(INDEX(INDIRECT("'"&amp;$G$13&amp;"'!$B$13:$B$22"),MATCH("P-4*",INDIRECT("'"&amp;$G$13&amp;"'!$B$13:$B$22"),0)),5),"-",""),""),IFERROR(SUBSTITUTE(LEFT(INDEX(INDIRECT("'"&amp;$G$13&amp;"'!$B$13:$B$22"),MATCH("P-501*",INDIRECT("'"&amp;$G$13&amp;"'!$B$13:$B$22"),0)),5),"-",""),""))&amp;IF(I94&gt;0," on "&amp;TEXT(I94,"0")&amp;""" "&amp;IFERROR(SUBSTITUTE(LEFT(INDEX(INDIRECT("'"&amp;$G$13&amp;"'!$B$13:$B$22"),MATCH("P-2*",INDIRECT("'"&amp;$G$13&amp;"'!$B$13:$B$22"),0)),5),"-",""),""),"")&amp;IF(J94&gt;0," on "&amp;TEXT(J94,"0")&amp;""" P154",""))</f>
        <v>9" P501 on 6" P209 on 6" P154</v>
      </c>
      <c r="Q94" s="186" t="str">
        <f aca="true">IF(OR(OR($G$13="",N('General Information'!$D$26)&lt;=0),'General Information'!$D$27=0),"",TEXT(IF(SUMIFS(INDIRECT("'"&amp;$G$13&amp;"'!$E$13:$E$22"),INDIRECT("'"&amp;$G$13&amp;"'!$D$13:$D$22"),"TON")&gt;0,H94*'General Information'!$D$26/('General Information'!$D$26+'General Information'!$D$27),H94),"0")&amp;""" "&amp;IF(SUMIFS(INDIRECT("'"&amp;$G$13&amp;"'!$E$13:$E$22"),INDIRECT("'"&amp;$G$13&amp;"'!$D$13:$D$22"),"TON")&gt;0,IFERROR(SUBSTITUTE(LEFT(INDEX(INDIRECT("'"&amp;$G$13&amp;"'!$B$13:$B$22"),MATCH("P-4*",INDIRECT("'"&amp;$G$13&amp;"'!$B$13:$B$22"),0)),5),"-",""),""),IFERROR(SUBSTITUTE(LEFT(INDEX(INDIRECT("'"&amp;$G$13&amp;"'!$B$13:$B$22"),MATCH("P-501*",INDIRECT("'"&amp;$G$13&amp;"'!$B$13:$B$22"),0)),5),"-",""),""))&amp;IF(I94&gt;0," on "&amp;TEXT(I94*'General Information'!$D$26/('General Information'!$D$26+'General Information'!$D$27),"0")&amp;""" "&amp;IFERROR(SUBSTITUTE(LEFT(INDEX(INDIRECT("'"&amp;$G$13&amp;"'!$B$13:$B$22"),MATCH("P-2*",INDIRECT("'"&amp;$G$13&amp;"'!$B$13:$B$22"),0)),5),"-",""),""),"")&amp;IF(J94&gt;0," on "&amp;TEXT(J94*'General Information'!$D$26/('General Information'!$D$26+'General Information'!$D$27),"0")&amp;""" P154",""))</f>
        <v/>
      </c>
    </row>
    <row r="95" customFormat="false" ht="15" hidden="false" customHeight="false" outlineLevel="0" collapsed="false">
      <c r="G95" s="186" t="str">
        <f aca="false">IF($G$14="","",$H$14)</f>
        <v>Alternative 3</v>
      </c>
      <c r="H95" s="200" t="n">
        <f aca="true">IF(OR($G$14="",N('General Information'!$D$26)&lt;=0),"",IF(SUMIFS(INDIRECT("'"&amp;$G$14&amp;"'!$E$13:$E$22"),INDIRECT("'"&amp;$G$14&amp;"'!$D$13:$D$22"),"TON")&gt;0,SUMIFS(INDIRECT("'"&amp;$G$14&amp;"'!$E$13:$E$22"),INDIRECT("'"&amp;$G$14&amp;"'!$D$13:$D$22"),"TON")*2666.6667/($J$91*'General Information'!$D$26),IFERROR(VALUE(TRIM(SUBSTITUTE(MID(IFERROR(INDEX(INDIRECT("'"&amp;$G$14&amp;"'!$C$13:$C$22"),MATCH("Concrete Pavement*",INDIRECT("'"&amp;$G$14&amp;"'!$C$13:$C$22"),0)),""),FIND(",",IFERROR(INDEX(INDIRECT("'"&amp;$G$14&amp;"'!$C$13:$C$22"),MATCH("Concrete Pavement*",INDIRECT("'"&amp;$G$14&amp;"'!$C$13:$C$22"),0)),""))+1,99),"-inch",""))),0)))</f>
        <v>11</v>
      </c>
      <c r="I95" s="200" t="n">
        <f aca="true">IF(OR($G$14="",N('General Information'!$D$26)&lt;=0),"",36*(SUMIFS(INDIRECT("'"&amp;$G$14&amp;"'!$E$13:$E$22"),INDIRECT("'"&amp;$G$14&amp;"'!$D$13:$D$22"),"C.Y.",INDIRECT("'"&amp;$G$14&amp;"'!$B$13:$B$22"),"P-2*")+SUMIFS(INDIRECT("'"&amp;$G$14&amp;"'!$E$13:$E$22"),INDIRECT("'"&amp;$G$14&amp;"'!$D$13:$D$22"),"C.Y.",INDIRECT("'"&amp;$G$14&amp;"'!$B$13:$B$22"),"P-3*"))/'General Information'!$D$26)</f>
        <v>5.99986923261339</v>
      </c>
      <c r="J95" s="200" t="n">
        <f aca="true">IF(OR($G$14="",N('General Information'!$D$26)&lt;=0),"",36*SUMIFS(INDIRECT("'"&amp;$G$14&amp;"'!$E$13:$E$22"),INDIRECT("'"&amp;$G$14&amp;"'!$D$13:$D$22"),"C.Y.",INDIRECT("'"&amp;$G$14&amp;"'!$B$13:$B$22"),"P-154*")/'General Information'!$D$26)</f>
        <v>0</v>
      </c>
      <c r="K95" s="200" t="str">
        <f aca="true">IF(OR($G$14="",N('General Information'!$D$26)&lt;=0),"",IF(SUMIFS(INDIRECT("'"&amp;$G$14&amp;"'!$E$13:$E$22"),INDIRECT("'"&amp;$G$14&amp;"'!$D$13:$D$22"),"S.Y.",INDIRECT("'"&amp;$G$14&amp;"'!$B$13:$B$22"),"P-155*")+SUMIFS(INDIRECT("'"&amp;$G$14&amp;"'!$E$13:$E$22"),INDIRECT("'"&amp;$G$14&amp;"'!$D$13:$D$22"),"S.Y.",INDIRECT("'"&amp;$G$14&amp;"'!$B$13:$B$22"),"P-156*")+SUMIFS(INDIRECT("'"&amp;$G$14&amp;"'!$E$13:$E$22"),INDIRECT("'"&amp;$G$14&amp;"'!$D$13:$D$22"),"S.Y.",INDIRECT("'"&amp;$G$14&amp;"'!$B$13:$B$22"),"P-157*")+SUMIFS(INDIRECT("'"&amp;$G$14&amp;"'!$E$13:$E$22"),INDIRECT("'"&amp;$G$14&amp;"'!$D$13:$D$22"),"S.Y.",INDIRECT("'"&amp;$G$14&amp;"'!$B$13:$B$22"),"P-158*")&gt;0,"yes","-"))</f>
        <v>-</v>
      </c>
      <c r="L95" s="200" t="n">
        <f aca="false">IF(OR($G$14="",N('General Information'!$D$26)&lt;=0),"",H95+I95+J95)</f>
        <v>16.9998692326134</v>
      </c>
      <c r="M95" s="200" t="n">
        <f aca="true">IF(OR($G$14="",N('General Information'!$D$26)&lt;=0),"",36*SUMIFS(INDIRECT("'"&amp;$G$14&amp;"'!$E$13:$E$22"),INDIRECT("'"&amp;$G$14&amp;"'!$D$13:$D$22"),"C.Y.",INDIRECT("'"&amp;$G$14&amp;"'!$B$13:$B$22"),"P-152*")/'General Information'!$D$26)</f>
        <v>17.0000217945644</v>
      </c>
      <c r="N95" s="186" t="str">
        <f aca="false">IF(OR($G$14="",N('General Information'!$D$26)&lt;=0),"",IF(M95=0,"no excavation item",IF(ABS(M95-L95)&lt;=0.5,"agrees","differs by "&amp;TEXT(M95-L95,"0.0")&amp;" in")))</f>
        <v>agrees</v>
      </c>
      <c r="P95" s="186" t="str">
        <f aca="true">IF(OR($G$14="",N('General Information'!$D$26)&lt;=0),"",TEXT(H95,"0")&amp;""" "&amp;IF(SUMIFS(INDIRECT("'"&amp;$G$14&amp;"'!$E$13:$E$22"),INDIRECT("'"&amp;$G$14&amp;"'!$D$13:$D$22"),"TON")&gt;0,IFERROR(SUBSTITUTE(LEFT(INDEX(INDIRECT("'"&amp;$G$14&amp;"'!$B$13:$B$22"),MATCH("P-4*",INDIRECT("'"&amp;$G$14&amp;"'!$B$13:$B$22"),0)),5),"-",""),""),IFERROR(SUBSTITUTE(LEFT(INDEX(INDIRECT("'"&amp;$G$14&amp;"'!$B$13:$B$22"),MATCH("P-501*",INDIRECT("'"&amp;$G$14&amp;"'!$B$13:$B$22"),0)),5),"-",""),""))&amp;IF(I95&gt;0," on "&amp;TEXT(I95,"0")&amp;""" "&amp;IFERROR(SUBSTITUTE(LEFT(INDEX(INDIRECT("'"&amp;$G$14&amp;"'!$B$13:$B$22"),MATCH("P-2*",INDIRECT("'"&amp;$G$14&amp;"'!$B$13:$B$22"),0)),5),"-",""),""),"")&amp;IF(J95&gt;0," on "&amp;TEXT(J95,"0")&amp;""" P154",""))</f>
        <v>11" P501 on 6" P209</v>
      </c>
      <c r="Q95" s="186" t="str">
        <f aca="true">IF(OR(OR($G$14="",N('General Information'!$D$26)&lt;=0),'General Information'!$D$27=0),"",TEXT(IF(SUMIFS(INDIRECT("'"&amp;$G$14&amp;"'!$E$13:$E$22"),INDIRECT("'"&amp;$G$14&amp;"'!$D$13:$D$22"),"TON")&gt;0,H95*'General Information'!$D$26/('General Information'!$D$26+'General Information'!$D$27),H95),"0")&amp;""" "&amp;IF(SUMIFS(INDIRECT("'"&amp;$G$14&amp;"'!$E$13:$E$22"),INDIRECT("'"&amp;$G$14&amp;"'!$D$13:$D$22"),"TON")&gt;0,IFERROR(SUBSTITUTE(LEFT(INDEX(INDIRECT("'"&amp;$G$14&amp;"'!$B$13:$B$22"),MATCH("P-4*",INDIRECT("'"&amp;$G$14&amp;"'!$B$13:$B$22"),0)),5),"-",""),""),IFERROR(SUBSTITUTE(LEFT(INDEX(INDIRECT("'"&amp;$G$14&amp;"'!$B$13:$B$22"),MATCH("P-501*",INDIRECT("'"&amp;$G$14&amp;"'!$B$13:$B$22"),0)),5),"-",""),""))&amp;IF(I95&gt;0," on "&amp;TEXT(I95*'General Information'!$D$26/('General Information'!$D$26+'General Information'!$D$27),"0")&amp;""" "&amp;IFERROR(SUBSTITUTE(LEFT(INDEX(INDIRECT("'"&amp;$G$14&amp;"'!$B$13:$B$22"),MATCH("P-2*",INDIRECT("'"&amp;$G$14&amp;"'!$B$13:$B$22"),0)),5),"-",""),""),"")&amp;IF(J95&gt;0," on "&amp;TEXT(J95*'General Information'!$D$26/('General Information'!$D$26+'General Information'!$D$27),"0")&amp;""" P154",""))</f>
        <v/>
      </c>
    </row>
    <row r="96" customFormat="false" ht="15" hidden="false" customHeight="false" outlineLevel="0" collapsed="false">
      <c r="G96" s="186" t="str">
        <f aca="false">IF($G$15="","",$H$15)</f>
        <v/>
      </c>
      <c r="H96" s="200" t="str">
        <f aca="true">IF(OR($G$15="",N('General Information'!$D$26)&lt;=0),"",IF(SUMIFS(INDIRECT("'"&amp;$G$15&amp;"'!$E$13:$E$22"),INDIRECT("'"&amp;$G$15&amp;"'!$D$13:$D$22"),"TON")&gt;0,SUMIFS(INDIRECT("'"&amp;$G$15&amp;"'!$E$13:$E$22"),INDIRECT("'"&amp;$G$15&amp;"'!$D$13:$D$22"),"TON")*2666.6667/($J$91*'General Information'!$D$26),IFERROR(VALUE(TRIM(SUBSTITUTE(MID(IFERROR(INDEX(INDIRECT("'"&amp;$G$15&amp;"'!$C$13:$C$22"),MATCH("Concrete Pavement*",INDIRECT("'"&amp;$G$15&amp;"'!$C$13:$C$22"),0)),""),FIND(",",IFERROR(INDEX(INDIRECT("'"&amp;$G$15&amp;"'!$C$13:$C$22"),MATCH("Concrete Pavement*",INDIRECT("'"&amp;$G$15&amp;"'!$C$13:$C$22"),0)),""))+1,99),"-inch",""))),0)))</f>
        <v/>
      </c>
      <c r="I96" s="200" t="str">
        <f aca="true">IF(OR($G$15="",N('General Information'!$D$26)&lt;=0),"",36*(SUMIFS(INDIRECT("'"&amp;$G$15&amp;"'!$E$13:$E$22"),INDIRECT("'"&amp;$G$15&amp;"'!$D$13:$D$22"),"C.Y.",INDIRECT("'"&amp;$G$15&amp;"'!$B$13:$B$22"),"P-2*")+SUMIFS(INDIRECT("'"&amp;$G$15&amp;"'!$E$13:$E$22"),INDIRECT("'"&amp;$G$15&amp;"'!$D$13:$D$22"),"C.Y.",INDIRECT("'"&amp;$G$15&amp;"'!$B$13:$B$22"),"P-3*"))/'General Information'!$D$26)</f>
        <v/>
      </c>
      <c r="J96" s="200" t="str">
        <f aca="true">IF(OR($G$15="",N('General Information'!$D$26)&lt;=0),"",36*SUMIFS(INDIRECT("'"&amp;$G$15&amp;"'!$E$13:$E$22"),INDIRECT("'"&amp;$G$15&amp;"'!$D$13:$D$22"),"C.Y.",INDIRECT("'"&amp;$G$15&amp;"'!$B$13:$B$22"),"P-154*")/'General Information'!$D$26)</f>
        <v/>
      </c>
      <c r="K96" s="200" t="str">
        <f aca="true">IF(OR($G$15="",N('General Information'!$D$26)&lt;=0),"",IF(SUMIFS(INDIRECT("'"&amp;$G$15&amp;"'!$E$13:$E$22"),INDIRECT("'"&amp;$G$15&amp;"'!$D$13:$D$22"),"S.Y.",INDIRECT("'"&amp;$G$15&amp;"'!$B$13:$B$22"),"P-155*")+SUMIFS(INDIRECT("'"&amp;$G$15&amp;"'!$E$13:$E$22"),INDIRECT("'"&amp;$G$15&amp;"'!$D$13:$D$22"),"S.Y.",INDIRECT("'"&amp;$G$15&amp;"'!$B$13:$B$22"),"P-156*")+SUMIFS(INDIRECT("'"&amp;$G$15&amp;"'!$E$13:$E$22"),INDIRECT("'"&amp;$G$15&amp;"'!$D$13:$D$22"),"S.Y.",INDIRECT("'"&amp;$G$15&amp;"'!$B$13:$B$22"),"P-157*")+SUMIFS(INDIRECT("'"&amp;$G$15&amp;"'!$E$13:$E$22"),INDIRECT("'"&amp;$G$15&amp;"'!$D$13:$D$22"),"S.Y.",INDIRECT("'"&amp;$G$15&amp;"'!$B$13:$B$22"),"P-158*")&gt;0,"yes","-"))</f>
        <v/>
      </c>
      <c r="L96" s="200" t="str">
        <f aca="false">IF(OR($G$15="",N('General Information'!$D$26)&lt;=0),"",H96+I96+J96)</f>
        <v/>
      </c>
      <c r="M96" s="200" t="str">
        <f aca="true">IF(OR($G$15="",N('General Information'!$D$26)&lt;=0),"",36*SUMIFS(INDIRECT("'"&amp;$G$15&amp;"'!$E$13:$E$22"),INDIRECT("'"&amp;$G$15&amp;"'!$D$13:$D$22"),"C.Y.",INDIRECT("'"&amp;$G$15&amp;"'!$B$13:$B$22"),"P-152*")/'General Information'!$D$26)</f>
        <v/>
      </c>
      <c r="N96" s="186" t="str">
        <f aca="false">IF(OR($G$15="",N('General Information'!$D$26)&lt;=0),"",IF(M96=0,"no excavation item",IF(ABS(M96-L96)&lt;=0.5,"agrees","differs by "&amp;TEXT(M96-L96,"0.0")&amp;" in")))</f>
        <v/>
      </c>
      <c r="P96" s="186" t="str">
        <f aca="true">IF(OR($G$15="",N('General Information'!$D$26)&lt;=0),"",TEXT(H96,"0")&amp;""" "&amp;IF(SUMIFS(INDIRECT("'"&amp;$G$15&amp;"'!$E$13:$E$22"),INDIRECT("'"&amp;$G$15&amp;"'!$D$13:$D$22"),"TON")&gt;0,IFERROR(SUBSTITUTE(LEFT(INDEX(INDIRECT("'"&amp;$G$15&amp;"'!$B$13:$B$22"),MATCH("P-4*",INDIRECT("'"&amp;$G$15&amp;"'!$B$13:$B$22"),0)),5),"-",""),""),IFERROR(SUBSTITUTE(LEFT(INDEX(INDIRECT("'"&amp;$G$15&amp;"'!$B$13:$B$22"),MATCH("P-501*",INDIRECT("'"&amp;$G$15&amp;"'!$B$13:$B$22"),0)),5),"-",""),""))&amp;IF(I96&gt;0," on "&amp;TEXT(I96,"0")&amp;""" "&amp;IFERROR(SUBSTITUTE(LEFT(INDEX(INDIRECT("'"&amp;$G$15&amp;"'!$B$13:$B$22"),MATCH("P-2*",INDIRECT("'"&amp;$G$15&amp;"'!$B$13:$B$22"),0)),5),"-",""),""),"")&amp;IF(J96&gt;0," on "&amp;TEXT(J96,"0")&amp;""" P154",""))</f>
        <v/>
      </c>
      <c r="Q96" s="186" t="str">
        <f aca="true">IF(OR(OR($G$15="",N('General Information'!$D$26)&lt;=0),'General Information'!$D$27=0),"",TEXT(IF(SUMIFS(INDIRECT("'"&amp;$G$15&amp;"'!$E$13:$E$22"),INDIRECT("'"&amp;$G$15&amp;"'!$D$13:$D$22"),"TON")&gt;0,H96*'General Information'!$D$26/('General Information'!$D$26+'General Information'!$D$27),H96),"0")&amp;""" "&amp;IF(SUMIFS(INDIRECT("'"&amp;$G$15&amp;"'!$E$13:$E$22"),INDIRECT("'"&amp;$G$15&amp;"'!$D$13:$D$22"),"TON")&gt;0,IFERROR(SUBSTITUTE(LEFT(INDEX(INDIRECT("'"&amp;$G$15&amp;"'!$B$13:$B$22"),MATCH("P-4*",INDIRECT("'"&amp;$G$15&amp;"'!$B$13:$B$22"),0)),5),"-",""),""),IFERROR(SUBSTITUTE(LEFT(INDEX(INDIRECT("'"&amp;$G$15&amp;"'!$B$13:$B$22"),MATCH("P-501*",INDIRECT("'"&amp;$G$15&amp;"'!$B$13:$B$22"),0)),5),"-",""),""))&amp;IF(I96&gt;0," on "&amp;TEXT(I96*'General Information'!$D$26/('General Information'!$D$26+'General Information'!$D$27),"0")&amp;""" "&amp;IFERROR(SUBSTITUTE(LEFT(INDEX(INDIRECT("'"&amp;$G$15&amp;"'!$B$13:$B$22"),MATCH("P-2*",INDIRECT("'"&amp;$G$15&amp;"'!$B$13:$B$22"),0)),5),"-",""),""),"")&amp;IF(J96&gt;0," on "&amp;TEXT(J96*'General Information'!$D$26/('General Information'!$D$26+'General Information'!$D$27),"0")&amp;""" P154",""))</f>
        <v/>
      </c>
    </row>
    <row r="97" customFormat="false" ht="15" hidden="false" customHeight="false" outlineLevel="0" collapsed="false">
      <c r="G97" s="106" t="s">
        <v>822</v>
      </c>
    </row>
    <row r="98" customFormat="false" ht="21.75" hidden="false" customHeight="true" outlineLevel="0" collapsed="false">
      <c r="G98" s="201" t="s">
        <v>823</v>
      </c>
      <c r="H98" s="201"/>
      <c r="I98" s="201"/>
      <c r="J98" s="201"/>
      <c r="K98" s="201"/>
      <c r="L98" s="201"/>
      <c r="M98" s="201"/>
      <c r="N98" s="201"/>
      <c r="O98" s="201"/>
      <c r="P98" s="201"/>
      <c r="Q98" s="201"/>
      <c r="R98" s="201"/>
    </row>
    <row r="99" customFormat="false" ht="18" hidden="false" customHeight="true" outlineLevel="0" collapsed="false">
      <c r="G99" s="202" t="s">
        <v>824</v>
      </c>
      <c r="H99" s="202"/>
      <c r="I99" s="202"/>
      <c r="J99" s="202"/>
      <c r="K99" s="202"/>
      <c r="L99" s="202"/>
      <c r="M99" s="202" t="s">
        <v>825</v>
      </c>
      <c r="N99" s="202"/>
      <c r="O99" s="202"/>
      <c r="P99" s="202"/>
      <c r="Q99" s="202"/>
      <c r="R99" s="202"/>
    </row>
    <row r="100" customFormat="false" ht="16.5" hidden="false" customHeight="true" outlineLevel="0" collapsed="false">
      <c r="M100" s="203" t="s">
        <v>826</v>
      </c>
      <c r="N100" s="203"/>
      <c r="O100" s="204" t="str">
        <f aca="false">IF('General Information'!$D$9="","",'General Information'!$D$9&amp;" ("&amp;'General Information'!$D$10&amp;")")</f>
        <v>Gatlinburg-Pigeon Forge Airport (GKT)</v>
      </c>
      <c r="P100" s="204"/>
      <c r="Q100" s="204"/>
      <c r="R100" s="204"/>
    </row>
    <row r="101" customFormat="false" ht="16.5" hidden="false" customHeight="true" outlineLevel="0" collapsed="false">
      <c r="M101" s="203" t="s">
        <v>827</v>
      </c>
      <c r="N101" s="203"/>
      <c r="O101" s="204" t="str">
        <f aca="false">IF('General Information'!$D$9="","",'General Information'!$D$11&amp;IF(IFERROR(VLOOKUP('General Information'!$D$9,'General Information'!$L$10:$Q$88,4,FALSE()),"")="",""," / "&amp;IFERROR(VLOOKUP('General Information'!$D$9,'General Information'!$L$10:$Q$88,4,FALSE()),"")&amp;" County"))</f>
        <v>Sevierville / Sevier County</v>
      </c>
      <c r="P101" s="204"/>
      <c r="Q101" s="204"/>
      <c r="R101" s="204"/>
    </row>
    <row r="102" customFormat="false" ht="16.5" hidden="false" customHeight="true" outlineLevel="0" collapsed="false">
      <c r="M102" s="203" t="s">
        <v>828</v>
      </c>
      <c r="N102" s="203"/>
      <c r="O102" s="204" t="str">
        <f aca="false">IF('General Information'!$D$9="","",'General Information'!$D$13)</f>
        <v>East</v>
      </c>
      <c r="P102" s="204"/>
      <c r="Q102" s="204"/>
      <c r="R102" s="204"/>
    </row>
    <row r="103" customFormat="false" ht="16.5" hidden="false" customHeight="true" outlineLevel="0" collapsed="false">
      <c r="M103" s="203" t="s">
        <v>829</v>
      </c>
      <c r="N103" s="203"/>
      <c r="O103" s="204" t="str">
        <f aca="false">IF(AE132="","not in the reference list",TEXT(AE132,"0.0000")&amp;"° N, "&amp;TEXT(-AD132,"0.0000")&amp;"° W")</f>
        <v>35.8578° N, 83.5287° W</v>
      </c>
      <c r="P103" s="204"/>
      <c r="Q103" s="204"/>
      <c r="R103" s="204"/>
    </row>
    <row r="104" customFormat="false" ht="16.5" hidden="false" customHeight="true" outlineLevel="0" collapsed="false">
      <c r="M104" s="203" t="s">
        <v>830</v>
      </c>
      <c r="N104" s="203"/>
      <c r="O104" s="204" t="str">
        <f aca="false">IFERROR(IF(INDEX($AB$132:$AB$210,MATCH('General Information'!$D$10,$X$132:$X$210,0))="","",TEXT(INDEX($AB$132:$AB$210,MATCH('General Information'!$D$10,$X$132:$X$210,0)),"#,##0")&amp;" ft"),"")</f>
        <v>1,014 ft</v>
      </c>
      <c r="P104" s="204"/>
      <c r="Q104" s="204"/>
      <c r="R104" s="204"/>
    </row>
    <row r="105" customFormat="false" ht="16.5" hidden="false" customHeight="true" outlineLevel="0" collapsed="false">
      <c r="M105" s="203" t="s">
        <v>831</v>
      </c>
      <c r="N105" s="203"/>
      <c r="O105" s="204" t="str">
        <f aca="false">IF('General Information'!$D$22="","",'General Information'!$D$22&amp;IF('General Information'!$D$23=""," ",", "&amp;'General Information'!$D$23))</f>
        <v>Runway 10-28, Reconstruction</v>
      </c>
      <c r="P105" s="204"/>
      <c r="Q105" s="204"/>
      <c r="R105" s="204"/>
    </row>
    <row r="106" customFormat="false" ht="16.5" hidden="false" customHeight="true" outlineLevel="0" collapsed="false">
      <c r="M106" s="203" t="s">
        <v>832</v>
      </c>
      <c r="N106" s="203"/>
      <c r="O106" s="204" t="str">
        <f aca="false">IF('General Information'!$D$26="","",TEXT('General Information'!$D$26,"#,##0")&amp;" S.Y."&amp;IF('General Information'!$D$27&gt;0," + "&amp;TEXT('General Information'!$D$27,"#,##0")&amp;" S.Y. shoulder",""))</f>
        <v>45,883 S.Y.</v>
      </c>
      <c r="P106" s="204"/>
      <c r="Q106" s="204"/>
      <c r="R106" s="204"/>
    </row>
    <row r="107" customFormat="false" ht="16.5" hidden="false" customHeight="true" outlineLevel="0" collapsed="false">
      <c r="M107" s="203" t="s">
        <v>833</v>
      </c>
      <c r="N107" s="203"/>
      <c r="O107" s="205" t="n">
        <v>75</v>
      </c>
      <c r="P107" s="206" t="s">
        <v>834</v>
      </c>
      <c r="Q107" s="206"/>
      <c r="R107" s="206"/>
    </row>
    <row r="108" customFormat="false" ht="16.5" hidden="false" customHeight="true" outlineLevel="0" collapsed="false"/>
    <row r="109" customFormat="false" ht="16.5" hidden="false" customHeight="true" outlineLevel="0" collapsed="false"/>
    <row r="110" customFormat="false" ht="16.5" hidden="false" customHeight="true" outlineLevel="0" collapsed="false"/>
    <row r="111" customFormat="false" ht="16.5" hidden="false" customHeight="true" outlineLevel="0" collapsed="false"/>
    <row r="112" customFormat="false" ht="18" hidden="false" customHeight="true" outlineLevel="0" collapsed="false">
      <c r="G112" s="207" t="s">
        <v>835</v>
      </c>
      <c r="H112" s="208" t="s">
        <v>836</v>
      </c>
      <c r="I112" s="209" t="s">
        <v>837</v>
      </c>
      <c r="J112" s="210" t="s">
        <v>838</v>
      </c>
    </row>
    <row r="113" customFormat="false" ht="18" hidden="false" customHeight="true" outlineLevel="0" collapsed="false"/>
    <row r="114" customFormat="false" ht="18" hidden="false" customHeight="true" outlineLevel="0" collapsed="false">
      <c r="G114" s="11" t="str">
        <f aca="false">IF('General Information'!$D$9="","","Pricing basis: every unit cost comes from the single Pay_Items 'Unit Cost' column. The Middle, West and East average-cost columns beside it are empty, so this "&amp;'General Information'!$D$13&amp;" division project is priced on the same statewide numbers as any other.")</f>
        <v>Pricing basis: every unit cost comes from the single Pay_Items 'Unit Cost' column. The Middle, West and East average-cost columns beside it are empty, so this East division project is priced on the same statewide numbers as any other.</v>
      </c>
      <c r="H114" s="11"/>
      <c r="I114" s="11"/>
      <c r="J114" s="11"/>
      <c r="K114" s="11"/>
      <c r="L114" s="11"/>
      <c r="M114" s="11"/>
      <c r="N114" s="11"/>
      <c r="O114" s="11"/>
      <c r="P114" s="11"/>
      <c r="Q114" s="11"/>
      <c r="R114" s="11"/>
    </row>
    <row r="115" customFormat="false" ht="18" hidden="false" customHeight="true" outlineLevel="0" collapsed="false">
      <c r="G115" s="11" t="s">
        <v>839</v>
      </c>
      <c r="H115" s="11"/>
      <c r="I115" s="11"/>
      <c r="J115" s="11"/>
      <c r="K115" s="11"/>
      <c r="L115" s="11"/>
      <c r="M115" s="11"/>
      <c r="N115" s="11"/>
      <c r="O115" s="11"/>
      <c r="P115" s="11"/>
      <c r="Q115" s="11"/>
      <c r="R115" s="11"/>
    </row>
    <row r="116" customFormat="false" ht="18" hidden="false" customHeight="true" outlineLevel="0" collapsed="false">
      <c r="G116" s="11" t="s">
        <v>840</v>
      </c>
      <c r="H116" s="11"/>
      <c r="I116" s="11"/>
      <c r="J116" s="11"/>
      <c r="K116" s="11"/>
      <c r="L116" s="11"/>
      <c r="M116" s="11"/>
      <c r="N116" s="11"/>
      <c r="O116" s="11"/>
      <c r="P116" s="11"/>
      <c r="Q116" s="11"/>
      <c r="R116" s="11"/>
    </row>
    <row r="117" customFormat="false" ht="6" hidden="false" customHeight="true" outlineLevel="0" collapsed="false"/>
    <row r="118" customFormat="false" ht="6" hidden="false" customHeight="true" outlineLevel="0" collapsed="false"/>
    <row r="119" customFormat="false" ht="6" hidden="false" customHeight="true" outlineLevel="0" collapsed="false"/>
    <row r="120" customFormat="false" ht="15" hidden="false" customHeight="false" outlineLevel="0" collapsed="false">
      <c r="G120" s="106" t="s">
        <v>841</v>
      </c>
    </row>
    <row r="122" customFormat="false" ht="15" hidden="false" customHeight="false" outlineLevel="0" collapsed="false">
      <c r="G122" s="106" t="s">
        <v>842</v>
      </c>
    </row>
    <row r="130" customFormat="false" ht="15" hidden="false" customHeight="false" outlineLevel="0" collapsed="false">
      <c r="W130" s="177" t="s">
        <v>843</v>
      </c>
    </row>
    <row r="131" customFormat="false" ht="23.85" hidden="false" customHeight="false" outlineLevel="0" collapsed="false">
      <c r="W131" s="178" t="s">
        <v>826</v>
      </c>
      <c r="X131" s="178" t="s">
        <v>721</v>
      </c>
      <c r="Y131" s="178" t="s">
        <v>844</v>
      </c>
      <c r="Z131" s="178" t="s">
        <v>845</v>
      </c>
      <c r="AA131" s="178" t="s">
        <v>124</v>
      </c>
      <c r="AB131" s="178" t="s">
        <v>846</v>
      </c>
      <c r="AC131" s="178"/>
      <c r="AD131" s="178" t="s">
        <v>847</v>
      </c>
      <c r="AE131" s="178" t="s">
        <v>845</v>
      </c>
      <c r="AF131" s="178" t="s">
        <v>848</v>
      </c>
      <c r="AG131" s="178"/>
      <c r="AH131" s="178" t="s">
        <v>849</v>
      </c>
      <c r="AI131" s="178" t="s">
        <v>850</v>
      </c>
    </row>
    <row r="132" customFormat="false" ht="15" hidden="false" customHeight="false" outlineLevel="0" collapsed="false">
      <c r="W132" s="182" t="s">
        <v>138</v>
      </c>
      <c r="X132" s="182" t="s">
        <v>139</v>
      </c>
      <c r="Y132" s="211" t="n">
        <v>-89.39722</v>
      </c>
      <c r="Z132" s="211" t="n">
        <v>35.90333</v>
      </c>
      <c r="AA132" s="182" t="s">
        <v>142</v>
      </c>
      <c r="AB132" s="182" t="n">
        <v>292</v>
      </c>
      <c r="AD132" s="211" t="n">
        <f aca="false">IFERROR(IF(INDEX($Y$132:$Y$210,MATCH('General Information'!$D$10,$X$132:$X$210,0))="","",INDEX($Y$132:$Y$210,MATCH('General Information'!$D$10,$X$132:$X$210,0))),"")</f>
        <v>-83.5287</v>
      </c>
      <c r="AE132" s="211" t="n">
        <f aca="false">IFERROR(IF(INDEX($Z$132:$Z$210,MATCH('General Information'!$D$10,$X$132:$X$210,0))="","",INDEX($Z$132:$Z$210,MATCH('General Information'!$D$10,$X$132:$X$210,0))),"")</f>
        <v>35.85776</v>
      </c>
      <c r="AF132" s="182" t="str">
        <f aca="false">IF('General Information'!$D$9="","",'General Information'!$D$10)</f>
        <v>GKT</v>
      </c>
      <c r="AH132" s="211" t="n">
        <v>-89.425</v>
      </c>
      <c r="AI132" s="211" t="n">
        <v>36.49889</v>
      </c>
    </row>
    <row r="133" customFormat="false" ht="15" hidden="false" customHeight="false" outlineLevel="0" collapsed="false">
      <c r="W133" s="182" t="s">
        <v>145</v>
      </c>
      <c r="X133" s="182" t="s">
        <v>146</v>
      </c>
      <c r="Y133" s="211" t="n">
        <v>-88.19535</v>
      </c>
      <c r="Z133" s="211" t="n">
        <v>35.65636</v>
      </c>
      <c r="AA133" s="182" t="s">
        <v>142</v>
      </c>
      <c r="AB133" s="182" t="n">
        <v>488</v>
      </c>
      <c r="AH133" s="211" t="n">
        <v>-88.04278</v>
      </c>
      <c r="AI133" s="211" t="n">
        <v>36.49861</v>
      </c>
    </row>
    <row r="134" customFormat="false" ht="15" hidden="false" customHeight="false" outlineLevel="0" collapsed="false">
      <c r="W134" s="182" t="s">
        <v>151</v>
      </c>
      <c r="X134" s="182" t="s">
        <v>152</v>
      </c>
      <c r="Y134" s="211" t="n">
        <v>-88.12473</v>
      </c>
      <c r="Z134" s="211" t="n">
        <v>36.00954</v>
      </c>
      <c r="AA134" s="182" t="s">
        <v>142</v>
      </c>
      <c r="AB134" s="182" t="n">
        <v>468</v>
      </c>
      <c r="AH134" s="211" t="n">
        <v>-88.04</v>
      </c>
      <c r="AI134" s="211" t="n">
        <v>36.57389</v>
      </c>
    </row>
    <row r="135" customFormat="false" ht="15" hidden="false" customHeight="false" outlineLevel="0" collapsed="false">
      <c r="W135" s="182" t="s">
        <v>163</v>
      </c>
      <c r="X135" s="182" t="s">
        <v>164</v>
      </c>
      <c r="Y135" s="211" t="n">
        <v>-88.4633</v>
      </c>
      <c r="Z135" s="211" t="n">
        <v>36.0893</v>
      </c>
      <c r="AA135" s="182" t="s">
        <v>142</v>
      </c>
      <c r="AB135" s="182" t="n">
        <v>497</v>
      </c>
      <c r="AH135" s="211" t="n">
        <v>-88.07528</v>
      </c>
      <c r="AI135" s="211" t="n">
        <v>36.69055</v>
      </c>
    </row>
    <row r="136" customFormat="false" ht="15" hidden="false" customHeight="false" outlineLevel="0" collapsed="false">
      <c r="W136" s="182" t="s">
        <v>175</v>
      </c>
      <c r="X136" s="182" t="s">
        <v>176</v>
      </c>
      <c r="Y136" s="211" t="n">
        <v>-89.933</v>
      </c>
      <c r="Z136" s="211" t="n">
        <v>35.27848</v>
      </c>
      <c r="AA136" s="182" t="s">
        <v>142</v>
      </c>
      <c r="AB136" s="182" t="n">
        <v>247</v>
      </c>
      <c r="AH136" s="211" t="n">
        <v>-87.85833</v>
      </c>
      <c r="AI136" s="211" t="n">
        <v>36.67416</v>
      </c>
    </row>
    <row r="137" customFormat="false" ht="15" hidden="false" customHeight="false" outlineLevel="0" collapsed="false">
      <c r="W137" s="182" t="s">
        <v>202</v>
      </c>
      <c r="X137" s="182" t="s">
        <v>203</v>
      </c>
      <c r="Y137" s="211" t="n">
        <v>-89.58723</v>
      </c>
      <c r="Z137" s="211" t="n">
        <v>35.58336</v>
      </c>
      <c r="AA137" s="182" t="s">
        <v>142</v>
      </c>
      <c r="AB137" s="182" t="n">
        <v>280</v>
      </c>
      <c r="AH137" s="211" t="n">
        <v>-87.83972</v>
      </c>
      <c r="AI137" s="211" t="n">
        <v>36.63861</v>
      </c>
    </row>
    <row r="138" customFormat="false" ht="15" hidden="false" customHeight="false" outlineLevel="0" collapsed="false">
      <c r="W138" s="182" t="s">
        <v>226</v>
      </c>
      <c r="X138" s="182" t="s">
        <v>227</v>
      </c>
      <c r="Y138" s="211" t="n">
        <v>-89.40658</v>
      </c>
      <c r="Z138" s="211" t="n">
        <v>35.99797</v>
      </c>
      <c r="AA138" s="182" t="s">
        <v>142</v>
      </c>
      <c r="AB138" s="182" t="n">
        <v>338</v>
      </c>
      <c r="AH138" s="211" t="n">
        <v>-87.19056</v>
      </c>
      <c r="AI138" s="211" t="n">
        <v>36.65666</v>
      </c>
    </row>
    <row r="139" customFormat="false" ht="15" hidden="false" customHeight="false" outlineLevel="0" collapsed="false">
      <c r="W139" s="182" t="s">
        <v>243</v>
      </c>
      <c r="X139" s="182" t="s">
        <v>244</v>
      </c>
      <c r="Y139" s="211" t="n">
        <v>-88.9857</v>
      </c>
      <c r="Z139" s="211" t="n">
        <v>36.37974</v>
      </c>
      <c r="AA139" s="182" t="s">
        <v>142</v>
      </c>
      <c r="AB139" s="182" t="n">
        <v>346</v>
      </c>
      <c r="AH139" s="211" t="n">
        <v>-86.57972</v>
      </c>
      <c r="AI139" s="211" t="n">
        <v>36.65334</v>
      </c>
    </row>
    <row r="140" customFormat="false" ht="15" hidden="false" customHeight="false" outlineLevel="0" collapsed="false">
      <c r="W140" s="182" t="s">
        <v>247</v>
      </c>
      <c r="X140" s="182" t="s">
        <v>248</v>
      </c>
      <c r="Y140" s="211" t="n">
        <v>-89.39444</v>
      </c>
      <c r="Z140" s="211" t="n">
        <v>35.20769</v>
      </c>
      <c r="AA140" s="182" t="s">
        <v>142</v>
      </c>
      <c r="AB140" s="182" t="n">
        <v>436</v>
      </c>
      <c r="AH140" s="211" t="n">
        <v>-86.57167</v>
      </c>
      <c r="AI140" s="211" t="n">
        <v>36.64</v>
      </c>
    </row>
    <row r="141" customFormat="false" ht="15" hidden="false" customHeight="false" outlineLevel="0" collapsed="false">
      <c r="W141" s="182" t="s">
        <v>267</v>
      </c>
      <c r="X141" s="182" t="s">
        <v>268</v>
      </c>
      <c r="Y141" s="211" t="n">
        <v>-90.05397</v>
      </c>
      <c r="Z141" s="211" t="n">
        <v>35.20069</v>
      </c>
      <c r="AA141" s="182" t="s">
        <v>142</v>
      </c>
      <c r="AB141" s="182" t="n">
        <v>225</v>
      </c>
      <c r="AH141" s="211" t="n">
        <v>-86.52361</v>
      </c>
      <c r="AI141" s="211" t="n">
        <v>36.665</v>
      </c>
    </row>
    <row r="142" customFormat="false" ht="15" hidden="false" customHeight="false" outlineLevel="0" collapsed="false">
      <c r="W142" s="182" t="s">
        <v>272</v>
      </c>
      <c r="X142" s="182" t="s">
        <v>273</v>
      </c>
      <c r="Y142" s="211" t="n">
        <v>-88.84894</v>
      </c>
      <c r="Z142" s="211" t="n">
        <v>35.93245</v>
      </c>
      <c r="AA142" s="182" t="s">
        <v>142</v>
      </c>
      <c r="AB142" s="182" t="n">
        <v>358</v>
      </c>
      <c r="AH142" s="211" t="n">
        <v>-85.95944</v>
      </c>
      <c r="AI142" s="211" t="n">
        <v>36.63639</v>
      </c>
    </row>
    <row r="143" customFormat="false" ht="15" hidden="false" customHeight="false" outlineLevel="0" collapsed="false">
      <c r="W143" s="182" t="s">
        <v>296</v>
      </c>
      <c r="X143" s="182" t="s">
        <v>297</v>
      </c>
      <c r="Y143" s="211" t="n">
        <v>-88.38444</v>
      </c>
      <c r="Z143" s="211" t="n">
        <v>36.33595</v>
      </c>
      <c r="AA143" s="182" t="s">
        <v>142</v>
      </c>
      <c r="AB143" s="182" t="n">
        <v>580</v>
      </c>
      <c r="AH143" s="211" t="n">
        <v>-85.50945</v>
      </c>
      <c r="AI143" s="211" t="n">
        <v>36.62389</v>
      </c>
    </row>
    <row r="144" customFormat="false" ht="15" hidden="false" customHeight="false" outlineLevel="0" collapsed="false">
      <c r="W144" s="182" t="s">
        <v>305</v>
      </c>
      <c r="X144" s="182" t="s">
        <v>306</v>
      </c>
      <c r="Y144" s="211" t="n">
        <v>-88.87493</v>
      </c>
      <c r="Z144" s="211" t="n">
        <v>35.80218</v>
      </c>
      <c r="AA144" s="182" t="s">
        <v>142</v>
      </c>
      <c r="AB144" s="182" t="n">
        <v>421</v>
      </c>
      <c r="AH144" s="211" t="n">
        <v>-85.15472</v>
      </c>
      <c r="AI144" s="211" t="n">
        <v>36.63528</v>
      </c>
    </row>
    <row r="145" customFormat="false" ht="15" hidden="false" customHeight="false" outlineLevel="0" collapsed="false">
      <c r="W145" s="182" t="s">
        <v>386</v>
      </c>
      <c r="X145" s="182" t="s">
        <v>387</v>
      </c>
      <c r="Y145" s="211" t="n">
        <v>-88.91561</v>
      </c>
      <c r="Z145" s="211" t="n">
        <v>35.59988</v>
      </c>
      <c r="AA145" s="182" t="s">
        <v>142</v>
      </c>
      <c r="AB145" s="182" t="n">
        <v>435</v>
      </c>
      <c r="AH145" s="211" t="n">
        <v>-83.71222</v>
      </c>
      <c r="AI145" s="211" t="n">
        <v>36.5825</v>
      </c>
    </row>
    <row r="146" customFormat="false" ht="15" hidden="false" customHeight="false" outlineLevel="0" collapsed="false">
      <c r="W146" s="182" t="s">
        <v>393</v>
      </c>
      <c r="X146" s="182" t="s">
        <v>394</v>
      </c>
      <c r="Y146" s="211" t="n">
        <v>-89.97668</v>
      </c>
      <c r="Z146" s="211" t="n">
        <v>35.04241</v>
      </c>
      <c r="AA146" s="182" t="s">
        <v>142</v>
      </c>
      <c r="AB146" s="182" t="n">
        <v>341</v>
      </c>
      <c r="AH146" s="211" t="n">
        <v>-83.68111</v>
      </c>
      <c r="AI146" s="211" t="n">
        <v>36.60445</v>
      </c>
    </row>
    <row r="147" customFormat="false" ht="15" hidden="false" customHeight="false" outlineLevel="0" collapsed="false">
      <c r="W147" s="182" t="s">
        <v>395</v>
      </c>
      <c r="X147" s="182" t="s">
        <v>396</v>
      </c>
      <c r="Y147" s="211" t="n">
        <v>-89.87043</v>
      </c>
      <c r="Z147" s="211" t="n">
        <v>35.35664</v>
      </c>
      <c r="AA147" s="182" t="s">
        <v>142</v>
      </c>
      <c r="AB147" s="182" t="n">
        <v>322</v>
      </c>
      <c r="AH147" s="211" t="n">
        <v>-81.9525</v>
      </c>
      <c r="AI147" s="211" t="n">
        <v>36.59694</v>
      </c>
    </row>
    <row r="148" customFormat="false" ht="15" hidden="false" customHeight="false" outlineLevel="0" collapsed="false">
      <c r="W148" s="182" t="s">
        <v>429</v>
      </c>
      <c r="X148" s="182" t="s">
        <v>430</v>
      </c>
      <c r="Y148" s="211" t="n">
        <v>-89.34631</v>
      </c>
      <c r="Z148" s="211" t="n">
        <v>36.47533</v>
      </c>
      <c r="AA148" s="182" t="s">
        <v>142</v>
      </c>
      <c r="AB148" s="182" t="n">
        <v>289</v>
      </c>
      <c r="AH148" s="211" t="n">
        <v>-81.92278</v>
      </c>
      <c r="AI148" s="211" t="n">
        <v>36.61806</v>
      </c>
    </row>
    <row r="149" customFormat="false" ht="15" hidden="false" customHeight="false" outlineLevel="0" collapsed="false">
      <c r="W149" s="182" t="s">
        <v>433</v>
      </c>
      <c r="X149" s="182" t="s">
        <v>434</v>
      </c>
      <c r="Y149" s="211" t="n">
        <v>-88.49836</v>
      </c>
      <c r="Z149" s="211" t="n">
        <v>35.20294</v>
      </c>
      <c r="AA149" s="182" t="s">
        <v>142</v>
      </c>
      <c r="AB149" s="182" t="n">
        <v>610</v>
      </c>
      <c r="AH149" s="211" t="n">
        <v>-81.65722</v>
      </c>
      <c r="AI149" s="211" t="n">
        <v>36.61139</v>
      </c>
    </row>
    <row r="150" customFormat="false" ht="15" hidden="false" customHeight="false" outlineLevel="0" collapsed="false">
      <c r="W150" s="182" t="s">
        <v>441</v>
      </c>
      <c r="X150" s="182" t="s">
        <v>442</v>
      </c>
      <c r="Y150" s="211" t="n">
        <v>-88.21673</v>
      </c>
      <c r="Z150" s="211" t="n">
        <v>35.17025</v>
      </c>
      <c r="AA150" s="182" t="s">
        <v>142</v>
      </c>
      <c r="AB150" s="182" t="n">
        <v>473</v>
      </c>
      <c r="AH150" s="211" t="n">
        <v>-81.65083</v>
      </c>
      <c r="AI150" s="211" t="n">
        <v>36.59444</v>
      </c>
    </row>
    <row r="151" customFormat="false" ht="15" hidden="false" customHeight="false" outlineLevel="0" collapsed="false">
      <c r="W151" s="182" t="s">
        <v>476</v>
      </c>
      <c r="X151" s="182" t="s">
        <v>477</v>
      </c>
      <c r="Y151" s="211" t="n">
        <v>-89.04325</v>
      </c>
      <c r="Z151" s="211" t="n">
        <v>35.21514</v>
      </c>
      <c r="AA151" s="182" t="s">
        <v>142</v>
      </c>
      <c r="AB151" s="182" t="n">
        <v>499</v>
      </c>
      <c r="AH151" s="211" t="n">
        <v>-81.6109</v>
      </c>
      <c r="AI151" s="211" t="n">
        <v>36.59208</v>
      </c>
    </row>
    <row r="152" customFormat="false" ht="15" hidden="false" customHeight="false" outlineLevel="0" collapsed="false">
      <c r="W152" s="182" t="s">
        <v>483</v>
      </c>
      <c r="X152" s="182" t="s">
        <v>484</v>
      </c>
      <c r="Y152" s="211" t="n">
        <v>-89.58003</v>
      </c>
      <c r="Z152" s="211" t="n">
        <v>35.05402</v>
      </c>
      <c r="AA152" s="182" t="s">
        <v>142</v>
      </c>
      <c r="AB152" s="182" t="n">
        <v>310</v>
      </c>
    </row>
    <row r="153" customFormat="false" ht="15" hidden="false" customHeight="false" outlineLevel="0" collapsed="false">
      <c r="W153" s="182" t="s">
        <v>131</v>
      </c>
      <c r="X153" s="182" t="s">
        <v>132</v>
      </c>
      <c r="Y153" s="211" t="n">
        <v>-87.05706</v>
      </c>
      <c r="Z153" s="211" t="n">
        <v>35.15408</v>
      </c>
      <c r="AA153" s="182" t="s">
        <v>135</v>
      </c>
      <c r="AB153" s="182" t="n">
        <v>689</v>
      </c>
      <c r="AH153" s="211" t="n">
        <v>-89.175</v>
      </c>
      <c r="AI153" s="211" t="n">
        <v>36.66888</v>
      </c>
    </row>
    <row r="154" customFormat="false" ht="15" hidden="false" customHeight="false" outlineLevel="0" collapsed="false">
      <c r="W154" s="182" t="s">
        <v>157</v>
      </c>
      <c r="X154" s="182" t="s">
        <v>158</v>
      </c>
      <c r="Y154" s="211" t="n">
        <v>-86.44247</v>
      </c>
      <c r="Z154" s="211" t="n">
        <v>35.5594</v>
      </c>
      <c r="AA154" s="182" t="s">
        <v>135</v>
      </c>
      <c r="AB154" s="182" t="n">
        <v>800</v>
      </c>
      <c r="AH154" s="211" t="n">
        <v>-89.22278</v>
      </c>
      <c r="AI154" s="211" t="n">
        <v>36.57667</v>
      </c>
    </row>
    <row r="155" customFormat="false" ht="15" hidden="false" customHeight="false" outlineLevel="0" collapsed="false">
      <c r="W155" s="182" t="s">
        <v>170</v>
      </c>
      <c r="X155" s="182" t="s">
        <v>171</v>
      </c>
      <c r="Y155" s="211" t="n">
        <v>-87.44538</v>
      </c>
      <c r="Z155" s="211" t="n">
        <v>35.83742</v>
      </c>
      <c r="AA155" s="182" t="s">
        <v>135</v>
      </c>
      <c r="AB155" s="182" t="n">
        <v>765</v>
      </c>
      <c r="AH155" s="211" t="n">
        <v>-89.27</v>
      </c>
      <c r="AI155" s="211" t="n">
        <v>36.56861</v>
      </c>
    </row>
    <row r="156" customFormat="false" ht="15" hidden="false" customHeight="false" outlineLevel="0" collapsed="false">
      <c r="W156" s="182" t="s">
        <v>220</v>
      </c>
      <c r="X156" s="182" t="s">
        <v>221</v>
      </c>
      <c r="Y156" s="211" t="n">
        <v>-87.42984</v>
      </c>
      <c r="Z156" s="211" t="n">
        <v>36.12796</v>
      </c>
      <c r="AA156" s="182" t="s">
        <v>135</v>
      </c>
      <c r="AB156" s="182" t="n">
        <v>892</v>
      </c>
      <c r="AH156" s="211" t="n">
        <v>-89.33889</v>
      </c>
      <c r="AI156" s="211" t="n">
        <v>36.62556</v>
      </c>
    </row>
    <row r="157" customFormat="false" ht="15" hidden="false" customHeight="false" outlineLevel="0" collapsed="false">
      <c r="W157" s="182" t="s">
        <v>238</v>
      </c>
      <c r="X157" s="182" t="s">
        <v>239</v>
      </c>
      <c r="Y157" s="211" t="n">
        <v>-86.80389</v>
      </c>
      <c r="Z157" s="211" t="n">
        <v>35.50697</v>
      </c>
      <c r="AA157" s="182" t="s">
        <v>135</v>
      </c>
      <c r="AB157" s="182" t="n">
        <v>718</v>
      </c>
      <c r="AH157" s="211" t="n">
        <v>-89.37222</v>
      </c>
      <c r="AI157" s="211" t="n">
        <v>36.62778</v>
      </c>
    </row>
    <row r="158" customFormat="false" ht="15" hidden="false" customHeight="false" outlineLevel="0" collapsed="false">
      <c r="W158" s="182" t="s">
        <v>251</v>
      </c>
      <c r="X158" s="182" t="s">
        <v>252</v>
      </c>
      <c r="Y158" s="211" t="n">
        <v>-86.564</v>
      </c>
      <c r="Z158" s="211" t="n">
        <v>35.05969</v>
      </c>
      <c r="AA158" s="182" t="s">
        <v>135</v>
      </c>
      <c r="AB158" s="182" t="n">
        <v>984</v>
      </c>
      <c r="AH158" s="211" t="n">
        <v>-89.42639</v>
      </c>
      <c r="AI158" s="211" t="n">
        <v>36.49695</v>
      </c>
    </row>
    <row r="159" customFormat="false" ht="15" hidden="false" customHeight="false" outlineLevel="0" collapsed="false">
      <c r="W159" s="182" t="s">
        <v>256</v>
      </c>
      <c r="X159" s="182" t="s">
        <v>257</v>
      </c>
      <c r="Y159" s="211" t="n">
        <v>-85.89815</v>
      </c>
      <c r="Z159" s="211" t="n">
        <v>35.20515</v>
      </c>
      <c r="AA159" s="182" t="s">
        <v>135</v>
      </c>
      <c r="AB159" s="182" t="n">
        <v>1953</v>
      </c>
      <c r="AH159" s="211" t="n">
        <v>-89.48583</v>
      </c>
      <c r="AI159" s="211" t="n">
        <v>36.44833</v>
      </c>
    </row>
    <row r="160" customFormat="false" ht="15" hidden="false" customHeight="false" outlineLevel="0" collapsed="false">
      <c r="W160" s="182" t="s">
        <v>284</v>
      </c>
      <c r="X160" s="182" t="s">
        <v>285</v>
      </c>
      <c r="Y160" s="211" t="n">
        <v>-87.96827</v>
      </c>
      <c r="Z160" s="211" t="n">
        <v>35.38303</v>
      </c>
      <c r="AA160" s="182" t="s">
        <v>135</v>
      </c>
      <c r="AB160" s="182" t="n">
        <v>407</v>
      </c>
      <c r="AH160" s="211" t="n">
        <v>-89.50777</v>
      </c>
      <c r="AI160" s="211" t="n">
        <v>36.45639</v>
      </c>
    </row>
    <row r="161" customFormat="false" ht="15" hidden="false" customHeight="false" outlineLevel="0" collapsed="false">
      <c r="W161" s="182" t="s">
        <v>300</v>
      </c>
      <c r="X161" s="182" t="s">
        <v>301</v>
      </c>
      <c r="Y161" s="211" t="n">
        <v>-87.9167</v>
      </c>
      <c r="Z161" s="211" t="n">
        <v>36.31672</v>
      </c>
      <c r="AA161" s="182" t="s">
        <v>135</v>
      </c>
      <c r="AB161" s="182" t="n">
        <v>370</v>
      </c>
      <c r="AH161" s="211" t="n">
        <v>-89.48889</v>
      </c>
      <c r="AI161" s="211" t="n">
        <v>36.51889</v>
      </c>
    </row>
    <row r="162" customFormat="false" ht="15" hidden="false" customHeight="false" outlineLevel="0" collapsed="false">
      <c r="W162" s="182" t="s">
        <v>308</v>
      </c>
      <c r="X162" s="182" t="s">
        <v>309</v>
      </c>
      <c r="Y162" s="211" t="n">
        <v>-87.73817</v>
      </c>
      <c r="Z162" s="211" t="n">
        <v>36.11661</v>
      </c>
      <c r="AA162" s="182" t="s">
        <v>135</v>
      </c>
      <c r="AB162" s="182" t="n">
        <v>756</v>
      </c>
      <c r="AH162" s="211" t="n">
        <v>-89.50417</v>
      </c>
      <c r="AI162" s="211" t="n">
        <v>36.55667</v>
      </c>
    </row>
    <row r="163" customFormat="false" ht="15" hidden="false" customHeight="false" outlineLevel="0" collapsed="false">
      <c r="W163" s="182" t="s">
        <v>313</v>
      </c>
      <c r="X163" s="182" t="s">
        <v>314</v>
      </c>
      <c r="Y163" s="211" t="n">
        <v>-85.64132</v>
      </c>
      <c r="Z163" s="211" t="n">
        <v>36.39682</v>
      </c>
      <c r="AA163" s="182" t="s">
        <v>135</v>
      </c>
      <c r="AB163" s="182" t="n">
        <v>517</v>
      </c>
      <c r="AH163" s="211" t="n">
        <v>-89.54611</v>
      </c>
      <c r="AI163" s="211" t="n">
        <v>36.56639</v>
      </c>
    </row>
    <row r="164" customFormat="false" ht="15" hidden="false" customHeight="false" outlineLevel="0" collapsed="false">
      <c r="W164" s="182" t="s">
        <v>318</v>
      </c>
      <c r="X164" s="182" t="s">
        <v>319</v>
      </c>
      <c r="Y164" s="211" t="n">
        <v>-87.87663</v>
      </c>
      <c r="Z164" s="211" t="n">
        <v>35.59484</v>
      </c>
      <c r="AA164" s="182" t="s">
        <v>135</v>
      </c>
      <c r="AB164" s="182" t="n">
        <v>740</v>
      </c>
      <c r="AH164" s="211" t="n">
        <v>-89.57528</v>
      </c>
      <c r="AI164" s="211" t="n">
        <v>36.54445</v>
      </c>
    </row>
    <row r="165" customFormat="false" ht="15" hidden="false" customHeight="false" outlineLevel="0" collapsed="false">
      <c r="W165" s="182" t="s">
        <v>323</v>
      </c>
      <c r="X165" s="182" t="s">
        <v>324</v>
      </c>
      <c r="Y165" s="211" t="n">
        <v>-84.94665</v>
      </c>
      <c r="Z165" s="211" t="n">
        <v>36.3497</v>
      </c>
      <c r="AA165" s="182" t="s">
        <v>135</v>
      </c>
      <c r="AB165" s="182" t="n">
        <v>1694</v>
      </c>
      <c r="AH165" s="211" t="n">
        <v>-89.57611</v>
      </c>
      <c r="AI165" s="211" t="n">
        <v>36.51778</v>
      </c>
    </row>
    <row r="166" customFormat="false" ht="15" hidden="false" customHeight="false" outlineLevel="0" collapsed="false">
      <c r="W166" s="182" t="s">
        <v>328</v>
      </c>
      <c r="X166" s="182" t="s">
        <v>329</v>
      </c>
      <c r="Y166" s="211" t="n">
        <v>-87.59732</v>
      </c>
      <c r="Z166" s="211" t="n">
        <v>35.54597</v>
      </c>
      <c r="AA166" s="182" t="s">
        <v>135</v>
      </c>
      <c r="AB166" s="182" t="n">
        <v>972</v>
      </c>
      <c r="AH166" s="211" t="n">
        <v>-89.54361</v>
      </c>
      <c r="AI166" s="211" t="n">
        <v>36.47945</v>
      </c>
    </row>
    <row r="167" customFormat="false" ht="15" hidden="false" customHeight="false" outlineLevel="0" collapsed="false">
      <c r="W167" s="182" t="s">
        <v>333</v>
      </c>
      <c r="X167" s="182" t="s">
        <v>334</v>
      </c>
      <c r="Y167" s="211" t="n">
        <v>-86.88649</v>
      </c>
      <c r="Z167" s="211" t="n">
        <v>36.18302</v>
      </c>
      <c r="AA167" s="182" t="s">
        <v>135</v>
      </c>
      <c r="AB167" s="182" t="n">
        <v>501</v>
      </c>
      <c r="AH167" s="211" t="n">
        <v>-89.55695</v>
      </c>
      <c r="AI167" s="211" t="n">
        <v>36.45167</v>
      </c>
    </row>
    <row r="168" customFormat="false" ht="15" hidden="false" customHeight="false" outlineLevel="0" collapsed="false">
      <c r="W168" s="182" t="s">
        <v>350</v>
      </c>
      <c r="X168" s="182" t="s">
        <v>351</v>
      </c>
      <c r="Y168" s="211" t="n">
        <v>-86.05806</v>
      </c>
      <c r="Z168" s="211" t="n">
        <v>36.52003</v>
      </c>
      <c r="AA168" s="182" t="s">
        <v>135</v>
      </c>
      <c r="AB168" s="182" t="n">
        <v>969</v>
      </c>
      <c r="AH168" s="211" t="n">
        <v>-89.52778</v>
      </c>
      <c r="AI168" s="211" t="n">
        <v>36.37527</v>
      </c>
    </row>
    <row r="169" customFormat="false" ht="15" hidden="false" customHeight="false" outlineLevel="0" collapsed="false">
      <c r="W169" s="182" t="s">
        <v>354</v>
      </c>
      <c r="X169" s="182" t="s">
        <v>355</v>
      </c>
      <c r="Y169" s="211" t="n">
        <v>-87.25794</v>
      </c>
      <c r="Z169" s="211" t="n">
        <v>35.2343</v>
      </c>
      <c r="AA169" s="182" t="s">
        <v>135</v>
      </c>
      <c r="AB169" s="182" t="n">
        <v>936</v>
      </c>
      <c r="AH169" s="211" t="n">
        <v>-89.55417</v>
      </c>
      <c r="AI169" s="211" t="n">
        <v>36.34889</v>
      </c>
    </row>
    <row r="170" customFormat="false" ht="15" hidden="false" customHeight="false" outlineLevel="0" collapsed="false">
      <c r="W170" s="182" t="s">
        <v>358</v>
      </c>
      <c r="X170" s="182" t="s">
        <v>359</v>
      </c>
      <c r="Y170" s="211" t="n">
        <v>-86.31569</v>
      </c>
      <c r="Z170" s="211" t="n">
        <v>36.19041</v>
      </c>
      <c r="AA170" s="182" t="s">
        <v>135</v>
      </c>
      <c r="AB170" s="182" t="n">
        <v>588</v>
      </c>
      <c r="AH170" s="211" t="n">
        <v>-89.61583</v>
      </c>
      <c r="AI170" s="211" t="n">
        <v>36.34473</v>
      </c>
    </row>
    <row r="171" customFormat="false" ht="15" hidden="false" customHeight="false" outlineLevel="0" collapsed="false">
      <c r="W171" s="182" t="s">
        <v>362</v>
      </c>
      <c r="X171" s="182" t="s">
        <v>363</v>
      </c>
      <c r="Y171" s="211" t="n">
        <v>-85.31046</v>
      </c>
      <c r="Z171" s="211" t="n">
        <v>36.4135</v>
      </c>
      <c r="AA171" s="182" t="s">
        <v>135</v>
      </c>
      <c r="AB171" s="182" t="n">
        <v>1372</v>
      </c>
      <c r="AH171" s="211" t="n">
        <v>-89.62917</v>
      </c>
      <c r="AI171" s="211" t="n">
        <v>36.31694</v>
      </c>
    </row>
    <row r="172" customFormat="false" ht="15" hidden="false" customHeight="false" outlineLevel="0" collapsed="false">
      <c r="W172" s="182" t="s">
        <v>379</v>
      </c>
      <c r="X172" s="182" t="s">
        <v>380</v>
      </c>
      <c r="Y172" s="211" t="n">
        <v>-87.17914</v>
      </c>
      <c r="Z172" s="211" t="n">
        <v>35.55434</v>
      </c>
      <c r="AA172" s="182" t="s">
        <v>135</v>
      </c>
      <c r="AB172" s="182" t="n">
        <v>681</v>
      </c>
      <c r="AH172" s="211" t="n">
        <v>-89.55889</v>
      </c>
      <c r="AI172" s="211" t="n">
        <v>36.26584</v>
      </c>
    </row>
    <row r="173" customFormat="false" ht="15" hidden="false" customHeight="false" outlineLevel="0" collapsed="false">
      <c r="W173" s="182" t="s">
        <v>405</v>
      </c>
      <c r="X173" s="182" t="s">
        <v>406</v>
      </c>
      <c r="Y173" s="211" t="n">
        <v>-86.37747</v>
      </c>
      <c r="Z173" s="211" t="n">
        <v>35.87865</v>
      </c>
      <c r="AA173" s="182" t="s">
        <v>135</v>
      </c>
      <c r="AB173" s="182" t="n">
        <v>614</v>
      </c>
      <c r="AH173" s="211" t="n">
        <v>-89.58334</v>
      </c>
      <c r="AI173" s="211" t="n">
        <v>36.25</v>
      </c>
    </row>
    <row r="174" customFormat="false" ht="15" hidden="false" customHeight="false" outlineLevel="0" collapsed="false">
      <c r="W174" s="182" t="s">
        <v>409</v>
      </c>
      <c r="X174" s="182" t="s">
        <v>410</v>
      </c>
      <c r="Y174" s="211" t="n">
        <v>-86.40841</v>
      </c>
      <c r="Z174" s="211" t="n">
        <v>36.37508</v>
      </c>
      <c r="AA174" s="182" t="s">
        <v>135</v>
      </c>
      <c r="AB174" s="182" t="n">
        <v>583</v>
      </c>
      <c r="AH174" s="211" t="n">
        <v>-89.69111</v>
      </c>
      <c r="AI174" s="211" t="n">
        <v>36.24111</v>
      </c>
    </row>
    <row r="175" customFormat="false" ht="15" hidden="false" customHeight="false" outlineLevel="0" collapsed="false">
      <c r="W175" s="182" t="s">
        <v>413</v>
      </c>
      <c r="X175" s="182" t="s">
        <v>414</v>
      </c>
      <c r="Y175" s="211" t="n">
        <v>-86.67818</v>
      </c>
      <c r="Z175" s="211" t="n">
        <v>36.12447</v>
      </c>
      <c r="AA175" s="182" t="s">
        <v>135</v>
      </c>
      <c r="AB175" s="182" t="n">
        <v>599</v>
      </c>
      <c r="AH175" s="211" t="n">
        <v>-89.60722</v>
      </c>
      <c r="AI175" s="211" t="n">
        <v>36.13306</v>
      </c>
    </row>
    <row r="176" customFormat="false" ht="15" hidden="false" customHeight="false" outlineLevel="0" collapsed="false">
      <c r="W176" s="182" t="s">
        <v>419</v>
      </c>
      <c r="X176" s="182" t="s">
        <v>420</v>
      </c>
      <c r="Y176" s="211" t="n">
        <v>-87.41495</v>
      </c>
      <c r="Z176" s="211" t="n">
        <v>36.62186</v>
      </c>
      <c r="AA176" s="182" t="s">
        <v>135</v>
      </c>
      <c r="AB176" s="182" t="n">
        <v>550</v>
      </c>
      <c r="AH176" s="211" t="n">
        <v>-89.67416</v>
      </c>
      <c r="AI176" s="211" t="n">
        <v>36.09583</v>
      </c>
    </row>
    <row r="177" customFormat="false" ht="15" hidden="false" customHeight="false" outlineLevel="0" collapsed="false">
      <c r="W177" s="182" t="s">
        <v>423</v>
      </c>
      <c r="X177" s="182" t="s">
        <v>424</v>
      </c>
      <c r="Y177" s="211" t="n">
        <v>-86.47691</v>
      </c>
      <c r="Z177" s="211" t="n">
        <v>36.59287</v>
      </c>
      <c r="AA177" s="182" t="s">
        <v>135</v>
      </c>
      <c r="AB177" s="182" t="n">
        <v>818</v>
      </c>
      <c r="AH177" s="211" t="n">
        <v>-89.73083</v>
      </c>
      <c r="AI177" s="211" t="n">
        <v>36.00222</v>
      </c>
    </row>
    <row r="178" customFormat="false" ht="15" hidden="false" customHeight="false" outlineLevel="0" collapsed="false">
      <c r="W178" s="182" t="s">
        <v>426</v>
      </c>
      <c r="X178" s="182" t="s">
        <v>427</v>
      </c>
      <c r="Y178" s="211" t="n">
        <v>-86.615</v>
      </c>
      <c r="Z178" s="211" t="n">
        <v>35.68944</v>
      </c>
      <c r="AA178" s="182" t="s">
        <v>135</v>
      </c>
      <c r="AB178" s="182" t="n">
        <v>780</v>
      </c>
      <c r="AH178" s="211" t="n">
        <v>-89.66444</v>
      </c>
      <c r="AI178" s="211" t="n">
        <v>35.89778</v>
      </c>
    </row>
    <row r="179" customFormat="false" ht="15" hidden="false" customHeight="false" outlineLevel="0" collapsed="false">
      <c r="W179" s="182" t="s">
        <v>449</v>
      </c>
      <c r="X179" s="182" t="s">
        <v>450</v>
      </c>
      <c r="Y179" s="211" t="n">
        <v>-85.80911</v>
      </c>
      <c r="Z179" s="211" t="n">
        <v>35.98544</v>
      </c>
      <c r="AA179" s="182" t="s">
        <v>135</v>
      </c>
      <c r="AB179" s="182" t="n">
        <v>1084</v>
      </c>
      <c r="AH179" s="211" t="n">
        <v>-89.74889</v>
      </c>
      <c r="AI179" s="211" t="n">
        <v>35.91055</v>
      </c>
    </row>
    <row r="180" customFormat="false" ht="15" hidden="false" customHeight="false" outlineLevel="0" collapsed="false">
      <c r="W180" s="182" t="s">
        <v>453</v>
      </c>
      <c r="X180" s="182" t="s">
        <v>454</v>
      </c>
      <c r="Y180" s="211" t="n">
        <v>-86.52009</v>
      </c>
      <c r="Z180" s="211" t="n">
        <v>36.00897</v>
      </c>
      <c r="AA180" s="182" t="s">
        <v>135</v>
      </c>
      <c r="AB180" s="182" t="n">
        <v>543</v>
      </c>
      <c r="AH180" s="211" t="n">
        <v>-89.78111</v>
      </c>
      <c r="AI180" s="211" t="n">
        <v>35.87917</v>
      </c>
    </row>
    <row r="181" customFormat="false" ht="15" hidden="false" customHeight="false" outlineLevel="0" collapsed="false">
      <c r="W181" s="182" t="s">
        <v>456</v>
      </c>
      <c r="X181" s="182" t="s">
        <v>457</v>
      </c>
      <c r="Y181" s="211" t="n">
        <v>-86.92117</v>
      </c>
      <c r="Z181" s="211" t="n">
        <v>36.53669</v>
      </c>
      <c r="AA181" s="182" t="s">
        <v>135</v>
      </c>
      <c r="AB181" s="182" t="n">
        <v>706</v>
      </c>
      <c r="AH181" s="211" t="n">
        <v>-89.72639</v>
      </c>
      <c r="AI181" s="211" t="n">
        <v>35.85056</v>
      </c>
    </row>
    <row r="182" customFormat="false" ht="15" hidden="false" customHeight="false" outlineLevel="0" collapsed="false">
      <c r="W182" s="182" t="s">
        <v>464</v>
      </c>
      <c r="X182" s="182" t="s">
        <v>465</v>
      </c>
      <c r="Y182" s="211" t="n">
        <v>-86.24678</v>
      </c>
      <c r="Z182" s="211" t="n">
        <v>35.38012</v>
      </c>
      <c r="AA182" s="182" t="s">
        <v>135</v>
      </c>
      <c r="AB182" s="182" t="n">
        <v>1084</v>
      </c>
      <c r="AH182" s="211" t="n">
        <v>-89.72916</v>
      </c>
      <c r="AI182" s="211" t="n">
        <v>35.82278</v>
      </c>
    </row>
    <row r="183" customFormat="false" ht="15" hidden="false" customHeight="false" outlineLevel="0" collapsed="false">
      <c r="W183" s="182" t="s">
        <v>468</v>
      </c>
      <c r="X183" s="182" t="s">
        <v>469</v>
      </c>
      <c r="Y183" s="211" t="n">
        <v>-85.53011</v>
      </c>
      <c r="Z183" s="211" t="n">
        <v>36.05674</v>
      </c>
      <c r="AA183" s="182" t="s">
        <v>135</v>
      </c>
      <c r="AB183" s="182" t="n">
        <v>1025</v>
      </c>
      <c r="AH183" s="211" t="n">
        <v>-89.79528</v>
      </c>
      <c r="AI183" s="211" t="n">
        <v>35.81055</v>
      </c>
    </row>
    <row r="184" customFormat="false" ht="15" hidden="false" customHeight="false" outlineLevel="0" collapsed="false">
      <c r="W184" s="182" t="s">
        <v>472</v>
      </c>
      <c r="X184" s="182" t="s">
        <v>473</v>
      </c>
      <c r="Y184" s="211" t="n">
        <v>-85.84382</v>
      </c>
      <c r="Z184" s="211" t="n">
        <v>35.6987</v>
      </c>
      <c r="AA184" s="182" t="s">
        <v>135</v>
      </c>
      <c r="AB184" s="182" t="n">
        <v>1032</v>
      </c>
      <c r="AH184" s="211" t="n">
        <v>-89.80944</v>
      </c>
      <c r="AI184" s="211" t="n">
        <v>35.77417</v>
      </c>
    </row>
    <row r="185" customFormat="false" ht="15" hidden="false" customHeight="false" outlineLevel="0" collapsed="false">
      <c r="W185" s="182" t="s">
        <v>480</v>
      </c>
      <c r="X185" s="182" t="s">
        <v>481</v>
      </c>
      <c r="Y185" s="211" t="n">
        <v>-86.06617</v>
      </c>
      <c r="Z185" s="211" t="n">
        <v>35.17753</v>
      </c>
      <c r="AA185" s="182" t="s">
        <v>135</v>
      </c>
      <c r="AB185" s="182" t="n">
        <v>979</v>
      </c>
      <c r="AH185" s="211" t="n">
        <v>-89.83694</v>
      </c>
      <c r="AI185" s="211" t="n">
        <v>35.75999</v>
      </c>
    </row>
    <row r="186" customFormat="false" ht="15" hidden="false" customHeight="false" outlineLevel="0" collapsed="false">
      <c r="W186" s="182" t="s">
        <v>180</v>
      </c>
      <c r="X186" s="182" t="s">
        <v>181</v>
      </c>
      <c r="Y186" s="211" t="n">
        <v>-84.585</v>
      </c>
      <c r="Z186" s="211" t="n">
        <v>35.22639</v>
      </c>
      <c r="AA186" s="182" t="s">
        <v>183</v>
      </c>
      <c r="AB186" s="182" t="n">
        <v>770</v>
      </c>
      <c r="AH186" s="211" t="n">
        <v>-89.95944</v>
      </c>
      <c r="AI186" s="211" t="n">
        <v>35.73833</v>
      </c>
    </row>
    <row r="187" customFormat="false" ht="15" hidden="false" customHeight="false" outlineLevel="0" collapsed="false">
      <c r="W187" s="182" t="s">
        <v>185</v>
      </c>
      <c r="X187" s="182" t="s">
        <v>186</v>
      </c>
      <c r="Y187" s="211" t="n">
        <v>-84.7992</v>
      </c>
      <c r="Z187" s="211" t="n">
        <v>35.21234</v>
      </c>
      <c r="AA187" s="182" t="s">
        <v>183</v>
      </c>
      <c r="AB187" s="182" t="n">
        <v>866</v>
      </c>
      <c r="AH187" s="211" t="n">
        <v>-89.96111</v>
      </c>
      <c r="AI187" s="211" t="n">
        <v>35.71389</v>
      </c>
    </row>
    <row r="188" customFormat="false" ht="15" hidden="false" customHeight="false" outlineLevel="0" collapsed="false">
      <c r="W188" s="182" t="s">
        <v>190</v>
      </c>
      <c r="X188" s="182" t="s">
        <v>191</v>
      </c>
      <c r="Y188" s="211" t="n">
        <v>-85.02007</v>
      </c>
      <c r="Z188" s="211" t="n">
        <v>35.04442</v>
      </c>
      <c r="AA188" s="182" t="s">
        <v>183</v>
      </c>
      <c r="AB188" s="182" t="n">
        <v>860</v>
      </c>
      <c r="AH188" s="211" t="n">
        <v>-89.91639</v>
      </c>
      <c r="AI188" s="211" t="n">
        <v>35.65944</v>
      </c>
    </row>
    <row r="189" customFormat="false" ht="15" hidden="false" customHeight="false" outlineLevel="0" collapsed="false">
      <c r="W189" s="182" t="s">
        <v>195</v>
      </c>
      <c r="X189" s="182" t="s">
        <v>196</v>
      </c>
      <c r="Y189" s="211" t="n">
        <v>-84.16296</v>
      </c>
      <c r="Z189" s="211" t="n">
        <v>36.33409</v>
      </c>
      <c r="AA189" s="182" t="s">
        <v>183</v>
      </c>
      <c r="AB189" s="182" t="n">
        <v>1180</v>
      </c>
      <c r="AH189" s="211" t="n">
        <v>-89.87361</v>
      </c>
      <c r="AI189" s="211" t="n">
        <v>35.67166</v>
      </c>
    </row>
    <row r="190" customFormat="false" ht="15" hidden="false" customHeight="false" outlineLevel="0" collapsed="false">
      <c r="W190" s="182" t="s">
        <v>208</v>
      </c>
      <c r="X190" s="182" t="s">
        <v>209</v>
      </c>
      <c r="Y190" s="211" t="n">
        <v>-85.08498</v>
      </c>
      <c r="Z190" s="211" t="n">
        <v>35.95129</v>
      </c>
      <c r="AA190" s="182" t="s">
        <v>183</v>
      </c>
      <c r="AB190" s="182" t="n">
        <v>1882</v>
      </c>
      <c r="AH190" s="211" t="n">
        <v>-89.85583</v>
      </c>
      <c r="AI190" s="211" t="n">
        <v>35.65167</v>
      </c>
    </row>
    <row r="191" customFormat="false" ht="15" hidden="false" customHeight="false" outlineLevel="0" collapsed="false">
      <c r="W191" s="182" t="s">
        <v>215</v>
      </c>
      <c r="X191" s="182" t="s">
        <v>216</v>
      </c>
      <c r="Y191" s="211" t="n">
        <v>-85.17778</v>
      </c>
      <c r="Z191" s="211" t="n">
        <v>35.1875</v>
      </c>
      <c r="AA191" s="182" t="s">
        <v>183</v>
      </c>
      <c r="AB191" s="182" t="n">
        <v>690</v>
      </c>
      <c r="AH191" s="211" t="n">
        <v>-89.95</v>
      </c>
      <c r="AI191" s="211" t="n">
        <v>35.60472</v>
      </c>
    </row>
    <row r="192" customFormat="false" ht="15" hidden="false" customHeight="false" outlineLevel="0" collapsed="false">
      <c r="W192" s="182" t="s">
        <v>232</v>
      </c>
      <c r="X192" s="182" t="s">
        <v>233</v>
      </c>
      <c r="Y192" s="211" t="n">
        <v>-82.17272</v>
      </c>
      <c r="Z192" s="211" t="n">
        <v>36.37156</v>
      </c>
      <c r="AA192" s="182" t="s">
        <v>183</v>
      </c>
      <c r="AB192" s="182" t="n">
        <v>1592</v>
      </c>
      <c r="AH192" s="211" t="n">
        <v>-89.95861</v>
      </c>
      <c r="AI192" s="211" t="n">
        <v>35.58305</v>
      </c>
    </row>
    <row r="193" customFormat="false" ht="15" hidden="false" customHeight="false" outlineLevel="0" collapsed="false">
      <c r="W193" s="182" t="s">
        <v>128</v>
      </c>
      <c r="X193" s="182" t="s">
        <v>262</v>
      </c>
      <c r="Y193" s="211" t="n">
        <v>-83.5287</v>
      </c>
      <c r="Z193" s="211" t="n">
        <v>35.85776</v>
      </c>
      <c r="AA193" s="182" t="s">
        <v>183</v>
      </c>
      <c r="AB193" s="182" t="n">
        <v>1014</v>
      </c>
      <c r="AH193" s="211" t="n">
        <v>-89.93889</v>
      </c>
      <c r="AI193" s="211" t="n">
        <v>35.53889</v>
      </c>
    </row>
    <row r="194" customFormat="false" ht="15" hidden="false" customHeight="false" outlineLevel="0" collapsed="false">
      <c r="W194" s="182" t="s">
        <v>278</v>
      </c>
      <c r="X194" s="182" t="s">
        <v>279</v>
      </c>
      <c r="Y194" s="211" t="n">
        <v>-82.81137</v>
      </c>
      <c r="Z194" s="211" t="n">
        <v>36.19573</v>
      </c>
      <c r="AA194" s="182" t="s">
        <v>183</v>
      </c>
      <c r="AB194" s="182" t="n">
        <v>1608</v>
      </c>
      <c r="AH194" s="211" t="n">
        <v>-90.01639</v>
      </c>
      <c r="AI194" s="211" t="n">
        <v>35.56111</v>
      </c>
    </row>
    <row r="195" customFormat="false" ht="15" hidden="false" customHeight="false" outlineLevel="0" collapsed="false">
      <c r="W195" s="182" t="s">
        <v>291</v>
      </c>
      <c r="X195" s="182" t="s">
        <v>292</v>
      </c>
      <c r="Y195" s="211" t="n">
        <v>-82.88503</v>
      </c>
      <c r="Z195" s="211" t="n">
        <v>36.45758</v>
      </c>
      <c r="AA195" s="182" t="s">
        <v>183</v>
      </c>
      <c r="AB195" s="182" t="n">
        <v>1255</v>
      </c>
      <c r="AH195" s="211" t="n">
        <v>-90.04417</v>
      </c>
      <c r="AI195" s="211" t="n">
        <v>35.54972</v>
      </c>
    </row>
    <row r="196" customFormat="false" ht="15" hidden="false" customHeight="false" outlineLevel="0" collapsed="false">
      <c r="W196" s="182" t="s">
        <v>338</v>
      </c>
      <c r="X196" s="182" t="s">
        <v>339</v>
      </c>
      <c r="Y196" s="211" t="n">
        <v>-82.30903</v>
      </c>
      <c r="Z196" s="211" t="n">
        <v>36.36372</v>
      </c>
      <c r="AA196" s="182" t="s">
        <v>183</v>
      </c>
      <c r="AB196" s="182" t="n">
        <v>1550</v>
      </c>
      <c r="AH196" s="211" t="n">
        <v>-90.05139</v>
      </c>
      <c r="AI196" s="211" t="n">
        <v>35.5175</v>
      </c>
    </row>
    <row r="197" customFormat="false" ht="15" hidden="false" customHeight="false" outlineLevel="0" collapsed="false">
      <c r="W197" s="182" t="s">
        <v>342</v>
      </c>
      <c r="X197" s="182" t="s">
        <v>343</v>
      </c>
      <c r="Y197" s="211" t="n">
        <v>-81.82513</v>
      </c>
      <c r="Z197" s="211" t="n">
        <v>36.41784</v>
      </c>
      <c r="AA197" s="182" t="s">
        <v>183</v>
      </c>
      <c r="AB197" s="182" t="n">
        <v>2241</v>
      </c>
      <c r="AH197" s="211" t="n">
        <v>-90.00694</v>
      </c>
      <c r="AI197" s="211" t="n">
        <v>35.45639</v>
      </c>
    </row>
    <row r="198" customFormat="false" ht="15" hidden="false" customHeight="false" outlineLevel="0" collapsed="false">
      <c r="W198" s="182" t="s">
        <v>346</v>
      </c>
      <c r="X198" s="182" t="s">
        <v>347</v>
      </c>
      <c r="Y198" s="211" t="n">
        <v>-83.87367</v>
      </c>
      <c r="Z198" s="211" t="n">
        <v>35.96383</v>
      </c>
      <c r="AA198" s="182" t="s">
        <v>183</v>
      </c>
      <c r="AB198" s="182" t="n">
        <v>833</v>
      </c>
      <c r="AH198" s="211" t="n">
        <v>-90.01334</v>
      </c>
      <c r="AI198" s="211" t="n">
        <v>35.43361</v>
      </c>
    </row>
    <row r="199" customFormat="false" ht="15" hidden="false" customHeight="false" outlineLevel="0" collapsed="false">
      <c r="W199" s="182" t="s">
        <v>366</v>
      </c>
      <c r="X199" s="182" t="s">
        <v>367</v>
      </c>
      <c r="Y199" s="211" t="n">
        <v>-85.20356</v>
      </c>
      <c r="Z199" s="211" t="n">
        <v>35.03519</v>
      </c>
      <c r="AA199" s="182" t="s">
        <v>183</v>
      </c>
      <c r="AB199" s="182" t="n">
        <v>682</v>
      </c>
      <c r="AH199" s="211" t="n">
        <v>-90.05278</v>
      </c>
      <c r="AI199" s="211" t="n">
        <v>35.42194</v>
      </c>
    </row>
    <row r="200" customFormat="false" ht="15" hidden="false" customHeight="false" outlineLevel="0" collapsed="false">
      <c r="W200" s="182" t="s">
        <v>368</v>
      </c>
      <c r="X200" s="182" t="s">
        <v>369</v>
      </c>
      <c r="Y200" s="211" t="n">
        <v>-85.58531</v>
      </c>
      <c r="Z200" s="211" t="n">
        <v>35.06067</v>
      </c>
      <c r="AA200" s="182" t="s">
        <v>183</v>
      </c>
      <c r="AB200" s="182" t="n">
        <v>641</v>
      </c>
      <c r="AH200" s="211" t="n">
        <v>-90.07806</v>
      </c>
      <c r="AI200" s="211" t="n">
        <v>35.47194</v>
      </c>
    </row>
    <row r="201" customFormat="false" ht="15" hidden="false" customHeight="false" outlineLevel="0" collapsed="false">
      <c r="W201" s="182" t="s">
        <v>372</v>
      </c>
      <c r="X201" s="182" t="s">
        <v>373</v>
      </c>
      <c r="Y201" s="211" t="n">
        <v>-84.93108</v>
      </c>
      <c r="Z201" s="211" t="n">
        <v>35.48625</v>
      </c>
      <c r="AA201" s="182" t="s">
        <v>183</v>
      </c>
      <c r="AB201" s="182" t="n">
        <v>718</v>
      </c>
      <c r="AH201" s="211" t="n">
        <v>-90.10639</v>
      </c>
      <c r="AI201" s="211" t="n">
        <v>35.48334</v>
      </c>
    </row>
    <row r="202" customFormat="false" ht="15" hidden="false" customHeight="false" outlineLevel="0" collapsed="false">
      <c r="W202" s="182" t="s">
        <v>376</v>
      </c>
      <c r="X202" s="182" t="s">
        <v>377</v>
      </c>
      <c r="Y202" s="211" t="n">
        <v>-84.34683</v>
      </c>
      <c r="Z202" s="211" t="n">
        <v>35.01582</v>
      </c>
      <c r="AA202" s="182" t="s">
        <v>183</v>
      </c>
      <c r="AB202" s="182" t="n">
        <v>1789</v>
      </c>
      <c r="AH202" s="211" t="n">
        <v>-90.17889</v>
      </c>
      <c r="AI202" s="211" t="n">
        <v>35.42416</v>
      </c>
    </row>
    <row r="203" customFormat="false" ht="15" hidden="false" customHeight="false" outlineLevel="0" collapsed="false">
      <c r="W203" s="182" t="s">
        <v>383</v>
      </c>
      <c r="X203" s="182" t="s">
        <v>384</v>
      </c>
      <c r="Y203" s="211" t="n">
        <v>-83.99407</v>
      </c>
      <c r="Z203" s="211" t="n">
        <v>35.81109</v>
      </c>
      <c r="AA203" s="182" t="s">
        <v>183</v>
      </c>
      <c r="AB203" s="182" t="n">
        <v>986</v>
      </c>
      <c r="AH203" s="211" t="n">
        <v>-90.17861</v>
      </c>
      <c r="AI203" s="211" t="n">
        <v>35.38055</v>
      </c>
    </row>
    <row r="204" customFormat="false" ht="15" hidden="false" customHeight="false" outlineLevel="0" collapsed="false">
      <c r="W204" s="182" t="s">
        <v>389</v>
      </c>
      <c r="X204" s="182" t="s">
        <v>390</v>
      </c>
      <c r="Y204" s="211" t="n">
        <v>-84.56178</v>
      </c>
      <c r="Z204" s="211" t="n">
        <v>35.39919</v>
      </c>
      <c r="AA204" s="182" t="s">
        <v>183</v>
      </c>
      <c r="AB204" s="182" t="n">
        <v>874</v>
      </c>
      <c r="AH204" s="211" t="n">
        <v>-90.13306</v>
      </c>
      <c r="AI204" s="211" t="n">
        <v>35.40944</v>
      </c>
    </row>
    <row r="205" customFormat="false" ht="15" hidden="false" customHeight="false" outlineLevel="0" collapsed="false">
      <c r="W205" s="182" t="s">
        <v>397</v>
      </c>
      <c r="X205" s="182" t="s">
        <v>398</v>
      </c>
      <c r="Y205" s="211" t="n">
        <v>-84.3804</v>
      </c>
      <c r="Z205" s="211" t="n">
        <v>35.54523</v>
      </c>
      <c r="AA205" s="182" t="s">
        <v>183</v>
      </c>
      <c r="AB205" s="182" t="n">
        <v>1031</v>
      </c>
      <c r="AH205" s="211" t="n">
        <v>-90.09417</v>
      </c>
      <c r="AI205" s="211" t="n">
        <v>35.38972</v>
      </c>
    </row>
    <row r="206" customFormat="false" ht="15" hidden="false" customHeight="false" outlineLevel="0" collapsed="false">
      <c r="W206" s="182" t="s">
        <v>401</v>
      </c>
      <c r="X206" s="182" t="s">
        <v>402</v>
      </c>
      <c r="Y206" s="211" t="n">
        <v>-83.37545</v>
      </c>
      <c r="Z206" s="211" t="n">
        <v>36.17938</v>
      </c>
      <c r="AA206" s="182" t="s">
        <v>183</v>
      </c>
      <c r="AB206" s="182" t="n">
        <v>1313</v>
      </c>
      <c r="AH206" s="211" t="n">
        <v>-90.11361</v>
      </c>
      <c r="AI206" s="211" t="n">
        <v>35.35777</v>
      </c>
    </row>
    <row r="207" customFormat="false" ht="15" hidden="false" customHeight="false" outlineLevel="0" collapsed="false">
      <c r="W207" s="182" t="s">
        <v>415</v>
      </c>
      <c r="X207" s="182" t="s">
        <v>416</v>
      </c>
      <c r="Y207" s="211" t="n">
        <v>-83.55719</v>
      </c>
      <c r="Z207" s="211" t="n">
        <v>36.4089</v>
      </c>
      <c r="AA207" s="182" t="s">
        <v>183</v>
      </c>
      <c r="AB207" s="182" t="n">
        <v>1179</v>
      </c>
      <c r="AH207" s="211" t="n">
        <v>-90.10833</v>
      </c>
      <c r="AI207" s="211" t="n">
        <v>35.32389</v>
      </c>
    </row>
    <row r="208" customFormat="false" ht="15" hidden="false" customHeight="false" outlineLevel="0" collapsed="false">
      <c r="W208" s="182" t="s">
        <v>437</v>
      </c>
      <c r="X208" s="182" t="s">
        <v>438</v>
      </c>
      <c r="Y208" s="211" t="n">
        <v>-84.68978</v>
      </c>
      <c r="Z208" s="211" t="n">
        <v>35.92233</v>
      </c>
      <c r="AA208" s="182" t="s">
        <v>183</v>
      </c>
      <c r="AB208" s="182" t="n">
        <v>1664</v>
      </c>
      <c r="AH208" s="211" t="n">
        <v>-90.17555</v>
      </c>
      <c r="AI208" s="211" t="n">
        <v>35.285</v>
      </c>
    </row>
    <row r="209" customFormat="false" ht="15" hidden="false" customHeight="false" outlineLevel="0" collapsed="false">
      <c r="W209" s="182" t="s">
        <v>445</v>
      </c>
      <c r="X209" s="182" t="s">
        <v>446</v>
      </c>
      <c r="Y209" s="211" t="n">
        <v>-84.58575</v>
      </c>
      <c r="Z209" s="211" t="n">
        <v>36.45569</v>
      </c>
      <c r="AA209" s="182" t="s">
        <v>183</v>
      </c>
      <c r="AB209" s="182" t="n">
        <v>1545</v>
      </c>
      <c r="AH209" s="211" t="n">
        <v>-90.08389</v>
      </c>
      <c r="AI209" s="211" t="n">
        <v>35.23083</v>
      </c>
    </row>
    <row r="210" customFormat="false" ht="15" hidden="false" customHeight="false" outlineLevel="0" collapsed="false">
      <c r="W210" s="182" t="s">
        <v>460</v>
      </c>
      <c r="X210" s="182" t="s">
        <v>461</v>
      </c>
      <c r="Y210" s="211" t="n">
        <v>-82.40742</v>
      </c>
      <c r="Z210" s="211" t="n">
        <v>36.47521</v>
      </c>
      <c r="AA210" s="182" t="s">
        <v>183</v>
      </c>
      <c r="AB210" s="182" t="n">
        <v>1519</v>
      </c>
      <c r="AH210" s="211" t="n">
        <v>-90.09167</v>
      </c>
      <c r="AI210" s="211" t="n">
        <v>35.2</v>
      </c>
    </row>
    <row r="211" customFormat="false" ht="15" hidden="false" customHeight="false" outlineLevel="0" collapsed="false">
      <c r="AH211" s="211" t="n">
        <v>-90.07778</v>
      </c>
      <c r="AI211" s="211" t="n">
        <v>35.17361</v>
      </c>
    </row>
    <row r="212" customFormat="false" ht="15" hidden="false" customHeight="false" outlineLevel="0" collapsed="false">
      <c r="AH212" s="211" t="n">
        <v>-90.09222</v>
      </c>
      <c r="AI212" s="211" t="n">
        <v>35.13499</v>
      </c>
    </row>
    <row r="213" customFormat="false" ht="15" hidden="false" customHeight="false" outlineLevel="0" collapsed="false">
      <c r="AH213" s="211" t="n">
        <v>-90.17944</v>
      </c>
      <c r="AI213" s="211" t="n">
        <v>35.12305</v>
      </c>
    </row>
    <row r="214" customFormat="false" ht="15" hidden="false" customHeight="false" outlineLevel="0" collapsed="false">
      <c r="AH214" s="211" t="n">
        <v>-90.21416</v>
      </c>
      <c r="AI214" s="211" t="n">
        <v>35.05139</v>
      </c>
    </row>
    <row r="215" customFormat="false" ht="15" hidden="false" customHeight="false" outlineLevel="0" collapsed="false">
      <c r="AH215" s="211" t="n">
        <v>-90.30139</v>
      </c>
      <c r="AI215" s="211" t="n">
        <v>35.04361</v>
      </c>
    </row>
    <row r="216" customFormat="false" ht="15" hidden="false" customHeight="false" outlineLevel="0" collapsed="false">
      <c r="AH216" s="211" t="n">
        <v>-90.31306</v>
      </c>
      <c r="AI216" s="211" t="n">
        <v>35.00833</v>
      </c>
    </row>
    <row r="217" customFormat="false" ht="15" hidden="false" customHeight="false" outlineLevel="0" collapsed="false">
      <c r="AH217" s="211" t="n">
        <v>-90.26833</v>
      </c>
      <c r="AI217" s="211" t="n">
        <v>34.965</v>
      </c>
    </row>
    <row r="219" customFormat="false" ht="15" hidden="false" customHeight="false" outlineLevel="0" collapsed="false">
      <c r="AH219" s="211" t="n">
        <v>-81.65639</v>
      </c>
      <c r="AI219" s="211" t="n">
        <v>36.61056</v>
      </c>
    </row>
    <row r="220" customFormat="false" ht="15" hidden="false" customHeight="false" outlineLevel="0" collapsed="false">
      <c r="AH220" s="211" t="n">
        <v>-81.71528</v>
      </c>
      <c r="AI220" s="211" t="n">
        <v>36.53583</v>
      </c>
    </row>
    <row r="221" customFormat="false" ht="15" hidden="false" customHeight="false" outlineLevel="0" collapsed="false">
      <c r="AH221" s="211" t="n">
        <v>-81.69417</v>
      </c>
      <c r="AI221" s="211" t="n">
        <v>36.49167</v>
      </c>
    </row>
    <row r="222" customFormat="false" ht="15" hidden="false" customHeight="false" outlineLevel="0" collapsed="false">
      <c r="AH222" s="211" t="n">
        <v>-81.74583</v>
      </c>
      <c r="AI222" s="211" t="n">
        <v>36.40388</v>
      </c>
    </row>
    <row r="223" customFormat="false" ht="15" hidden="false" customHeight="false" outlineLevel="0" collapsed="false">
      <c r="AH223" s="211" t="n">
        <v>-81.71167</v>
      </c>
      <c r="AI223" s="211" t="n">
        <v>36.34473</v>
      </c>
    </row>
    <row r="224" customFormat="false" ht="15" hidden="false" customHeight="false" outlineLevel="0" collapsed="false">
      <c r="AH224" s="211" t="n">
        <v>-81.80944</v>
      </c>
      <c r="AI224" s="211" t="n">
        <v>36.36166</v>
      </c>
    </row>
    <row r="225" customFormat="false" ht="15" hidden="false" customHeight="false" outlineLevel="0" collapsed="false">
      <c r="AH225" s="211" t="n">
        <v>-81.90722</v>
      </c>
      <c r="AI225" s="211" t="n">
        <v>36.30806</v>
      </c>
    </row>
    <row r="226" customFormat="false" ht="15" hidden="false" customHeight="false" outlineLevel="0" collapsed="false">
      <c r="AH226" s="211" t="n">
        <v>-82.03194</v>
      </c>
      <c r="AI226" s="211" t="n">
        <v>36.12695</v>
      </c>
    </row>
    <row r="227" customFormat="false" ht="15" hidden="false" customHeight="false" outlineLevel="0" collapsed="false">
      <c r="AH227" s="211" t="n">
        <v>-82.05639</v>
      </c>
      <c r="AI227" s="211" t="n">
        <v>36.12666</v>
      </c>
    </row>
    <row r="228" customFormat="false" ht="15" hidden="false" customHeight="false" outlineLevel="0" collapsed="false">
      <c r="AH228" s="211" t="n">
        <v>-82.07417</v>
      </c>
      <c r="AI228" s="211" t="n">
        <v>36.10306</v>
      </c>
    </row>
    <row r="229" customFormat="false" ht="15" hidden="false" customHeight="false" outlineLevel="0" collapsed="false">
      <c r="AH229" s="211" t="n">
        <v>-82.12417</v>
      </c>
      <c r="AI229" s="211" t="n">
        <v>36.10695</v>
      </c>
    </row>
    <row r="230" customFormat="false" ht="15" hidden="false" customHeight="false" outlineLevel="0" collapsed="false">
      <c r="AH230" s="211" t="n">
        <v>-82.14694</v>
      </c>
      <c r="AI230" s="211" t="n">
        <v>36.14389</v>
      </c>
    </row>
    <row r="231" customFormat="false" ht="15" hidden="false" customHeight="false" outlineLevel="0" collapsed="false">
      <c r="AH231" s="211" t="n">
        <v>-82.20556</v>
      </c>
      <c r="AI231" s="211" t="n">
        <v>36.16111</v>
      </c>
    </row>
    <row r="232" customFormat="false" ht="15" hidden="false" customHeight="false" outlineLevel="0" collapsed="false">
      <c r="AH232" s="211" t="n">
        <v>-82.26</v>
      </c>
      <c r="AI232" s="211" t="n">
        <v>36.13389</v>
      </c>
    </row>
    <row r="233" customFormat="false" ht="15" hidden="false" customHeight="false" outlineLevel="0" collapsed="false">
      <c r="AH233" s="211" t="n">
        <v>-82.29305</v>
      </c>
      <c r="AI233" s="211" t="n">
        <v>36.1375</v>
      </c>
    </row>
    <row r="234" customFormat="false" ht="15" hidden="false" customHeight="false" outlineLevel="0" collapsed="false">
      <c r="AH234" s="211" t="n">
        <v>-82.38223</v>
      </c>
      <c r="AI234" s="211" t="n">
        <v>36.105</v>
      </c>
    </row>
    <row r="235" customFormat="false" ht="15" hidden="false" customHeight="false" outlineLevel="0" collapsed="false">
      <c r="AH235" s="211" t="n">
        <v>-82.48</v>
      </c>
      <c r="AI235" s="211" t="n">
        <v>35.99917</v>
      </c>
    </row>
    <row r="236" customFormat="false" ht="15" hidden="false" customHeight="false" outlineLevel="0" collapsed="false">
      <c r="AH236" s="211" t="n">
        <v>-82.55917</v>
      </c>
      <c r="AI236" s="211" t="n">
        <v>35.96111</v>
      </c>
    </row>
    <row r="237" customFormat="false" ht="15" hidden="false" customHeight="false" outlineLevel="0" collapsed="false">
      <c r="AH237" s="211" t="n">
        <v>-82.59472</v>
      </c>
      <c r="AI237" s="211" t="n">
        <v>35.98028</v>
      </c>
    </row>
    <row r="238" customFormat="false" ht="15" hidden="false" customHeight="false" outlineLevel="0" collapsed="false">
      <c r="AH238" s="211" t="n">
        <v>-82.59</v>
      </c>
      <c r="AI238" s="211" t="n">
        <v>36.03278</v>
      </c>
    </row>
    <row r="239" customFormat="false" ht="15" hidden="false" customHeight="false" outlineLevel="0" collapsed="false">
      <c r="AH239" s="211" t="n">
        <v>-82.63028</v>
      </c>
      <c r="AI239" s="211" t="n">
        <v>36.06306</v>
      </c>
    </row>
    <row r="240" customFormat="false" ht="15" hidden="false" customHeight="false" outlineLevel="0" collapsed="false">
      <c r="AH240" s="211" t="n">
        <v>-82.77084</v>
      </c>
      <c r="AI240" s="211" t="n">
        <v>36</v>
      </c>
    </row>
    <row r="241" customFormat="false" ht="15" hidden="false" customHeight="false" outlineLevel="0" collapsed="false">
      <c r="AH241" s="211" t="n">
        <v>-82.80417</v>
      </c>
      <c r="AI241" s="211" t="n">
        <v>35.93278</v>
      </c>
    </row>
    <row r="242" customFormat="false" ht="15" hidden="false" customHeight="false" outlineLevel="0" collapsed="false">
      <c r="AH242" s="211" t="n">
        <v>-82.86555</v>
      </c>
      <c r="AI242" s="211" t="n">
        <v>35.95639</v>
      </c>
    </row>
    <row r="243" customFormat="false" ht="15" hidden="false" customHeight="false" outlineLevel="0" collapsed="false">
      <c r="AH243" s="211" t="n">
        <v>-82.90417</v>
      </c>
      <c r="AI243" s="211" t="n">
        <v>35.95028</v>
      </c>
    </row>
    <row r="244" customFormat="false" ht="15" hidden="false" customHeight="false" outlineLevel="0" collapsed="false">
      <c r="AH244" s="211" t="n">
        <v>-82.91778</v>
      </c>
      <c r="AI244" s="211" t="n">
        <v>35.92027</v>
      </c>
    </row>
    <row r="245" customFormat="false" ht="15" hidden="false" customHeight="false" outlineLevel="0" collapsed="false">
      <c r="AH245" s="211" t="n">
        <v>-82.90472</v>
      </c>
      <c r="AI245" s="211" t="n">
        <v>35.88389</v>
      </c>
    </row>
    <row r="246" customFormat="false" ht="15" hidden="false" customHeight="false" outlineLevel="0" collapsed="false">
      <c r="AH246" s="211" t="n">
        <v>-82.98722</v>
      </c>
      <c r="AI246" s="211" t="n">
        <v>35.78166</v>
      </c>
    </row>
    <row r="247" customFormat="false" ht="15" hidden="false" customHeight="false" outlineLevel="0" collapsed="false">
      <c r="AH247" s="211" t="n">
        <v>-83.075</v>
      </c>
      <c r="AI247" s="211" t="n">
        <v>35.79167</v>
      </c>
    </row>
    <row r="248" customFormat="false" ht="15" hidden="false" customHeight="false" outlineLevel="0" collapsed="false">
      <c r="AH248" s="211" t="n">
        <v>-83.16278</v>
      </c>
      <c r="AI248" s="211" t="n">
        <v>35.76139</v>
      </c>
    </row>
    <row r="249" customFormat="false" ht="15" hidden="false" customHeight="false" outlineLevel="0" collapsed="false">
      <c r="AH249" s="211" t="n">
        <v>-83.24639</v>
      </c>
      <c r="AI249" s="211" t="n">
        <v>35.71667</v>
      </c>
    </row>
    <row r="250" customFormat="false" ht="15" hidden="false" customHeight="false" outlineLevel="0" collapsed="false">
      <c r="AH250" s="211" t="n">
        <v>-83.29305</v>
      </c>
      <c r="AI250" s="211" t="n">
        <v>35.66583</v>
      </c>
    </row>
    <row r="251" customFormat="false" ht="15" hidden="false" customHeight="false" outlineLevel="0" collapsed="false">
      <c r="AH251" s="211" t="n">
        <v>-83.3375</v>
      </c>
      <c r="AI251" s="211" t="n">
        <v>35.66806</v>
      </c>
    </row>
    <row r="252" customFormat="false" ht="15" hidden="false" customHeight="false" outlineLevel="0" collapsed="false">
      <c r="AH252" s="211" t="n">
        <v>-83.37417</v>
      </c>
      <c r="AI252" s="211" t="n">
        <v>35.63722</v>
      </c>
    </row>
    <row r="253" customFormat="false" ht="15" hidden="false" customHeight="false" outlineLevel="0" collapsed="false">
      <c r="AH253" s="211" t="n">
        <v>-83.44611</v>
      </c>
      <c r="AI253" s="211" t="n">
        <v>35.61222</v>
      </c>
    </row>
    <row r="254" customFormat="false" ht="15" hidden="false" customHeight="false" outlineLevel="0" collapsed="false">
      <c r="AH254" s="211" t="n">
        <v>-83.49223</v>
      </c>
      <c r="AI254" s="211" t="n">
        <v>35.57111</v>
      </c>
    </row>
    <row r="255" customFormat="false" ht="15" hidden="false" customHeight="false" outlineLevel="0" collapsed="false">
      <c r="AH255" s="211" t="n">
        <v>-83.57222</v>
      </c>
      <c r="AI255" s="211" t="n">
        <v>35.55888</v>
      </c>
    </row>
    <row r="256" customFormat="false" ht="15" hidden="false" customHeight="false" outlineLevel="0" collapsed="false">
      <c r="AH256" s="211" t="n">
        <v>-83.60722</v>
      </c>
      <c r="AI256" s="211" t="n">
        <v>35.58112</v>
      </c>
    </row>
    <row r="257" customFormat="false" ht="15" hidden="false" customHeight="false" outlineLevel="0" collapsed="false">
      <c r="AH257" s="211" t="n">
        <v>-83.63722</v>
      </c>
      <c r="AI257" s="211" t="n">
        <v>35.56528</v>
      </c>
    </row>
    <row r="258" customFormat="false" ht="15" hidden="false" customHeight="false" outlineLevel="0" collapsed="false">
      <c r="AH258" s="211" t="n">
        <v>-83.74111</v>
      </c>
      <c r="AI258" s="211" t="n">
        <v>35.56583</v>
      </c>
    </row>
    <row r="259" customFormat="false" ht="15" hidden="false" customHeight="false" outlineLevel="0" collapsed="false">
      <c r="AH259" s="211" t="n">
        <v>-83.88695</v>
      </c>
      <c r="AI259" s="211" t="n">
        <v>35.51556</v>
      </c>
    </row>
    <row r="260" customFormat="false" ht="15" hidden="false" customHeight="false" outlineLevel="0" collapsed="false">
      <c r="AH260" s="211" t="n">
        <v>-83.925</v>
      </c>
      <c r="AI260" s="211" t="n">
        <v>35.46611</v>
      </c>
    </row>
    <row r="261" customFormat="false" ht="15" hidden="false" customHeight="false" outlineLevel="0" collapsed="false">
      <c r="AH261" s="211" t="n">
        <v>-83.97945</v>
      </c>
      <c r="AI261" s="211" t="n">
        <v>35.45222</v>
      </c>
    </row>
    <row r="262" customFormat="false" ht="15" hidden="false" customHeight="false" outlineLevel="0" collapsed="false">
      <c r="AH262" s="211" t="n">
        <v>-84.01195</v>
      </c>
      <c r="AI262" s="211" t="n">
        <v>35.425</v>
      </c>
    </row>
    <row r="263" customFormat="false" ht="15" hidden="false" customHeight="false" outlineLevel="0" collapsed="false">
      <c r="AH263" s="211" t="n">
        <v>-84.05083</v>
      </c>
      <c r="AI263" s="211" t="n">
        <v>35.28583</v>
      </c>
    </row>
    <row r="264" customFormat="false" ht="15" hidden="false" customHeight="false" outlineLevel="0" collapsed="false">
      <c r="AH264" s="211" t="n">
        <v>-84.07917</v>
      </c>
      <c r="AI264" s="211" t="n">
        <v>35.265</v>
      </c>
    </row>
    <row r="265" customFormat="false" ht="15" hidden="false" customHeight="false" outlineLevel="0" collapsed="false">
      <c r="AH265" s="211" t="n">
        <v>-84.19305</v>
      </c>
      <c r="AI265" s="211" t="n">
        <v>35.25195</v>
      </c>
    </row>
    <row r="266" customFormat="false" ht="15" hidden="false" customHeight="false" outlineLevel="0" collapsed="false">
      <c r="AH266" s="211" t="n">
        <v>-84.23833</v>
      </c>
      <c r="AI266" s="211" t="n">
        <v>35.27</v>
      </c>
    </row>
    <row r="267" customFormat="false" ht="15" hidden="false" customHeight="false" outlineLevel="0" collapsed="false">
      <c r="AH267" s="211" t="n">
        <v>-84.29111</v>
      </c>
      <c r="AI267" s="211" t="n">
        <v>35.23</v>
      </c>
    </row>
    <row r="268" customFormat="false" ht="15" hidden="false" customHeight="false" outlineLevel="0" collapsed="false">
      <c r="AH268" s="211" t="n">
        <v>-84.32417</v>
      </c>
      <c r="AI268" s="211" t="n">
        <v>34.98611</v>
      </c>
    </row>
    <row r="270" customFormat="false" ht="15" hidden="false" customHeight="false" outlineLevel="0" collapsed="false">
      <c r="AH270" s="211" t="n">
        <v>-86.83361</v>
      </c>
      <c r="AI270" s="211" t="n">
        <v>34.99944</v>
      </c>
    </row>
    <row r="271" customFormat="false" ht="15" hidden="false" customHeight="false" outlineLevel="0" collapsed="false">
      <c r="AH271" s="211" t="n">
        <v>-84.58417</v>
      </c>
      <c r="AI271" s="211" t="n">
        <v>35</v>
      </c>
    </row>
    <row r="273" customFormat="false" ht="15" hidden="false" customHeight="false" outlineLevel="0" collapsed="false">
      <c r="AH273" s="211" t="n">
        <v>-90.30083</v>
      </c>
      <c r="AI273" s="211" t="n">
        <v>35.00166</v>
      </c>
    </row>
    <row r="274" customFormat="false" ht="15" hidden="false" customHeight="false" outlineLevel="0" collapsed="false">
      <c r="AH274" s="211" t="n">
        <v>-88.19083</v>
      </c>
      <c r="AI274" s="211" t="n">
        <v>35.0025</v>
      </c>
    </row>
    <row r="276" customFormat="false" ht="15" hidden="false" customHeight="false" outlineLevel="0" collapsed="false">
      <c r="AH276" s="211" t="n">
        <v>-83.09778</v>
      </c>
      <c r="AI276" s="211" t="n">
        <v>35.00027</v>
      </c>
    </row>
    <row r="277" customFormat="false" ht="15" hidden="false" customHeight="false" outlineLevel="0" collapsed="false">
      <c r="AH277" s="211" t="n">
        <v>-82.7775</v>
      </c>
      <c r="AI277" s="211" t="n">
        <v>35.09138</v>
      </c>
    </row>
    <row r="278" customFormat="false" ht="15" hidden="false" customHeight="false" outlineLevel="0" collapsed="false">
      <c r="AH278" s="211" t="n">
        <v>-82.75444</v>
      </c>
      <c r="AI278" s="211" t="n">
        <v>35.07028</v>
      </c>
    </row>
    <row r="279" customFormat="false" ht="15" hidden="false" customHeight="false" outlineLevel="0" collapsed="false">
      <c r="AH279" s="211" t="n">
        <v>-82.69667</v>
      </c>
      <c r="AI279" s="211" t="n">
        <v>35.0975</v>
      </c>
    </row>
    <row r="280" customFormat="false" ht="15" hidden="false" customHeight="false" outlineLevel="0" collapsed="false">
      <c r="AH280" s="211" t="n">
        <v>-82.67722</v>
      </c>
      <c r="AI280" s="211" t="n">
        <v>35.13083</v>
      </c>
    </row>
    <row r="281" customFormat="false" ht="15" hidden="false" customHeight="false" outlineLevel="0" collapsed="false">
      <c r="AH281" s="211" t="n">
        <v>-82.65222</v>
      </c>
      <c r="AI281" s="211" t="n">
        <v>35.125</v>
      </c>
    </row>
    <row r="282" customFormat="false" ht="15" hidden="false" customHeight="false" outlineLevel="0" collapsed="false">
      <c r="AH282" s="211" t="n">
        <v>-82.48389</v>
      </c>
      <c r="AI282" s="211" t="n">
        <v>35.17667</v>
      </c>
    </row>
    <row r="283" customFormat="false" ht="15" hidden="false" customHeight="false" outlineLevel="0" collapsed="false">
      <c r="AH283" s="211" t="n">
        <v>-82.43555</v>
      </c>
      <c r="AI283" s="211" t="n">
        <v>35.17472</v>
      </c>
    </row>
    <row r="284" customFormat="false" ht="15" hidden="false" customHeight="false" outlineLevel="0" collapsed="false">
      <c r="AH284" s="211" t="n">
        <v>-82.39139</v>
      </c>
      <c r="AI284" s="211" t="n">
        <v>35.22083</v>
      </c>
    </row>
    <row r="285" customFormat="false" ht="15" hidden="false" customHeight="false" outlineLevel="0" collapsed="false">
      <c r="AH285" s="211" t="n">
        <v>-82.36806</v>
      </c>
      <c r="AI285" s="211" t="n">
        <v>35.20056</v>
      </c>
    </row>
    <row r="286" customFormat="false" ht="15" hidden="false" customHeight="false" outlineLevel="0" collapsed="false">
      <c r="AH286" s="211" t="n">
        <v>-82.325</v>
      </c>
      <c r="AI286" s="211" t="n">
        <v>35.19611</v>
      </c>
    </row>
    <row r="287" customFormat="false" ht="15" hidden="false" customHeight="false" outlineLevel="0" collapsed="false">
      <c r="AH287" s="211" t="n">
        <v>-82.29056</v>
      </c>
      <c r="AI287" s="211" t="n">
        <v>35.20694</v>
      </c>
    </row>
    <row r="288" customFormat="false" ht="15" hidden="false" customHeight="false" outlineLevel="0" collapsed="false">
      <c r="AH288" s="211" t="n">
        <v>-81.61104</v>
      </c>
      <c r="AI288" s="211" t="n">
        <v>35.18138</v>
      </c>
    </row>
    <row r="290" customFormat="false" ht="15" hidden="false" customHeight="false" outlineLevel="0" collapsed="false">
      <c r="AH290" s="211" t="n">
        <v>-84.57972</v>
      </c>
      <c r="AI290" s="211" t="n">
        <v>34.99722</v>
      </c>
    </row>
    <row r="291" customFormat="false" ht="15" hidden="false" customHeight="false" outlineLevel="0" collapsed="false">
      <c r="AH291" s="211" t="n">
        <v>-84.315</v>
      </c>
      <c r="AI291" s="211" t="n">
        <v>34.98611</v>
      </c>
    </row>
    <row r="292" customFormat="false" ht="15" hidden="false" customHeight="false" outlineLevel="0" collapsed="false">
      <c r="AH292" s="211" t="n">
        <v>-83.09639</v>
      </c>
      <c r="AI292" s="211" t="n">
        <v>35</v>
      </c>
    </row>
    <row r="294" customFormat="false" ht="15" hidden="false" customHeight="false" outlineLevel="0" collapsed="false">
      <c r="AH294" s="211" t="n">
        <v>-86.8325</v>
      </c>
      <c r="AI294" s="211" t="n">
        <v>35.00222</v>
      </c>
    </row>
    <row r="295" customFormat="false" ht="15" hidden="false" customHeight="false" outlineLevel="0" collapsed="false">
      <c r="AH295" s="211" t="n">
        <v>-88.19639</v>
      </c>
      <c r="AI295" s="211" t="n">
        <v>35.02361</v>
      </c>
    </row>
    <row r="297" customFormat="false" ht="15" hidden="false" customHeight="false" outlineLevel="0" collapsed="false">
      <c r="AH297" s="211" t="n">
        <v>-90.3775</v>
      </c>
      <c r="AI297" s="211" t="n">
        <v>36.49976</v>
      </c>
    </row>
    <row r="298" customFormat="false" ht="15" hidden="false" customHeight="false" outlineLevel="0" collapsed="false">
      <c r="AH298" s="211" t="n">
        <v>-90.16222</v>
      </c>
      <c r="AI298" s="211" t="n">
        <v>36.49973</v>
      </c>
    </row>
    <row r="299" customFormat="false" ht="15" hidden="false" customHeight="false" outlineLevel="0" collapsed="false">
      <c r="AH299" s="211" t="n">
        <v>-90.12695</v>
      </c>
      <c r="AI299" s="211" t="n">
        <v>36.45361</v>
      </c>
    </row>
    <row r="300" customFormat="false" ht="15" hidden="false" customHeight="false" outlineLevel="0" collapsed="false">
      <c r="AH300" s="211" t="n">
        <v>-90.12028</v>
      </c>
      <c r="AI300" s="211" t="n">
        <v>36.41361</v>
      </c>
    </row>
    <row r="301" customFormat="false" ht="15" hidden="false" customHeight="false" outlineLevel="0" collapsed="false">
      <c r="AH301" s="211" t="n">
        <v>-90.06416</v>
      </c>
      <c r="AI301" s="211" t="n">
        <v>36.37473</v>
      </c>
    </row>
    <row r="302" customFormat="false" ht="15" hidden="false" customHeight="false" outlineLevel="0" collapsed="false">
      <c r="AH302" s="211" t="n">
        <v>-90.06944</v>
      </c>
      <c r="AI302" s="211" t="n">
        <v>36.28194</v>
      </c>
    </row>
    <row r="303" customFormat="false" ht="15" hidden="false" customHeight="false" outlineLevel="0" collapsed="false">
      <c r="AH303" s="211" t="n">
        <v>-90.12139</v>
      </c>
      <c r="AI303" s="211" t="n">
        <v>36.25694</v>
      </c>
    </row>
    <row r="304" customFormat="false" ht="15" hidden="false" customHeight="false" outlineLevel="0" collapsed="false">
      <c r="AH304" s="211" t="n">
        <v>-90.13805</v>
      </c>
      <c r="AI304" s="211" t="n">
        <v>36.21389</v>
      </c>
    </row>
    <row r="305" customFormat="false" ht="15" hidden="false" customHeight="false" outlineLevel="0" collapsed="false">
      <c r="AH305" s="211" t="n">
        <v>-90.22583</v>
      </c>
      <c r="AI305" s="211" t="n">
        <v>36.17944</v>
      </c>
    </row>
    <row r="306" customFormat="false" ht="15" hidden="false" customHeight="false" outlineLevel="0" collapsed="false">
      <c r="AH306" s="211" t="n">
        <v>-90.24834</v>
      </c>
      <c r="AI306" s="211" t="n">
        <v>36.13194</v>
      </c>
    </row>
    <row r="307" customFormat="false" ht="15" hidden="false" customHeight="false" outlineLevel="0" collapsed="false">
      <c r="AH307" s="211" t="n">
        <v>-90.29861</v>
      </c>
      <c r="AI307" s="211" t="n">
        <v>36.11361</v>
      </c>
    </row>
    <row r="308" customFormat="false" ht="15" hidden="false" customHeight="false" outlineLevel="0" collapsed="false">
      <c r="AH308" s="211" t="n">
        <v>-90.38277</v>
      </c>
      <c r="AI308" s="211" t="n">
        <v>35.98556</v>
      </c>
    </row>
    <row r="309" customFormat="false" ht="15" hidden="false" customHeight="false" outlineLevel="0" collapsed="false">
      <c r="AH309" s="211" t="n">
        <v>-89.72916</v>
      </c>
      <c r="AI309" s="211" t="n">
        <v>36</v>
      </c>
    </row>
    <row r="311" customFormat="false" ht="15" hidden="false" customHeight="false" outlineLevel="0" collapsed="false">
      <c r="AH311" s="211" t="n">
        <v>-83.35639</v>
      </c>
      <c r="AI311" s="211" t="n">
        <v>36.70639</v>
      </c>
    </row>
    <row r="312" customFormat="false" ht="15" hidden="false" customHeight="false" outlineLevel="0" collapsed="false">
      <c r="AH312" s="211" t="n">
        <v>-83.41222</v>
      </c>
      <c r="AI312" s="211" t="n">
        <v>36.67416</v>
      </c>
    </row>
    <row r="313" customFormat="false" ht="15" hidden="false" customHeight="false" outlineLevel="0" collapsed="false">
      <c r="AH313" s="211" t="n">
        <v>-83.50889</v>
      </c>
      <c r="AI313" s="211" t="n">
        <v>36.66888</v>
      </c>
    </row>
    <row r="314" customFormat="false" ht="15" hidden="false" customHeight="false" outlineLevel="0" collapsed="false">
      <c r="AH314" s="211" t="n">
        <v>-83.6175</v>
      </c>
      <c r="AI314" s="211" t="n">
        <v>36.64056</v>
      </c>
    </row>
    <row r="315" customFormat="false" ht="15" hidden="false" customHeight="false" outlineLevel="0" collapsed="false">
      <c r="AH315" s="211" t="n">
        <v>-83.67278</v>
      </c>
      <c r="AI315" s="211" t="n">
        <v>36.6025</v>
      </c>
    </row>
    <row r="317" customFormat="false" ht="15" hidden="false" customHeight="false" outlineLevel="0" collapsed="false">
      <c r="AH317" s="211" t="n">
        <v>-85.61707</v>
      </c>
      <c r="AI317" s="211" t="n">
        <v>34.97196</v>
      </c>
    </row>
    <row r="318" customFormat="false" ht="15" hidden="false" customHeight="false" outlineLevel="0" collapsed="false">
      <c r="AH318" s="211" t="n">
        <v>-85.62334</v>
      </c>
      <c r="AI318" s="211" t="n">
        <v>34.99917</v>
      </c>
    </row>
    <row r="320" customFormat="false" ht="15" hidden="false" customHeight="false" outlineLevel="0" collapsed="false">
      <c r="AH320" s="211" t="n">
        <v>-89.56389</v>
      </c>
      <c r="AI320" s="211" t="n">
        <v>36.50083</v>
      </c>
    </row>
    <row r="321" customFormat="false" ht="15" hidden="false" customHeight="false" outlineLevel="0" collapsed="false">
      <c r="AH321" s="211" t="n">
        <v>-89.49223</v>
      </c>
      <c r="AI321" s="211" t="n">
        <v>36.50139</v>
      </c>
    </row>
  </sheetData>
  <mergeCells count="41">
    <mergeCell ref="G3:J3"/>
    <mergeCell ref="K3:N3"/>
    <mergeCell ref="O3:R3"/>
    <mergeCell ref="G4:J4"/>
    <mergeCell ref="K4:N4"/>
    <mergeCell ref="O4:R4"/>
    <mergeCell ref="G5:J5"/>
    <mergeCell ref="K5:N5"/>
    <mergeCell ref="O5:R5"/>
    <mergeCell ref="G7:J7"/>
    <mergeCell ref="K7:N7"/>
    <mergeCell ref="O7:R7"/>
    <mergeCell ref="G8:J8"/>
    <mergeCell ref="K8:N8"/>
    <mergeCell ref="O8:R8"/>
    <mergeCell ref="G9:J9"/>
    <mergeCell ref="K9:N9"/>
    <mergeCell ref="O9:R9"/>
    <mergeCell ref="G10:R10"/>
    <mergeCell ref="G98:R98"/>
    <mergeCell ref="G99:L99"/>
    <mergeCell ref="M99:R99"/>
    <mergeCell ref="M100:N100"/>
    <mergeCell ref="O100:R100"/>
    <mergeCell ref="M101:N101"/>
    <mergeCell ref="O101:R101"/>
    <mergeCell ref="M102:N102"/>
    <mergeCell ref="O102:R102"/>
    <mergeCell ref="M103:N103"/>
    <mergeCell ref="O103:R103"/>
    <mergeCell ref="M104:N104"/>
    <mergeCell ref="O104:R104"/>
    <mergeCell ref="M105:N105"/>
    <mergeCell ref="O105:R105"/>
    <mergeCell ref="M106:N106"/>
    <mergeCell ref="O106:R106"/>
    <mergeCell ref="M107:N107"/>
    <mergeCell ref="P107:R107"/>
    <mergeCell ref="G114:R114"/>
    <mergeCell ref="G115:R115"/>
    <mergeCell ref="G116:R116"/>
  </mergeCells>
  <conditionalFormatting sqref="O12:O15">
    <cfRule type="dataBar" priority="2">
      <dataBar showValue="1" minLength="10" maxLength="90">
        <cfvo type="num" val="0"/>
        <cfvo type="max" val="0"/>
        <color rgb="FFBBD4EE"/>
      </dataBar>
      <extLst>
        <ext xmlns:x14="http://schemas.microsoft.com/office/spreadsheetml/2009/9/main" uri="{B025F937-C7B1-47D3-B67F-A62EFF666E3E}">
          <x14:id>{BFA06CB3-E4DA-4749-B9CB-39FB4D3326C4}</x14:id>
        </ext>
      </extLst>
    </cfRule>
  </conditionalFormatting>
  <conditionalFormatting sqref="J3:M5">
    <cfRule type="expression" priority="3" aboveAverage="0" equalAverage="0" bottom="0" percent="0" rank="0" text="" dxfId="12">
      <formula>AND(COUNT($O$12:$O$15)&gt;1,(SMALL($O$12:$O$15,2)-MIN($O$12:$O$15))/MIN($O$12:$O$15)&lt;0.05)</formula>
    </cfRule>
  </conditionalFormatting>
  <conditionalFormatting sqref="N8">
    <cfRule type="expression" priority="4" aboveAverage="0" equalAverage="0" bottom="0" percent="0" rank="0" text="" dxfId="13">
      <formula>AND(COUNT($O$12:$O$15)&gt;1,COUNTIF($AB$12:$AB$36,INDEX($H$12:$H$15,MATCH(MIN($O$12:$O$15),$O$12:$O$15,0)))=25)</formula>
    </cfRule>
    <cfRule type="expression" priority="5" aboveAverage="0" equalAverage="0" bottom="0" percent="0" rank="0" text="" dxfId="12">
      <formula>AND(COUNT($O$12:$O$15)&gt;1,NOT(COUNTIF($AB$12:$AB$36,INDEX($H$12:$H$15,MATCH(MIN($O$12:$O$15),$O$12:$O$15,0)))=25))</formula>
    </cfRule>
  </conditionalFormatting>
  <conditionalFormatting sqref="G12:R15">
    <cfRule type="expression" priority="6" aboveAverage="0" equalAverage="0" bottom="0" percent="0" rank="0" text="" dxfId="14">
      <formula>AND($G12&lt;&gt;"",COUNT($O$12:$O$15)&gt;0,$O12=MIN($O$12:$O$15))</formula>
    </cfRule>
  </conditionalFormatting>
  <conditionalFormatting sqref="G22:P25">
    <cfRule type="expression" priority="7" aboveAverage="0" equalAverage="0" bottom="0" percent="0" rank="0" text="" dxfId="14">
      <formula>AND($G22&lt;&gt;"",COUNT($L$22:$L$25)&gt;0,$L22=MIN($L$22:$L$25))</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extLst>
    <ext xmlns:x14="http://schemas.microsoft.com/office/spreadsheetml/2009/9/main" uri="{78C0D931-6437-407d-A8EE-F0AAD7539E65}">
      <x14:conditionalFormattings>
        <x14:conditionalFormatting xmlns:xm="http://schemas.microsoft.com/office/excel/2006/main">
          <x14:cfRule type="dataBar" id="{BFA06CB3-E4DA-4749-B9CB-39FB4D3326C4}">
            <x14:dataBar minLength="10" maxLength="90" axisPosition="none" gradient="true">
              <x14:cfvo type="num">
                <xm:f>0</xm:f>
              </x14:cfvo>
              <x14:cfvo type="max"/>
              <x14:negativeFillColor rgb="FFBBD4EE"/>
              <x14:axisColor rgb="FF000000"/>
            </x14:dataBar>
          </x14:cfRule>
          <xm:sqref>O12:O15</xm:sqref>
        </x14:conditionalFormatting>
      </x14:conditionalFormattings>
    </ext>
  </extLst>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true"/>
  </sheetPr>
  <dimension ref="A1:G1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71484375" defaultRowHeight="15" zeroHeight="false" outlineLevelRow="0" outlineLevelCol="0"/>
  <cols>
    <col collapsed="false" customWidth="true" hidden="false" outlineLevel="0" max="1" min="1" style="0" width="38"/>
    <col collapsed="false" customWidth="true" hidden="false" outlineLevel="0" max="2" min="2" style="0" width="20"/>
    <col collapsed="false" customWidth="true" hidden="false" outlineLevel="0" max="3" min="3" style="0" width="16"/>
    <col collapsed="false" customWidth="true" hidden="false" outlineLevel="0" max="4" min="4" style="0" width="26"/>
    <col collapsed="false" customWidth="true" hidden="false" outlineLevel="0" max="5" min="5" style="0" width="10"/>
    <col collapsed="false" customWidth="true" hidden="false" outlineLevel="0" max="6" min="6" style="0" width="32"/>
    <col collapsed="false" customWidth="true" hidden="false" outlineLevel="0" max="7" min="7" style="0" width="34"/>
  </cols>
  <sheetData>
    <row r="1" customFormat="false" ht="39.75" hidden="false" customHeight="true" outlineLevel="0" collapsed="false">
      <c r="A1" s="3" t="str">
        <f aca="false">HYPERLINK("#'General Information'!D9","◄ General Information")</f>
        <v>◄ General Information</v>
      </c>
      <c r="B1" s="4" t="str">
        <f aca="false">HYPERLINK("#Summary!G1","Summary")</f>
        <v>Summary</v>
      </c>
      <c r="C1" s="42" t="s">
        <v>851</v>
      </c>
      <c r="D1" s="95" t="s">
        <v>852</v>
      </c>
    </row>
    <row r="2" customFormat="false" ht="31.5" hidden="false" customHeight="true" outlineLevel="0" collapsed="false">
      <c r="A2" s="122" t="s">
        <v>853</v>
      </c>
      <c r="B2" s="122"/>
      <c r="C2" s="122"/>
      <c r="D2" s="122"/>
      <c r="E2" s="122"/>
      <c r="F2" s="122"/>
      <c r="G2" s="122"/>
    </row>
    <row r="3" customFormat="false" ht="6" hidden="false" customHeight="true" outlineLevel="0" collapsed="false"/>
    <row r="4" customFormat="false" ht="25.5" hidden="false" customHeight="true" outlineLevel="0" collapsed="false">
      <c r="A4" s="212" t="s">
        <v>854</v>
      </c>
      <c r="B4" s="212"/>
      <c r="C4" s="212"/>
      <c r="D4" s="212"/>
      <c r="E4" s="212"/>
      <c r="F4" s="212"/>
      <c r="G4" s="212"/>
    </row>
    <row r="6" customFormat="false" ht="21.75" hidden="false" customHeight="true" outlineLevel="0" collapsed="false">
      <c r="A6" s="201" t="s">
        <v>855</v>
      </c>
      <c r="B6" s="213"/>
      <c r="C6" s="213"/>
      <c r="D6" s="213"/>
      <c r="E6" s="213"/>
      <c r="F6" s="213"/>
      <c r="G6" s="213"/>
    </row>
    <row r="7" customFormat="false" ht="24" hidden="false" customHeight="true" outlineLevel="0" collapsed="false">
      <c r="A7" s="214" t="s">
        <v>33</v>
      </c>
      <c r="B7" s="214" t="s">
        <v>856</v>
      </c>
      <c r="C7" s="214" t="s">
        <v>23</v>
      </c>
      <c r="D7" s="214" t="s">
        <v>38</v>
      </c>
      <c r="E7" s="214"/>
      <c r="F7" s="214"/>
      <c r="G7" s="214" t="s">
        <v>857</v>
      </c>
    </row>
    <row r="8" customFormat="false" ht="32.8" hidden="false" customHeight="false" outlineLevel="0" collapsed="false">
      <c r="A8" s="215" t="s">
        <v>858</v>
      </c>
      <c r="B8" s="216" t="n">
        <v>78</v>
      </c>
      <c r="C8" s="215" t="s">
        <v>859</v>
      </c>
      <c r="D8" s="217" t="n">
        <v>2021</v>
      </c>
      <c r="E8" s="215"/>
      <c r="F8" s="215"/>
      <c r="G8" s="218" t="s">
        <v>860</v>
      </c>
    </row>
    <row r="9" customFormat="false" ht="32.8" hidden="false" customHeight="false" outlineLevel="0" collapsed="false">
      <c r="A9" s="215" t="s">
        <v>861</v>
      </c>
      <c r="B9" s="215" t="s">
        <v>862</v>
      </c>
      <c r="C9" s="215" t="s">
        <v>859</v>
      </c>
      <c r="D9" s="217" t="n">
        <v>2021</v>
      </c>
      <c r="E9" s="215"/>
      <c r="F9" s="215"/>
      <c r="G9" s="218" t="s">
        <v>860</v>
      </c>
    </row>
    <row r="10" customFormat="false" ht="32.8" hidden="false" customHeight="false" outlineLevel="0" collapsed="false">
      <c r="A10" s="215" t="s">
        <v>863</v>
      </c>
      <c r="B10" s="216" t="n">
        <v>69</v>
      </c>
      <c r="C10" s="215" t="s">
        <v>859</v>
      </c>
      <c r="D10" s="217" t="n">
        <v>2021</v>
      </c>
      <c r="E10" s="215"/>
      <c r="F10" s="215"/>
      <c r="G10" s="218" t="s">
        <v>864</v>
      </c>
    </row>
    <row r="11" customFormat="false" ht="23.85" hidden="false" customHeight="false" outlineLevel="0" collapsed="false">
      <c r="A11" s="215" t="s">
        <v>865</v>
      </c>
      <c r="B11" s="215" t="s">
        <v>866</v>
      </c>
      <c r="C11" s="215" t="s">
        <v>859</v>
      </c>
      <c r="D11" s="217" t="n">
        <v>2022</v>
      </c>
      <c r="E11" s="215"/>
      <c r="F11" s="215"/>
      <c r="G11" s="218" t="s">
        <v>867</v>
      </c>
    </row>
    <row r="12" customFormat="false" ht="22.35" hidden="false" customHeight="false" outlineLevel="0" collapsed="false">
      <c r="A12" s="215" t="s">
        <v>868</v>
      </c>
      <c r="B12" s="215" t="s">
        <v>869</v>
      </c>
      <c r="C12" s="215" t="s">
        <v>870</v>
      </c>
      <c r="D12" s="217" t="n">
        <v>2021</v>
      </c>
      <c r="E12" s="215"/>
      <c r="F12" s="215"/>
      <c r="G12" s="218" t="s">
        <v>871</v>
      </c>
    </row>
    <row r="13" customFormat="false" ht="23.85" hidden="false" customHeight="false" outlineLevel="0" collapsed="false">
      <c r="A13" s="215" t="s">
        <v>872</v>
      </c>
      <c r="B13" s="216" t="n">
        <v>70865874</v>
      </c>
      <c r="C13" s="215" t="s">
        <v>873</v>
      </c>
      <c r="D13" s="217" t="n">
        <v>2021</v>
      </c>
      <c r="E13" s="215"/>
      <c r="F13" s="215"/>
      <c r="G13" s="218" t="s">
        <v>874</v>
      </c>
    </row>
    <row r="14" customFormat="false" ht="23.85" hidden="false" customHeight="false" outlineLevel="0" collapsed="false">
      <c r="A14" s="215" t="s">
        <v>875</v>
      </c>
      <c r="B14" s="216" t="n">
        <v>173117648</v>
      </c>
      <c r="C14" s="215" t="s">
        <v>873</v>
      </c>
      <c r="D14" s="217" t="n">
        <v>2021</v>
      </c>
      <c r="E14" s="215"/>
      <c r="F14" s="215"/>
      <c r="G14" s="218" t="s">
        <v>874</v>
      </c>
    </row>
    <row r="15" customFormat="false" ht="23.85" hidden="false" customHeight="false" outlineLevel="0" collapsed="false">
      <c r="A15" s="215" t="s">
        <v>876</v>
      </c>
      <c r="B15" s="215" t="s">
        <v>877</v>
      </c>
      <c r="C15" s="215"/>
      <c r="D15" s="217" t="n">
        <v>2023</v>
      </c>
      <c r="E15" s="215"/>
      <c r="F15" s="215"/>
      <c r="G15" s="218" t="s">
        <v>878</v>
      </c>
    </row>
    <row r="16" customFormat="false" ht="23.85" hidden="false" customHeight="false" outlineLevel="0" collapsed="false">
      <c r="A16" s="215" t="s">
        <v>879</v>
      </c>
      <c r="B16" s="215" t="s">
        <v>880</v>
      </c>
      <c r="C16" s="215"/>
      <c r="D16" s="217" t="n">
        <v>2024</v>
      </c>
      <c r="E16" s="215"/>
      <c r="F16" s="215"/>
      <c r="G16" s="218" t="s">
        <v>881</v>
      </c>
    </row>
    <row r="17" customFormat="false" ht="32.8" hidden="false" customHeight="false" outlineLevel="0" collapsed="false">
      <c r="A17" s="215" t="s">
        <v>882</v>
      </c>
      <c r="B17" s="215" t="s">
        <v>883</v>
      </c>
      <c r="C17" s="215"/>
      <c r="D17" s="217" t="n">
        <v>2022</v>
      </c>
      <c r="E17" s="215"/>
      <c r="F17" s="215"/>
      <c r="G17" s="218" t="s">
        <v>884</v>
      </c>
    </row>
    <row r="18" customFormat="false" ht="32.8" hidden="false" customHeight="false" outlineLevel="0" collapsed="false">
      <c r="A18" s="215" t="s">
        <v>885</v>
      </c>
      <c r="B18" s="215" t="s">
        <v>886</v>
      </c>
      <c r="C18" s="215"/>
      <c r="D18" s="217" t="n">
        <v>2024</v>
      </c>
      <c r="E18" s="215"/>
      <c r="F18" s="215"/>
      <c r="G18" s="218" t="s">
        <v>887</v>
      </c>
    </row>
    <row r="19" customFormat="false" ht="25.5" hidden="false" customHeight="true" outlineLevel="0" collapsed="false">
      <c r="A19" s="212" t="s">
        <v>888</v>
      </c>
      <c r="B19" s="212"/>
      <c r="C19" s="212"/>
      <c r="D19" s="212"/>
      <c r="E19" s="212"/>
      <c r="F19" s="212"/>
      <c r="G19" s="212"/>
    </row>
    <row r="21" customFormat="false" ht="21.75" hidden="false" customHeight="true" outlineLevel="0" collapsed="false">
      <c r="A21" s="201" t="s">
        <v>889</v>
      </c>
      <c r="B21" s="213"/>
      <c r="C21" s="213"/>
      <c r="D21" s="213"/>
      <c r="E21" s="213"/>
      <c r="F21" s="213"/>
      <c r="G21" s="213"/>
    </row>
    <row r="22" customFormat="false" ht="24" hidden="false" customHeight="true" outlineLevel="0" collapsed="false">
      <c r="A22" s="214" t="s">
        <v>826</v>
      </c>
      <c r="B22" s="214" t="s">
        <v>136</v>
      </c>
      <c r="C22" s="214" t="s">
        <v>890</v>
      </c>
      <c r="D22" s="214" t="s">
        <v>891</v>
      </c>
      <c r="E22" s="214" t="s">
        <v>892</v>
      </c>
      <c r="F22" s="214" t="s">
        <v>893</v>
      </c>
      <c r="G22" s="214" t="s">
        <v>857</v>
      </c>
    </row>
    <row r="23" customFormat="false" ht="22.35" hidden="false" customHeight="false" outlineLevel="0" collapsed="false">
      <c r="A23" s="215" t="s">
        <v>894</v>
      </c>
      <c r="B23" s="215" t="s">
        <v>895</v>
      </c>
      <c r="C23" s="215" t="s">
        <v>896</v>
      </c>
      <c r="D23" s="216" t="n">
        <v>52811</v>
      </c>
      <c r="E23" s="215" t="s">
        <v>897</v>
      </c>
      <c r="F23" s="215" t="s">
        <v>898</v>
      </c>
      <c r="G23" s="218" t="s">
        <v>899</v>
      </c>
    </row>
    <row r="24" customFormat="false" ht="22.35" hidden="false" customHeight="false" outlineLevel="0" collapsed="false">
      <c r="A24" s="215" t="s">
        <v>900</v>
      </c>
      <c r="B24" s="215" t="s">
        <v>895</v>
      </c>
      <c r="C24" s="215" t="s">
        <v>901</v>
      </c>
      <c r="D24" s="216" t="n">
        <v>61144</v>
      </c>
      <c r="E24" s="215" t="s">
        <v>897</v>
      </c>
      <c r="F24" s="215"/>
      <c r="G24" s="218" t="s">
        <v>902</v>
      </c>
    </row>
    <row r="25" customFormat="false" ht="22.35" hidden="false" customHeight="false" outlineLevel="0" collapsed="false">
      <c r="A25" s="215" t="s">
        <v>903</v>
      </c>
      <c r="B25" s="215" t="s">
        <v>904</v>
      </c>
      <c r="C25" s="215" t="s">
        <v>905</v>
      </c>
      <c r="D25" s="216" t="n">
        <v>45883</v>
      </c>
      <c r="E25" s="215" t="s">
        <v>906</v>
      </c>
      <c r="F25" s="215" t="s">
        <v>907</v>
      </c>
      <c r="G25" s="218" t="s">
        <v>908</v>
      </c>
    </row>
    <row r="26" customFormat="false" ht="22.35" hidden="false" customHeight="false" outlineLevel="0" collapsed="false">
      <c r="A26" s="215" t="s">
        <v>909</v>
      </c>
      <c r="B26" s="215" t="s">
        <v>910</v>
      </c>
      <c r="C26" s="215" t="s">
        <v>911</v>
      </c>
      <c r="D26" s="216" t="n">
        <v>66656</v>
      </c>
      <c r="E26" s="215" t="s">
        <v>897</v>
      </c>
      <c r="F26" s="215" t="s">
        <v>912</v>
      </c>
      <c r="G26" s="218" t="s">
        <v>913</v>
      </c>
    </row>
    <row r="27" customFormat="false" ht="32.8" hidden="false" customHeight="false" outlineLevel="0" collapsed="false">
      <c r="A27" s="215" t="s">
        <v>914</v>
      </c>
      <c r="B27" s="215" t="s">
        <v>915</v>
      </c>
      <c r="C27" s="215" t="s">
        <v>916</v>
      </c>
      <c r="D27" s="216" t="n">
        <v>100083</v>
      </c>
      <c r="E27" s="215" t="s">
        <v>917</v>
      </c>
      <c r="F27" s="215" t="s">
        <v>918</v>
      </c>
      <c r="G27" s="218" t="s">
        <v>919</v>
      </c>
    </row>
    <row r="28" customFormat="false" ht="22.35" hidden="false" customHeight="false" outlineLevel="0" collapsed="false">
      <c r="A28" s="215" t="s">
        <v>920</v>
      </c>
      <c r="B28" s="215" t="s">
        <v>921</v>
      </c>
      <c r="C28" s="215" t="s">
        <v>922</v>
      </c>
      <c r="D28" s="216" t="n">
        <v>61622</v>
      </c>
      <c r="E28" s="215" t="s">
        <v>897</v>
      </c>
      <c r="F28" s="215" t="s">
        <v>923</v>
      </c>
      <c r="G28" s="218" t="s">
        <v>924</v>
      </c>
    </row>
    <row r="29" customFormat="false" ht="22.35" hidden="false" customHeight="false" outlineLevel="0" collapsed="false">
      <c r="A29" s="215" t="s">
        <v>920</v>
      </c>
      <c r="B29" s="215" t="s">
        <v>925</v>
      </c>
      <c r="C29" s="215" t="s">
        <v>926</v>
      </c>
      <c r="D29" s="216" t="n">
        <v>133967</v>
      </c>
      <c r="E29" s="215" t="s">
        <v>897</v>
      </c>
      <c r="F29" s="215" t="s">
        <v>927</v>
      </c>
      <c r="G29" s="218" t="s">
        <v>928</v>
      </c>
    </row>
    <row r="30" customFormat="false" ht="32.8" hidden="false" customHeight="false" outlineLevel="0" collapsed="false">
      <c r="A30" s="215" t="s">
        <v>929</v>
      </c>
      <c r="B30" s="215"/>
      <c r="C30" s="215" t="s">
        <v>930</v>
      </c>
      <c r="D30" s="215" t="s">
        <v>931</v>
      </c>
      <c r="E30" s="215"/>
      <c r="F30" s="215" t="s">
        <v>932</v>
      </c>
      <c r="G30" s="218" t="s">
        <v>864</v>
      </c>
    </row>
    <row r="31" customFormat="false" ht="57.45" hidden="false" customHeight="false" outlineLevel="0" collapsed="false">
      <c r="A31" s="215" t="s">
        <v>933</v>
      </c>
      <c r="B31" s="215"/>
      <c r="C31" s="215"/>
      <c r="D31" s="215"/>
      <c r="E31" s="215"/>
      <c r="F31" s="215" t="s">
        <v>934</v>
      </c>
      <c r="G31" s="215" t="s">
        <v>935</v>
      </c>
    </row>
    <row r="32" customFormat="false" ht="25.5" hidden="false" customHeight="true" outlineLevel="0" collapsed="false">
      <c r="A32" s="212" t="s">
        <v>936</v>
      </c>
      <c r="B32" s="212"/>
      <c r="C32" s="212"/>
      <c r="D32" s="212"/>
      <c r="E32" s="212"/>
      <c r="F32" s="212"/>
      <c r="G32" s="212"/>
    </row>
    <row r="34" customFormat="false" ht="21.75" hidden="false" customHeight="true" outlineLevel="0" collapsed="false">
      <c r="A34" s="201" t="s">
        <v>937</v>
      </c>
      <c r="B34" s="213"/>
      <c r="C34" s="213"/>
      <c r="D34" s="213"/>
      <c r="E34" s="213"/>
      <c r="F34" s="213"/>
      <c r="G34" s="213"/>
    </row>
    <row r="35" customFormat="false" ht="24" hidden="false" customHeight="true" outlineLevel="0" collapsed="false">
      <c r="A35" s="214" t="s">
        <v>938</v>
      </c>
      <c r="B35" s="214" t="s">
        <v>939</v>
      </c>
      <c r="C35" s="214" t="s">
        <v>23</v>
      </c>
      <c r="D35" s="214" t="s">
        <v>940</v>
      </c>
      <c r="E35" s="214" t="s">
        <v>38</v>
      </c>
      <c r="F35" s="214" t="s">
        <v>941</v>
      </c>
      <c r="G35" s="214" t="s">
        <v>857</v>
      </c>
    </row>
    <row r="36" customFormat="false" ht="35.05" hidden="false" customHeight="false" outlineLevel="0" collapsed="false">
      <c r="A36" s="215" t="s">
        <v>942</v>
      </c>
      <c r="B36" s="219" t="n">
        <f aca="false">IFERROR(VLOOKUP("Asphalt Surface Course",Pay_Items!$D:$F,3,0),"")</f>
        <v>130</v>
      </c>
      <c r="C36" s="215" t="s">
        <v>943</v>
      </c>
      <c r="D36" s="215" t="s">
        <v>944</v>
      </c>
      <c r="E36" s="216" t="n">
        <v>2025</v>
      </c>
      <c r="F36" s="215" t="s">
        <v>945</v>
      </c>
      <c r="G36" s="218" t="s">
        <v>946</v>
      </c>
    </row>
    <row r="37" customFormat="false" ht="22.35" hidden="false" customHeight="false" outlineLevel="0" collapsed="false">
      <c r="A37" s="215" t="s">
        <v>947</v>
      </c>
      <c r="B37" s="219" t="n">
        <f aca="false">IFERROR(VLOOKUP("Asphalt Base Course",Pay_Items!$D:$F,3,0),"")</f>
        <v>120</v>
      </c>
      <c r="C37" s="215" t="s">
        <v>943</v>
      </c>
      <c r="D37" s="215" t="s">
        <v>948</v>
      </c>
      <c r="E37" s="215"/>
      <c r="F37" s="215"/>
      <c r="G37" s="218" t="s">
        <v>949</v>
      </c>
    </row>
    <row r="38" customFormat="false" ht="23.85" hidden="false" customHeight="false" outlineLevel="0" collapsed="false">
      <c r="A38" s="215" t="s">
        <v>950</v>
      </c>
      <c r="B38" s="219" t="n">
        <f aca="false">IFERROR(VLOOKUP("Concrete Pavement, 9-inch",Pay_Items!$D:$F,3,0),"")</f>
        <v>85</v>
      </c>
      <c r="C38" s="215" t="s">
        <v>951</v>
      </c>
      <c r="D38" s="215" t="s">
        <v>952</v>
      </c>
      <c r="E38" s="216" t="n">
        <v>2023</v>
      </c>
      <c r="F38" s="215" t="s">
        <v>953</v>
      </c>
      <c r="G38" s="218" t="s">
        <v>954</v>
      </c>
    </row>
    <row r="39" customFormat="false" ht="23.85" hidden="false" customHeight="false" outlineLevel="0" collapsed="false">
      <c r="A39" s="215" t="s">
        <v>955</v>
      </c>
      <c r="B39" s="219" t="n">
        <f aca="false">IFERROR(VLOOKUP("Crushed Aggregate Base Course",Pay_Items!$D:$F,3,0),"")</f>
        <v>65</v>
      </c>
      <c r="C39" s="215" t="s">
        <v>956</v>
      </c>
      <c r="D39" s="215" t="s">
        <v>957</v>
      </c>
      <c r="E39" s="215"/>
      <c r="F39" s="215"/>
      <c r="G39" s="218" t="s">
        <v>949</v>
      </c>
    </row>
    <row r="40" customFormat="false" ht="23.85" hidden="false" customHeight="false" outlineLevel="0" collapsed="false">
      <c r="A40" s="215" t="s">
        <v>958</v>
      </c>
      <c r="B40" s="219" t="n">
        <f aca="false">IFERROR(VLOOKUP("Subbase Course",Pay_Items!$D:$F,3,0),"")</f>
        <v>55</v>
      </c>
      <c r="C40" s="215" t="s">
        <v>956</v>
      </c>
      <c r="D40" s="215" t="s">
        <v>957</v>
      </c>
      <c r="E40" s="215"/>
      <c r="F40" s="215"/>
      <c r="G40" s="218" t="s">
        <v>949</v>
      </c>
    </row>
    <row r="41" customFormat="false" ht="23.85" hidden="false" customHeight="false" outlineLevel="0" collapsed="false">
      <c r="A41" s="215" t="s">
        <v>959</v>
      </c>
      <c r="B41" s="219" t="n">
        <f aca="false">IFERROR(VLOOKUP("Cold Milling",Pay_Items!$D:$F,3,0),"")</f>
        <v>5</v>
      </c>
      <c r="C41" s="215" t="s">
        <v>951</v>
      </c>
      <c r="D41" s="215" t="s">
        <v>960</v>
      </c>
      <c r="E41" s="216" t="n">
        <v>2025</v>
      </c>
      <c r="F41" s="215"/>
      <c r="G41" s="218" t="s">
        <v>946</v>
      </c>
    </row>
    <row r="42" customFormat="false" ht="23.85" hidden="false" customHeight="false" outlineLevel="0" collapsed="false">
      <c r="A42" s="215" t="s">
        <v>961</v>
      </c>
      <c r="B42" s="219" t="n">
        <f aca="false">IFERROR(VLOOKUP("Emulsified Asphalt Surface Treatment",Pay_Items!$D:$F,3,0),"")</f>
        <v>4</v>
      </c>
      <c r="C42" s="215" t="s">
        <v>951</v>
      </c>
      <c r="D42" s="215" t="s">
        <v>962</v>
      </c>
      <c r="E42" s="216" t="n">
        <v>2022</v>
      </c>
      <c r="F42" s="215" t="s">
        <v>963</v>
      </c>
      <c r="G42" s="218" t="s">
        <v>881</v>
      </c>
    </row>
    <row r="43" customFormat="false" ht="15" hidden="false" customHeight="false" outlineLevel="0" collapsed="false">
      <c r="A43" s="215" t="s">
        <v>964</v>
      </c>
      <c r="B43" s="219" t="n">
        <f aca="false">IFERROR(VLOOKUP("Markings (prep, markings, reflective media)",Pay_Items!$D:$F,3,0),"")</f>
        <v>0.666666666666667</v>
      </c>
      <c r="C43" s="215" t="s">
        <v>965</v>
      </c>
      <c r="D43" s="215" t="s">
        <v>962</v>
      </c>
      <c r="E43" s="216" t="n">
        <v>2022</v>
      </c>
      <c r="F43" s="215"/>
      <c r="G43" s="218" t="s">
        <v>881</v>
      </c>
    </row>
    <row r="44" customFormat="false" ht="23.85" hidden="false" customHeight="false" outlineLevel="0" collapsed="false">
      <c r="A44" s="215" t="s">
        <v>966</v>
      </c>
      <c r="B44" s="215"/>
      <c r="C44" s="215" t="s">
        <v>951</v>
      </c>
      <c r="D44" s="215" t="s">
        <v>967</v>
      </c>
      <c r="E44" s="216" t="n">
        <v>2025</v>
      </c>
      <c r="F44" s="215" t="s">
        <v>968</v>
      </c>
      <c r="G44" s="218" t="s">
        <v>924</v>
      </c>
    </row>
    <row r="45" customFormat="false" ht="32.8" hidden="false" customHeight="false" outlineLevel="0" collapsed="false">
      <c r="A45" s="215" t="s">
        <v>969</v>
      </c>
      <c r="B45" s="216" t="n">
        <v>820000</v>
      </c>
      <c r="C45" s="215" t="s">
        <v>873</v>
      </c>
      <c r="D45" s="215"/>
      <c r="E45" s="216" t="n">
        <v>2023</v>
      </c>
      <c r="F45" s="215" t="s">
        <v>970</v>
      </c>
      <c r="G45" s="218" t="s">
        <v>971</v>
      </c>
    </row>
    <row r="46" customFormat="false" ht="25.5" hidden="false" customHeight="true" outlineLevel="0" collapsed="false">
      <c r="A46" s="212" t="s">
        <v>972</v>
      </c>
      <c r="B46" s="212"/>
      <c r="C46" s="212"/>
      <c r="D46" s="212"/>
      <c r="E46" s="212"/>
      <c r="F46" s="212"/>
      <c r="G46" s="212"/>
    </row>
    <row r="48" customFormat="false" ht="21.75" hidden="false" customHeight="true" outlineLevel="0" collapsed="false">
      <c r="A48" s="201" t="s">
        <v>973</v>
      </c>
      <c r="B48" s="213"/>
      <c r="C48" s="213"/>
      <c r="D48" s="213"/>
      <c r="E48" s="213"/>
      <c r="F48" s="213"/>
      <c r="G48" s="213"/>
    </row>
    <row r="49" customFormat="false" ht="24" hidden="false" customHeight="true" outlineLevel="0" collapsed="false">
      <c r="A49" s="214" t="s">
        <v>974</v>
      </c>
      <c r="B49" s="214" t="s">
        <v>975</v>
      </c>
      <c r="C49" s="214" t="s">
        <v>976</v>
      </c>
      <c r="D49" s="214" t="s">
        <v>977</v>
      </c>
      <c r="E49" s="214" t="s">
        <v>893</v>
      </c>
      <c r="F49" s="214"/>
      <c r="G49" s="214" t="s">
        <v>857</v>
      </c>
    </row>
    <row r="50" customFormat="false" ht="35.05" hidden="false" customHeight="false" outlineLevel="0" collapsed="false">
      <c r="A50" s="215" t="s">
        <v>978</v>
      </c>
      <c r="B50" s="215" t="s">
        <v>979</v>
      </c>
      <c r="C50" s="215" t="n">
        <f aca="false">ROUNDUP(66667/15000,0)</f>
        <v>5</v>
      </c>
      <c r="D50" s="215" t="s">
        <v>980</v>
      </c>
      <c r="E50" s="215" t="s">
        <v>981</v>
      </c>
      <c r="F50" s="215"/>
      <c r="G50" s="215" t="s">
        <v>982</v>
      </c>
    </row>
    <row r="51" customFormat="false" ht="23.85" hidden="false" customHeight="false" outlineLevel="0" collapsed="false">
      <c r="A51" s="215" t="s">
        <v>983</v>
      </c>
      <c r="B51" s="215" t="s">
        <v>984</v>
      </c>
      <c r="C51" s="215" t="n">
        <f aca="false">ROUNDUP(15000/20000,0)+ROUNDUP(15000/50000,0)</f>
        <v>2</v>
      </c>
      <c r="D51" s="215" t="s">
        <v>985</v>
      </c>
      <c r="E51" s="215"/>
      <c r="F51" s="215"/>
      <c r="G51" s="215" t="s">
        <v>986</v>
      </c>
    </row>
    <row r="52" customFormat="false" ht="35.05" hidden="false" customHeight="false" outlineLevel="0" collapsed="false">
      <c r="A52" s="215" t="s">
        <v>987</v>
      </c>
      <c r="B52" s="215" t="s">
        <v>988</v>
      </c>
      <c r="C52" s="215" t="n">
        <f aca="false">ROUNDUP(66667*0.0075/10000,0)</f>
        <v>1</v>
      </c>
      <c r="D52" s="215" t="s">
        <v>989</v>
      </c>
      <c r="E52" s="215"/>
      <c r="F52" s="215"/>
      <c r="G52" s="215" t="s">
        <v>986</v>
      </c>
    </row>
    <row r="53" customFormat="false" ht="35.05" hidden="false" customHeight="false" outlineLevel="0" collapsed="false">
      <c r="A53" s="215" t="s">
        <v>990</v>
      </c>
      <c r="B53" s="215" t="s">
        <v>991</v>
      </c>
      <c r="C53" s="215" t="n">
        <f aca="false">ROUNDUP(66667*0.0325/5000,0)</f>
        <v>1</v>
      </c>
      <c r="D53" s="215" t="s">
        <v>989</v>
      </c>
      <c r="E53" s="215"/>
      <c r="F53" s="215"/>
      <c r="G53" s="215" t="s">
        <v>986</v>
      </c>
    </row>
    <row r="54" customFormat="false" ht="23.85" hidden="false" customHeight="false" outlineLevel="0" collapsed="false">
      <c r="A54" s="215" t="s">
        <v>992</v>
      </c>
      <c r="B54" s="215" t="s">
        <v>993</v>
      </c>
      <c r="C54" s="215" t="n">
        <f aca="false">ROUNDUP(66667/3800,0)+ROUNDUP(15000/50000,0)</f>
        <v>19</v>
      </c>
      <c r="D54" s="215" t="s">
        <v>994</v>
      </c>
      <c r="E54" s="215" t="s">
        <v>995</v>
      </c>
      <c r="F54" s="215"/>
      <c r="G54" s="215" t="s">
        <v>986</v>
      </c>
    </row>
    <row r="55" customFormat="false" ht="23.85" hidden="false" customHeight="false" outlineLevel="0" collapsed="false">
      <c r="A55" s="215" t="s">
        <v>996</v>
      </c>
      <c r="B55" s="215" t="s">
        <v>997</v>
      </c>
      <c r="C55" s="215" t="n">
        <f aca="false">ROUNDUP(66667*550/(50*100/9)/10000,0)</f>
        <v>7</v>
      </c>
      <c r="D55" s="215" t="s">
        <v>998</v>
      </c>
      <c r="E55" s="215"/>
      <c r="F55" s="215"/>
      <c r="G55" s="215" t="s">
        <v>986</v>
      </c>
    </row>
    <row r="56" customFormat="false" ht="35.05" hidden="false" customHeight="false" outlineLevel="0" collapsed="false">
      <c r="A56" s="215" t="s">
        <v>999</v>
      </c>
      <c r="B56" s="215" t="s">
        <v>1000</v>
      </c>
      <c r="C56" s="215" t="n">
        <f aca="false">ROUNDUP(66667*0.003/10000,0)+ROUNDUP(66667*0.0013/5000,0)+ROUNDUP(66667*0.0025/5000,0)</f>
        <v>3</v>
      </c>
      <c r="D56" s="215" t="s">
        <v>1001</v>
      </c>
      <c r="E56" s="215"/>
      <c r="F56" s="215"/>
      <c r="G56" s="215" t="s">
        <v>986</v>
      </c>
    </row>
    <row r="57" customFormat="false" ht="23.85" hidden="false" customHeight="false" outlineLevel="0" collapsed="false">
      <c r="A57" s="215" t="s">
        <v>1002</v>
      </c>
      <c r="B57" s="215" t="s">
        <v>1003</v>
      </c>
      <c r="C57" s="215" t="n">
        <f aca="false">ROUNDUP(66667*0.02/1000,0)+7</f>
        <v>9</v>
      </c>
      <c r="D57" s="215" t="s">
        <v>1004</v>
      </c>
      <c r="E57" s="215" t="s">
        <v>1005</v>
      </c>
      <c r="F57" s="215"/>
      <c r="G57" s="215" t="s">
        <v>986</v>
      </c>
    </row>
    <row r="58" customFormat="false" ht="46.25" hidden="false" customHeight="false" outlineLevel="0" collapsed="false">
      <c r="A58" s="215" t="s">
        <v>1006</v>
      </c>
      <c r="B58" s="215"/>
      <c r="C58" s="215" t="s">
        <v>1007</v>
      </c>
      <c r="D58" s="215" t="s">
        <v>1008</v>
      </c>
      <c r="E58" s="215" t="s">
        <v>1009</v>
      </c>
      <c r="F58" s="215"/>
      <c r="G58" s="215" t="s">
        <v>986</v>
      </c>
    </row>
    <row r="59" customFormat="false" ht="25.5" hidden="false" customHeight="true" outlineLevel="0" collapsed="false">
      <c r="A59" s="212" t="s">
        <v>1010</v>
      </c>
      <c r="B59" s="212"/>
      <c r="C59" s="212"/>
      <c r="D59" s="212"/>
      <c r="E59" s="212"/>
      <c r="F59" s="212"/>
      <c r="G59" s="212"/>
    </row>
    <row r="61" customFormat="false" ht="21.75" hidden="false" customHeight="true" outlineLevel="0" collapsed="false">
      <c r="A61" s="201" t="s">
        <v>1011</v>
      </c>
      <c r="B61" s="213"/>
      <c r="C61" s="213"/>
      <c r="D61" s="213"/>
      <c r="E61" s="213"/>
      <c r="F61" s="213"/>
      <c r="G61" s="213"/>
    </row>
    <row r="62" customFormat="false" ht="24" hidden="false" customHeight="true" outlineLevel="0" collapsed="false">
      <c r="A62" s="214" t="s">
        <v>1012</v>
      </c>
      <c r="B62" s="214" t="s">
        <v>856</v>
      </c>
      <c r="C62" s="214" t="s">
        <v>1013</v>
      </c>
      <c r="D62" s="214" t="s">
        <v>38</v>
      </c>
      <c r="E62" s="214"/>
      <c r="F62" s="214" t="s">
        <v>941</v>
      </c>
      <c r="G62" s="214" t="s">
        <v>857</v>
      </c>
    </row>
    <row r="63" customFormat="false" ht="15" hidden="false" customHeight="false" outlineLevel="0" collapsed="false">
      <c r="A63" s="215" t="s">
        <v>1014</v>
      </c>
      <c r="B63" s="219" t="n">
        <f aca="false">'General Information'!$D$34</f>
        <v>3</v>
      </c>
      <c r="C63" s="215" t="s">
        <v>1015</v>
      </c>
      <c r="D63" s="215"/>
      <c r="E63" s="215"/>
      <c r="F63" s="215" t="s">
        <v>1016</v>
      </c>
      <c r="G63" s="215" t="s">
        <v>986</v>
      </c>
    </row>
    <row r="64" customFormat="false" ht="15" hidden="false" customHeight="false" outlineLevel="0" collapsed="false">
      <c r="A64" s="215" t="s">
        <v>1017</v>
      </c>
      <c r="B64" s="219" t="n">
        <f aca="false">'General Information'!$D$33</f>
        <v>30</v>
      </c>
      <c r="C64" s="215" t="s">
        <v>1018</v>
      </c>
      <c r="D64" s="215"/>
      <c r="E64" s="215"/>
      <c r="F64" s="215" t="s">
        <v>1019</v>
      </c>
      <c r="G64" s="215" t="s">
        <v>986</v>
      </c>
    </row>
    <row r="65" customFormat="false" ht="35.05" hidden="false" customHeight="false" outlineLevel="0" collapsed="false">
      <c r="A65" s="215" t="s">
        <v>1020</v>
      </c>
      <c r="B65" s="215" t="s">
        <v>1021</v>
      </c>
      <c r="C65" s="215" t="s">
        <v>1015</v>
      </c>
      <c r="D65" s="217" t="n">
        <v>2022</v>
      </c>
      <c r="E65" s="215"/>
      <c r="F65" s="215" t="s">
        <v>1022</v>
      </c>
      <c r="G65" s="218" t="s">
        <v>1023</v>
      </c>
    </row>
    <row r="66" customFormat="false" ht="23.85" hidden="false" customHeight="false" outlineLevel="0" collapsed="false">
      <c r="A66" s="215" t="s">
        <v>1024</v>
      </c>
      <c r="B66" s="216" t="n">
        <v>2</v>
      </c>
      <c r="C66" s="215" t="s">
        <v>1015</v>
      </c>
      <c r="D66" s="217" t="n">
        <v>2026</v>
      </c>
      <c r="E66" s="215"/>
      <c r="F66" s="215" t="s">
        <v>1025</v>
      </c>
      <c r="G66" s="218" t="s">
        <v>1026</v>
      </c>
    </row>
    <row r="67" customFormat="false" ht="46.25" hidden="false" customHeight="false" outlineLevel="0" collapsed="false">
      <c r="A67" s="215" t="s">
        <v>1027</v>
      </c>
      <c r="B67" s="215" t="s">
        <v>1028</v>
      </c>
      <c r="C67" s="215"/>
      <c r="D67" s="217" t="n">
        <v>2014</v>
      </c>
      <c r="E67" s="215"/>
      <c r="F67" s="215" t="s">
        <v>1029</v>
      </c>
      <c r="G67" s="218" t="s">
        <v>1030</v>
      </c>
    </row>
    <row r="68" customFormat="false" ht="23.85" hidden="false" customHeight="false" outlineLevel="0" collapsed="false">
      <c r="A68" s="215" t="s">
        <v>1031</v>
      </c>
      <c r="B68" s="215" t="s">
        <v>1032</v>
      </c>
      <c r="C68" s="215"/>
      <c r="D68" s="217" t="n">
        <v>2009</v>
      </c>
      <c r="E68" s="215"/>
      <c r="F68" s="215" t="s">
        <v>1033</v>
      </c>
      <c r="G68" s="218" t="s">
        <v>1034</v>
      </c>
    </row>
    <row r="69" customFormat="false" ht="46.25" hidden="false" customHeight="false" outlineLevel="0" collapsed="false">
      <c r="A69" s="215" t="s">
        <v>1035</v>
      </c>
      <c r="B69" s="215" t="s">
        <v>1036</v>
      </c>
      <c r="C69" s="215"/>
      <c r="D69" s="217" t="n">
        <v>2011</v>
      </c>
      <c r="E69" s="215"/>
      <c r="F69" s="215" t="s">
        <v>1037</v>
      </c>
      <c r="G69" s="218" t="s">
        <v>1038</v>
      </c>
    </row>
    <row r="70" customFormat="false" ht="43.25" hidden="false" customHeight="false" outlineLevel="0" collapsed="false">
      <c r="A70" s="215" t="s">
        <v>1039</v>
      </c>
      <c r="B70" s="215" t="s">
        <v>1040</v>
      </c>
      <c r="C70" s="215"/>
      <c r="D70" s="217" t="n">
        <v>2013</v>
      </c>
      <c r="E70" s="215"/>
      <c r="F70" s="215" t="s">
        <v>1041</v>
      </c>
      <c r="G70" s="218" t="s">
        <v>1042</v>
      </c>
    </row>
    <row r="71" customFormat="false" ht="22.35" hidden="false" customHeight="false" outlineLevel="0" collapsed="false">
      <c r="A71" s="215" t="s">
        <v>1043</v>
      </c>
      <c r="B71" s="216" t="n">
        <v>20</v>
      </c>
      <c r="C71" s="215" t="s">
        <v>1018</v>
      </c>
      <c r="D71" s="217" t="n">
        <v>2021</v>
      </c>
      <c r="E71" s="215"/>
      <c r="F71" s="215" t="s">
        <v>1044</v>
      </c>
      <c r="G71" s="218" t="s">
        <v>1045</v>
      </c>
    </row>
    <row r="72" customFormat="false" ht="35.05" hidden="false" customHeight="false" outlineLevel="0" collapsed="false">
      <c r="A72" s="215" t="s">
        <v>1046</v>
      </c>
      <c r="B72" s="219" t="n">
        <f aca="false">'Maintenance Policies'!$D$32</f>
        <v>0.375</v>
      </c>
      <c r="C72" s="215" t="s">
        <v>1047</v>
      </c>
      <c r="D72" s="215"/>
      <c r="E72" s="215"/>
      <c r="F72" s="215" t="s">
        <v>1048</v>
      </c>
      <c r="G72" s="215" t="s">
        <v>986</v>
      </c>
    </row>
    <row r="73" customFormat="false" ht="35.05" hidden="false" customHeight="false" outlineLevel="0" collapsed="false">
      <c r="A73" s="215" t="s">
        <v>1049</v>
      </c>
      <c r="B73" s="219" t="n">
        <f aca="false">'Maintenance Policies'!$D$46</f>
        <v>0.25</v>
      </c>
      <c r="C73" s="215" t="s">
        <v>1050</v>
      </c>
      <c r="D73" s="215"/>
      <c r="E73" s="215"/>
      <c r="F73" s="215" t="s">
        <v>1051</v>
      </c>
      <c r="G73" s="215" t="s">
        <v>986</v>
      </c>
    </row>
    <row r="74" customFormat="false" ht="35.05" hidden="false" customHeight="false" outlineLevel="0" collapsed="false">
      <c r="A74" s="215" t="s">
        <v>1052</v>
      </c>
      <c r="B74" s="215" t="s">
        <v>1053</v>
      </c>
      <c r="C74" s="215"/>
      <c r="D74" s="217" t="n">
        <v>2011</v>
      </c>
      <c r="E74" s="215"/>
      <c r="F74" s="215" t="s">
        <v>1054</v>
      </c>
      <c r="G74" s="218" t="s">
        <v>1038</v>
      </c>
    </row>
    <row r="75" customFormat="false" ht="25.5" hidden="false" customHeight="true" outlineLevel="0" collapsed="false">
      <c r="A75" s="212" t="s">
        <v>1055</v>
      </c>
      <c r="B75" s="212"/>
      <c r="C75" s="212"/>
      <c r="D75" s="212"/>
      <c r="E75" s="212"/>
      <c r="F75" s="212"/>
      <c r="G75" s="212"/>
    </row>
    <row r="77" customFormat="false" ht="21.75" hidden="false" customHeight="true" outlineLevel="0" collapsed="false">
      <c r="A77" s="201" t="s">
        <v>1056</v>
      </c>
      <c r="B77" s="213"/>
      <c r="C77" s="213"/>
      <c r="D77" s="213"/>
      <c r="E77" s="213"/>
      <c r="F77" s="213"/>
      <c r="G77" s="213"/>
    </row>
    <row r="78" customFormat="false" ht="24" hidden="false" customHeight="true" outlineLevel="0" collapsed="false">
      <c r="A78" s="214" t="s">
        <v>33</v>
      </c>
      <c r="B78" s="214" t="s">
        <v>1057</v>
      </c>
      <c r="C78" s="214" t="s">
        <v>1058</v>
      </c>
      <c r="D78" s="214" t="s">
        <v>38</v>
      </c>
      <c r="E78" s="214"/>
      <c r="F78" s="214" t="s">
        <v>941</v>
      </c>
      <c r="G78" s="214" t="s">
        <v>857</v>
      </c>
    </row>
    <row r="79" customFormat="false" ht="46.25" hidden="false" customHeight="false" outlineLevel="0" collapsed="false">
      <c r="A79" s="215" t="s">
        <v>1059</v>
      </c>
      <c r="B79" s="219" t="str">
        <f aca="false">"years "&amp;'Maintenance Policies'!$E$10&amp;", "&amp;'Maintenance Policies'!$E$12&amp;", "&amp;'Maintenance Policies'!$E$26</f>
        <v>years 4, 8, 24</v>
      </c>
      <c r="C79" s="215" t="s">
        <v>1060</v>
      </c>
      <c r="D79" s="217" t="n">
        <v>2014</v>
      </c>
      <c r="E79" s="215"/>
      <c r="F79" s="215" t="s">
        <v>1061</v>
      </c>
      <c r="G79" s="218" t="s">
        <v>1062</v>
      </c>
    </row>
    <row r="80" customFormat="false" ht="35.05" hidden="false" customHeight="false" outlineLevel="0" collapsed="false">
      <c r="A80" s="215" t="s">
        <v>1063</v>
      </c>
      <c r="B80" s="219" t="str">
        <f aca="false">"years "&amp;'Maintenance Policies'!$E$14&amp;", "&amp;'Maintenance Policies'!$E$18&amp;", "&amp;'Maintenance Policies'!$E$28</f>
        <v>years 12, 16, 28</v>
      </c>
      <c r="C80" s="215" t="s">
        <v>1064</v>
      </c>
      <c r="D80" s="217" t="n">
        <v>2014</v>
      </c>
      <c r="E80" s="215"/>
      <c r="F80" s="215"/>
      <c r="G80" s="218" t="s">
        <v>1065</v>
      </c>
    </row>
    <row r="81" customFormat="false" ht="46.25" hidden="false" customHeight="false" outlineLevel="0" collapsed="false">
      <c r="A81" s="215" t="s">
        <v>740</v>
      </c>
      <c r="B81" s="219" t="str">
        <f aca="false">"year "&amp;'Maintenance Policies'!$E$22</f>
        <v>year 20</v>
      </c>
      <c r="C81" s="215" t="s">
        <v>1066</v>
      </c>
      <c r="D81" s="217" t="n">
        <v>2014</v>
      </c>
      <c r="E81" s="215"/>
      <c r="F81" s="215" t="s">
        <v>1067</v>
      </c>
      <c r="G81" s="218" t="s">
        <v>1068</v>
      </c>
    </row>
    <row r="82" customFormat="false" ht="46.25" hidden="false" customHeight="false" outlineLevel="0" collapsed="false">
      <c r="A82" s="215" t="s">
        <v>1069</v>
      </c>
      <c r="B82" s="219" t="str">
        <f aca="false">"year "&amp;'Maintenance Policies'!$E$37</f>
        <v>year 19</v>
      </c>
      <c r="C82" s="215" t="s">
        <v>1070</v>
      </c>
      <c r="D82" s="215"/>
      <c r="E82" s="215"/>
      <c r="F82" s="215" t="s">
        <v>1071</v>
      </c>
      <c r="G82" s="218" t="s">
        <v>1072</v>
      </c>
    </row>
    <row r="83" customFormat="false" ht="35.05" hidden="false" customHeight="false" outlineLevel="0" collapsed="false">
      <c r="A83" s="215" t="s">
        <v>1073</v>
      </c>
      <c r="B83" s="219" t="str">
        <f aca="false">"year "&amp;'Maintenance Policies'!$E$41</f>
        <v>year 27</v>
      </c>
      <c r="C83" s="215" t="s">
        <v>1074</v>
      </c>
      <c r="D83" s="217" t="n">
        <v>2014</v>
      </c>
      <c r="E83" s="215"/>
      <c r="F83" s="215"/>
      <c r="G83" s="218" t="s">
        <v>1068</v>
      </c>
    </row>
    <row r="84" customFormat="false" ht="35.05" hidden="false" customHeight="false" outlineLevel="0" collapsed="false">
      <c r="A84" s="215" t="s">
        <v>1075</v>
      </c>
      <c r="B84" s="215" t="s">
        <v>1076</v>
      </c>
      <c r="C84" s="215" t="s">
        <v>1077</v>
      </c>
      <c r="D84" s="217" t="n">
        <v>2024</v>
      </c>
      <c r="E84" s="215"/>
      <c r="F84" s="215"/>
      <c r="G84" s="218" t="s">
        <v>1078</v>
      </c>
    </row>
    <row r="85" customFormat="false" ht="35.05" hidden="false" customHeight="false" outlineLevel="0" collapsed="false">
      <c r="A85" s="215" t="s">
        <v>1079</v>
      </c>
      <c r="B85" s="215"/>
      <c r="C85" s="215" t="s">
        <v>1080</v>
      </c>
      <c r="D85" s="217" t="n">
        <v>2016</v>
      </c>
      <c r="E85" s="215"/>
      <c r="F85" s="215" t="s">
        <v>1081</v>
      </c>
      <c r="G85" s="218" t="s">
        <v>1082</v>
      </c>
    </row>
    <row r="86" customFormat="false" ht="46.25" hidden="false" customHeight="false" outlineLevel="0" collapsed="false">
      <c r="A86" s="215" t="s">
        <v>1083</v>
      </c>
      <c r="B86" s="215"/>
      <c r="C86" s="215" t="s">
        <v>1084</v>
      </c>
      <c r="D86" s="217" t="n">
        <v>2021</v>
      </c>
      <c r="E86" s="215"/>
      <c r="F86" s="215" t="s">
        <v>1085</v>
      </c>
      <c r="G86" s="218" t="s">
        <v>1045</v>
      </c>
    </row>
    <row r="87" customFormat="false" ht="25.5" hidden="false" customHeight="true" outlineLevel="0" collapsed="false">
      <c r="A87" s="212" t="s">
        <v>1086</v>
      </c>
      <c r="B87" s="212"/>
      <c r="C87" s="212"/>
      <c r="D87" s="212"/>
      <c r="E87" s="212"/>
      <c r="F87" s="212"/>
      <c r="G87" s="212"/>
    </row>
    <row r="89" customFormat="false" ht="15" hidden="false" customHeight="false" outlineLevel="0" collapsed="false">
      <c r="A89" s="191" t="s">
        <v>1087</v>
      </c>
      <c r="B89" s="192"/>
      <c r="C89" s="192"/>
      <c r="D89" s="192"/>
      <c r="E89" s="192"/>
      <c r="F89" s="192"/>
      <c r="G89" s="192"/>
    </row>
    <row r="90" customFormat="false" ht="46.25" hidden="false" customHeight="false" outlineLevel="0" collapsed="false">
      <c r="A90" s="178" t="s">
        <v>1088</v>
      </c>
      <c r="B90" s="178" t="s">
        <v>1089</v>
      </c>
      <c r="C90" s="178" t="s">
        <v>1090</v>
      </c>
      <c r="D90" s="178" t="s">
        <v>1091</v>
      </c>
      <c r="E90" s="178" t="s">
        <v>1092</v>
      </c>
      <c r="F90" s="178"/>
      <c r="G90" s="178" t="s">
        <v>857</v>
      </c>
    </row>
    <row r="91" customFormat="false" ht="15" hidden="false" customHeight="false" outlineLevel="0" collapsed="false">
      <c r="A91" s="215" t="str">
        <f aca="false">IF(RevenueData!A2="","",RevenueData!A2)</f>
        <v>MKL</v>
      </c>
      <c r="B91" s="219" t="n">
        <f aca="false">IF(A91="","",SUMIF(RevenueData!$A:$A,A91,RevenueData!$B:$B)+SUMIF(RevenueData!$A:$A,A91,RevenueData!$C:$C)+SUMIF(RevenueData!$A:$A,A91,RevenueData!$D:$D)+SUMIF(RevenueData!$A:$A,A91,RevenueData!$E:$E)+SUMIF(RevenueData!$A:$A,A91,RevenueData!$F:$F)+SUMIF(RevenueData!$A:$A,A91,RevenueData!$G:$G)+SUMIF(RevenueData!$A:$A,A91,RevenueData!$H:$H))</f>
        <v>8505.94</v>
      </c>
      <c r="C91" s="215" t="n">
        <f aca="false">IF(A91="","",B91*7)</f>
        <v>59541.58</v>
      </c>
      <c r="D91" s="215" t="n">
        <f aca="false">IF(A91="","",B91*19)</f>
        <v>161612.86</v>
      </c>
      <c r="E91" s="215" t="str">
        <f aca="false">IF(A91="","",TRIM(IF(ISNUMBER(RevenueData!B2),"","100LL ")&amp;IF(ISNUMBER(RevenueData!C2),"","Jet-A ")&amp;IF(ISNUMBER(RevenueData!G2),"","tenant ")&amp;IF(ISNUMBER(RevenueData!H2),"","other")))</f>
        <v>other</v>
      </c>
      <c r="F91" s="215"/>
      <c r="G91" s="215" t="s">
        <v>1093</v>
      </c>
    </row>
    <row r="92" customFormat="false" ht="15" hidden="false" customHeight="false" outlineLevel="0" collapsed="false">
      <c r="A92" s="215" t="str">
        <f aca="false">IF(RevenueData!A3="","",RevenueData!A3)</f>
        <v>SRB</v>
      </c>
      <c r="B92" s="219" t="n">
        <f aca="false">IF(A92="","",SUMIF(RevenueData!$A:$A,A92,RevenueData!$B:$B)+SUMIF(RevenueData!$A:$A,A92,RevenueData!$C:$C)+SUMIF(RevenueData!$A:$A,A92,RevenueData!$D:$D)+SUMIF(RevenueData!$A:$A,A92,RevenueData!$E:$E)+SUMIF(RevenueData!$A:$A,A92,RevenueData!$F:$F)+SUMIF(RevenueData!$A:$A,A92,RevenueData!$G:$G)+SUMIF(RevenueData!$A:$A,A92,RevenueData!$H:$H))</f>
        <v>4344.12</v>
      </c>
      <c r="C92" s="215" t="n">
        <f aca="false">IF(A92="","",B92*7)</f>
        <v>30408.84</v>
      </c>
      <c r="D92" s="215" t="n">
        <f aca="false">IF(A92="","",B92*19)</f>
        <v>82538.28</v>
      </c>
      <c r="E92" s="215" t="str">
        <f aca="false">IF(A92="","",TRIM(IF(ISNUMBER(RevenueData!B3),"","100LL ")&amp;IF(ISNUMBER(RevenueData!C3),"","Jet-A ")&amp;IF(ISNUMBER(RevenueData!G3),"","tenant ")&amp;IF(ISNUMBER(RevenueData!H3),"","other")))</f>
        <v>other</v>
      </c>
      <c r="F92" s="215"/>
      <c r="G92" s="215" t="s">
        <v>1093</v>
      </c>
    </row>
    <row r="93" customFormat="false" ht="15" hidden="false" customHeight="false" outlineLevel="0" collapsed="false">
      <c r="A93" s="215" t="str">
        <f aca="false">IF(RevenueData!A4="","",RevenueData!A4)</f>
        <v>MBT</v>
      </c>
      <c r="B93" s="219" t="n">
        <f aca="false">IF(A93="","",SUMIF(RevenueData!$A:$A,A93,RevenueData!$B:$B)+SUMIF(RevenueData!$A:$A,A93,RevenueData!$C:$C)+SUMIF(RevenueData!$A:$A,A93,RevenueData!$D:$D)+SUMIF(RevenueData!$A:$A,A93,RevenueData!$E:$E)+SUMIF(RevenueData!$A:$A,A93,RevenueData!$F:$F)+SUMIF(RevenueData!$A:$A,A93,RevenueData!$G:$G)+SUMIF(RevenueData!$A:$A,A93,RevenueData!$H:$H))</f>
        <v>8841.38</v>
      </c>
      <c r="C93" s="215" t="n">
        <f aca="false">IF(A93="","",B93*7)</f>
        <v>61889.66</v>
      </c>
      <c r="D93" s="215" t="n">
        <f aca="false">IF(A93="","",B93*19)</f>
        <v>167986.22</v>
      </c>
      <c r="E93" s="215" t="str">
        <f aca="false">IF(A93="","",TRIM(IF(ISNUMBER(RevenueData!B4),"","100LL ")&amp;IF(ISNUMBER(RevenueData!C4),"","Jet-A ")&amp;IF(ISNUMBER(RevenueData!G4),"","tenant ")&amp;IF(ISNUMBER(RevenueData!H4),"","other")))</f>
        <v>other</v>
      </c>
      <c r="F93" s="215"/>
      <c r="G93" s="215" t="s">
        <v>1093</v>
      </c>
    </row>
    <row r="94" customFormat="false" ht="15" hidden="false" customHeight="false" outlineLevel="0" collapsed="false">
      <c r="A94" s="215" t="str">
        <f aca="false">IF(RevenueData!A5="","",RevenueData!A5)</f>
        <v>NQA</v>
      </c>
      <c r="B94" s="219" t="n">
        <f aca="false">IF(A94="","",SUMIF(RevenueData!$A:$A,A94,RevenueData!$B:$B)+SUMIF(RevenueData!$A:$A,A94,RevenueData!$C:$C)+SUMIF(RevenueData!$A:$A,A94,RevenueData!$D:$D)+SUMIF(RevenueData!$A:$A,A94,RevenueData!$E:$E)+SUMIF(RevenueData!$A:$A,A94,RevenueData!$F:$F)+SUMIF(RevenueData!$A:$A,A94,RevenueData!$G:$G)+SUMIF(RevenueData!$A:$A,A94,RevenueData!$H:$H))</f>
        <v>6291</v>
      </c>
      <c r="C94" s="215" t="n">
        <f aca="false">IF(A94="","",B94*7)</f>
        <v>44037</v>
      </c>
      <c r="D94" s="215" t="n">
        <f aca="false">IF(A94="","",B94*19)</f>
        <v>119529</v>
      </c>
      <c r="E94" s="215" t="str">
        <f aca="false">IF(A94="","",TRIM(IF(ISNUMBER(RevenueData!B5),"","100LL ")&amp;IF(ISNUMBER(RevenueData!C5),"","Jet-A ")&amp;IF(ISNUMBER(RevenueData!G5),"","tenant ")&amp;IF(ISNUMBER(RevenueData!H5),"","other")))</f>
        <v/>
      </c>
      <c r="F94" s="215"/>
      <c r="G94" s="215" t="s">
        <v>1093</v>
      </c>
    </row>
    <row r="95" customFormat="false" ht="15" hidden="false" customHeight="false" outlineLevel="0" collapsed="false">
      <c r="A95" s="215" t="str">
        <f aca="false">IF(RevenueData!A6="","",RevenueData!A6)</f>
        <v>DKX</v>
      </c>
      <c r="B95" s="219" t="n">
        <f aca="false">IF(A95="","",SUMIF(RevenueData!$A:$A,A95,RevenueData!$B:$B)+SUMIF(RevenueData!$A:$A,A95,RevenueData!$C:$C)+SUMIF(RevenueData!$A:$A,A95,RevenueData!$D:$D)+SUMIF(RevenueData!$A:$A,A95,RevenueData!$E:$E)+SUMIF(RevenueData!$A:$A,A95,RevenueData!$F:$F)+SUMIF(RevenueData!$A:$A,A95,RevenueData!$G:$G)+SUMIF(RevenueData!$A:$A,A95,RevenueData!$H:$H))</f>
        <v>6703</v>
      </c>
      <c r="C95" s="215" t="n">
        <f aca="false">IF(A95="","",B95*7)</f>
        <v>46921</v>
      </c>
      <c r="D95" s="215" t="n">
        <f aca="false">IF(A95="","",B95*19)</f>
        <v>127357</v>
      </c>
      <c r="E95" s="215" t="str">
        <f aca="false">IF(A95="","",TRIM(IF(ISNUMBER(RevenueData!B6),"","100LL ")&amp;IF(ISNUMBER(RevenueData!C6),"","Jet-A ")&amp;IF(ISNUMBER(RevenueData!G6),"","tenant ")&amp;IF(ISNUMBER(RevenueData!H6),"","other")))</f>
        <v/>
      </c>
      <c r="F95" s="215"/>
      <c r="G95" s="215" t="s">
        <v>1093</v>
      </c>
    </row>
    <row r="96" customFormat="false" ht="15" hidden="false" customHeight="false" outlineLevel="0" collapsed="false">
      <c r="A96" s="215" t="str">
        <f aca="false">IF(RevenueData!A7="","",RevenueData!A7)</f>
        <v>SYI</v>
      </c>
      <c r="B96" s="219" t="n">
        <f aca="false">IF(A96="","",SUMIF(RevenueData!$A:$A,A96,RevenueData!$B:$B)+SUMIF(RevenueData!$A:$A,A96,RevenueData!$C:$C)+SUMIF(RevenueData!$A:$A,A96,RevenueData!$D:$D)+SUMIF(RevenueData!$A:$A,A96,RevenueData!$E:$E)+SUMIF(RevenueData!$A:$A,A96,RevenueData!$F:$F)+SUMIF(RevenueData!$A:$A,A96,RevenueData!$G:$G)+SUMIF(RevenueData!$A:$A,A96,RevenueData!$H:$H))</f>
        <v>30816.64</v>
      </c>
      <c r="C96" s="215" t="n">
        <f aca="false">IF(A96="","",B96*7)</f>
        <v>215716.48</v>
      </c>
      <c r="D96" s="215" t="n">
        <f aca="false">IF(A96="","",B96*19)</f>
        <v>585516.16</v>
      </c>
      <c r="E96" s="215" t="str">
        <f aca="false">IF(A96="","",TRIM(IF(ISNUMBER(RevenueData!B7),"","100LL ")&amp;IF(ISNUMBER(RevenueData!C7),"","Jet-A ")&amp;IF(ISNUMBER(RevenueData!G7),"","tenant ")&amp;IF(ISNUMBER(RevenueData!H7),"","other")))</f>
        <v/>
      </c>
      <c r="F96" s="215"/>
      <c r="G96" s="215" t="s">
        <v>1093</v>
      </c>
    </row>
    <row r="97" customFormat="false" ht="15" hidden="false" customHeight="false" outlineLevel="0" collapsed="false">
      <c r="A97" s="215" t="str">
        <f aca="false">IF(RevenueData!A8="","",RevenueData!A8)</f>
        <v>GCY</v>
      </c>
      <c r="B97" s="219" t="n">
        <f aca="false">IF(A97="","",SUMIF(RevenueData!$A:$A,A97,RevenueData!$B:$B)+SUMIF(RevenueData!$A:$A,A97,RevenueData!$C:$C)+SUMIF(RevenueData!$A:$A,A97,RevenueData!$D:$D)+SUMIF(RevenueData!$A:$A,A97,RevenueData!$E:$E)+SUMIF(RevenueData!$A:$A,A97,RevenueData!$F:$F)+SUMIF(RevenueData!$A:$A,A97,RevenueData!$G:$G)+SUMIF(RevenueData!$A:$A,A97,RevenueData!$H:$H))</f>
        <v>1800</v>
      </c>
      <c r="C97" s="215" t="n">
        <f aca="false">IF(A97="","",B97*7)</f>
        <v>12600</v>
      </c>
      <c r="D97" s="215" t="n">
        <f aca="false">IF(A97="","",B97*19)</f>
        <v>34200</v>
      </c>
      <c r="E97" s="215" t="str">
        <f aca="false">IF(A97="","",TRIM(IF(ISNUMBER(RevenueData!B8),"","100LL ")&amp;IF(ISNUMBER(RevenueData!C8),"","Jet-A ")&amp;IF(ISNUMBER(RevenueData!G8),"","tenant ")&amp;IF(ISNUMBER(RevenueData!H8),"","other")))</f>
        <v>tenant</v>
      </c>
      <c r="F97" s="215"/>
      <c r="G97" s="215" t="s">
        <v>1093</v>
      </c>
    </row>
    <row r="98" customFormat="false" ht="15" hidden="false" customHeight="false" outlineLevel="0" collapsed="false">
      <c r="A98" s="215" t="str">
        <f aca="false">IF(RevenueData!A9="","",RevenueData!A9)</f>
        <v>THA</v>
      </c>
      <c r="B98" s="219" t="n">
        <f aca="false">IF(A98="","",SUMIF(RevenueData!$A:$A,A98,RevenueData!$B:$B)+SUMIF(RevenueData!$A:$A,A98,RevenueData!$C:$C)+SUMIF(RevenueData!$A:$A,A98,RevenueData!$D:$D)+SUMIF(RevenueData!$A:$A,A98,RevenueData!$E:$E)+SUMIF(RevenueData!$A:$A,A98,RevenueData!$F:$F)+SUMIF(RevenueData!$A:$A,A98,RevenueData!$G:$G)+SUMIF(RevenueData!$A:$A,A98,RevenueData!$H:$H))</f>
        <v>939.26</v>
      </c>
      <c r="C98" s="215" t="n">
        <f aca="false">IF(A98="","",B98*7)</f>
        <v>6574.82</v>
      </c>
      <c r="D98" s="215" t="n">
        <f aca="false">IF(A98="","",B98*19)</f>
        <v>17845.94</v>
      </c>
      <c r="E98" s="215" t="str">
        <f aca="false">IF(A98="","",TRIM(IF(ISNUMBER(RevenueData!B9),"","100LL ")&amp;IF(ISNUMBER(RevenueData!C9),"","Jet-A ")&amp;IF(ISNUMBER(RevenueData!G9),"","tenant ")&amp;IF(ISNUMBER(RevenueData!H9),"","other")))</f>
        <v>tenant</v>
      </c>
      <c r="F98" s="215"/>
      <c r="G98" s="215" t="s">
        <v>1093</v>
      </c>
    </row>
    <row r="99" customFormat="false" ht="15" hidden="false" customHeight="false" outlineLevel="0" collapsed="false">
      <c r="A99" s="215" t="str">
        <f aca="false">IF(RevenueData!A10="","",RevenueData!A10)</f>
        <v>GKT</v>
      </c>
      <c r="B99" s="219" t="n">
        <f aca="false">IF(A99="","",SUMIF(RevenueData!$A:$A,A99,RevenueData!$B:$B)+SUMIF(RevenueData!$A:$A,A99,RevenueData!$C:$C)+SUMIF(RevenueData!$A:$A,A99,RevenueData!$D:$D)+SUMIF(RevenueData!$A:$A,A99,RevenueData!$E:$E)+SUMIF(RevenueData!$A:$A,A99,RevenueData!$F:$F)+SUMIF(RevenueData!$A:$A,A99,RevenueData!$G:$G)+SUMIF(RevenueData!$A:$A,A99,RevenueData!$H:$H))</f>
        <v>5441.17</v>
      </c>
      <c r="C99" s="215" t="n">
        <f aca="false">IF(A99="","",B99*7)</f>
        <v>38088.19</v>
      </c>
      <c r="D99" s="215" t="n">
        <f aca="false">IF(A99="","",B99*19)</f>
        <v>103382.23</v>
      </c>
      <c r="E99" s="215" t="str">
        <f aca="false">IF(A99="","",TRIM(IF(ISNUMBER(RevenueData!B10),"","100LL ")&amp;IF(ISNUMBER(RevenueData!C10),"","Jet-A ")&amp;IF(ISNUMBER(RevenueData!G10),"","tenant ")&amp;IF(ISNUMBER(RevenueData!H10),"","other")))</f>
        <v>tenant other</v>
      </c>
      <c r="F99" s="215"/>
      <c r="G99" s="215" t="s">
        <v>1093</v>
      </c>
    </row>
    <row r="100" customFormat="false" ht="15" hidden="false" customHeight="false" outlineLevel="0" collapsed="false">
      <c r="A100" s="215" t="str">
        <f aca="false">IF(RevenueData!A11="","",RevenueData!A11)</f>
        <v>JWN</v>
      </c>
      <c r="B100" s="219" t="n">
        <f aca="false">IF(A100="","",SUMIF(RevenueData!$A:$A,A100,RevenueData!$B:$B)+SUMIF(RevenueData!$A:$A,A100,RevenueData!$C:$C)+SUMIF(RevenueData!$A:$A,A100,RevenueData!$D:$D)+SUMIF(RevenueData!$A:$A,A100,RevenueData!$E:$E)+SUMIF(RevenueData!$A:$A,A100,RevenueData!$F:$F)+SUMIF(RevenueData!$A:$A,A100,RevenueData!$G:$G)+SUMIF(RevenueData!$A:$A,A100,RevenueData!$H:$H))</f>
        <v>89240</v>
      </c>
      <c r="C100" s="215" t="n">
        <f aca="false">IF(A100="","",B100*7)</f>
        <v>624680</v>
      </c>
      <c r="D100" s="215" t="n">
        <f aca="false">IF(A100="","",B100*19)</f>
        <v>1695560</v>
      </c>
      <c r="E100" s="215" t="str">
        <f aca="false">IF(A100="","",TRIM(IF(ISNUMBER(RevenueData!B11),"","100LL ")&amp;IF(ISNUMBER(RevenueData!C11),"","Jet-A ")&amp;IF(ISNUMBER(RevenueData!G11),"","tenant ")&amp;IF(ISNUMBER(RevenueData!H11),"","other")))</f>
        <v>tenant</v>
      </c>
      <c r="F100" s="215"/>
      <c r="G100" s="215" t="s">
        <v>1093</v>
      </c>
    </row>
    <row r="101" customFormat="false" ht="15" hidden="false" customHeight="false" outlineLevel="0" collapsed="false">
      <c r="A101" s="215" t="str">
        <f aca="false">IF(RevenueData!A12="","",RevenueData!A12)</f>
        <v>MOR</v>
      </c>
      <c r="B101" s="219" t="n">
        <f aca="false">IF(A101="","",SUMIF(RevenueData!$A:$A,A101,RevenueData!$B:$B)+SUMIF(RevenueData!$A:$A,A101,RevenueData!$C:$C)+SUMIF(RevenueData!$A:$A,A101,RevenueData!$D:$D)+SUMIF(RevenueData!$A:$A,A101,RevenueData!$E:$E)+SUMIF(RevenueData!$A:$A,A101,RevenueData!$F:$F)+SUMIF(RevenueData!$A:$A,A101,RevenueData!$G:$G)+SUMIF(RevenueData!$A:$A,A101,RevenueData!$H:$H))</f>
        <v>8801.4</v>
      </c>
      <c r="C101" s="215" t="n">
        <f aca="false">IF(A101="","",B101*7)</f>
        <v>61609.8</v>
      </c>
      <c r="D101" s="215" t="n">
        <f aca="false">IF(A101="","",B101*19)</f>
        <v>167226.6</v>
      </c>
      <c r="E101" s="215" t="str">
        <f aca="false">IF(A101="","",TRIM(IF(ISNUMBER(RevenueData!B12),"","100LL ")&amp;IF(ISNUMBER(RevenueData!C12),"","Jet-A ")&amp;IF(ISNUMBER(RevenueData!G12),"","tenant ")&amp;IF(ISNUMBER(RevenueData!H12),"","other")))</f>
        <v>tenant other</v>
      </c>
      <c r="F101" s="215"/>
      <c r="G101" s="215" t="s">
        <v>1093</v>
      </c>
    </row>
    <row r="102" customFormat="false" ht="15" hidden="false" customHeight="false" outlineLevel="0" collapsed="false">
      <c r="A102" s="215" t="str">
        <f aca="false">IF(RevenueData!A13="","",RevenueData!A13)</f>
        <v>MQY</v>
      </c>
      <c r="B102" s="219" t="n">
        <f aca="false">IF(A102="","",SUMIF(RevenueData!$A:$A,A102,RevenueData!$B:$B)+SUMIF(RevenueData!$A:$A,A102,RevenueData!$C:$C)+SUMIF(RevenueData!$A:$A,A102,RevenueData!$D:$D)+SUMIF(RevenueData!$A:$A,A102,RevenueData!$E:$E)+SUMIF(RevenueData!$A:$A,A102,RevenueData!$F:$F)+SUMIF(RevenueData!$A:$A,A102,RevenueData!$G:$G)+SUMIF(RevenueData!$A:$A,A102,RevenueData!$H:$H))</f>
        <v>8841.38</v>
      </c>
      <c r="C102" s="215" t="n">
        <f aca="false">IF(A102="","",B102*7)</f>
        <v>61889.66</v>
      </c>
      <c r="D102" s="215" t="n">
        <f aca="false">IF(A102="","",B102*19)</f>
        <v>167986.22</v>
      </c>
      <c r="E102" s="215" t="str">
        <f aca="false">IF(A102="","",TRIM(IF(ISNUMBER(RevenueData!B13),"","100LL ")&amp;IF(ISNUMBER(RevenueData!C13),"","Jet-A ")&amp;IF(ISNUMBER(RevenueData!G13),"","tenant ")&amp;IF(ISNUMBER(RevenueData!H13),"","other")))</f>
        <v>other</v>
      </c>
      <c r="F102" s="215"/>
      <c r="G102" s="215" t="s">
        <v>1093</v>
      </c>
    </row>
    <row r="103" customFormat="false" ht="15" hidden="false" customHeight="false" outlineLevel="0" collapsed="false">
      <c r="A103" s="215" t="str">
        <f aca="false">IF(RevenueData!A14="","",RevenueData!A14)</f>
        <v>RZR</v>
      </c>
      <c r="B103" s="219" t="n">
        <f aca="false">IF(A103="","",SUMIF(RevenueData!$A:$A,A103,RevenueData!$B:$B)+SUMIF(RevenueData!$A:$A,A103,RevenueData!$C:$C)+SUMIF(RevenueData!$A:$A,A103,RevenueData!$D:$D)+SUMIF(RevenueData!$A:$A,A103,RevenueData!$E:$E)+SUMIF(RevenueData!$A:$A,A103,RevenueData!$F:$F)+SUMIF(RevenueData!$A:$A,A103,RevenueData!$G:$G)+SUMIF(RevenueData!$A:$A,A103,RevenueData!$H:$H))</f>
        <v>4100</v>
      </c>
      <c r="C103" s="215" t="n">
        <f aca="false">IF(A103="","",B103*7)</f>
        <v>28700</v>
      </c>
      <c r="D103" s="215" t="n">
        <f aca="false">IF(A103="","",B103*19)</f>
        <v>77900</v>
      </c>
      <c r="E103" s="215" t="str">
        <f aca="false">IF(A103="","",TRIM(IF(ISNUMBER(RevenueData!B14),"","100LL ")&amp;IF(ISNUMBER(RevenueData!C14),"","Jet-A ")&amp;IF(ISNUMBER(RevenueData!G14),"","tenant ")&amp;IF(ISNUMBER(RevenueData!H14),"","other")))</f>
        <v/>
      </c>
      <c r="F103" s="215"/>
      <c r="G103" s="215" t="s">
        <v>1093</v>
      </c>
    </row>
    <row r="104" customFormat="false" ht="15" hidden="false" customHeight="false" outlineLevel="0" collapsed="false">
      <c r="A104" s="215" t="str">
        <f aca="false">IF(RevenueData!A15="","",RevenueData!A15)</f>
        <v>XNX</v>
      </c>
      <c r="B104" s="219" t="n">
        <f aca="false">IF(A104="","",SUMIF(RevenueData!$A:$A,A104,RevenueData!$B:$B)+SUMIF(RevenueData!$A:$A,A104,RevenueData!$C:$C)+SUMIF(RevenueData!$A:$A,A104,RevenueData!$D:$D)+SUMIF(RevenueData!$A:$A,A104,RevenueData!$E:$E)+SUMIF(RevenueData!$A:$A,A104,RevenueData!$F:$F)+SUMIF(RevenueData!$A:$A,A104,RevenueData!$G:$G)+SUMIF(RevenueData!$A:$A,A104,RevenueData!$H:$H))</f>
        <v>81.97</v>
      </c>
      <c r="C104" s="215" t="n">
        <f aca="false">IF(A104="","",B104*7)</f>
        <v>573.79</v>
      </c>
      <c r="D104" s="215" t="n">
        <f aca="false">IF(A104="","",B104*19)</f>
        <v>1557.43</v>
      </c>
      <c r="E104" s="215" t="str">
        <f aca="false">IF(A104="","",TRIM(IF(ISNUMBER(RevenueData!B15),"","100LL ")&amp;IF(ISNUMBER(RevenueData!C15),"","Jet-A ")&amp;IF(ISNUMBER(RevenueData!G15),"","tenant ")&amp;IF(ISNUMBER(RevenueData!H15),"","other")))</f>
        <v>tenant other</v>
      </c>
      <c r="F104" s="215"/>
      <c r="G104" s="215" t="s">
        <v>1093</v>
      </c>
    </row>
    <row r="105" customFormat="false" ht="15" hidden="false" customHeight="false" outlineLevel="0" collapsed="false">
      <c r="A105" s="215" t="str">
        <f aca="false">IF(RevenueData!A16="","",RevenueData!A16)</f>
        <v>M91</v>
      </c>
      <c r="B105" s="219" t="n">
        <f aca="false">IF(A105="","",SUMIF(RevenueData!$A:$A,A105,RevenueData!$B:$B)+SUMIF(RevenueData!$A:$A,A105,RevenueData!$C:$C)+SUMIF(RevenueData!$A:$A,A105,RevenueData!$D:$D)+SUMIF(RevenueData!$A:$A,A105,RevenueData!$E:$E)+SUMIF(RevenueData!$A:$A,A105,RevenueData!$F:$F)+SUMIF(RevenueData!$A:$A,A105,RevenueData!$G:$G)+SUMIF(RevenueData!$A:$A,A105,RevenueData!$H:$H))</f>
        <v>2058</v>
      </c>
      <c r="C105" s="215" t="n">
        <f aca="false">IF(A105="","",B105*7)</f>
        <v>14406</v>
      </c>
      <c r="D105" s="215" t="n">
        <f aca="false">IF(A105="","",B105*19)</f>
        <v>39102</v>
      </c>
      <c r="E105" s="215" t="str">
        <f aca="false">IF(A105="","",TRIM(IF(ISNUMBER(RevenueData!B16),"","100LL ")&amp;IF(ISNUMBER(RevenueData!C16),"","Jet-A ")&amp;IF(ISNUMBER(RevenueData!G16),"","tenant ")&amp;IF(ISNUMBER(RevenueData!H16),"","other")))</f>
        <v/>
      </c>
      <c r="F105" s="215"/>
      <c r="G105" s="215" t="s">
        <v>1093</v>
      </c>
    </row>
    <row r="106" customFormat="false" ht="15" hidden="false" customHeight="false" outlineLevel="0" collapsed="false">
      <c r="A106" s="215" t="str">
        <f aca="false">IF(RevenueData!A17="","",RevenueData!A17)</f>
        <v>CKV</v>
      </c>
      <c r="B106" s="219" t="n">
        <f aca="false">IF(A106="","",SUMIF(RevenueData!$A:$A,A106,RevenueData!$B:$B)+SUMIF(RevenueData!$A:$A,A106,RevenueData!$C:$C)+SUMIF(RevenueData!$A:$A,A106,RevenueData!$D:$D)+SUMIF(RevenueData!$A:$A,A106,RevenueData!$E:$E)+SUMIF(RevenueData!$A:$A,A106,RevenueData!$F:$F)+SUMIF(RevenueData!$A:$A,A106,RevenueData!$G:$G)+SUMIF(RevenueData!$A:$A,A106,RevenueData!$H:$H))</f>
        <v>3239.39</v>
      </c>
      <c r="C106" s="215" t="n">
        <f aca="false">IF(A106="","",B106*7)</f>
        <v>22675.73</v>
      </c>
      <c r="D106" s="215" t="n">
        <f aca="false">IF(A106="","",B106*19)</f>
        <v>61548.41</v>
      </c>
      <c r="E106" s="215" t="str">
        <f aca="false">IF(A106="","",TRIM(IF(ISNUMBER(RevenueData!B17),"","100LL ")&amp;IF(ISNUMBER(RevenueData!C17),"","Jet-A ")&amp;IF(ISNUMBER(RevenueData!G17),"","tenant ")&amp;IF(ISNUMBER(RevenueData!H17),"","other")))</f>
        <v>tenant other</v>
      </c>
      <c r="F106" s="215"/>
      <c r="G106" s="215" t="s">
        <v>1093</v>
      </c>
    </row>
    <row r="107" customFormat="false" ht="15" hidden="false" customHeight="false" outlineLevel="0" collapsed="false">
      <c r="A107" s="215" t="str">
        <f aca="false">IF(RevenueData!A18="","",RevenueData!A18)</f>
        <v>M54</v>
      </c>
      <c r="B107" s="219" t="n">
        <f aca="false">IF(A107="","",SUMIF(RevenueData!$A:$A,A107,RevenueData!$B:$B)+SUMIF(RevenueData!$A:$A,A107,RevenueData!$C:$C)+SUMIF(RevenueData!$A:$A,A107,RevenueData!$D:$D)+SUMIF(RevenueData!$A:$A,A107,RevenueData!$E:$E)+SUMIF(RevenueData!$A:$A,A107,RevenueData!$F:$F)+SUMIF(RevenueData!$A:$A,A107,RevenueData!$G:$G)+SUMIF(RevenueData!$A:$A,A107,RevenueData!$H:$H))</f>
        <v>1027.81</v>
      </c>
      <c r="C107" s="215" t="n">
        <f aca="false">IF(A107="","",B107*7)</f>
        <v>7194.67</v>
      </c>
      <c r="D107" s="215" t="n">
        <f aca="false">IF(A107="","",B107*19)</f>
        <v>19528.39</v>
      </c>
      <c r="E107" s="215" t="str">
        <f aca="false">IF(A107="","",TRIM(IF(ISNUMBER(RevenueData!B18),"","100LL ")&amp;IF(ISNUMBER(RevenueData!C18),"","Jet-A ")&amp;IF(ISNUMBER(RevenueData!G18),"","tenant ")&amp;IF(ISNUMBER(RevenueData!H18),"","other")))</f>
        <v>100LL Jet-A</v>
      </c>
      <c r="F107" s="215"/>
      <c r="G107" s="215" t="s">
        <v>1093</v>
      </c>
    </row>
    <row r="108" customFormat="false" ht="25.5" hidden="false" customHeight="true" outlineLevel="0" collapsed="false">
      <c r="A108" s="212" t="s">
        <v>1094</v>
      </c>
      <c r="B108" s="212"/>
      <c r="C108" s="212"/>
      <c r="D108" s="212"/>
      <c r="E108" s="212"/>
      <c r="F108" s="212"/>
      <c r="G108" s="212"/>
    </row>
    <row r="110" customFormat="false" ht="15" hidden="false" customHeight="false" outlineLevel="0" collapsed="false">
      <c r="A110" s="191" t="s">
        <v>1095</v>
      </c>
      <c r="B110" s="192"/>
      <c r="C110" s="192"/>
      <c r="D110" s="192"/>
      <c r="E110" s="192"/>
      <c r="F110" s="192"/>
      <c r="G110" s="192"/>
    </row>
    <row r="111" customFormat="false" ht="15" hidden="false" customHeight="false" outlineLevel="0" collapsed="false">
      <c r="A111" s="178" t="s">
        <v>33</v>
      </c>
      <c r="B111" s="178" t="s">
        <v>856</v>
      </c>
      <c r="C111" s="178"/>
      <c r="D111" s="178"/>
      <c r="E111" s="178"/>
      <c r="F111" s="178"/>
      <c r="G111" s="178" t="s">
        <v>857</v>
      </c>
    </row>
    <row r="112" customFormat="false" ht="15" hidden="false" customHeight="false" outlineLevel="0" collapsed="false">
      <c r="A112" s="215" t="s">
        <v>1096</v>
      </c>
      <c r="B112" s="219" t="n">
        <f aca="false">COUNTA('General Information'!$L$10:$L$88)</f>
        <v>79</v>
      </c>
      <c r="C112" s="215"/>
      <c r="D112" s="215"/>
      <c r="E112" s="215"/>
      <c r="F112" s="215"/>
      <c r="G112" s="215" t="s">
        <v>1097</v>
      </c>
    </row>
    <row r="113" customFormat="false" ht="15" hidden="false" customHeight="false" outlineLevel="0" collapsed="false">
      <c r="A113" s="215" t="s">
        <v>1098</v>
      </c>
      <c r="B113" s="219" t="n">
        <f aca="false">COUNTA(RevenueData!$A$2:$A$60)</f>
        <v>17</v>
      </c>
      <c r="C113" s="215"/>
      <c r="D113" s="215"/>
      <c r="E113" s="215"/>
      <c r="F113" s="215"/>
      <c r="G113" s="215" t="s">
        <v>1099</v>
      </c>
    </row>
    <row r="114" customFormat="false" ht="15" hidden="false" customHeight="false" outlineLevel="0" collapsed="false">
      <c r="A114" s="215" t="s">
        <v>1100</v>
      </c>
      <c r="B114" s="219" t="str">
        <f aca="false">COUNTIF('General Information'!$P$10:$P$88,"Middle")&amp;" / "&amp;COUNTIF('General Information'!$P$10:$P$88,"West")&amp;" / "&amp;COUNTIF('General Information'!$P$10:$P$88,"East")</f>
        <v>33 / 21 / 25</v>
      </c>
      <c r="C114" s="215"/>
      <c r="D114" s="215"/>
      <c r="E114" s="215"/>
      <c r="F114" s="215"/>
      <c r="G114" s="215" t="s">
        <v>1097</v>
      </c>
    </row>
  </sheetData>
  <mergeCells count="9">
    <mergeCell ref="A2:G2"/>
    <mergeCell ref="A4:G4"/>
    <mergeCell ref="A19:G19"/>
    <mergeCell ref="A32:G32"/>
    <mergeCell ref="A46:G46"/>
    <mergeCell ref="A59:G59"/>
    <mergeCell ref="A75:G75"/>
    <mergeCell ref="A87:G87"/>
    <mergeCell ref="A108:G108"/>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true"/>
  </sheetPr>
  <dimension ref="A1:E10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71484375" defaultRowHeight="15" zeroHeight="false" outlineLevelRow="0" outlineLevelCol="0"/>
  <cols>
    <col collapsed="false" customWidth="true" hidden="false" outlineLevel="0" max="1" min="1" style="0" width="30"/>
    <col collapsed="false" customWidth="true" hidden="false" outlineLevel="0" max="2" min="2" style="0" width="22"/>
    <col collapsed="false" customWidth="true" hidden="false" outlineLevel="0" max="3" min="3" style="0" width="46"/>
    <col collapsed="false" customWidth="true" hidden="false" outlineLevel="0" max="4" min="4" style="0" width="52"/>
    <col collapsed="false" customWidth="true" hidden="false" outlineLevel="0" max="5" min="5" style="0" width="26"/>
  </cols>
  <sheetData>
    <row r="1" customFormat="false" ht="39.75" hidden="false" customHeight="true" outlineLevel="0" collapsed="false">
      <c r="A1" s="3" t="str">
        <f aca="false">HYPERLINK("#'General Information'!D9","◄ General Information")</f>
        <v>◄ General Information</v>
      </c>
      <c r="B1" s="4" t="str">
        <f aca="false">HYPERLINK("#Summary!G1","Summary")</f>
        <v>Summary</v>
      </c>
      <c r="C1" s="42" t="s">
        <v>1101</v>
      </c>
      <c r="D1" s="95" t="s">
        <v>1102</v>
      </c>
    </row>
    <row r="2" customFormat="false" ht="31.5" hidden="false" customHeight="true" outlineLevel="0" collapsed="false">
      <c r="A2" s="122" t="s">
        <v>1103</v>
      </c>
      <c r="B2" s="122"/>
      <c r="C2" s="122"/>
      <c r="D2" s="122"/>
      <c r="E2" s="122"/>
    </row>
    <row r="3" customFormat="false" ht="6" hidden="false" customHeight="true" outlineLevel="0" collapsed="false"/>
    <row r="4" customFormat="false" ht="25.5" hidden="false" customHeight="true" outlineLevel="0" collapsed="false">
      <c r="A4" s="212" t="s">
        <v>1104</v>
      </c>
      <c r="B4" s="212"/>
      <c r="C4" s="212"/>
      <c r="D4" s="212"/>
      <c r="E4" s="212"/>
    </row>
    <row r="5" customFormat="false" ht="21.75" hidden="false" customHeight="true" outlineLevel="0" collapsed="false">
      <c r="A5" s="220" t="s">
        <v>1105</v>
      </c>
      <c r="B5" s="220"/>
      <c r="C5" s="220"/>
      <c r="D5" s="220"/>
      <c r="E5" s="220"/>
    </row>
    <row r="6" customFormat="false" ht="21.75" hidden="false" customHeight="true" outlineLevel="0" collapsed="false">
      <c r="A6" s="201" t="s">
        <v>1106</v>
      </c>
      <c r="B6" s="213"/>
      <c r="C6" s="213"/>
      <c r="D6" s="213"/>
      <c r="E6" s="213"/>
    </row>
    <row r="7" customFormat="false" ht="24" hidden="false" customHeight="true" outlineLevel="0" collapsed="false">
      <c r="A7" s="214" t="s">
        <v>1107</v>
      </c>
      <c r="B7" s="214" t="s">
        <v>1108</v>
      </c>
      <c r="C7" s="214" t="s">
        <v>1109</v>
      </c>
      <c r="D7" s="214" t="s">
        <v>1110</v>
      </c>
      <c r="E7" s="214" t="s">
        <v>1111</v>
      </c>
    </row>
    <row r="8" customFormat="false" ht="46.25" hidden="false" customHeight="false" outlineLevel="0" collapsed="false">
      <c r="A8" s="215" t="s">
        <v>1112</v>
      </c>
      <c r="B8" s="215" t="s">
        <v>1113</v>
      </c>
      <c r="C8" s="221" t="s">
        <v>1114</v>
      </c>
      <c r="D8" s="215" t="s">
        <v>1115</v>
      </c>
      <c r="E8" s="215" t="s">
        <v>1116</v>
      </c>
    </row>
    <row r="9" customFormat="false" ht="23.85" hidden="false" customHeight="false" outlineLevel="0" collapsed="false">
      <c r="A9" s="215" t="s">
        <v>1117</v>
      </c>
      <c r="B9" s="215" t="s">
        <v>1118</v>
      </c>
      <c r="C9" s="221" t="s">
        <v>1119</v>
      </c>
      <c r="D9" s="215" t="s">
        <v>1120</v>
      </c>
      <c r="E9" s="215" t="s">
        <v>1121</v>
      </c>
    </row>
    <row r="10" customFormat="false" ht="35.05" hidden="false" customHeight="false" outlineLevel="0" collapsed="false">
      <c r="A10" s="215" t="s">
        <v>1122</v>
      </c>
      <c r="B10" s="215" t="s">
        <v>1123</v>
      </c>
      <c r="C10" s="221"/>
      <c r="D10" s="215" t="s">
        <v>1124</v>
      </c>
      <c r="E10" s="215" t="s">
        <v>1121</v>
      </c>
    </row>
    <row r="11" customFormat="false" ht="25.5" hidden="false" customHeight="true" outlineLevel="0" collapsed="false">
      <c r="A11" s="212" t="s">
        <v>1125</v>
      </c>
      <c r="B11" s="212"/>
      <c r="C11" s="212"/>
      <c r="D11" s="212"/>
      <c r="E11" s="212"/>
    </row>
    <row r="13" customFormat="false" ht="21.75" hidden="false" customHeight="true" outlineLevel="0" collapsed="false">
      <c r="A13" s="201" t="s">
        <v>1126</v>
      </c>
      <c r="B13" s="213"/>
      <c r="C13" s="213"/>
      <c r="D13" s="213"/>
      <c r="E13" s="213"/>
    </row>
    <row r="14" customFormat="false" ht="24" hidden="false" customHeight="true" outlineLevel="0" collapsed="false">
      <c r="A14" s="214" t="s">
        <v>1107</v>
      </c>
      <c r="B14" s="214" t="s">
        <v>1108</v>
      </c>
      <c r="C14" s="214" t="s">
        <v>1109</v>
      </c>
      <c r="D14" s="214" t="s">
        <v>1110</v>
      </c>
      <c r="E14" s="214" t="s">
        <v>1111</v>
      </c>
    </row>
    <row r="15" customFormat="false" ht="23.85" hidden="false" customHeight="false" outlineLevel="0" collapsed="false">
      <c r="A15" s="215" t="s">
        <v>1127</v>
      </c>
      <c r="B15" s="215" t="s">
        <v>1128</v>
      </c>
      <c r="C15" s="221" t="s">
        <v>1129</v>
      </c>
      <c r="D15" s="215" t="s">
        <v>1130</v>
      </c>
      <c r="E15" s="215" t="s">
        <v>1131</v>
      </c>
    </row>
    <row r="16" customFormat="false" ht="57.45" hidden="false" customHeight="false" outlineLevel="0" collapsed="false">
      <c r="A16" s="215" t="s">
        <v>1132</v>
      </c>
      <c r="B16" s="215" t="s">
        <v>1133</v>
      </c>
      <c r="C16" s="221" t="s">
        <v>1134</v>
      </c>
      <c r="D16" s="215" t="s">
        <v>1135</v>
      </c>
      <c r="E16" s="215" t="s">
        <v>1136</v>
      </c>
    </row>
    <row r="17" customFormat="false" ht="46.25" hidden="false" customHeight="false" outlineLevel="0" collapsed="false">
      <c r="A17" s="215" t="s">
        <v>1137</v>
      </c>
      <c r="B17" s="215" t="s">
        <v>1138</v>
      </c>
      <c r="C17" s="221" t="s">
        <v>1139</v>
      </c>
      <c r="D17" s="215" t="s">
        <v>1140</v>
      </c>
      <c r="E17" s="215" t="s">
        <v>1141</v>
      </c>
    </row>
    <row r="18" customFormat="false" ht="15" hidden="false" customHeight="false" outlineLevel="0" collapsed="false">
      <c r="A18" s="215" t="s">
        <v>1142</v>
      </c>
      <c r="B18" s="215" t="s">
        <v>1143</v>
      </c>
      <c r="C18" s="221" t="s">
        <v>1144</v>
      </c>
      <c r="D18" s="215" t="s">
        <v>1145</v>
      </c>
      <c r="E18" s="215" t="s">
        <v>1146</v>
      </c>
    </row>
    <row r="19" customFormat="false" ht="23.85" hidden="false" customHeight="false" outlineLevel="0" collapsed="false">
      <c r="A19" s="215" t="s">
        <v>28</v>
      </c>
      <c r="B19" s="215" t="s">
        <v>1147</v>
      </c>
      <c r="C19" s="221" t="s">
        <v>1148</v>
      </c>
      <c r="D19" s="215" t="s">
        <v>1149</v>
      </c>
      <c r="E19" s="215" t="s">
        <v>1150</v>
      </c>
    </row>
    <row r="20" customFormat="false" ht="35.05" hidden="false" customHeight="false" outlineLevel="0" collapsed="false">
      <c r="A20" s="215" t="s">
        <v>29</v>
      </c>
      <c r="B20" s="215" t="s">
        <v>1151</v>
      </c>
      <c r="C20" s="221" t="s">
        <v>1152</v>
      </c>
      <c r="D20" s="215" t="s">
        <v>1153</v>
      </c>
      <c r="E20" s="215" t="s">
        <v>1154</v>
      </c>
    </row>
    <row r="21" customFormat="false" ht="23.85" hidden="false" customHeight="false" outlineLevel="0" collapsed="false">
      <c r="A21" s="215" t="s">
        <v>1155</v>
      </c>
      <c r="B21" s="215" t="s">
        <v>1156</v>
      </c>
      <c r="C21" s="221" t="s">
        <v>1157</v>
      </c>
      <c r="D21" s="215" t="s">
        <v>1158</v>
      </c>
      <c r="E21" s="215" t="s">
        <v>1131</v>
      </c>
    </row>
    <row r="23" customFormat="false" ht="21.75" hidden="false" customHeight="true" outlineLevel="0" collapsed="false">
      <c r="A23" s="201" t="s">
        <v>1159</v>
      </c>
      <c r="B23" s="213"/>
      <c r="C23" s="213"/>
      <c r="D23" s="213"/>
      <c r="E23" s="213"/>
    </row>
    <row r="24" customFormat="false" ht="24" hidden="false" customHeight="true" outlineLevel="0" collapsed="false">
      <c r="A24" s="214" t="s">
        <v>1107</v>
      </c>
      <c r="B24" s="214" t="s">
        <v>1108</v>
      </c>
      <c r="C24" s="214" t="s">
        <v>1109</v>
      </c>
      <c r="D24" s="214" t="s">
        <v>1110</v>
      </c>
      <c r="E24" s="214" t="s">
        <v>1111</v>
      </c>
    </row>
    <row r="25" customFormat="false" ht="46.25" hidden="false" customHeight="false" outlineLevel="0" collapsed="false">
      <c r="A25" s="215" t="s">
        <v>1160</v>
      </c>
      <c r="B25" s="215" t="s">
        <v>1161</v>
      </c>
      <c r="C25" s="221" t="s">
        <v>1162</v>
      </c>
      <c r="D25" s="215" t="s">
        <v>1163</v>
      </c>
      <c r="E25" s="215" t="s">
        <v>1164</v>
      </c>
    </row>
    <row r="26" customFormat="false" ht="23.85" hidden="false" customHeight="false" outlineLevel="0" collapsed="false">
      <c r="A26" s="215" t="s">
        <v>1165</v>
      </c>
      <c r="B26" s="215" t="s">
        <v>1166</v>
      </c>
      <c r="C26" s="221"/>
      <c r="D26" s="215" t="s">
        <v>1167</v>
      </c>
      <c r="E26" s="215" t="s">
        <v>1131</v>
      </c>
    </row>
    <row r="27" customFormat="false" ht="35.05" hidden="false" customHeight="false" outlineLevel="0" collapsed="false">
      <c r="A27" s="215" t="s">
        <v>1168</v>
      </c>
      <c r="B27" s="215" t="s">
        <v>1169</v>
      </c>
      <c r="C27" s="221" t="s">
        <v>1170</v>
      </c>
      <c r="D27" s="215" t="s">
        <v>1171</v>
      </c>
      <c r="E27" s="215" t="s">
        <v>1172</v>
      </c>
    </row>
    <row r="28" customFormat="false" ht="25.5" hidden="false" customHeight="true" outlineLevel="0" collapsed="false">
      <c r="A28" s="212" t="s">
        <v>1173</v>
      </c>
      <c r="B28" s="212"/>
      <c r="C28" s="212"/>
      <c r="D28" s="212"/>
      <c r="E28" s="212"/>
    </row>
    <row r="30" customFormat="false" ht="21.75" hidden="false" customHeight="true" outlineLevel="0" collapsed="false">
      <c r="A30" s="201" t="s">
        <v>1174</v>
      </c>
      <c r="B30" s="213"/>
      <c r="C30" s="213"/>
      <c r="D30" s="213"/>
      <c r="E30" s="213"/>
    </row>
    <row r="31" customFormat="false" ht="24" hidden="false" customHeight="true" outlineLevel="0" collapsed="false">
      <c r="A31" s="214" t="s">
        <v>1107</v>
      </c>
      <c r="B31" s="214" t="s">
        <v>1108</v>
      </c>
      <c r="C31" s="214" t="s">
        <v>1109</v>
      </c>
      <c r="D31" s="214" t="s">
        <v>1110</v>
      </c>
      <c r="E31" s="214" t="s">
        <v>1111</v>
      </c>
    </row>
    <row r="32" customFormat="false" ht="35.05" hidden="false" customHeight="false" outlineLevel="0" collapsed="false">
      <c r="A32" s="215" t="s">
        <v>1175</v>
      </c>
      <c r="B32" s="215" t="s">
        <v>1176</v>
      </c>
      <c r="C32" s="221" t="s">
        <v>1177</v>
      </c>
      <c r="D32" s="215" t="s">
        <v>1178</v>
      </c>
      <c r="E32" s="215" t="s">
        <v>1179</v>
      </c>
    </row>
    <row r="33" customFormat="false" ht="35.05" hidden="false" customHeight="false" outlineLevel="0" collapsed="false">
      <c r="A33" s="215" t="s">
        <v>1180</v>
      </c>
      <c r="B33" s="215" t="s">
        <v>1181</v>
      </c>
      <c r="C33" s="221" t="s">
        <v>1182</v>
      </c>
      <c r="D33" s="215" t="s">
        <v>1183</v>
      </c>
      <c r="E33" s="215" t="s">
        <v>1184</v>
      </c>
    </row>
    <row r="34" customFormat="false" ht="35.05" hidden="false" customHeight="false" outlineLevel="0" collapsed="false">
      <c r="A34" s="215" t="s">
        <v>1185</v>
      </c>
      <c r="B34" s="215" t="s">
        <v>1186</v>
      </c>
      <c r="C34" s="221" t="s">
        <v>1187</v>
      </c>
      <c r="D34" s="215" t="s">
        <v>1188</v>
      </c>
      <c r="E34" s="215" t="s">
        <v>1189</v>
      </c>
    </row>
    <row r="35" customFormat="false" ht="35.05" hidden="false" customHeight="false" outlineLevel="0" collapsed="false">
      <c r="A35" s="215" t="s">
        <v>1190</v>
      </c>
      <c r="B35" s="215" t="s">
        <v>1191</v>
      </c>
      <c r="C35" s="221" t="s">
        <v>1192</v>
      </c>
      <c r="D35" s="215" t="s">
        <v>1193</v>
      </c>
      <c r="E35" s="215" t="s">
        <v>1194</v>
      </c>
    </row>
    <row r="36" customFormat="false" ht="35.05" hidden="false" customHeight="false" outlineLevel="0" collapsed="false">
      <c r="A36" s="215" t="s">
        <v>1195</v>
      </c>
      <c r="B36" s="215" t="s">
        <v>1196</v>
      </c>
      <c r="C36" s="221" t="s">
        <v>1197</v>
      </c>
      <c r="D36" s="215" t="s">
        <v>1198</v>
      </c>
      <c r="E36" s="215" t="s">
        <v>1199</v>
      </c>
    </row>
    <row r="37" customFormat="false" ht="23.85" hidden="false" customHeight="false" outlineLevel="0" collapsed="false">
      <c r="A37" s="215" t="s">
        <v>1200</v>
      </c>
      <c r="B37" s="215" t="s">
        <v>1201</v>
      </c>
      <c r="C37" s="221" t="s">
        <v>1202</v>
      </c>
      <c r="D37" s="215" t="s">
        <v>1203</v>
      </c>
      <c r="E37" s="215" t="s">
        <v>1204</v>
      </c>
    </row>
    <row r="38" customFormat="false" ht="23.85" hidden="false" customHeight="false" outlineLevel="0" collapsed="false">
      <c r="A38" s="215" t="s">
        <v>1205</v>
      </c>
      <c r="B38" s="215" t="s">
        <v>1206</v>
      </c>
      <c r="C38" s="221" t="s">
        <v>1207</v>
      </c>
      <c r="D38" s="215" t="s">
        <v>1208</v>
      </c>
      <c r="E38" s="215" t="s">
        <v>1209</v>
      </c>
    </row>
    <row r="39" customFormat="false" ht="25.5" hidden="false" customHeight="true" outlineLevel="0" collapsed="false">
      <c r="A39" s="212" t="s">
        <v>1210</v>
      </c>
      <c r="B39" s="212"/>
      <c r="C39" s="212"/>
      <c r="D39" s="212"/>
      <c r="E39" s="212"/>
    </row>
    <row r="41" customFormat="false" ht="21.75" hidden="false" customHeight="true" outlineLevel="0" collapsed="false">
      <c r="A41" s="201" t="s">
        <v>1211</v>
      </c>
      <c r="B41" s="213"/>
      <c r="C41" s="213"/>
      <c r="D41" s="213"/>
      <c r="E41" s="213"/>
    </row>
    <row r="42" customFormat="false" ht="24" hidden="false" customHeight="true" outlineLevel="0" collapsed="false">
      <c r="A42" s="214" t="s">
        <v>1107</v>
      </c>
      <c r="B42" s="214" t="s">
        <v>1108</v>
      </c>
      <c r="C42" s="214" t="s">
        <v>1109</v>
      </c>
      <c r="D42" s="214" t="s">
        <v>1110</v>
      </c>
      <c r="E42" s="214" t="s">
        <v>1111</v>
      </c>
    </row>
    <row r="43" customFormat="false" ht="23.85" hidden="false" customHeight="false" outlineLevel="0" collapsed="false">
      <c r="A43" s="215" t="s">
        <v>1212</v>
      </c>
      <c r="B43" s="215" t="s">
        <v>1213</v>
      </c>
      <c r="C43" s="221" t="s">
        <v>1214</v>
      </c>
      <c r="D43" s="215" t="s">
        <v>1215</v>
      </c>
      <c r="E43" s="215" t="s">
        <v>1216</v>
      </c>
    </row>
    <row r="44" customFormat="false" ht="32.8" hidden="false" customHeight="false" outlineLevel="0" collapsed="false">
      <c r="A44" s="215" t="s">
        <v>1217</v>
      </c>
      <c r="B44" s="215" t="s">
        <v>1218</v>
      </c>
      <c r="C44" s="221" t="s">
        <v>1219</v>
      </c>
      <c r="D44" s="215" t="s">
        <v>1220</v>
      </c>
      <c r="E44" s="215" t="s">
        <v>1221</v>
      </c>
    </row>
    <row r="45" customFormat="false" ht="15" hidden="false" customHeight="false" outlineLevel="0" collapsed="false">
      <c r="A45" s="215" t="s">
        <v>1222</v>
      </c>
      <c r="B45" s="215" t="s">
        <v>1223</v>
      </c>
      <c r="C45" s="221" t="s">
        <v>1224</v>
      </c>
      <c r="D45" s="215" t="s">
        <v>1225</v>
      </c>
      <c r="E45" s="215" t="s">
        <v>1221</v>
      </c>
    </row>
    <row r="46" customFormat="false" ht="35.05" hidden="false" customHeight="false" outlineLevel="0" collapsed="false">
      <c r="A46" s="215" t="s">
        <v>1226</v>
      </c>
      <c r="B46" s="215" t="s">
        <v>1227</v>
      </c>
      <c r="C46" s="221" t="s">
        <v>1228</v>
      </c>
      <c r="D46" s="215" t="s">
        <v>1229</v>
      </c>
      <c r="E46" s="215" t="s">
        <v>1221</v>
      </c>
    </row>
    <row r="47" customFormat="false" ht="23.85" hidden="false" customHeight="false" outlineLevel="0" collapsed="false">
      <c r="A47" s="215" t="s">
        <v>1230</v>
      </c>
      <c r="B47" s="215" t="s">
        <v>1231</v>
      </c>
      <c r="C47" s="221"/>
      <c r="D47" s="215" t="s">
        <v>1232</v>
      </c>
      <c r="E47" s="215" t="s">
        <v>1131</v>
      </c>
    </row>
    <row r="48" customFormat="false" ht="25.5" hidden="false" customHeight="true" outlineLevel="0" collapsed="false">
      <c r="A48" s="212" t="s">
        <v>1233</v>
      </c>
      <c r="B48" s="212"/>
      <c r="C48" s="212"/>
      <c r="D48" s="212"/>
      <c r="E48" s="212"/>
    </row>
    <row r="50" customFormat="false" ht="21.75" hidden="false" customHeight="true" outlineLevel="0" collapsed="false">
      <c r="A50" s="201" t="s">
        <v>1234</v>
      </c>
      <c r="B50" s="213"/>
      <c r="C50" s="213"/>
      <c r="D50" s="213"/>
      <c r="E50" s="213"/>
    </row>
    <row r="51" customFormat="false" ht="24" hidden="false" customHeight="true" outlineLevel="0" collapsed="false">
      <c r="A51" s="214" t="s">
        <v>1107</v>
      </c>
      <c r="B51" s="214" t="s">
        <v>1108</v>
      </c>
      <c r="C51" s="214" t="s">
        <v>1109</v>
      </c>
      <c r="D51" s="214" t="s">
        <v>1110</v>
      </c>
      <c r="E51" s="214" t="s">
        <v>1111</v>
      </c>
    </row>
    <row r="52" customFormat="false" ht="23.85" hidden="false" customHeight="false" outlineLevel="0" collapsed="false">
      <c r="A52" s="215" t="s">
        <v>1235</v>
      </c>
      <c r="B52" s="215" t="s">
        <v>1236</v>
      </c>
      <c r="C52" s="221"/>
      <c r="D52" s="215" t="s">
        <v>1237</v>
      </c>
      <c r="E52" s="215" t="s">
        <v>1236</v>
      </c>
    </row>
    <row r="53" customFormat="false" ht="35.05" hidden="false" customHeight="false" outlineLevel="0" collapsed="false">
      <c r="A53" s="215" t="s">
        <v>1238</v>
      </c>
      <c r="B53" s="215" t="s">
        <v>1239</v>
      </c>
      <c r="C53" s="221" t="s">
        <v>1240</v>
      </c>
      <c r="D53" s="215" t="s">
        <v>1241</v>
      </c>
      <c r="E53" s="215" t="s">
        <v>1242</v>
      </c>
    </row>
    <row r="54" customFormat="false" ht="23.85" hidden="false" customHeight="false" outlineLevel="0" collapsed="false">
      <c r="A54" s="215" t="s">
        <v>1243</v>
      </c>
      <c r="B54" s="215" t="s">
        <v>1244</v>
      </c>
      <c r="C54" s="221" t="s">
        <v>1245</v>
      </c>
      <c r="D54" s="215" t="s">
        <v>1246</v>
      </c>
      <c r="E54" s="215" t="s">
        <v>1247</v>
      </c>
    </row>
    <row r="55" customFormat="false" ht="23.85" hidden="false" customHeight="false" outlineLevel="0" collapsed="false">
      <c r="A55" s="215" t="s">
        <v>1248</v>
      </c>
      <c r="B55" s="215" t="s">
        <v>1249</v>
      </c>
      <c r="C55" s="221" t="s">
        <v>1250</v>
      </c>
      <c r="D55" s="215" t="s">
        <v>1251</v>
      </c>
      <c r="E55" s="215" t="s">
        <v>1131</v>
      </c>
    </row>
    <row r="56" customFormat="false" ht="25.5" hidden="false" customHeight="true" outlineLevel="0" collapsed="false">
      <c r="A56" s="212" t="s">
        <v>1252</v>
      </c>
      <c r="B56" s="212"/>
      <c r="C56" s="212"/>
      <c r="D56" s="212"/>
      <c r="E56" s="212"/>
    </row>
    <row r="58" customFormat="false" ht="21.75" hidden="false" customHeight="true" outlineLevel="0" collapsed="false">
      <c r="A58" s="201" t="s">
        <v>1253</v>
      </c>
      <c r="B58" s="213"/>
      <c r="C58" s="213"/>
      <c r="D58" s="213"/>
      <c r="E58" s="213"/>
    </row>
    <row r="59" customFormat="false" ht="24" hidden="false" customHeight="true" outlineLevel="0" collapsed="false">
      <c r="A59" s="214" t="s">
        <v>1107</v>
      </c>
      <c r="B59" s="214" t="s">
        <v>1108</v>
      </c>
      <c r="C59" s="214" t="s">
        <v>1109</v>
      </c>
      <c r="D59" s="214" t="s">
        <v>1110</v>
      </c>
      <c r="E59" s="214" t="s">
        <v>1111</v>
      </c>
    </row>
    <row r="60" customFormat="false" ht="57.45" hidden="false" customHeight="false" outlineLevel="0" collapsed="false">
      <c r="A60" s="215" t="s">
        <v>1254</v>
      </c>
      <c r="B60" s="215" t="s">
        <v>1255</v>
      </c>
      <c r="C60" s="221" t="s">
        <v>1256</v>
      </c>
      <c r="D60" s="215" t="s">
        <v>1257</v>
      </c>
      <c r="E60" s="215" t="s">
        <v>1258</v>
      </c>
    </row>
    <row r="61" customFormat="false" ht="46.25" hidden="false" customHeight="false" outlineLevel="0" collapsed="false">
      <c r="A61" s="215" t="s">
        <v>643</v>
      </c>
      <c r="B61" s="215" t="s">
        <v>1259</v>
      </c>
      <c r="C61" s="221" t="s">
        <v>1260</v>
      </c>
      <c r="D61" s="215" t="s">
        <v>1261</v>
      </c>
      <c r="E61" s="215" t="s">
        <v>1262</v>
      </c>
    </row>
    <row r="62" customFormat="false" ht="35.05" hidden="false" customHeight="false" outlineLevel="0" collapsed="false">
      <c r="A62" s="215" t="s">
        <v>7</v>
      </c>
      <c r="B62" s="215" t="s">
        <v>1263</v>
      </c>
      <c r="C62" s="221" t="s">
        <v>1264</v>
      </c>
      <c r="D62" s="215" t="s">
        <v>1265</v>
      </c>
      <c r="E62" s="215" t="s">
        <v>1266</v>
      </c>
    </row>
    <row r="63" customFormat="false" ht="57.45" hidden="false" customHeight="false" outlineLevel="0" collapsed="false">
      <c r="A63" s="215" t="s">
        <v>1267</v>
      </c>
      <c r="B63" s="215" t="s">
        <v>1268</v>
      </c>
      <c r="C63" s="221"/>
      <c r="D63" s="215" t="s">
        <v>1269</v>
      </c>
      <c r="E63" s="215" t="s">
        <v>1270</v>
      </c>
    </row>
    <row r="64" customFormat="false" ht="23.85" hidden="false" customHeight="false" outlineLevel="0" collapsed="false">
      <c r="A64" s="215" t="s">
        <v>1271</v>
      </c>
      <c r="B64" s="215" t="s">
        <v>1272</v>
      </c>
      <c r="C64" s="221" t="s">
        <v>1273</v>
      </c>
      <c r="D64" s="215" t="s">
        <v>1274</v>
      </c>
      <c r="E64" s="215" t="s">
        <v>1275</v>
      </c>
    </row>
    <row r="65" customFormat="false" ht="23.85" hidden="false" customHeight="false" outlineLevel="0" collapsed="false">
      <c r="A65" s="215" t="s">
        <v>1276</v>
      </c>
      <c r="B65" s="215" t="s">
        <v>1277</v>
      </c>
      <c r="C65" s="221" t="s">
        <v>1278</v>
      </c>
      <c r="D65" s="215" t="s">
        <v>1279</v>
      </c>
      <c r="E65" s="215" t="s">
        <v>1280</v>
      </c>
    </row>
    <row r="66" customFormat="false" ht="25.5" hidden="false" customHeight="true" outlineLevel="0" collapsed="false">
      <c r="A66" s="212" t="s">
        <v>1281</v>
      </c>
      <c r="B66" s="212"/>
      <c r="C66" s="212"/>
      <c r="D66" s="212"/>
      <c r="E66" s="212"/>
    </row>
    <row r="68" customFormat="false" ht="21.75" hidden="false" customHeight="true" outlineLevel="0" collapsed="false">
      <c r="A68" s="201" t="s">
        <v>1282</v>
      </c>
      <c r="B68" s="213"/>
      <c r="C68" s="213"/>
      <c r="D68" s="213"/>
      <c r="E68" s="213"/>
    </row>
    <row r="69" customFormat="false" ht="24" hidden="false" customHeight="true" outlineLevel="0" collapsed="false">
      <c r="A69" s="214" t="s">
        <v>1107</v>
      </c>
      <c r="B69" s="214" t="s">
        <v>1108</v>
      </c>
      <c r="C69" s="214" t="s">
        <v>1109</v>
      </c>
      <c r="D69" s="214" t="s">
        <v>1110</v>
      </c>
      <c r="E69" s="214" t="s">
        <v>1111</v>
      </c>
    </row>
    <row r="70" customFormat="false" ht="35.05" hidden="false" customHeight="false" outlineLevel="0" collapsed="false">
      <c r="A70" s="215" t="s">
        <v>1283</v>
      </c>
      <c r="B70" s="215" t="s">
        <v>1169</v>
      </c>
      <c r="C70" s="221" t="s">
        <v>1284</v>
      </c>
      <c r="D70" s="215" t="s">
        <v>1285</v>
      </c>
      <c r="E70" s="215" t="s">
        <v>1286</v>
      </c>
    </row>
    <row r="71" customFormat="false" ht="35.05" hidden="false" customHeight="false" outlineLevel="0" collapsed="false">
      <c r="A71" s="215" t="s">
        <v>1287</v>
      </c>
      <c r="B71" s="215" t="s">
        <v>1288</v>
      </c>
      <c r="C71" s="221"/>
      <c r="D71" s="215" t="s">
        <v>1289</v>
      </c>
      <c r="E71" s="215" t="s">
        <v>1290</v>
      </c>
    </row>
    <row r="72" customFormat="false" ht="23.85" hidden="false" customHeight="false" outlineLevel="0" collapsed="false">
      <c r="A72" s="215" t="s">
        <v>1291</v>
      </c>
      <c r="B72" s="215" t="s">
        <v>1280</v>
      </c>
      <c r="C72" s="221"/>
      <c r="D72" s="215" t="s">
        <v>1292</v>
      </c>
      <c r="E72" s="215" t="s">
        <v>1293</v>
      </c>
    </row>
    <row r="73" customFormat="false" ht="15" hidden="false" customHeight="false" outlineLevel="0" collapsed="false">
      <c r="A73" s="215" t="s">
        <v>775</v>
      </c>
      <c r="B73" s="215" t="s">
        <v>1113</v>
      </c>
      <c r="C73" s="221" t="s">
        <v>1114</v>
      </c>
      <c r="D73" s="215" t="s">
        <v>1294</v>
      </c>
      <c r="E73" s="215" t="s">
        <v>1131</v>
      </c>
    </row>
    <row r="75" customFormat="false" ht="21.75" hidden="false" customHeight="true" outlineLevel="0" collapsed="false">
      <c r="A75" s="201" t="s">
        <v>1295</v>
      </c>
      <c r="B75" s="213"/>
      <c r="C75" s="213"/>
      <c r="D75" s="213"/>
      <c r="E75" s="213"/>
    </row>
    <row r="76" customFormat="false" ht="24" hidden="false" customHeight="true" outlineLevel="0" collapsed="false">
      <c r="A76" s="214" t="s">
        <v>1107</v>
      </c>
      <c r="B76" s="214" t="s">
        <v>1108</v>
      </c>
      <c r="C76" s="214" t="s">
        <v>1109</v>
      </c>
      <c r="D76" s="214" t="s">
        <v>1110</v>
      </c>
      <c r="E76" s="214" t="s">
        <v>1111</v>
      </c>
    </row>
    <row r="77" customFormat="false" ht="46.25" hidden="false" customHeight="false" outlineLevel="0" collapsed="false">
      <c r="A77" s="215" t="s">
        <v>1296</v>
      </c>
      <c r="B77" s="215" t="s">
        <v>1297</v>
      </c>
      <c r="C77" s="221" t="s">
        <v>1298</v>
      </c>
      <c r="D77" s="215" t="s">
        <v>1299</v>
      </c>
      <c r="E77" s="215" t="s">
        <v>1121</v>
      </c>
    </row>
    <row r="78" customFormat="false" ht="35.05" hidden="false" customHeight="false" outlineLevel="0" collapsed="false">
      <c r="A78" s="215" t="s">
        <v>1300</v>
      </c>
      <c r="B78" s="215" t="s">
        <v>1301</v>
      </c>
      <c r="C78" s="221" t="s">
        <v>1302</v>
      </c>
      <c r="D78" s="215" t="s">
        <v>1303</v>
      </c>
      <c r="E78" s="215" t="s">
        <v>1304</v>
      </c>
    </row>
    <row r="79" customFormat="false" ht="23.85" hidden="false" customHeight="false" outlineLevel="0" collapsed="false">
      <c r="A79" s="215" t="s">
        <v>1305</v>
      </c>
      <c r="B79" s="215" t="s">
        <v>1306</v>
      </c>
      <c r="C79" s="221"/>
      <c r="D79" s="215" t="s">
        <v>1307</v>
      </c>
      <c r="E79" s="215" t="s">
        <v>1121</v>
      </c>
    </row>
    <row r="80" customFormat="false" ht="43.25" hidden="false" customHeight="false" outlineLevel="0" collapsed="false">
      <c r="A80" s="215" t="s">
        <v>1308</v>
      </c>
      <c r="B80" s="215" t="s">
        <v>1309</v>
      </c>
      <c r="C80" s="221" t="s">
        <v>1310</v>
      </c>
      <c r="D80" s="215" t="s">
        <v>1311</v>
      </c>
      <c r="E80" s="215" t="s">
        <v>1312</v>
      </c>
    </row>
    <row r="81" customFormat="false" ht="23.85" hidden="false" customHeight="false" outlineLevel="0" collapsed="false">
      <c r="A81" s="215" t="s">
        <v>1313</v>
      </c>
      <c r="B81" s="215" t="s">
        <v>1314</v>
      </c>
      <c r="C81" s="221" t="s">
        <v>1315</v>
      </c>
      <c r="D81" s="215" t="s">
        <v>1316</v>
      </c>
      <c r="E81" s="215" t="s">
        <v>1121</v>
      </c>
    </row>
    <row r="82" customFormat="false" ht="23.85" hidden="false" customHeight="false" outlineLevel="0" collapsed="false">
      <c r="A82" s="215" t="s">
        <v>1317</v>
      </c>
      <c r="B82" s="215" t="s">
        <v>1318</v>
      </c>
      <c r="C82" s="221" t="s">
        <v>1319</v>
      </c>
      <c r="D82" s="215" t="s">
        <v>1320</v>
      </c>
      <c r="E82" s="215" t="s">
        <v>1121</v>
      </c>
    </row>
    <row r="83" customFormat="false" ht="35.05" hidden="false" customHeight="false" outlineLevel="0" collapsed="false">
      <c r="A83" s="215" t="s">
        <v>1321</v>
      </c>
      <c r="B83" s="215" t="s">
        <v>1322</v>
      </c>
      <c r="C83" s="221" t="s">
        <v>1323</v>
      </c>
      <c r="D83" s="215" t="s">
        <v>1324</v>
      </c>
      <c r="E83" s="215" t="s">
        <v>1121</v>
      </c>
    </row>
    <row r="85" customFormat="false" ht="21.75" hidden="false" customHeight="true" outlineLevel="0" collapsed="false">
      <c r="A85" s="201" t="s">
        <v>1325</v>
      </c>
      <c r="B85" s="213"/>
      <c r="C85" s="213"/>
      <c r="D85" s="213"/>
      <c r="E85" s="213"/>
    </row>
    <row r="86" customFormat="false" ht="24" hidden="false" customHeight="true" outlineLevel="0" collapsed="false">
      <c r="A86" s="214" t="s">
        <v>1107</v>
      </c>
      <c r="B86" s="214" t="s">
        <v>1108</v>
      </c>
      <c r="C86" s="214" t="s">
        <v>1109</v>
      </c>
      <c r="D86" s="214" t="s">
        <v>1110</v>
      </c>
      <c r="E86" s="214" t="s">
        <v>1111</v>
      </c>
    </row>
    <row r="87" customFormat="false" ht="15" hidden="false" customHeight="false" outlineLevel="0" collapsed="false">
      <c r="A87" s="215" t="s">
        <v>1326</v>
      </c>
      <c r="B87" s="215" t="s">
        <v>1280</v>
      </c>
      <c r="C87" s="222" t="n">
        <f aca="false">'General Information'!$D$33</f>
        <v>30</v>
      </c>
      <c r="D87" s="215" t="s">
        <v>1327</v>
      </c>
      <c r="E87" s="215"/>
    </row>
    <row r="88" customFormat="false" ht="15" hidden="false" customHeight="false" outlineLevel="0" collapsed="false">
      <c r="A88" s="215" t="s">
        <v>1328</v>
      </c>
      <c r="B88" s="215" t="s">
        <v>1288</v>
      </c>
      <c r="C88" s="223" t="n">
        <f aca="false">'General Information'!$D$34</f>
        <v>3</v>
      </c>
      <c r="D88" s="215" t="s">
        <v>1329</v>
      </c>
      <c r="E88" s="215"/>
    </row>
    <row r="89" customFormat="false" ht="15" hidden="false" customHeight="false" outlineLevel="0" collapsed="false">
      <c r="A89" s="215" t="s">
        <v>1330</v>
      </c>
      <c r="B89" s="215" t="s">
        <v>1331</v>
      </c>
      <c r="C89" s="224" t="n">
        <f aca="false">IF('General Information'!$D$34=0,0,('General Information'!$D$34/100)*(1+'General Information'!$D$34/100)^'General Information'!$D$33/((1+'General Information'!$D$34/100)^'General Information'!$D$33-1))</f>
        <v>0.0510192593202526</v>
      </c>
      <c r="D89" s="215" t="s">
        <v>1332</v>
      </c>
      <c r="E89" s="215"/>
    </row>
    <row r="90" customFormat="false" ht="15" hidden="false" customHeight="false" outlineLevel="0" collapsed="false">
      <c r="A90" s="215" t="s">
        <v>1333</v>
      </c>
      <c r="B90" s="215" t="s">
        <v>1331</v>
      </c>
      <c r="C90" s="224" t="n">
        <f aca="false">1/(1+'General Information'!$D$34/100)^20</f>
        <v>0.553675754186335</v>
      </c>
      <c r="D90" s="215" t="s">
        <v>1334</v>
      </c>
      <c r="E90" s="215"/>
    </row>
    <row r="91" customFormat="false" ht="15" hidden="false" customHeight="false" outlineLevel="0" collapsed="false">
      <c r="A91" s="215" t="s">
        <v>1335</v>
      </c>
      <c r="B91" s="215" t="s">
        <v>1236</v>
      </c>
      <c r="C91" s="221" t="str">
        <f aca="false">'General Information'!$D$38</f>
        <v>Yes</v>
      </c>
      <c r="D91" s="215" t="s">
        <v>1336</v>
      </c>
      <c r="E91" s="215"/>
    </row>
    <row r="92" customFormat="false" ht="15" hidden="false" customHeight="false" outlineLevel="0" collapsed="false">
      <c r="A92" s="215" t="s">
        <v>1337</v>
      </c>
      <c r="B92" s="215" t="s">
        <v>1338</v>
      </c>
      <c r="C92" s="222" t="n">
        <f aca="false">COUNTA(Database!$A$4:$A$7)</f>
        <v>3</v>
      </c>
      <c r="D92" s="215" t="s">
        <v>1339</v>
      </c>
      <c r="E92" s="215"/>
    </row>
    <row r="93" customFormat="false" ht="25.5" hidden="false" customHeight="true" outlineLevel="0" collapsed="false">
      <c r="A93" s="212" t="s">
        <v>1340</v>
      </c>
      <c r="B93" s="212"/>
      <c r="C93" s="212"/>
      <c r="D93" s="212"/>
      <c r="E93" s="212"/>
    </row>
    <row r="95" customFormat="false" ht="21.75" hidden="false" customHeight="true" outlineLevel="0" collapsed="false">
      <c r="A95" s="201" t="s">
        <v>1341</v>
      </c>
      <c r="B95" s="213"/>
      <c r="C95" s="213"/>
      <c r="D95" s="213"/>
      <c r="E95" s="213"/>
    </row>
    <row r="96" customFormat="false" ht="24" hidden="false" customHeight="true" outlineLevel="0" collapsed="false">
      <c r="A96" s="214" t="s">
        <v>1107</v>
      </c>
      <c r="B96" s="214" t="s">
        <v>1108</v>
      </c>
      <c r="C96" s="214" t="s">
        <v>1109</v>
      </c>
      <c r="D96" s="214" t="s">
        <v>1110</v>
      </c>
      <c r="E96" s="214" t="s">
        <v>1111</v>
      </c>
    </row>
    <row r="97" customFormat="false" ht="35.05" hidden="false" customHeight="false" outlineLevel="0" collapsed="false">
      <c r="A97" s="225" t="s">
        <v>1342</v>
      </c>
      <c r="B97" s="215" t="s">
        <v>1151</v>
      </c>
      <c r="C97" s="221"/>
      <c r="D97" s="215" t="s">
        <v>1343</v>
      </c>
      <c r="E97" s="215" t="s">
        <v>1344</v>
      </c>
    </row>
    <row r="98" customFormat="false" ht="102.2" hidden="false" customHeight="false" outlineLevel="0" collapsed="false">
      <c r="A98" s="225" t="s">
        <v>1345</v>
      </c>
      <c r="B98" s="215" t="s">
        <v>1255</v>
      </c>
      <c r="C98" s="221"/>
      <c r="D98" s="215" t="s">
        <v>1346</v>
      </c>
      <c r="E98" s="215" t="s">
        <v>1347</v>
      </c>
    </row>
    <row r="99" customFormat="false" ht="23.85" hidden="false" customHeight="false" outlineLevel="0" collapsed="false">
      <c r="A99" s="225" t="s">
        <v>1348</v>
      </c>
      <c r="B99" s="215" t="s">
        <v>1349</v>
      </c>
      <c r="C99" s="221"/>
      <c r="D99" s="215" t="s">
        <v>1350</v>
      </c>
      <c r="E99" s="215" t="s">
        <v>1351</v>
      </c>
    </row>
    <row r="100" customFormat="false" ht="46.25" hidden="false" customHeight="false" outlineLevel="0" collapsed="false">
      <c r="A100" s="225" t="s">
        <v>1352</v>
      </c>
      <c r="B100" s="215" t="s">
        <v>1353</v>
      </c>
      <c r="C100" s="221"/>
      <c r="D100" s="215" t="s">
        <v>1354</v>
      </c>
      <c r="E100" s="215" t="s">
        <v>1355</v>
      </c>
    </row>
    <row r="101" customFormat="false" ht="23.85" hidden="false" customHeight="false" outlineLevel="0" collapsed="false">
      <c r="A101" s="225" t="s">
        <v>1356</v>
      </c>
      <c r="B101" s="215" t="s">
        <v>1231</v>
      </c>
      <c r="C101" s="221"/>
      <c r="D101" s="215" t="s">
        <v>1357</v>
      </c>
      <c r="E101" s="215" t="s">
        <v>1221</v>
      </c>
    </row>
    <row r="102" customFormat="false" ht="23.85" hidden="false" customHeight="false" outlineLevel="0" collapsed="false">
      <c r="A102" s="225" t="s">
        <v>1358</v>
      </c>
      <c r="B102" s="215" t="s">
        <v>1359</v>
      </c>
      <c r="C102" s="221"/>
      <c r="D102" s="215" t="s">
        <v>1360</v>
      </c>
      <c r="E102" s="215" t="s">
        <v>1121</v>
      </c>
    </row>
    <row r="103" customFormat="false" ht="57.45" hidden="false" customHeight="false" outlineLevel="0" collapsed="false">
      <c r="A103" s="225" t="s">
        <v>1361</v>
      </c>
      <c r="B103" s="215" t="s">
        <v>1362</v>
      </c>
      <c r="C103" s="221"/>
      <c r="D103" s="215" t="s">
        <v>1363</v>
      </c>
      <c r="E103" s="215" t="s">
        <v>1364</v>
      </c>
    </row>
    <row r="104" customFormat="false" ht="23.85" hidden="false" customHeight="false" outlineLevel="0" collapsed="false">
      <c r="A104" s="225" t="s">
        <v>1365</v>
      </c>
      <c r="B104" s="215" t="s">
        <v>1366</v>
      </c>
      <c r="C104" s="221"/>
      <c r="D104" s="215" t="s">
        <v>1367</v>
      </c>
      <c r="E104" s="215" t="s">
        <v>1368</v>
      </c>
    </row>
    <row r="105" customFormat="false" ht="23.85" hidden="false" customHeight="false" outlineLevel="0" collapsed="false">
      <c r="A105" s="225" t="s">
        <v>1369</v>
      </c>
      <c r="B105" s="215" t="s">
        <v>1370</v>
      </c>
      <c r="C105" s="221"/>
      <c r="D105" s="215" t="s">
        <v>1371</v>
      </c>
      <c r="E105" s="215" t="s">
        <v>1372</v>
      </c>
    </row>
  </sheetData>
  <mergeCells count="10">
    <mergeCell ref="A2:E2"/>
    <mergeCell ref="A4:E4"/>
    <mergeCell ref="A5:E5"/>
    <mergeCell ref="A11:E11"/>
    <mergeCell ref="A28:E28"/>
    <mergeCell ref="A39:E39"/>
    <mergeCell ref="A48:E48"/>
    <mergeCell ref="A56:E56"/>
    <mergeCell ref="A66:E66"/>
    <mergeCell ref="A93:E93"/>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true"/>
  </sheetPr>
  <dimension ref="A1:BL67"/>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selection pane="topLeft" activeCell="A32" activeCellId="0" sqref="A32"/>
    </sheetView>
  </sheetViews>
  <sheetFormatPr defaultColWidth="8.5390625" defaultRowHeight="15" zeroHeight="false" outlineLevelRow="0" outlineLevelCol="0"/>
  <cols>
    <col collapsed="false" customWidth="true" hidden="false" outlineLevel="0" max="1" min="1" style="0" width="12.29"/>
    <col collapsed="false" customWidth="true" hidden="false" outlineLevel="0" max="2" min="2" style="0" width="19.71"/>
    <col collapsed="false" customWidth="true" hidden="false" outlineLevel="0" max="3" min="3" style="0" width="53.71"/>
    <col collapsed="false" customWidth="true" hidden="false" outlineLevel="0" max="4" min="4" style="0" width="41.57"/>
    <col collapsed="false" customWidth="true" hidden="false" outlineLevel="0" max="5" min="5" style="0" width="33.72"/>
    <col collapsed="false" customWidth="true" hidden="false" outlineLevel="0" max="6" min="6" style="0" width="11.29"/>
    <col collapsed="false" customWidth="true" hidden="false" outlineLevel="0" max="7" min="7" style="0" width="12.86"/>
    <col collapsed="false" customWidth="true" hidden="true" outlineLevel="0" max="9" min="9" style="0" width="9.14"/>
    <col collapsed="false" customWidth="true" hidden="true" outlineLevel="0" max="11" min="10" style="1" width="13.29"/>
    <col collapsed="false" customWidth="true" hidden="true" outlineLevel="0" max="12" min="12" style="1" width="21.71"/>
    <col collapsed="false" customWidth="true" hidden="true" outlineLevel="0" max="16" min="13" style="1" width="13.29"/>
    <col collapsed="false" customWidth="true" hidden="true" outlineLevel="0" max="17" min="17" style="0" width="3.57"/>
    <col collapsed="false" customWidth="true" hidden="true" outlineLevel="0" max="19" min="18" style="0" width="13.29"/>
    <col collapsed="false" customWidth="true" hidden="true" outlineLevel="0" max="20" min="20" style="0" width="41.43"/>
    <col collapsed="false" customWidth="true" hidden="true" outlineLevel="0" max="24" min="21" style="0" width="13.29"/>
    <col collapsed="false" customWidth="true" hidden="true" outlineLevel="0" max="25" min="25" style="0" width="3.57"/>
    <col collapsed="false" customWidth="true" hidden="true" outlineLevel="0" max="27" min="26" style="1" width="13.29"/>
    <col collapsed="false" customWidth="true" hidden="true" outlineLevel="0" max="28" min="28" style="1" width="41.28"/>
    <col collapsed="false" customWidth="true" hidden="true" outlineLevel="0" max="32" min="29" style="1" width="13.29"/>
    <col collapsed="false" customWidth="true" hidden="true" outlineLevel="0" max="33" min="33" style="0" width="3.57"/>
    <col collapsed="false" customWidth="true" hidden="true" outlineLevel="0" max="35" min="34" style="0" width="13.29"/>
    <col collapsed="false" customWidth="true" hidden="true" outlineLevel="0" max="36" min="36" style="0" width="41.28"/>
    <col collapsed="false" customWidth="true" hidden="true" outlineLevel="0" max="40" min="37" style="0" width="13.29"/>
    <col collapsed="false" customWidth="true" hidden="true" outlineLevel="0" max="41" min="41" style="0" width="3.57"/>
    <col collapsed="false" customWidth="true" hidden="true" outlineLevel="0" max="43" min="42" style="1" width="13.29"/>
    <col collapsed="false" customWidth="true" hidden="true" outlineLevel="0" max="44" min="44" style="1" width="41.57"/>
    <col collapsed="false" customWidth="true" hidden="true" outlineLevel="0" max="48" min="45" style="1" width="13.29"/>
    <col collapsed="false" customWidth="true" hidden="true" outlineLevel="0" max="49" min="49" style="0" width="3.57"/>
    <col collapsed="false" customWidth="true" hidden="true" outlineLevel="0" max="51" min="50" style="0" width="13.29"/>
    <col collapsed="false" customWidth="true" hidden="true" outlineLevel="0" max="52" min="52" style="0" width="41.43"/>
    <col collapsed="false" customWidth="true" hidden="true" outlineLevel="0" max="56" min="53" style="0" width="13.29"/>
    <col collapsed="false" customWidth="true" hidden="true" outlineLevel="0" max="57" min="57" style="0" width="3.57"/>
    <col collapsed="false" customWidth="true" hidden="true" outlineLevel="0" max="59" min="58" style="1" width="13.29"/>
    <col collapsed="false" customWidth="true" hidden="true" outlineLevel="0" max="60" min="60" style="1" width="41.43"/>
    <col collapsed="false" customWidth="true" hidden="true" outlineLevel="0" max="64" min="61" style="1" width="13.29"/>
  </cols>
  <sheetData>
    <row r="1" customFormat="false" ht="39.75" hidden="false" customHeight="true" outlineLevel="0" collapsed="false">
      <c r="A1" s="3" t="str">
        <f aca="false">HYPERLINK("#'General Information'!D9","◄ General Information")</f>
        <v>◄ General Information</v>
      </c>
      <c r="B1" s="3"/>
      <c r="C1" s="4" t="str">
        <f aca="false">HYPERLINK("#Summary!G1","Summary")</f>
        <v>Summary</v>
      </c>
      <c r="D1" s="5" t="str">
        <f aca="false">$A$33</f>
        <v>HMA Reconstruction - Alternative 1</v>
      </c>
      <c r="I1" s="0" t="s">
        <v>0</v>
      </c>
    </row>
    <row r="2" customFormat="false" ht="15" hidden="false" customHeight="false" outlineLevel="0" collapsed="false">
      <c r="A2" s="7" t="s">
        <v>1</v>
      </c>
      <c r="E2" s="8" t="s">
        <v>700</v>
      </c>
      <c r="F2" s="9" t="n">
        <f aca="false">IF('General Information'!$D$38="Yes",SUMIF(RevenueData!$A:$A,'General Information'!$D$10,RevenueData!$B:$B)+SUMIF(RevenueData!$A:$A,'General Information'!$D$10,RevenueData!$C:$C)+SUMIF(RevenueData!$A:$A,'General Information'!$D$10,RevenueData!$D:$D)+SUMIF(RevenueData!$A:$A,'General Information'!$D$10,RevenueData!$E:$E)+SUMIF(RevenueData!$A:$A,'General Information'!$D$10,RevenueData!$F:$F)+SUMIF(RevenueData!$A:$A,'General Information'!$D$10,RevenueData!$G:$G)+SUMIF(RevenueData!$A:$A,'General Information'!$D$10,RevenueData!$H:$H),0)</f>
        <v>5441.17</v>
      </c>
      <c r="G2" s="0" t="str">
        <f aca="false">IF(AND('General Information'!$D$38="Yes",F2=0),"No revenue data for this airport - lost revenue set to $0. Contact Aeronautics.","")</f>
        <v/>
      </c>
      <c r="J2" s="10" t="s">
        <v>3</v>
      </c>
      <c r="R2" s="7" t="s">
        <v>665</v>
      </c>
      <c r="Z2" s="10" t="s">
        <v>666</v>
      </c>
      <c r="AH2" s="7" t="s">
        <v>671</v>
      </c>
      <c r="AP2" s="10" t="s">
        <v>4</v>
      </c>
      <c r="AX2" s="7" t="s">
        <v>677</v>
      </c>
      <c r="BF2" s="10" t="s">
        <v>678</v>
      </c>
    </row>
    <row r="3" customFormat="false" ht="25.5" hidden="false" customHeight="true" outlineLevel="0" collapsed="false">
      <c r="A3" s="11" t="s">
        <v>701</v>
      </c>
      <c r="B3" s="11"/>
      <c r="C3" s="11"/>
      <c r="D3" s="11"/>
      <c r="E3" s="11"/>
      <c r="F3" s="11"/>
      <c r="G3" s="11"/>
    </row>
    <row r="4" customFormat="false" ht="15" hidden="false" customHeight="false" outlineLevel="0" collapsed="false">
      <c r="A4" s="12" t="s">
        <v>6</v>
      </c>
      <c r="B4" s="13"/>
      <c r="C4" s="14" t="s">
        <v>643</v>
      </c>
      <c r="D4" s="13"/>
      <c r="E4" s="15" t="s">
        <v>8</v>
      </c>
      <c r="F4" s="16" t="n">
        <f aca="false">ROUNDUP((C5/15000),0)+ROUNDUP((C8/20000),0)+ROUNDUP((C8/50000),0)</f>
        <v>6</v>
      </c>
    </row>
    <row r="5" customFormat="false" ht="15" hidden="false" customHeight="false" outlineLevel="0" collapsed="false">
      <c r="A5" s="12" t="s">
        <v>9</v>
      </c>
      <c r="B5" s="13"/>
      <c r="C5" s="14" t="n">
        <f aca="false">'General Information'!D26</f>
        <v>45883</v>
      </c>
      <c r="D5" s="13" t="s">
        <v>10</v>
      </c>
      <c r="E5" s="15" t="s">
        <v>702</v>
      </c>
      <c r="F5" s="16" t="n">
        <f aca="false">ROUNDUP((C5/15000),0)+ROUNDUP((C8/20000),0)+ROUNDUP((C8/50000),0)</f>
        <v>6</v>
      </c>
    </row>
    <row r="6" customFormat="false" ht="15" hidden="false" customHeight="false" outlineLevel="0" collapsed="false">
      <c r="A6" s="12" t="s">
        <v>12</v>
      </c>
      <c r="B6" s="13"/>
      <c r="C6" s="14" t="n">
        <f aca="false">'General Information'!D25</f>
        <v>2028</v>
      </c>
      <c r="D6" s="13"/>
      <c r="E6" s="15" t="s">
        <v>703</v>
      </c>
      <c r="F6" s="16" t="n">
        <f aca="false">ROUNDUP((C5/15000),0)+ROUNDUP((C8/20000),0)+ROUNDUP((C8/50000),0)+ROUNDUP((C5*'Maintenance Policies'!D15/10000),0)+ROUNDUP((C5*'Maintenance Policies'!D14/5000),0)</f>
        <v>8</v>
      </c>
      <c r="AP6" s="1" t="s">
        <v>704</v>
      </c>
      <c r="AQ6" s="1" t="n">
        <v>2</v>
      </c>
      <c r="AR6" s="1" t="s">
        <v>705</v>
      </c>
    </row>
    <row r="7" customFormat="false" ht="15" hidden="false" customHeight="false" outlineLevel="0" collapsed="false">
      <c r="A7" s="12" t="s">
        <v>706</v>
      </c>
      <c r="B7" s="13"/>
      <c r="C7" s="14" t="s">
        <v>603</v>
      </c>
      <c r="D7" s="13" t="s">
        <v>707</v>
      </c>
      <c r="E7" s="15" t="s">
        <v>708</v>
      </c>
      <c r="F7" s="16" t="n">
        <f aca="false">ROUNDUP((C5/15000),0)+ROUNDUP((C8/20000),0)+ROUNDUP((C8/50000),0)+ROUNDUP((C5*'Maintenance Policies'!D18/10000),0)+ROUNDUP((C5*'Maintenance Policies'!D19/5000),0)</f>
        <v>8</v>
      </c>
      <c r="AP7" s="1" t="s">
        <v>709</v>
      </c>
      <c r="AQ7" s="1" t="n">
        <v>120</v>
      </c>
      <c r="AR7" s="1" t="s">
        <v>710</v>
      </c>
    </row>
    <row r="8" customFormat="false" ht="15" hidden="false" customHeight="false" outlineLevel="0" collapsed="false">
      <c r="A8" s="12" t="s">
        <v>13</v>
      </c>
      <c r="B8" s="13"/>
      <c r="C8" s="14" t="n">
        <f aca="false">'General Information'!D28</f>
        <v>12000</v>
      </c>
      <c r="D8" s="13" t="s">
        <v>14</v>
      </c>
      <c r="E8" s="15" t="s">
        <v>11</v>
      </c>
      <c r="F8" s="16" t="n">
        <f aca="false">ROUNDUP((C5/3800),0)+ROUNDUP((C8/50000),0)</f>
        <v>14</v>
      </c>
    </row>
    <row r="9" customFormat="false" ht="15" hidden="false" customHeight="false" outlineLevel="0" collapsed="false">
      <c r="C9" s="156"/>
      <c r="E9" s="15" t="s">
        <v>711</v>
      </c>
      <c r="F9" s="16" t="n">
        <f aca="false">ROUNDUP((C5/15000),0)+ROUNDUP((C8/20000),0)+ROUNDUP((C8/50000),0)</f>
        <v>6</v>
      </c>
      <c r="AP9" s="1" t="s">
        <v>712</v>
      </c>
      <c r="AQ9" s="1" t="n">
        <v>0.1</v>
      </c>
      <c r="AR9" s="1" t="s">
        <v>713</v>
      </c>
    </row>
    <row r="10" customFormat="false" ht="15" hidden="false" customHeight="false" outlineLevel="0" collapsed="false">
      <c r="D10" s="20"/>
      <c r="E10" s="17" t="s">
        <v>714</v>
      </c>
      <c r="F10" s="18" t="n">
        <f aca="false">ROUNDUP((C5/15000),0)+ROUNDUP((C8/20000),0)+ROUNDUP((C8/50000),0)+ROUNDUP((C5*'Maintenance Policies'!D28/10000),0)+ROUNDUP((C5*'Maintenance Policies'!D29/5000),0)</f>
        <v>8</v>
      </c>
      <c r="I10" s="21" t="s">
        <v>17</v>
      </c>
    </row>
    <row r="11" customFormat="false" ht="27.75" hidden="false" customHeight="true" outlineLevel="0" collapsed="false">
      <c r="B11" s="22" t="s">
        <v>18</v>
      </c>
      <c r="C11" s="23" t="s">
        <v>19</v>
      </c>
      <c r="D11" s="11" t="str">
        <f aca="false">IF(OR($C$11="Regular",$C$11=""),"Regular is the statewide Unit Cost column on Pay_Items.","Prices from the "&amp;$C$11&amp;" column on Pay_Items: "&amp;SUM($I$13:$I$22)&amp;" of "&amp;COUNT($I$13:$I$22)&amp;" pay items used here have a "&amp;$C$11&amp;" cost, the rest fall back to Unit Cost.")</f>
        <v>Regular is the statewide Unit Cost column on Pay_Items.</v>
      </c>
      <c r="E11" s="11"/>
      <c r="F11" s="11"/>
      <c r="G11" s="11"/>
      <c r="I11" s="21" t="n">
        <f aca="false">IFERROR(MATCH($C$11,PriceSources,0),1)</f>
        <v>1</v>
      </c>
    </row>
    <row r="12" customFormat="false" ht="19.5" hidden="false" customHeight="true" outlineLevel="0" collapsed="false">
      <c r="A12" s="24" t="s">
        <v>20</v>
      </c>
      <c r="B12" s="24" t="s">
        <v>21</v>
      </c>
      <c r="C12" s="24" t="s">
        <v>22</v>
      </c>
      <c r="D12" s="25" t="s">
        <v>23</v>
      </c>
      <c r="E12" s="25" t="s">
        <v>24</v>
      </c>
      <c r="F12" s="25" t="s">
        <v>25</v>
      </c>
      <c r="G12" s="25" t="s">
        <v>26</v>
      </c>
      <c r="J12" s="1" t="s">
        <v>20</v>
      </c>
      <c r="K12" s="1" t="s">
        <v>21</v>
      </c>
      <c r="L12" s="1" t="s">
        <v>22</v>
      </c>
      <c r="M12" s="1" t="s">
        <v>23</v>
      </c>
      <c r="N12" s="1" t="s">
        <v>24</v>
      </c>
      <c r="O12" s="1" t="s">
        <v>25</v>
      </c>
      <c r="P12" s="1" t="s">
        <v>26</v>
      </c>
      <c r="R12" s="6" t="s">
        <v>20</v>
      </c>
      <c r="S12" s="6" t="s">
        <v>21</v>
      </c>
      <c r="T12" s="6" t="s">
        <v>22</v>
      </c>
      <c r="U12" s="6" t="s">
        <v>23</v>
      </c>
      <c r="V12" s="6" t="s">
        <v>24</v>
      </c>
      <c r="W12" s="6" t="s">
        <v>25</v>
      </c>
      <c r="X12" s="6" t="s">
        <v>26</v>
      </c>
      <c r="Z12" s="1" t="s">
        <v>20</v>
      </c>
      <c r="AA12" s="1" t="s">
        <v>21</v>
      </c>
      <c r="AB12" s="1" t="s">
        <v>22</v>
      </c>
      <c r="AC12" s="1" t="s">
        <v>23</v>
      </c>
      <c r="AD12" s="1" t="s">
        <v>24</v>
      </c>
      <c r="AE12" s="1" t="s">
        <v>25</v>
      </c>
      <c r="AF12" s="1" t="s">
        <v>26</v>
      </c>
      <c r="AH12" s="6" t="s">
        <v>20</v>
      </c>
      <c r="AI12" s="6" t="s">
        <v>21</v>
      </c>
      <c r="AJ12" s="6" t="s">
        <v>22</v>
      </c>
      <c r="AK12" s="6" t="s">
        <v>23</v>
      </c>
      <c r="AL12" s="6" t="s">
        <v>24</v>
      </c>
      <c r="AM12" s="6" t="s">
        <v>25</v>
      </c>
      <c r="AN12" s="6" t="s">
        <v>26</v>
      </c>
      <c r="AP12" s="1" t="s">
        <v>20</v>
      </c>
      <c r="AQ12" s="1" t="s">
        <v>21</v>
      </c>
      <c r="AR12" s="1" t="s">
        <v>22</v>
      </c>
      <c r="AS12" s="1" t="s">
        <v>23</v>
      </c>
      <c r="AT12" s="1" t="s">
        <v>24</v>
      </c>
      <c r="AU12" s="1" t="s">
        <v>25</v>
      </c>
      <c r="AV12" s="1" t="s">
        <v>26</v>
      </c>
      <c r="AX12" s="6" t="s">
        <v>20</v>
      </c>
      <c r="AY12" s="6" t="s">
        <v>21</v>
      </c>
      <c r="AZ12" s="6" t="s">
        <v>22</v>
      </c>
      <c r="BA12" s="6" t="s">
        <v>23</v>
      </c>
      <c r="BB12" s="6" t="s">
        <v>24</v>
      </c>
      <c r="BC12" s="6" t="s">
        <v>25</v>
      </c>
      <c r="BD12" s="6" t="s">
        <v>26</v>
      </c>
      <c r="BF12" s="1" t="s">
        <v>20</v>
      </c>
      <c r="BG12" s="1" t="s">
        <v>21</v>
      </c>
      <c r="BH12" s="1" t="s">
        <v>22</v>
      </c>
      <c r="BI12" s="1" t="s">
        <v>23</v>
      </c>
      <c r="BJ12" s="1" t="s">
        <v>24</v>
      </c>
      <c r="BK12" s="1" t="s">
        <v>25</v>
      </c>
      <c r="BL12" s="1" t="s">
        <v>26</v>
      </c>
    </row>
    <row r="13" customFormat="false" ht="19.5" hidden="false" customHeight="true" outlineLevel="0" collapsed="false">
      <c r="A13" s="0" t="n">
        <v>1</v>
      </c>
      <c r="B13" s="26" t="str">
        <f aca="false">IF(C13="","",VLOOKUP(C13,CHOOSE({1,2},Table2[Pay Item Description],Table2[Pay Item No.]),2,0))</f>
        <v>P-152-4.1</v>
      </c>
      <c r="C13" s="27" t="s">
        <v>528</v>
      </c>
      <c r="D13" s="28" t="str">
        <f aca="false">IF(C13="","N/A",VLOOKUP(C13,CHOOSE({1,2},Table2[Pay Item Description],Table2[Units]),2,0))</f>
        <v>C.Y.</v>
      </c>
      <c r="E13" s="157" t="n">
        <v>25491</v>
      </c>
      <c r="F13" s="30" t="n">
        <f aca="false">IF(C13="","N/A",IF(INDEX(UnitCostGrid,MATCH(C13,PayItemKeys,0),$I$11)="",INDEX(UnitCostGrid,MATCH(C13,PayItemKeys,0),1),INDEX(UnitCostGrid,MATCH(C13,PayItemKeys,0),$I$11)))</f>
        <v>12</v>
      </c>
      <c r="G13" s="31" t="n">
        <f aca="false">IF(C13="",0,F13*E13)</f>
        <v>305892</v>
      </c>
      <c r="I13" s="21" t="n">
        <f aca="false">IF(C13="","",IF(INDEX(UnitCostGrid,MATCH(C13,PayItemKeys,0),$I$11)="",0,1))</f>
        <v>1</v>
      </c>
      <c r="J13" s="1" t="n">
        <v>1</v>
      </c>
      <c r="K13" s="158" t="str">
        <f aca="false">IF(L13="",0,VLOOKUP(L13,CHOOSE({1,2},Table2[Pay Item Description],Table2[Pay Item No.]),2,0))</f>
        <v>P-608-8.1</v>
      </c>
      <c r="L13" s="1" t="str">
        <f aca="false">C7</f>
        <v>Emulsified Asphalt Surface Treatment</v>
      </c>
      <c r="M13" s="159" t="str">
        <f aca="false">VLOOKUP(L13,CHOOSE({1,2},Table2[Pay Item Description],Table2[Units]),2,0)</f>
        <v>S.Y.</v>
      </c>
      <c r="N13" s="160" t="n">
        <f aca="false">'Maintenance Policies'!D10*$C$5</f>
        <v>45883</v>
      </c>
      <c r="O13" s="161" t="n">
        <f aca="false">IF(L13="","N/A",IF(INDEX(UnitCostGrid,MATCH(L13,PayItemKeys,0),$I$11)="",INDEX(UnitCostGrid,MATCH(L13,PayItemKeys,0),1),INDEX(UnitCostGrid,MATCH(L13,PayItemKeys,0),$I$11)))</f>
        <v>4</v>
      </c>
      <c r="P13" s="34" t="n">
        <f aca="false">O13*N13</f>
        <v>183532</v>
      </c>
      <c r="R13" s="0" t="n">
        <v>1</v>
      </c>
      <c r="S13" s="26" t="str">
        <f aca="false">IF(T13="",0,VLOOKUP(T13,CHOOSE({1,2},Table2[Pay Item Description],Table2[Pay Item No.]),2,0))</f>
        <v>P-608-8.1</v>
      </c>
      <c r="T13" s="0" t="str">
        <f aca="false">C7</f>
        <v>Emulsified Asphalt Surface Treatment</v>
      </c>
      <c r="U13" s="28" t="str">
        <f aca="false">VLOOKUP(T13,CHOOSE({1,2},Table2[Pay Item Description],Table2[Units]),2,0)</f>
        <v>S.Y.</v>
      </c>
      <c r="V13" s="162" t="n">
        <f aca="false">'Maintenance Policies'!D12*$C$5</f>
        <v>45883</v>
      </c>
      <c r="W13" s="163" t="n">
        <f aca="false">IF(T13="","N/A",IF(INDEX(UnitCostGrid,MATCH(T13,PayItemKeys,0),$I$11)="",INDEX(UnitCostGrid,MATCH(T13,PayItemKeys,0),1),INDEX(UnitCostGrid,MATCH(T13,PayItemKeys,0),$I$11)))</f>
        <v>4</v>
      </c>
      <c r="X13" s="37" t="n">
        <f aca="false">W13*V13</f>
        <v>183532</v>
      </c>
      <c r="Z13" s="1" t="n">
        <v>1</v>
      </c>
      <c r="AA13" s="1" t="str">
        <f aca="false">IF(AB13="",0,VLOOKUP(AB13,CHOOSE({1,2},Table2[Pay Item Description],Table2[Pay Item No.]),2,0))</f>
        <v>P-101-5.4a</v>
      </c>
      <c r="AB13" s="1" t="str">
        <f aca="false">Pay_Items!D11</f>
        <v>Spall Repair, Asphalt</v>
      </c>
      <c r="AC13" s="164" t="str">
        <f aca="false">IF(AB13="","N/A",VLOOKUP(AB13,CHOOSE({1,2},Table2[Pay Item Description],Table2[Units]),2,0))</f>
        <v>S.F.</v>
      </c>
      <c r="AD13" s="160" t="n">
        <f aca="false">'Maintenance Policies'!D14*($C$5*9)</f>
        <v>3097.1025</v>
      </c>
      <c r="AE13" s="165" t="n">
        <f aca="false">IF(AB13="","N/A",IF(INDEX(UnitCostGrid,MATCH(AB13,PayItemKeys,0),$I$11)="",INDEX(UnitCostGrid,MATCH(AB13,PayItemKeys,0),1),INDEX(UnitCostGrid,MATCH(AB13,PayItemKeys,0),$I$11)))</f>
        <v>8.5</v>
      </c>
      <c r="AF13" s="34" t="n">
        <f aca="false">AE13*AD13</f>
        <v>26325.37125</v>
      </c>
      <c r="AH13" s="0" t="n">
        <v>1</v>
      </c>
      <c r="AI13" s="0" t="str">
        <f aca="false">IF(AJ13="",0,VLOOKUP(AJ13,CHOOSE({1,2},Table2[Pay Item Description],Table2[Pay Item No.]),2,0))</f>
        <v>P-101-5.4a</v>
      </c>
      <c r="AJ13" s="0" t="str">
        <f aca="false">Pay_Items!D11</f>
        <v>Spall Repair, Asphalt</v>
      </c>
      <c r="AK13" s="166" t="str">
        <f aca="false">IF(AJ13="","N/A",VLOOKUP(AJ13,CHOOSE({1,2},Table2[Pay Item Description],Table2[Units]),2,0))</f>
        <v>S.F.</v>
      </c>
      <c r="AL13" s="162" t="n">
        <f aca="false">'Maintenance Policies'!D18*($C$5*9)</f>
        <v>4129.47</v>
      </c>
      <c r="AM13" s="167" t="n">
        <f aca="false">IF(AJ13="","N/A",IF(INDEX(UnitCostGrid,MATCH(AJ13,PayItemKeys,0),$I$11)="",INDEX(UnitCostGrid,MATCH(AJ13,PayItemKeys,0),1),INDEX(UnitCostGrid,MATCH(AJ13,PayItemKeys,0),$I$11)))</f>
        <v>8.5</v>
      </c>
      <c r="AN13" s="37" t="n">
        <f aca="false">AM13*AL13</f>
        <v>35100.495</v>
      </c>
      <c r="AP13" s="1" t="n">
        <v>1</v>
      </c>
      <c r="AQ13" s="1" t="str">
        <f aca="false">IF(AR13="",0,VLOOKUP(AR13,CHOOSE({1,2},Table2[Pay Item Description],Table2[Pay Item No.]),2,0))</f>
        <v>P-101-5.6</v>
      </c>
      <c r="AR13" s="1" t="str">
        <f aca="false">Pay_Items!D16</f>
        <v>Cold Milling</v>
      </c>
      <c r="AS13" s="164" t="str">
        <f aca="false">IF(AR13="","N/A",VLOOKUP(AR13,CHOOSE({1,2},Table2[Pay Item Description],Table2[Units]),2,0))</f>
        <v>S.Y.</v>
      </c>
      <c r="AT13" s="160" t="n">
        <f aca="false">'Maintenance Policies'!D22*$C$5</f>
        <v>45883</v>
      </c>
      <c r="AU13" s="165" t="n">
        <f aca="false">IF(AR13="","N/A",IF(INDEX(UnitCostGrid,MATCH(AR13,PayItemKeys,0),$I$11)="",INDEX(UnitCostGrid,MATCH(AR13,PayItemKeys,0),1),INDEX(UnitCostGrid,MATCH(AR13,PayItemKeys,0),$I$11)))</f>
        <v>5</v>
      </c>
      <c r="AV13" s="34" t="n">
        <f aca="false">AU13*AT13</f>
        <v>229415</v>
      </c>
      <c r="AX13" s="0" t="n">
        <v>1</v>
      </c>
      <c r="AY13" s="26" t="str">
        <f aca="false">IF(AZ13="",0,VLOOKUP(AZ13,CHOOSE({1,2},Table2[Pay Item Description],Table2[Pay Item No.]),2,0))</f>
        <v>P-608-8.1</v>
      </c>
      <c r="AZ13" s="0" t="str">
        <f aca="false">C7</f>
        <v>Emulsified Asphalt Surface Treatment</v>
      </c>
      <c r="BA13" s="28" t="str">
        <f aca="false">IF(AZ13="","N/A",VLOOKUP(AZ13,CHOOSE({1,2},Table2[Pay Item Description],Table2[Units]),2,0))</f>
        <v>S.Y.</v>
      </c>
      <c r="BB13" s="162" t="n">
        <f aca="false">'Maintenance Policies'!D26*$C$5</f>
        <v>45883</v>
      </c>
      <c r="BC13" s="163" t="n">
        <f aca="false">IF(AZ13="","N/A",IF(INDEX(UnitCostGrid,MATCH(AZ13,PayItemKeys,0),$I$11)="",INDEX(UnitCostGrid,MATCH(AZ13,PayItemKeys,0),1),INDEX(UnitCostGrid,MATCH(AZ13,PayItemKeys,0),$I$11)))</f>
        <v>4</v>
      </c>
      <c r="BD13" s="37" t="n">
        <f aca="false">BC13*BB13</f>
        <v>183532</v>
      </c>
      <c r="BF13" s="1" t="n">
        <v>1</v>
      </c>
      <c r="BG13" s="1" t="str">
        <f aca="false">IF(BH13="",0,VLOOKUP(BH13,CHOOSE({1,2},Table2[Pay Item Description],Table2[Pay Item No.]),2,0))</f>
        <v>P-101-5.4a</v>
      </c>
      <c r="BH13" s="1" t="str">
        <f aca="false">Pay_Items!D11</f>
        <v>Spall Repair, Asphalt</v>
      </c>
      <c r="BI13" s="164" t="str">
        <f aca="false">IF(BH13="","N/A",VLOOKUP(BH13,CHOOSE({1,2},Table2[Pay Item Description],Table2[Units]),2,0))</f>
        <v>S.F.</v>
      </c>
      <c r="BJ13" s="160" t="n">
        <f aca="false">'Maintenance Policies'!D28*($C$5*9)</f>
        <v>5161.8375</v>
      </c>
      <c r="BK13" s="165" t="n">
        <f aca="false">IF(BH13="","N/A",IF(INDEX(UnitCostGrid,MATCH(BH13,PayItemKeys,0),$I$11)="",INDEX(UnitCostGrid,MATCH(BH13,PayItemKeys,0),1),INDEX(UnitCostGrid,MATCH(BH13,PayItemKeys,0),$I$11)))</f>
        <v>8.5</v>
      </c>
      <c r="BL13" s="34" t="n">
        <f aca="false">BK13*BJ13</f>
        <v>43875.61875</v>
      </c>
    </row>
    <row r="14" customFormat="false" ht="19.5" hidden="false" customHeight="true" outlineLevel="0" collapsed="false">
      <c r="A14" s="0" t="n">
        <v>2</v>
      </c>
      <c r="B14" s="26" t="str">
        <f aca="false">IF(C14="","",VLOOKUP(C14,CHOOSE({1,2},Table2[Pay Item Description],Table2[Pay Item No.]),2,0))</f>
        <v>P-154-5.1</v>
      </c>
      <c r="C14" s="27" t="s">
        <v>533</v>
      </c>
      <c r="D14" s="28" t="str">
        <f aca="false">IF(C14="","N/A",VLOOKUP(C14,CHOOSE({1,2},Table2[Pay Item Description],Table2[Units]),2,0))</f>
        <v>C.Y.</v>
      </c>
      <c r="E14" s="157" t="n">
        <v>7647</v>
      </c>
      <c r="F14" s="30" t="n">
        <f aca="false">IF(C14="","N/A",IF(INDEX(UnitCostGrid,MATCH(C14,PayItemKeys,0),$I$11)="",INDEX(UnitCostGrid,MATCH(C14,PayItemKeys,0),1),INDEX(UnitCostGrid,MATCH(C14,PayItemKeys,0),$I$11)))</f>
        <v>55</v>
      </c>
      <c r="G14" s="31" t="n">
        <f aca="false">IF(C14="",0,F14*E14)</f>
        <v>420585</v>
      </c>
      <c r="I14" s="21" t="n">
        <f aca="false">IF(C14="","",IF(INDEX(UnitCostGrid,MATCH(C14,PayItemKeys,0),$I$11)="",0,1))</f>
        <v>1</v>
      </c>
      <c r="J14" s="1" t="n">
        <v>2</v>
      </c>
      <c r="K14" s="1" t="str">
        <f aca="false">IF(L14="",0,VLOOKUP(L14,CHOOSE({1,2},Table2[Pay Item Description],Table2[Pay Item No.]),2,0))</f>
        <v>P-101-5.3</v>
      </c>
      <c r="L14" s="1" t="str">
        <f aca="false">Pay_Items!D10</f>
        <v>Markings Removal</v>
      </c>
      <c r="M14" s="164" t="str">
        <f aca="false">IF(L14="","N/A",VLOOKUP(L14,CHOOSE({1,2},Table2[Pay Item Description],Table2[Units]),2,0))</f>
        <v>S.F.</v>
      </c>
      <c r="N14" s="160" t="n">
        <f aca="false">'Maintenance Policies'!D10*$C$8</f>
        <v>12000</v>
      </c>
      <c r="O14" s="165" t="n">
        <f aca="false">IF(L14="","N/A",IF(INDEX(UnitCostGrid,MATCH(L14,PayItemKeys,0),$I$11)="",INDEX(UnitCostGrid,MATCH(L14,PayItemKeys,0),1),INDEX(UnitCostGrid,MATCH(L14,PayItemKeys,0),$I$11)))</f>
        <v>0.777777777777778</v>
      </c>
      <c r="P14" s="34" t="n">
        <f aca="false">O14*N14</f>
        <v>9333.33333333333</v>
      </c>
      <c r="R14" s="0" t="n">
        <v>2</v>
      </c>
      <c r="S14" s="0" t="str">
        <f aca="false">IF(T14="",0,VLOOKUP(T14,CHOOSE({1,2},Table2[Pay Item Description],Table2[Pay Item No.]),2,0))</f>
        <v>P-101-5.3</v>
      </c>
      <c r="T14" s="0" t="str">
        <f aca="false">Pay_Items!D10</f>
        <v>Markings Removal</v>
      </c>
      <c r="U14" s="166" t="str">
        <f aca="false">IF(T14="","N/A",VLOOKUP(T14,CHOOSE({1,2},Table2[Pay Item Description],Table2[Units]),2,0))</f>
        <v>S.F.</v>
      </c>
      <c r="V14" s="162" t="n">
        <f aca="false">'Maintenance Policies'!D12*$C$8</f>
        <v>12000</v>
      </c>
      <c r="W14" s="167" t="n">
        <f aca="false">IF(T14="","N/A",IF(INDEX(UnitCostGrid,MATCH(T14,PayItemKeys,0),$I$11)="",INDEX(UnitCostGrid,MATCH(T14,PayItemKeys,0),1),INDEX(UnitCostGrid,MATCH(T14,PayItemKeys,0),$I$11)))</f>
        <v>0.777777777777778</v>
      </c>
      <c r="X14" s="37" t="n">
        <f aca="false">W14*V14</f>
        <v>9333.33333333333</v>
      </c>
      <c r="Z14" s="1" t="n">
        <v>2</v>
      </c>
      <c r="AA14" s="1" t="str">
        <f aca="false">IF(AB14="",0,VLOOKUP(AB14,CHOOSE({1,2},Table2[Pay Item Description],Table2[Pay Item No.]),2,0))</f>
        <v>P-101-5.2a</v>
      </c>
      <c r="AB14" s="1" t="str">
        <f aca="false">Pay_Items!D6</f>
        <v>Crack Repair (Type I), Asphalt</v>
      </c>
      <c r="AC14" s="164" t="str">
        <f aca="false">IF(AB14="","N/A",VLOOKUP(AB14,CHOOSE({1,2},Table2[Pay Item Description],Table2[Units]),2,0))</f>
        <v>L.F.</v>
      </c>
      <c r="AD14" s="160" t="n">
        <f aca="false">'Maintenance Policies'!D15*($C$5*9)</f>
        <v>13420.7775</v>
      </c>
      <c r="AE14" s="165" t="n">
        <f aca="false">IF(AB14="","N/A",IF(INDEX(UnitCostGrid,MATCH(AB14,PayItemKeys,0),$I$11)="",INDEX(UnitCostGrid,MATCH(AB14,PayItemKeys,0),1),INDEX(UnitCostGrid,MATCH(AB14,PayItemKeys,0),$I$11)))</f>
        <v>4</v>
      </c>
      <c r="AF14" s="34" t="n">
        <f aca="false">AE14*AD14</f>
        <v>53683.11</v>
      </c>
      <c r="AH14" s="0" t="n">
        <v>2</v>
      </c>
      <c r="AI14" s="0" t="str">
        <f aca="false">IF(AJ14="",0,VLOOKUP(AJ14,CHOOSE({1,2},Table2[Pay Item Description],Table2[Pay Item No.]),2,0))</f>
        <v>P-101-5.2a</v>
      </c>
      <c r="AJ14" s="0" t="str">
        <f aca="false">Pay_Items!D6</f>
        <v>Crack Repair (Type I), Asphalt</v>
      </c>
      <c r="AK14" s="166" t="str">
        <f aca="false">IF(AJ14="","N/A",VLOOKUP(AJ14,CHOOSE({1,2},Table2[Pay Item Description],Table2[Units]),2,0))</f>
        <v>L.F.</v>
      </c>
      <c r="AL14" s="162" t="n">
        <f aca="false">'Maintenance Policies'!D19*($C$5*9)</f>
        <v>14453.145</v>
      </c>
      <c r="AM14" s="167" t="n">
        <f aca="false">IF(AJ14="","N/A",IF(INDEX(UnitCostGrid,MATCH(AJ14,PayItemKeys,0),$I$11)="",INDEX(UnitCostGrid,MATCH(AJ14,PayItemKeys,0),1),INDEX(UnitCostGrid,MATCH(AJ14,PayItemKeys,0),$I$11)))</f>
        <v>4</v>
      </c>
      <c r="AN14" s="37" t="n">
        <f aca="false">AM14*AL14</f>
        <v>57812.58</v>
      </c>
      <c r="AP14" s="1" t="n">
        <v>2</v>
      </c>
      <c r="AQ14" s="1" t="str">
        <f aca="false">IF(AR14="",0,VLOOKUP(AR14,CHOOSE({1,2},Table2[Pay Item Description],Table2[Pay Item No.]),2,0))</f>
        <v>P-603-5.1</v>
      </c>
      <c r="AR14" s="1" t="str">
        <f aca="false">Pay_Items!D54</f>
        <v>Emulsified Asphalt Tack Coat</v>
      </c>
      <c r="AS14" s="164" t="str">
        <f aca="false">IF(AR14="","N/A",VLOOKUP(AR14,CHOOSE({1,2},Table2[Pay Item Description],Table2[Units]),2,0))</f>
        <v>GAL</v>
      </c>
      <c r="AT14" s="160" t="n">
        <f aca="false">'Maintenance Policies'!D22*$C$5*AQ9</f>
        <v>4588.3</v>
      </c>
      <c r="AU14" s="165" t="n">
        <f aca="false">IF(AR14="","N/A",IF(INDEX(UnitCostGrid,MATCH(AR14,PayItemKeys,0),$I$11)="",INDEX(UnitCostGrid,MATCH(AR14,PayItemKeys,0),1),INDEX(UnitCostGrid,MATCH(AR14,PayItemKeys,0),$I$11)))</f>
        <v>4.5</v>
      </c>
      <c r="AV14" s="34" t="n">
        <f aca="false">AU14*AT14</f>
        <v>20647.35</v>
      </c>
      <c r="AX14" s="0" t="n">
        <v>2</v>
      </c>
      <c r="AY14" s="0" t="str">
        <f aca="false">IF(AZ14="",0,VLOOKUP(AZ14,CHOOSE({1,2},Table2[Pay Item Description],Table2[Pay Item No.]),2,0))</f>
        <v>P-101-5.3</v>
      </c>
      <c r="AZ14" s="0" t="str">
        <f aca="false">Pay_Items!D10</f>
        <v>Markings Removal</v>
      </c>
      <c r="BA14" s="166" t="str">
        <f aca="false">IF(AZ14="","N/A",VLOOKUP(AZ14,CHOOSE({1,2},Table2[Pay Item Description],Table2[Units]),2,0))</f>
        <v>S.F.</v>
      </c>
      <c r="BB14" s="162" t="n">
        <f aca="false">'Maintenance Policies'!D26*$C$8</f>
        <v>12000</v>
      </c>
      <c r="BC14" s="167" t="n">
        <f aca="false">IF(AZ14="","N/A",IF(INDEX(UnitCostGrid,MATCH(AZ14,PayItemKeys,0),$I$11)="",INDEX(UnitCostGrid,MATCH(AZ14,PayItemKeys,0),1),INDEX(UnitCostGrid,MATCH(AZ14,PayItemKeys,0),$I$11)))</f>
        <v>0.777777777777778</v>
      </c>
      <c r="BD14" s="37" t="n">
        <f aca="false">BC14*BB14</f>
        <v>9333.33333333333</v>
      </c>
      <c r="BF14" s="1" t="n">
        <v>2</v>
      </c>
      <c r="BG14" s="1" t="str">
        <f aca="false">IF(BH14="",0,VLOOKUP(BH14,CHOOSE({1,2},Table2[Pay Item Description],Table2[Pay Item No.]),2,0))</f>
        <v>P-101-5.2a</v>
      </c>
      <c r="BH14" s="1" t="str">
        <f aca="false">Pay_Items!D6</f>
        <v>Crack Repair (Type I), Asphalt</v>
      </c>
      <c r="BI14" s="164" t="str">
        <f aca="false">IF(BH14="","N/A",VLOOKUP(BH14,CHOOSE({1,2},Table2[Pay Item Description],Table2[Units]),2,0))</f>
        <v>L.F.</v>
      </c>
      <c r="BJ14" s="160" t="n">
        <f aca="false">'Maintenance Policies'!D29*($C$5*9)</f>
        <v>16517.88</v>
      </c>
      <c r="BK14" s="165" t="n">
        <f aca="false">IF(BH14="","N/A",IF(INDEX(UnitCostGrid,MATCH(BH14,PayItemKeys,0),$I$11)="",INDEX(UnitCostGrid,MATCH(BH14,PayItemKeys,0),1),INDEX(UnitCostGrid,MATCH(BH14,PayItemKeys,0),$I$11)))</f>
        <v>4</v>
      </c>
      <c r="BL14" s="34" t="n">
        <f aca="false">BK14*BJ14</f>
        <v>66071.52</v>
      </c>
    </row>
    <row r="15" customFormat="false" ht="19.5" hidden="false" customHeight="true" outlineLevel="0" collapsed="false">
      <c r="A15" s="0" t="n">
        <v>3</v>
      </c>
      <c r="B15" s="26" t="str">
        <f aca="false">IF(C15="","",VLOOKUP(C15,CHOOSE({1,2},Table2[Pay Item Description],Table2[Pay Item No.]),2,0))</f>
        <v>P-209-5.1</v>
      </c>
      <c r="C15" s="27" t="s">
        <v>555</v>
      </c>
      <c r="D15" s="28" t="str">
        <f aca="false">IF(C15="","N/A",VLOOKUP(C15,CHOOSE({1,2},Table2[Pay Item Description],Table2[Units]),2,0))</f>
        <v>C.Y.</v>
      </c>
      <c r="E15" s="157" t="n">
        <v>7647</v>
      </c>
      <c r="F15" s="30" t="n">
        <f aca="false">IF(C15="","N/A",IF(INDEX(UnitCostGrid,MATCH(C15,PayItemKeys,0),$I$11)="",INDEX(UnitCostGrid,MATCH(C15,PayItemKeys,0),1),INDEX(UnitCostGrid,MATCH(C15,PayItemKeys,0),$I$11)))</f>
        <v>65</v>
      </c>
      <c r="G15" s="31" t="n">
        <f aca="false">IF(C15="",0,F15*E15)</f>
        <v>497055</v>
      </c>
      <c r="I15" s="21" t="n">
        <f aca="false">IF(C15="","",IF(INDEX(UnitCostGrid,MATCH(C15,PayItemKeys,0),$I$11)="",0,1))</f>
        <v>1</v>
      </c>
      <c r="J15" s="1" t="n">
        <v>3</v>
      </c>
      <c r="K15" s="1" t="str">
        <f aca="false">IF(L15="",0,VLOOKUP(L15,CHOOSE({1,2},Table2[Pay Item Description],Table2[Pay Item No.]),2,0))</f>
        <v>P-620-5.1a</v>
      </c>
      <c r="L15" s="1" t="str">
        <f aca="false">Pay_Items!D56</f>
        <v>Markings (prep, markings, reflective media)</v>
      </c>
      <c r="M15" s="164" t="str">
        <f aca="false">IF(L15="","N/A",VLOOKUP(L15,CHOOSE({1,2},Table2[Pay Item Description],Table2[Units]),2,0))</f>
        <v>S.F.</v>
      </c>
      <c r="N15" s="160" t="n">
        <f aca="false">'Maintenance Policies'!D11*$C$8</f>
        <v>12000</v>
      </c>
      <c r="O15" s="165" t="n">
        <f aca="false">IF(L15="","N/A",IF(INDEX(UnitCostGrid,MATCH(L15,PayItemKeys,0),$I$11)="",INDEX(UnitCostGrid,MATCH(L15,PayItemKeys,0),1),INDEX(UnitCostGrid,MATCH(L15,PayItemKeys,0),$I$11)))</f>
        <v>0.666666666666667</v>
      </c>
      <c r="P15" s="34" t="n">
        <f aca="false">O15*N15</f>
        <v>8000</v>
      </c>
      <c r="R15" s="0" t="n">
        <v>3</v>
      </c>
      <c r="S15" s="0" t="str">
        <f aca="false">IF(T15="",0,VLOOKUP(T15,CHOOSE({1,2},Table2[Pay Item Description],Table2[Pay Item No.]),2,0))</f>
        <v>P-620-5.1a</v>
      </c>
      <c r="T15" s="0" t="str">
        <f aca="false">Pay_Items!D56</f>
        <v>Markings (prep, markings, reflective media)</v>
      </c>
      <c r="U15" s="166" t="str">
        <f aca="false">Pay_Items!E56</f>
        <v>S.F.</v>
      </c>
      <c r="V15" s="162" t="n">
        <f aca="false">'Maintenance Policies'!D13*$C$8</f>
        <v>12000</v>
      </c>
      <c r="W15" s="167" t="n">
        <f aca="false">IF(T15="","N/A",IF(INDEX(UnitCostGrid,MATCH(T15,PayItemKeys,0),$I$11)="",INDEX(UnitCostGrid,MATCH(T15,PayItemKeys,0),1),INDEX(UnitCostGrid,MATCH(T15,PayItemKeys,0),$I$11)))</f>
        <v>0.666666666666667</v>
      </c>
      <c r="X15" s="37" t="n">
        <f aca="false">W15*V15</f>
        <v>8000</v>
      </c>
      <c r="Z15" s="1" t="n">
        <v>3</v>
      </c>
      <c r="AA15" s="158" t="str">
        <f aca="false">IF(AB15="",0,VLOOKUP(AB15,CHOOSE({1,2},Table2[Pay Item Description],Table2[Pay Item No.]),2,0))</f>
        <v>P-608-8.1</v>
      </c>
      <c r="AB15" s="1" t="str">
        <f aca="false">C7</f>
        <v>Emulsified Asphalt Surface Treatment</v>
      </c>
      <c r="AC15" s="159" t="str">
        <f aca="false">IF(AB15="","N/A",VLOOKUP(AB15,CHOOSE({1,2},Table2[Pay Item Description],Table2[Units]),2,0))</f>
        <v>S.Y.</v>
      </c>
      <c r="AD15" s="160" t="n">
        <f aca="false">'Maintenance Policies'!D16*$C$5</f>
        <v>45883</v>
      </c>
      <c r="AE15" s="161" t="n">
        <f aca="false">IF(AB15="","N/A",IF(INDEX(UnitCostGrid,MATCH(AB15,PayItemKeys,0),$I$11)="",INDEX(UnitCostGrid,MATCH(AB15,PayItemKeys,0),1),INDEX(UnitCostGrid,MATCH(AB15,PayItemKeys,0),$I$11)))</f>
        <v>4</v>
      </c>
      <c r="AF15" s="34" t="n">
        <f aca="false">AE15*AD15</f>
        <v>183532</v>
      </c>
      <c r="AH15" s="0" t="n">
        <v>3</v>
      </c>
      <c r="AI15" s="26" t="str">
        <f aca="false">IF(AJ15="",0,VLOOKUP(AJ15,CHOOSE({1,2},Table2[Pay Item Description],Table2[Pay Item No.]),2,0))</f>
        <v>P-608-8.1</v>
      </c>
      <c r="AJ15" s="0" t="str">
        <f aca="false">C7</f>
        <v>Emulsified Asphalt Surface Treatment</v>
      </c>
      <c r="AK15" s="28" t="str">
        <f aca="false">IF(AJ15="","N/A",VLOOKUP(AJ15,CHOOSE({1,2},Table2[Pay Item Description],Table2[Units]),2,0))</f>
        <v>S.Y.</v>
      </c>
      <c r="AL15" s="162" t="n">
        <f aca="false">'Maintenance Policies'!D20*$C$5</f>
        <v>45883</v>
      </c>
      <c r="AM15" s="163" t="n">
        <f aca="false">IF(AJ15="","N/A",IF(INDEX(UnitCostGrid,MATCH(AJ15,PayItemKeys,0),$I$11)="",INDEX(UnitCostGrid,MATCH(AJ15,PayItemKeys,0),1),INDEX(UnitCostGrid,MATCH(AJ15,PayItemKeys,0),$I$11)))</f>
        <v>4</v>
      </c>
      <c r="AN15" s="37" t="n">
        <f aca="false">AM15*AL15</f>
        <v>183532</v>
      </c>
      <c r="AP15" s="1" t="n">
        <v>3</v>
      </c>
      <c r="AQ15" s="1" t="str">
        <f aca="false">IF(AR15="",0,VLOOKUP(AR15,CHOOSE({1,2},Table2[Pay Item Description],Table2[Pay Item No.]),2,0))</f>
        <v>P-401-8.1a</v>
      </c>
      <c r="AR15" s="1" t="str">
        <f aca="false">Pay_Items!D37</f>
        <v>Asphalt Surface Course</v>
      </c>
      <c r="AS15" s="164" t="str">
        <f aca="false">IF(AR15="","N/A",VLOOKUP(AR15,CHOOSE({1,2},Table2[Pay Item Description],Table2[Units]),2,0))</f>
        <v>TON</v>
      </c>
      <c r="AT15" s="160" t="n">
        <f aca="false">'Maintenance Policies'!D22*$C$5*AQ6*AQ7/2000</f>
        <v>5505.96</v>
      </c>
      <c r="AU15" s="165" t="n">
        <f aca="false">IF(AR15="","N/A",IF(INDEX(UnitCostGrid,MATCH(AR15,PayItemKeys,0),$I$11)="",INDEX(UnitCostGrid,MATCH(AR15,PayItemKeys,0),1),INDEX(UnitCostGrid,MATCH(AR15,PayItemKeys,0),$I$11)))</f>
        <v>130</v>
      </c>
      <c r="AV15" s="34" t="n">
        <f aca="false">AU15*AT15</f>
        <v>715774.8</v>
      </c>
      <c r="AX15" s="0" t="n">
        <v>3</v>
      </c>
      <c r="AY15" s="0" t="str">
        <f aca="false">IF(AZ15="",0,VLOOKUP(AZ15,CHOOSE({1,2},Table2[Pay Item Description],Table2[Pay Item No.]),2,0))</f>
        <v>P-620-5.1a</v>
      </c>
      <c r="AZ15" s="0" t="str">
        <f aca="false">Pay_Items!D56</f>
        <v>Markings (prep, markings, reflective media)</v>
      </c>
      <c r="BA15" s="166" t="str">
        <f aca="false">IF(AZ15="","N/A",VLOOKUP(AZ15,CHOOSE({1,2},Table2[Pay Item Description],Table2[Units]),2,0))</f>
        <v>S.F.</v>
      </c>
      <c r="BB15" s="162" t="n">
        <f aca="false">'Maintenance Policies'!D27*$C$8</f>
        <v>12000</v>
      </c>
      <c r="BC15" s="167" t="n">
        <f aca="false">IF(AZ15="","N/A",IF(INDEX(UnitCostGrid,MATCH(AZ15,PayItemKeys,0),$I$11)="",INDEX(UnitCostGrid,MATCH(AZ15,PayItemKeys,0),1),INDEX(UnitCostGrid,MATCH(AZ15,PayItemKeys,0),$I$11)))</f>
        <v>0.666666666666667</v>
      </c>
      <c r="BD15" s="37" t="n">
        <f aca="false">BC15*BB15</f>
        <v>8000</v>
      </c>
      <c r="BF15" s="1" t="n">
        <v>3</v>
      </c>
      <c r="BG15" s="158" t="str">
        <f aca="false">IF(BH15="",0,VLOOKUP(BH15,CHOOSE({1,2},Table2[Pay Item Description],Table2[Pay Item No.]),2,0))</f>
        <v>P-608-8.1</v>
      </c>
      <c r="BH15" s="1" t="str">
        <f aca="false">C7</f>
        <v>Emulsified Asphalt Surface Treatment</v>
      </c>
      <c r="BI15" s="159" t="str">
        <f aca="false">IF(BH15="","N/A",VLOOKUP(BH15,CHOOSE({1,2},Table2[Pay Item Description],Table2[Units]),2,0))</f>
        <v>S.Y.</v>
      </c>
      <c r="BJ15" s="160" t="n">
        <f aca="false">'Maintenance Policies'!D30*$C$5</f>
        <v>45883</v>
      </c>
      <c r="BK15" s="161" t="n">
        <f aca="false">IF(BH15="","N/A",IF(INDEX(UnitCostGrid,MATCH(BH15,PayItemKeys,0),$I$11)="",INDEX(UnitCostGrid,MATCH(BH15,PayItemKeys,0),1),INDEX(UnitCostGrid,MATCH(BH15,PayItemKeys,0),$I$11)))</f>
        <v>4</v>
      </c>
      <c r="BL15" s="34" t="n">
        <f aca="false">BK15*BJ15</f>
        <v>183532</v>
      </c>
    </row>
    <row r="16" customFormat="false" ht="19.5" hidden="false" customHeight="true" outlineLevel="0" collapsed="false">
      <c r="A16" s="0" t="n">
        <v>4</v>
      </c>
      <c r="B16" s="26" t="str">
        <f aca="false">IF(C16="","",VLOOKUP(C16,CHOOSE({1,2},Table2[Pay Item Description],Table2[Pay Item No.]),2,0))</f>
        <v>P-401-8.1b</v>
      </c>
      <c r="C16" s="27" t="s">
        <v>579</v>
      </c>
      <c r="D16" s="28" t="str">
        <f aca="false">IF(C16="","N/A",VLOOKUP(C16,CHOOSE({1,2},Table2[Pay Item Description],Table2[Units]),2,0))</f>
        <v>TON</v>
      </c>
      <c r="E16" s="157" t="n">
        <v>9980</v>
      </c>
      <c r="F16" s="30" t="n">
        <f aca="false">IF(C16="","N/A",IF(INDEX(UnitCostGrid,MATCH(C16,PayItemKeys,0),$I$11)="",INDEX(UnitCostGrid,MATCH(C16,PayItemKeys,0),1),INDEX(UnitCostGrid,MATCH(C16,PayItemKeys,0),$I$11)))</f>
        <v>120</v>
      </c>
      <c r="G16" s="31" t="n">
        <f aca="false">IF(C16="",0,F16*E16)</f>
        <v>1197600</v>
      </c>
      <c r="I16" s="21" t="n">
        <f aca="false">IF(C16="","",IF(INDEX(UnitCostGrid,MATCH(C16,PayItemKeys,0),$I$11)="",0,1))</f>
        <v>1</v>
      </c>
      <c r="O16" s="1" t="s">
        <v>27</v>
      </c>
      <c r="P16" s="34" t="n">
        <f aca="false">SUM(P13:P15)</f>
        <v>200865.333333333</v>
      </c>
      <c r="W16" s="6" t="s">
        <v>27</v>
      </c>
      <c r="X16" s="37" t="n">
        <f aca="false">SUM(X13:X15)</f>
        <v>200865.333333333</v>
      </c>
      <c r="Z16" s="1" t="n">
        <v>4</v>
      </c>
      <c r="AA16" s="1" t="str">
        <f aca="false">IF(AB16="",0,VLOOKUP(AB16,CHOOSE({1,2},Table2[Pay Item Description],Table2[Pay Item No.]),2,0))</f>
        <v>P-101-5.3</v>
      </c>
      <c r="AB16" s="1" t="str">
        <f aca="false">Pay_Items!D10</f>
        <v>Markings Removal</v>
      </c>
      <c r="AC16" s="164" t="str">
        <f aca="false">IF(AB16="","N/A",VLOOKUP(AB16,CHOOSE({1,2},Table2[Pay Item Description],Table2[Units]),2,0))</f>
        <v>S.F.</v>
      </c>
      <c r="AD16" s="160" t="n">
        <f aca="false">'Maintenance Policies'!D16*$C$8</f>
        <v>12000</v>
      </c>
      <c r="AE16" s="165" t="n">
        <f aca="false">IF(AB16="","N/A",IF(INDEX(UnitCostGrid,MATCH(AB16,PayItemKeys,0),$I$11)="",INDEX(UnitCostGrid,MATCH(AB16,PayItemKeys,0),1),INDEX(UnitCostGrid,MATCH(AB16,PayItemKeys,0),$I$11)))</f>
        <v>0.777777777777778</v>
      </c>
      <c r="AF16" s="34" t="n">
        <f aca="false">AE16*AD16</f>
        <v>9333.33333333333</v>
      </c>
      <c r="AH16" s="0" t="n">
        <v>4</v>
      </c>
      <c r="AI16" s="0" t="str">
        <f aca="false">IF(AJ16="",0,VLOOKUP(AJ16,CHOOSE({1,2},Table2[Pay Item Description],Table2[Pay Item No.]),2,0))</f>
        <v>P-101-5.3</v>
      </c>
      <c r="AJ16" s="0" t="str">
        <f aca="false">Pay_Items!D10</f>
        <v>Markings Removal</v>
      </c>
      <c r="AK16" s="166" t="str">
        <f aca="false">IF(AJ16="","N/A",VLOOKUP(AJ16,CHOOSE({1,2},Table2[Pay Item Description],Table2[Units]),2,0))</f>
        <v>S.F.</v>
      </c>
      <c r="AL16" s="162" t="n">
        <f aca="false">'Maintenance Policies'!D20*$C$8</f>
        <v>12000</v>
      </c>
      <c r="AM16" s="167" t="n">
        <f aca="false">IF(AJ16="","N/A",IF(INDEX(UnitCostGrid,MATCH(AJ16,PayItemKeys,0),$I$11)="",INDEX(UnitCostGrid,MATCH(AJ16,PayItemKeys,0),1),INDEX(UnitCostGrid,MATCH(AJ16,PayItemKeys,0),$I$11)))</f>
        <v>0.777777777777778</v>
      </c>
      <c r="AN16" s="37" t="n">
        <f aca="false">AM16*AL16</f>
        <v>9333.33333333333</v>
      </c>
      <c r="AP16" s="1" t="n">
        <v>4</v>
      </c>
      <c r="AQ16" s="1" t="str">
        <f aca="false">IF(AR16="",0,VLOOKUP(AR16,CHOOSE({1,2},Table2[Pay Item Description],Table2[Pay Item No.]),2,0))</f>
        <v>P-101-5.2a</v>
      </c>
      <c r="AR16" s="1" t="str">
        <f aca="false">Pay_Items!D6</f>
        <v>Crack Repair (Type I), Asphalt</v>
      </c>
      <c r="AS16" s="164" t="str">
        <f aca="false">IF(AR16="","N/A",VLOOKUP(AR16,CHOOSE({1,2},Table2[Pay Item Description],Table2[Units]),2,0))</f>
        <v>L.F.</v>
      </c>
      <c r="AT16" s="160" t="n">
        <f aca="false">'Maintenance Policies'!D23*($C$5*9)</f>
        <v>6194.205</v>
      </c>
      <c r="AU16" s="165" t="n">
        <f aca="false">IF(AR16="","N/A",IF(INDEX(UnitCostGrid,MATCH(AR16,PayItemKeys,0),$I$11)="",INDEX(UnitCostGrid,MATCH(AR16,PayItemKeys,0),1),INDEX(UnitCostGrid,MATCH(AR16,PayItemKeys,0),$I$11)))</f>
        <v>4</v>
      </c>
      <c r="AV16" s="34" t="n">
        <f aca="false">AU16*AT16</f>
        <v>24776.82</v>
      </c>
      <c r="BC16" s="6" t="s">
        <v>27</v>
      </c>
      <c r="BD16" s="37" t="n">
        <f aca="false">SUM(BD13:BD15)</f>
        <v>200865.333333333</v>
      </c>
      <c r="BF16" s="1" t="n">
        <v>4</v>
      </c>
      <c r="BG16" s="1" t="str">
        <f aca="false">IF(BH16="",0,VLOOKUP(BH16,CHOOSE({1,2},Table2[Pay Item Description],Table2[Pay Item No.]),2,0))</f>
        <v>P-101-5.3</v>
      </c>
      <c r="BH16" s="1" t="str">
        <f aca="false">Pay_Items!D10</f>
        <v>Markings Removal</v>
      </c>
      <c r="BI16" s="164" t="str">
        <f aca="false">IF(BH16="","N/A",VLOOKUP(BH16,CHOOSE({1,2},Table2[Pay Item Description],Table2[Units]),2,0))</f>
        <v>S.F.</v>
      </c>
      <c r="BJ16" s="160" t="n">
        <f aca="false">C8</f>
        <v>12000</v>
      </c>
      <c r="BK16" s="165" t="n">
        <f aca="false">IF(BH16="","N/A",IF(INDEX(UnitCostGrid,MATCH(BH16,PayItemKeys,0),$I$11)="",INDEX(UnitCostGrid,MATCH(BH16,PayItemKeys,0),1),INDEX(UnitCostGrid,MATCH(BH16,PayItemKeys,0),$I$11)))</f>
        <v>0.777777777777778</v>
      </c>
      <c r="BL16" s="34" t="n">
        <f aca="false">BK16*BJ16</f>
        <v>9333.33333333333</v>
      </c>
    </row>
    <row r="17" customFormat="false" ht="19.5" hidden="false" customHeight="true" outlineLevel="0" collapsed="false">
      <c r="A17" s="0" t="n">
        <v>5</v>
      </c>
      <c r="B17" s="26" t="str">
        <f aca="false">IF(C17="","",VLOOKUP(C17,CHOOSE({1,2},Table2[Pay Item Description],Table2[Pay Item No.]),2,0))</f>
        <v>P-401-8.1a</v>
      </c>
      <c r="C17" s="27" t="s">
        <v>576</v>
      </c>
      <c r="D17" s="28" t="str">
        <f aca="false">IF(C17="","N/A",VLOOKUP(C17,CHOOSE({1,2},Table2[Pay Item Description],Table2[Units]),2,0))</f>
        <v>TON</v>
      </c>
      <c r="E17" s="157" t="n">
        <v>9980</v>
      </c>
      <c r="F17" s="30" t="n">
        <f aca="false">IF(C17="","N/A",IF(INDEX(UnitCostGrid,MATCH(C17,PayItemKeys,0),$I$11)="",INDEX(UnitCostGrid,MATCH(C17,PayItemKeys,0),1),INDEX(UnitCostGrid,MATCH(C17,PayItemKeys,0),$I$11)))</f>
        <v>130</v>
      </c>
      <c r="G17" s="31" t="n">
        <f aca="false">IF(C17="",0,F17*E17)</f>
        <v>1297400</v>
      </c>
      <c r="I17" s="21" t="n">
        <f aca="false">IF(C17="","",IF(INDEX(UnitCostGrid,MATCH(C17,PayItemKeys,0),$I$11)="",0,1))</f>
        <v>1</v>
      </c>
      <c r="L17" s="1" t="s">
        <v>28</v>
      </c>
      <c r="P17" s="34" t="n">
        <f aca="false">('General Information'!$D$36/100)*P16</f>
        <v>20086.5333333333</v>
      </c>
      <c r="T17" s="6" t="s">
        <v>28</v>
      </c>
      <c r="X17" s="37" t="n">
        <f aca="false">('General Information'!$D$36/100)*X16</f>
        <v>20086.5333333333</v>
      </c>
      <c r="Z17" s="1" t="n">
        <v>5</v>
      </c>
      <c r="AA17" s="1" t="str">
        <f aca="false">IF(AB17="",0,VLOOKUP(AB17,CHOOSE({1,2},Table2[Pay Item Description],Table2[Pay Item No.]),2,0))</f>
        <v>P-620-5.1a</v>
      </c>
      <c r="AB17" s="1" t="str">
        <f aca="false">Pay_Items!D56</f>
        <v>Markings (prep, markings, reflective media)</v>
      </c>
      <c r="AC17" s="164" t="str">
        <f aca="false">IF(AB17="","N/A",VLOOKUP(AB17,CHOOSE({1,2},Table2[Pay Item Description],Table2[Units]),2,0))</f>
        <v>S.F.</v>
      </c>
      <c r="AD17" s="160" t="n">
        <f aca="false">'Maintenance Policies'!D17*$C$8</f>
        <v>12000</v>
      </c>
      <c r="AE17" s="165" t="n">
        <f aca="false">IF(AB17="","N/A",IF(INDEX(UnitCostGrid,MATCH(AB17,PayItemKeys,0),$I$11)="",INDEX(UnitCostGrid,MATCH(AB17,PayItemKeys,0),1),INDEX(UnitCostGrid,MATCH(AB17,PayItemKeys,0),$I$11)))</f>
        <v>0.666666666666667</v>
      </c>
      <c r="AF17" s="34" t="n">
        <f aca="false">AE17*AD17</f>
        <v>8000</v>
      </c>
      <c r="AH17" s="0" t="n">
        <v>5</v>
      </c>
      <c r="AI17" s="0" t="str">
        <f aca="false">IF(AJ17="",0,VLOOKUP(AJ17,CHOOSE({1,2},Table2[Pay Item Description],Table2[Pay Item No.]),2,0))</f>
        <v>P-620-5.1a</v>
      </c>
      <c r="AJ17" s="0" t="str">
        <f aca="false">Pay_Items!D56</f>
        <v>Markings (prep, markings, reflective media)</v>
      </c>
      <c r="AK17" s="166" t="str">
        <f aca="false">IF(AJ17="","N/A",VLOOKUP(AJ17,CHOOSE({1,2},Table2[Pay Item Description],Table2[Units]),2,0))</f>
        <v>S.F.</v>
      </c>
      <c r="AL17" s="162" t="n">
        <f aca="false">'Maintenance Policies'!D21*$C$8</f>
        <v>12000</v>
      </c>
      <c r="AM17" s="167" t="n">
        <f aca="false">IF(AJ17="","N/A",IF(INDEX(UnitCostGrid,MATCH(AJ17,PayItemKeys,0),$I$11)="",INDEX(UnitCostGrid,MATCH(AJ17,PayItemKeys,0),1),INDEX(UnitCostGrid,MATCH(AJ17,PayItemKeys,0),$I$11)))</f>
        <v>0.666666666666667</v>
      </c>
      <c r="AN17" s="37" t="n">
        <f aca="false">AM17*AL17</f>
        <v>8000</v>
      </c>
      <c r="AP17" s="1" t="n">
        <v>5</v>
      </c>
      <c r="AQ17" s="1" t="str">
        <f aca="false">IF(AR17="",0,VLOOKUP(AR17,CHOOSE({1,2},Table2[Pay Item Description],Table2[Pay Item No.]),2,0))</f>
        <v>P-101-5.4a</v>
      </c>
      <c r="AR17" s="1" t="str">
        <f aca="false">Pay_Items!D11</f>
        <v>Spall Repair, Asphalt</v>
      </c>
      <c r="AS17" s="164" t="str">
        <f aca="false">IF(AR17="","N/A",VLOOKUP(AR17,CHOOSE({1,2},Table2[Pay Item Description],Table2[Units]),2,0))</f>
        <v>S.F.</v>
      </c>
      <c r="AT17" s="160" t="n">
        <f aca="false">'Maintenance Policies'!D24*($C$5*9)</f>
        <v>2064.735</v>
      </c>
      <c r="AU17" s="165" t="n">
        <f aca="false">IF(AR17="","N/A",IF(INDEX(UnitCostGrid,MATCH(AR17,PayItemKeys,0),$I$11)="",INDEX(UnitCostGrid,MATCH(AR17,PayItemKeys,0),1),INDEX(UnitCostGrid,MATCH(AR17,PayItemKeys,0),$I$11)))</f>
        <v>8.5</v>
      </c>
      <c r="AV17" s="34" t="n">
        <f aca="false">AU17*AT17</f>
        <v>17550.2475</v>
      </c>
      <c r="AZ17" s="6" t="s">
        <v>28</v>
      </c>
      <c r="BD17" s="37" t="n">
        <f aca="false">('General Information'!$D$36/100)*BD16</f>
        <v>20086.5333333333</v>
      </c>
      <c r="BF17" s="1" t="n">
        <v>5</v>
      </c>
      <c r="BG17" s="1" t="str">
        <f aca="false">IF(BH17="",0,VLOOKUP(BH17,CHOOSE({1,2},Table2[Pay Item Description],Table2[Pay Item No.]),2,0))</f>
        <v>P-620-5.1a</v>
      </c>
      <c r="BH17" s="1" t="str">
        <f aca="false">Pay_Items!D56</f>
        <v>Markings (prep, markings, reflective media)</v>
      </c>
      <c r="BI17" s="164" t="str">
        <f aca="false">IF(BH17="","N/A",VLOOKUP(BH17,CHOOSE({1,2},Table2[Pay Item Description],Table2[Units]),2,0))</f>
        <v>S.F.</v>
      </c>
      <c r="BJ17" s="160" t="n">
        <f aca="false">'Maintenance Policies'!D31*$C$8</f>
        <v>12000</v>
      </c>
      <c r="BK17" s="165" t="n">
        <f aca="false">IF(BH17="","N/A",IF(INDEX(UnitCostGrid,MATCH(BH17,PayItemKeys,0),$I$11)="",INDEX(UnitCostGrid,MATCH(BH17,PayItemKeys,0),1),INDEX(UnitCostGrid,MATCH(BH17,PayItemKeys,0),$I$11)))</f>
        <v>0.666666666666667</v>
      </c>
      <c r="BL17" s="34" t="n">
        <f aca="false">BK17*BJ17</f>
        <v>8000</v>
      </c>
    </row>
    <row r="18" customFormat="false" ht="19.5" hidden="false" customHeight="true" outlineLevel="0" collapsed="false">
      <c r="A18" s="0" t="n">
        <v>6</v>
      </c>
      <c r="B18" s="26" t="str">
        <f aca="false">IF(C18="","",VLOOKUP(C18,CHOOSE({1,2},Table2[Pay Item Description],Table2[Pay Item No.]),2,0))</f>
        <v>P-620-5.1a</v>
      </c>
      <c r="C18" s="27" t="s">
        <v>626</v>
      </c>
      <c r="D18" s="28" t="str">
        <f aca="false">IF(C18="","N/A",VLOOKUP(C18,CHOOSE({1,2},Table2[Pay Item Description],Table2[Units]),2,0))</f>
        <v>S.F.</v>
      </c>
      <c r="E18" s="157" t="n">
        <v>12000</v>
      </c>
      <c r="F18" s="30" t="n">
        <f aca="false">IF(C18="","N/A",IF(INDEX(UnitCostGrid,MATCH(C18,PayItemKeys,0),$I$11)="",INDEX(UnitCostGrid,MATCH(C18,PayItemKeys,0),1),INDEX(UnitCostGrid,MATCH(C18,PayItemKeys,0),$I$11)))</f>
        <v>0.666666666666667</v>
      </c>
      <c r="G18" s="31" t="n">
        <f aca="false">IF(C18="",0,F18*E18)</f>
        <v>8000</v>
      </c>
      <c r="I18" s="21" t="n">
        <f aca="false">IF(C18="","",IF(INDEX(UnitCostGrid,MATCH(C18,PayItemKeys,0),$I$11)="",0,1))</f>
        <v>1</v>
      </c>
      <c r="L18" s="1" t="s">
        <v>29</v>
      </c>
      <c r="P18" s="34" t="n">
        <f aca="false">('General Information'!$D$37/100)*P16</f>
        <v>10043.2666666667</v>
      </c>
      <c r="T18" s="6" t="s">
        <v>29</v>
      </c>
      <c r="X18" s="37" t="n">
        <f aca="false">('General Information'!$D$37/100)*X16</f>
        <v>10043.2666666667</v>
      </c>
      <c r="AE18" s="1" t="s">
        <v>27</v>
      </c>
      <c r="AF18" s="34" t="n">
        <f aca="false">SUM(AF13:AF17)</f>
        <v>280873.814583333</v>
      </c>
      <c r="AM18" s="6" t="s">
        <v>27</v>
      </c>
      <c r="AN18" s="37" t="n">
        <f aca="false">SUM(AN13:AN17)</f>
        <v>293778.408333333</v>
      </c>
      <c r="AP18" s="1" t="n">
        <v>6</v>
      </c>
      <c r="AQ18" s="1" t="str">
        <f aca="false">IF(AR18="",0,VLOOKUP(AR18,CHOOSE({1,2},Table2[Pay Item Description],Table2[Pay Item No.]),2,0))</f>
        <v>P-620-5.1a</v>
      </c>
      <c r="AR18" s="1" t="str">
        <f aca="false">Pay_Items!D56</f>
        <v>Markings (prep, markings, reflective media)</v>
      </c>
      <c r="AS18" s="164" t="str">
        <f aca="false">IF(AR18="","N/A",VLOOKUP(AR18,CHOOSE({1,2},Table2[Pay Item Description],Table2[Units]),2,0))</f>
        <v>S.F.</v>
      </c>
      <c r="AT18" s="160" t="n">
        <f aca="false">'Maintenance Policies'!D25*$C$8</f>
        <v>12000</v>
      </c>
      <c r="AU18" s="165" t="n">
        <f aca="false">IF(AR18="","N/A",IF(INDEX(UnitCostGrid,MATCH(AR18,PayItemKeys,0),$I$11)="",INDEX(UnitCostGrid,MATCH(AR18,PayItemKeys,0),1),INDEX(UnitCostGrid,MATCH(AR18,PayItemKeys,0),$I$11)))</f>
        <v>0.666666666666667</v>
      </c>
      <c r="AV18" s="34" t="n">
        <f aca="false">AU18*AT18</f>
        <v>8000</v>
      </c>
      <c r="AZ18" s="6" t="s">
        <v>29</v>
      </c>
      <c r="BD18" s="37" t="n">
        <f aca="false">('General Information'!$D$37/100)*BD16</f>
        <v>10043.2666666667</v>
      </c>
      <c r="BK18" s="1" t="s">
        <v>27</v>
      </c>
      <c r="BL18" s="34" t="n">
        <f aca="false">SUM(BL13:BL17)</f>
        <v>310812.472083333</v>
      </c>
    </row>
    <row r="19" customFormat="false" ht="19.5" hidden="false" customHeight="true" outlineLevel="0" collapsed="false">
      <c r="A19" s="0" t="n">
        <v>7</v>
      </c>
      <c r="B19" s="26" t="str">
        <f aca="false">IF(C19="","",VLOOKUP(C19,CHOOSE({1,2},Table2[Pay Item Description],Table2[Pay Item No.]),2,0))</f>
        <v/>
      </c>
      <c r="C19" s="27"/>
      <c r="D19" s="28" t="str">
        <f aca="false">IF(C19="","N/A",VLOOKUP(C19,CHOOSE({1,2},Table2[Pay Item Description],Table2[Units]),2,0))</f>
        <v>N/A</v>
      </c>
      <c r="E19" s="157"/>
      <c r="F19" s="30" t="str">
        <f aca="false">IF(C19="","N/A",IF(INDEX(UnitCostGrid,MATCH(C19,PayItemKeys,0),$I$11)="",INDEX(UnitCostGrid,MATCH(C19,PayItemKeys,0),1),INDEX(UnitCostGrid,MATCH(C19,PayItemKeys,0),$I$11)))</f>
        <v>N/A</v>
      </c>
      <c r="G19" s="31" t="n">
        <f aca="false">IF(C19="",0,F19*E19)</f>
        <v>0</v>
      </c>
      <c r="I19" s="21" t="str">
        <f aca="false">IF(C19="","",IF(INDEX(UnitCostGrid,MATCH(C19,PayItemKeys,0),$I$11)="",0,1))</f>
        <v/>
      </c>
      <c r="O19" s="1" t="s">
        <v>30</v>
      </c>
      <c r="P19" s="34" t="n">
        <f aca="false">SUM(P16:P18)</f>
        <v>230995.133333333</v>
      </c>
      <c r="W19" s="6" t="s">
        <v>30</v>
      </c>
      <c r="X19" s="37" t="n">
        <f aca="false">SUM(X16:X18)</f>
        <v>230995.133333333</v>
      </c>
      <c r="AB19" s="1" t="s">
        <v>28</v>
      </c>
      <c r="AF19" s="34" t="n">
        <f aca="false">('General Information'!$D$36/100)*AF18</f>
        <v>28087.3814583333</v>
      </c>
      <c r="AJ19" s="6" t="s">
        <v>28</v>
      </c>
      <c r="AN19" s="37" t="n">
        <f aca="false">('General Information'!$D$36/100)*AN18</f>
        <v>29377.8408333333</v>
      </c>
      <c r="AU19" s="1" t="s">
        <v>27</v>
      </c>
      <c r="AV19" s="34" t="n">
        <f aca="false">SUM(AV13:AV18)</f>
        <v>1016164.2175</v>
      </c>
      <c r="BC19" s="6" t="s">
        <v>30</v>
      </c>
      <c r="BD19" s="37" t="n">
        <f aca="false">SUM(BD16:BD18)</f>
        <v>230995.133333333</v>
      </c>
      <c r="BH19" s="1" t="s">
        <v>28</v>
      </c>
      <c r="BL19" s="34" t="n">
        <f aca="false">('General Information'!$D$36/100)*BL18</f>
        <v>31081.2472083333</v>
      </c>
    </row>
    <row r="20" customFormat="false" ht="19.5" hidden="false" customHeight="true" outlineLevel="0" collapsed="false">
      <c r="A20" s="0" t="n">
        <v>8</v>
      </c>
      <c r="B20" s="26" t="str">
        <f aca="false">IF(C20="","",VLOOKUP(C20,CHOOSE({1,2},Table2[Pay Item Description],Table2[Pay Item No.]),2,0))</f>
        <v/>
      </c>
      <c r="C20" s="27"/>
      <c r="D20" s="28" t="str">
        <f aca="false">IF(C20="","N/A",VLOOKUP(C20,CHOOSE({1,2},Table2[Pay Item Description],Table2[Units]),2,0))</f>
        <v>N/A</v>
      </c>
      <c r="E20" s="157"/>
      <c r="F20" s="30" t="str">
        <f aca="false">IF(C20="","N/A",IF(INDEX(UnitCostGrid,MATCH(C20,PayItemKeys,0),$I$11)="",INDEX(UnitCostGrid,MATCH(C20,PayItemKeys,0),1),INDEX(UnitCostGrid,MATCH(C20,PayItemKeys,0),$I$11)))</f>
        <v>N/A</v>
      </c>
      <c r="G20" s="31" t="n">
        <f aca="false">IF(C20="",0,F20*E20)</f>
        <v>0</v>
      </c>
      <c r="I20" s="21" t="str">
        <f aca="false">IF(C20="","",IF(INDEX(UnitCostGrid,MATCH(C20,PayItemKeys,0),$I$11)="",0,1))</f>
        <v/>
      </c>
      <c r="P20" s="34"/>
      <c r="X20" s="37"/>
      <c r="AB20" s="1" t="s">
        <v>29</v>
      </c>
      <c r="AF20" s="34" t="n">
        <f aca="false">('General Information'!$D$37/100)*AF18</f>
        <v>14043.6907291667</v>
      </c>
      <c r="AJ20" s="6" t="s">
        <v>29</v>
      </c>
      <c r="AN20" s="37" t="n">
        <f aca="false">('General Information'!$D$37/100)*AN18</f>
        <v>14688.9204166667</v>
      </c>
      <c r="AR20" s="1" t="s">
        <v>28</v>
      </c>
      <c r="AV20" s="34" t="n">
        <f aca="false">('General Information'!$D$36/100)*AV19</f>
        <v>101616.42175</v>
      </c>
      <c r="BH20" s="1" t="s">
        <v>29</v>
      </c>
      <c r="BL20" s="34" t="n">
        <f aca="false">('General Information'!$D$37/100)*BL18</f>
        <v>15540.6236041667</v>
      </c>
    </row>
    <row r="21" customFormat="false" ht="19.5" hidden="false" customHeight="true" outlineLevel="0" collapsed="false">
      <c r="A21" s="0" t="n">
        <v>9</v>
      </c>
      <c r="B21" s="26" t="str">
        <f aca="false">IF(C21="","",VLOOKUP(C21,CHOOSE({1,2},Table2[Pay Item Description],Table2[Pay Item No.]),2,0))</f>
        <v/>
      </c>
      <c r="C21" s="27"/>
      <c r="D21" s="28" t="str">
        <f aca="false">IF(C21="","N/A",VLOOKUP(C21,CHOOSE({1,2},Table2[Pay Item Description],Table2[Units]),2,0))</f>
        <v>N/A</v>
      </c>
      <c r="E21" s="157"/>
      <c r="F21" s="30" t="str">
        <f aca="false">IF(C21="","N/A",IF(INDEX(UnitCostGrid,MATCH(C21,PayItemKeys,0),$I$11)="",INDEX(UnitCostGrid,MATCH(C21,PayItemKeys,0),1),INDEX(UnitCostGrid,MATCH(C21,PayItemKeys,0),$I$11)))</f>
        <v>N/A</v>
      </c>
      <c r="G21" s="31" t="n">
        <f aca="false">IF(C21="",0,F21*E21)</f>
        <v>0</v>
      </c>
      <c r="I21" s="21" t="str">
        <f aca="false">IF(C21="","",IF(INDEX(UnitCostGrid,MATCH(C21,PayItemKeys,0),$I$11)="",0,1))</f>
        <v/>
      </c>
      <c r="P21" s="34"/>
      <c r="X21" s="37"/>
      <c r="AE21" s="1" t="s">
        <v>30</v>
      </c>
      <c r="AF21" s="34" t="n">
        <f aca="false">SUM(AF18:AF20)</f>
        <v>323004.886770833</v>
      </c>
      <c r="AM21" s="6" t="s">
        <v>30</v>
      </c>
      <c r="AN21" s="37" t="n">
        <f aca="false">SUM(AN18:AN20)</f>
        <v>337845.169583333</v>
      </c>
      <c r="AR21" s="1" t="s">
        <v>29</v>
      </c>
      <c r="AV21" s="34" t="n">
        <f aca="false">('General Information'!$D$37/100)*AV19</f>
        <v>50808.210875</v>
      </c>
      <c r="BK21" s="1" t="s">
        <v>30</v>
      </c>
      <c r="BL21" s="34" t="n">
        <f aca="false">SUM(BL18:BL20)</f>
        <v>357434.342895833</v>
      </c>
    </row>
    <row r="22" customFormat="false" ht="19.5" hidden="false" customHeight="true" outlineLevel="0" collapsed="false">
      <c r="A22" s="0" t="n">
        <v>10</v>
      </c>
      <c r="B22" s="26" t="str">
        <f aca="false">IF(C22="","",VLOOKUP(C22,CHOOSE({1,2},Table2[Pay Item Description],Table2[Pay Item No.]),2,0))</f>
        <v/>
      </c>
      <c r="C22" s="27"/>
      <c r="D22" s="28" t="str">
        <f aca="false">IF(C22="","N/A",VLOOKUP(C22,CHOOSE({1,2},Table2[Pay Item Description],Table2[Units]),2,0))</f>
        <v>N/A</v>
      </c>
      <c r="E22" s="157"/>
      <c r="F22" s="30" t="str">
        <f aca="false">IF(C22="","N/A",IF(INDEX(UnitCostGrid,MATCH(C22,PayItemKeys,0),$I$11)="",INDEX(UnitCostGrid,MATCH(C22,PayItemKeys,0),1),INDEX(UnitCostGrid,MATCH(C22,PayItemKeys,0),$I$11)))</f>
        <v>N/A</v>
      </c>
      <c r="G22" s="31" t="n">
        <f aca="false">IF(C22="",0,F22*E22)</f>
        <v>0</v>
      </c>
      <c r="I22" s="21" t="str">
        <f aca="false">IF(C22="","",IF(INDEX(UnitCostGrid,MATCH(C22,PayItemKeys,0),$I$11)="",0,1))</f>
        <v/>
      </c>
      <c r="AU22" s="1" t="s">
        <v>30</v>
      </c>
      <c r="AV22" s="34" t="n">
        <f aca="false">SUM(AV19:AV21)</f>
        <v>1168588.850125</v>
      </c>
    </row>
    <row r="23" customFormat="false" ht="15" hidden="false" customHeight="false" outlineLevel="0" collapsed="false">
      <c r="G23" s="37"/>
    </row>
    <row r="24" customFormat="false" ht="15" hidden="false" customHeight="false" outlineLevel="0" collapsed="false">
      <c r="A24" s="38" t="s">
        <v>27</v>
      </c>
      <c r="B24" s="38"/>
      <c r="G24" s="37" t="n">
        <f aca="false">SUM(G13:G22)</f>
        <v>3726532</v>
      </c>
    </row>
    <row r="25" customFormat="false" ht="15" hidden="false" customHeight="false" outlineLevel="0" collapsed="false">
      <c r="A25" s="38"/>
      <c r="B25" s="38" t="s">
        <v>28</v>
      </c>
      <c r="G25" s="37" t="n">
        <f aca="false">('General Information'!$D$36/100)*G24</f>
        <v>372653.2</v>
      </c>
    </row>
    <row r="26" customFormat="false" ht="15" hidden="false" customHeight="false" outlineLevel="0" collapsed="false">
      <c r="A26" s="38"/>
      <c r="B26" s="38" t="s">
        <v>29</v>
      </c>
      <c r="G26" s="37" t="n">
        <f aca="false">('General Information'!$D$37/100)*G24</f>
        <v>186326.6</v>
      </c>
    </row>
    <row r="27" customFormat="false" ht="21.75" hidden="false" customHeight="true" outlineLevel="0" collapsed="false">
      <c r="A27" s="39" t="s">
        <v>30</v>
      </c>
      <c r="B27" s="39"/>
      <c r="C27" s="39"/>
      <c r="D27" s="39"/>
      <c r="E27" s="39"/>
      <c r="F27" s="39"/>
      <c r="G27" s="40" t="n">
        <f aca="false">SUM(G24:G26)</f>
        <v>4285511.8</v>
      </c>
    </row>
    <row r="32" customFormat="false" ht="15" hidden="false" customHeight="false" outlineLevel="0" collapsed="false">
      <c r="A32" s="7" t="s">
        <v>31</v>
      </c>
    </row>
    <row r="33" customFormat="false" ht="19.5" hidden="false" customHeight="true" outlineLevel="0" collapsed="false">
      <c r="A33" s="42" t="s">
        <v>715</v>
      </c>
      <c r="I33" s="0" t="s">
        <v>0</v>
      </c>
    </row>
    <row r="35" customFormat="false" ht="19.5" hidden="false" customHeight="true" outlineLevel="0" collapsed="false">
      <c r="B35" s="24" t="s">
        <v>33</v>
      </c>
      <c r="C35" s="25" t="s">
        <v>34</v>
      </c>
      <c r="D35" s="25" t="s">
        <v>35</v>
      </c>
      <c r="E35" s="25" t="s">
        <v>36</v>
      </c>
    </row>
    <row r="36" customFormat="false" ht="15" hidden="false" customHeight="false" outlineLevel="0" collapsed="false">
      <c r="B36" s="43" t="s">
        <v>37</v>
      </c>
      <c r="C36" s="44" t="n">
        <f aca="false">C6</f>
        <v>2028</v>
      </c>
      <c r="D36" s="45" t="n">
        <f aca="false">G27</f>
        <v>4285511.8</v>
      </c>
      <c r="E36" s="46" t="n">
        <f aca="false">D36</f>
        <v>4285511.8</v>
      </c>
      <c r="K36" s="1" t="s">
        <v>38</v>
      </c>
      <c r="L36" s="168" t="s">
        <v>39</v>
      </c>
      <c r="M36" s="168" t="s">
        <v>40</v>
      </c>
      <c r="N36" s="168" t="s">
        <v>41</v>
      </c>
    </row>
    <row r="37" customFormat="false" ht="15" hidden="false" customHeight="false" outlineLevel="0" collapsed="false">
      <c r="B37" s="47" t="s">
        <v>3</v>
      </c>
      <c r="C37" s="48" t="n">
        <f aca="false">'Maintenance Policies'!E10</f>
        <v>4</v>
      </c>
      <c r="D37" s="49" t="n">
        <f aca="false">P19</f>
        <v>230995.133333333</v>
      </c>
      <c r="E37" s="50" t="n">
        <f aca="false">IF(C37&gt;'General Information'!$D$33,0,D37/(1+('General Information'!$D$34/100))^C37)</f>
        <v>205236.184098224</v>
      </c>
      <c r="K37" s="1" t="n">
        <f aca="false">C6</f>
        <v>2028</v>
      </c>
      <c r="L37" s="169" t="n">
        <f aca="false">IF(K37-$C$6&gt;'General Information'!$D$33,0,IF(K37=$C$6,$D$36,0)+SUMIFS($D$37:$D$51,$C$37:$C$51,K37-$C$6,$B$37:$B$51,"&lt;&gt;*Indirect*"))</f>
        <v>4285511.8</v>
      </c>
      <c r="M37" s="169" t="n">
        <f aca="false">IF(K37-$C$6&gt;'General Information'!$D$33,0,SUMIFS($D$37:$D$51,$C$37:$C$51,K37-$C$6,$B$37:$B$51,"*Indirect*"))</f>
        <v>0</v>
      </c>
      <c r="N37" s="169" t="n">
        <f aca="false">IF(K37-$C$6&gt;'General Information'!$D$33,0,IF(K37=$C$6,$E$36,0)+SUMIF($C$37:$C$51,K37-$C$6,$E$37:$E$51))</f>
        <v>4285511.8</v>
      </c>
    </row>
    <row r="38" customFormat="false" ht="18.75" hidden="false" customHeight="true" outlineLevel="0" collapsed="false">
      <c r="B38" s="51" t="s">
        <v>42</v>
      </c>
      <c r="C38" s="48" t="n">
        <f aca="false">'Maintenance Policies'!E10</f>
        <v>4</v>
      </c>
      <c r="D38" s="49" t="n">
        <f aca="false">F2*F4</f>
        <v>32647.02</v>
      </c>
      <c r="E38" s="50" t="n">
        <f aca="false">IF(C38&gt;'General Information'!$D$33,0,D38/(1+('General Information'!$D$34/100))^C38)</f>
        <v>29006.4544230445</v>
      </c>
      <c r="K38" s="1" t="n">
        <f aca="false">K37+1</f>
        <v>2029</v>
      </c>
      <c r="L38" s="169" t="n">
        <f aca="false">IF(K38-$C$6&gt;'General Information'!$D$33,0,IF(K38=$C$6,$D$36,0)+SUMIFS($D$37:$D$51,$C$37:$C$51,K38-$C$6,$B$37:$B$51,"&lt;&gt;*Indirect*"))</f>
        <v>0</v>
      </c>
      <c r="M38" s="169" t="n">
        <f aca="false">IF(K38-$C$6&gt;'General Information'!$D$33,0,SUMIFS($D$37:$D$51,$C$37:$C$51,K38-$C$6,$B$37:$B$51,"*Indirect*"))</f>
        <v>0</v>
      </c>
      <c r="N38" s="169" t="n">
        <f aca="false">IF(K38-$C$6&gt;'General Information'!$D$33,0,IF(K38=$C$6,$E$36,0)+SUMIF($C$37:$C$51,K38-$C$6,$E$37:$E$51))</f>
        <v>0</v>
      </c>
    </row>
    <row r="39" customFormat="false" ht="15" hidden="false" customHeight="false" outlineLevel="0" collapsed="false">
      <c r="B39" s="47" t="s">
        <v>665</v>
      </c>
      <c r="C39" s="48" t="n">
        <f aca="false">'Maintenance Policies'!E12</f>
        <v>8</v>
      </c>
      <c r="D39" s="49" t="n">
        <f aca="false">X19</f>
        <v>230995.133333333</v>
      </c>
      <c r="E39" s="50" t="n">
        <f aca="false">IF(C39&gt;'General Information'!$D$33,0,D39/(1+('General Information'!$D$34/100))^C39)</f>
        <v>182349.691334912</v>
      </c>
      <c r="K39" s="1" t="n">
        <f aca="false">K38+1</f>
        <v>2030</v>
      </c>
      <c r="L39" s="169" t="n">
        <f aca="false">IF(K39-$C$6&gt;'General Information'!$D$33,0,IF(K39=$C$6,$D$36,0)+SUMIFS($D$37:$D$51,$C$37:$C$51,K39-$C$6,$B$37:$B$51,"&lt;&gt;*Indirect*"))</f>
        <v>0</v>
      </c>
      <c r="M39" s="169" t="n">
        <f aca="false">IF(K39-$C$6&gt;'General Information'!$D$33,0,SUMIFS($D$37:$D$51,$C$37:$C$51,K39-$C$6,$B$37:$B$51,"*Indirect*"))</f>
        <v>0</v>
      </c>
      <c r="N39" s="169" t="n">
        <f aca="false">IF(K39-$C$6&gt;'General Information'!$D$33,0,IF(K39=$C$6,$E$36,0)+SUMIF($C$37:$C$51,K39-$C$6,$E$37:$E$51))</f>
        <v>0</v>
      </c>
    </row>
    <row r="40" customFormat="false" ht="15" hidden="false" customHeight="false" outlineLevel="0" collapsed="false">
      <c r="B40" s="51" t="s">
        <v>716</v>
      </c>
      <c r="C40" s="48" t="n">
        <f aca="false">'Maintenance Policies'!E12</f>
        <v>8</v>
      </c>
      <c r="D40" s="49" t="n">
        <f aca="false">F2*F5</f>
        <v>32647.02</v>
      </c>
      <c r="E40" s="50" t="n">
        <f aca="false">IF(C40&gt;'General Information'!$D$33,0,D40/(1+('General Information'!$D$34/100))^C40)</f>
        <v>25771.8590608317</v>
      </c>
      <c r="K40" s="1" t="n">
        <f aca="false">K39+1</f>
        <v>2031</v>
      </c>
      <c r="L40" s="169" t="n">
        <f aca="false">IF(K40-$C$6&gt;'General Information'!$D$33,0,IF(K40=$C$6,$D$36,0)+SUMIFS($D$37:$D$51,$C$37:$C$51,K40-$C$6,$B$37:$B$51,"&lt;&gt;*Indirect*"))</f>
        <v>0</v>
      </c>
      <c r="M40" s="169" t="n">
        <f aca="false">IF(K40-$C$6&gt;'General Information'!$D$33,0,SUMIFS($D$37:$D$51,$C$37:$C$51,K40-$C$6,$B$37:$B$51,"*Indirect*"))</f>
        <v>0</v>
      </c>
      <c r="N40" s="169" t="n">
        <f aca="false">IF(K40-$C$6&gt;'General Information'!$D$33,0,IF(K40=$C$6,$E$36,0)+SUMIF($C$37:$C$51,K40-$C$6,$E$37:$E$51))</f>
        <v>0</v>
      </c>
    </row>
    <row r="41" customFormat="false" ht="15" hidden="false" customHeight="false" outlineLevel="0" collapsed="false">
      <c r="B41" s="47" t="s">
        <v>666</v>
      </c>
      <c r="C41" s="48" t="n">
        <f aca="false">'Maintenance Policies'!E14</f>
        <v>12</v>
      </c>
      <c r="D41" s="49" t="n">
        <f aca="false">AF21</f>
        <v>323004.886770833</v>
      </c>
      <c r="E41" s="50" t="n">
        <f aca="false">IF(C41&gt;'General Information'!$D$33,0,D41/(1+('General Information'!$D$34/100))^C41)</f>
        <v>226549.128785072</v>
      </c>
      <c r="K41" s="1" t="n">
        <f aca="false">K40+1</f>
        <v>2032</v>
      </c>
      <c r="L41" s="169" t="n">
        <f aca="false">IF(K41-$C$6&gt;'General Information'!$D$33,0,IF(K41=$C$6,$D$36,0)+SUMIFS($D$37:$D$51,$C$37:$C$51,K41-$C$6,$B$37:$B$51,"&lt;&gt;*Indirect*"))</f>
        <v>230995.133333333</v>
      </c>
      <c r="M41" s="169" t="n">
        <f aca="false">IF(K41-$C$6&gt;'General Information'!$D$33,0,SUMIFS($D$37:$D$51,$C$37:$C$51,K41-$C$6,$B$37:$B$51,"*Indirect*"))</f>
        <v>32647.02</v>
      </c>
      <c r="N41" s="169" t="n">
        <f aca="false">IF(K41-$C$6&gt;'General Information'!$D$33,0,IF(K41=$C$6,$E$36,0)+SUMIF($C$37:$C$51,K41-$C$6,$E$37:$E$51))</f>
        <v>234242.638521269</v>
      </c>
    </row>
    <row r="42" customFormat="false" ht="15" hidden="false" customHeight="false" outlineLevel="0" collapsed="false">
      <c r="B42" s="51" t="s">
        <v>717</v>
      </c>
      <c r="C42" s="48" t="n">
        <f aca="false">'Maintenance Policies'!E14</f>
        <v>12</v>
      </c>
      <c r="D42" s="49" t="n">
        <f aca="false">F2*F6</f>
        <v>43529.36</v>
      </c>
      <c r="E42" s="50" t="n">
        <f aca="false">IF(C42&gt;'General Information'!$D$33,0,D42/(1+('General Information'!$D$34/100))^C42)</f>
        <v>30530.6173016768</v>
      </c>
      <c r="K42" s="1" t="n">
        <f aca="false">K41+1</f>
        <v>2033</v>
      </c>
      <c r="L42" s="169" t="n">
        <f aca="false">IF(K42-$C$6&gt;'General Information'!$D$33,0,IF(K42=$C$6,$D$36,0)+SUMIFS($D$37:$D$51,$C$37:$C$51,K42-$C$6,$B$37:$B$51,"&lt;&gt;*Indirect*"))</f>
        <v>0</v>
      </c>
      <c r="M42" s="169" t="n">
        <f aca="false">IF(K42-$C$6&gt;'General Information'!$D$33,0,SUMIFS($D$37:$D$51,$C$37:$C$51,K42-$C$6,$B$37:$B$51,"*Indirect*"))</f>
        <v>0</v>
      </c>
      <c r="N42" s="169" t="n">
        <f aca="false">IF(K42-$C$6&gt;'General Information'!$D$33,0,IF(K42=$C$6,$E$36,0)+SUMIF($C$37:$C$51,K42-$C$6,$E$37:$E$51))</f>
        <v>0</v>
      </c>
    </row>
    <row r="43" customFormat="false" ht="15" hidden="false" customHeight="false" outlineLevel="0" collapsed="false">
      <c r="B43" s="47" t="s">
        <v>671</v>
      </c>
      <c r="C43" s="48" t="n">
        <f aca="false">'Maintenance Policies'!E18</f>
        <v>16</v>
      </c>
      <c r="D43" s="49" t="n">
        <f aca="false">AN21</f>
        <v>337845.169583333</v>
      </c>
      <c r="E43" s="50" t="n">
        <f aca="false">IF(C43&gt;'General Information'!$D$33,0,D43/(1+('General Information'!$D$34/100))^C43)</f>
        <v>210533.940259546</v>
      </c>
      <c r="K43" s="1" t="n">
        <f aca="false">K42+1</f>
        <v>2034</v>
      </c>
      <c r="L43" s="169" t="n">
        <f aca="false">IF(K43-$C$6&gt;'General Information'!$D$33,0,IF(K43=$C$6,$D$36,0)+SUMIFS($D$37:$D$51,$C$37:$C$51,K43-$C$6,$B$37:$B$51,"&lt;&gt;*Indirect*"))</f>
        <v>0</v>
      </c>
      <c r="M43" s="169" t="n">
        <f aca="false">IF(K43-$C$6&gt;'General Information'!$D$33,0,SUMIFS($D$37:$D$51,$C$37:$C$51,K43-$C$6,$B$37:$B$51,"*Indirect*"))</f>
        <v>0</v>
      </c>
      <c r="N43" s="169" t="n">
        <f aca="false">IF(K43-$C$6&gt;'General Information'!$D$33,0,IF(K43=$C$6,$E$36,0)+SUMIF($C$37:$C$51,K43-$C$6,$E$37:$E$51))</f>
        <v>0</v>
      </c>
    </row>
    <row r="44" customFormat="false" ht="15" hidden="false" customHeight="false" outlineLevel="0" collapsed="false">
      <c r="B44" s="51" t="s">
        <v>718</v>
      </c>
      <c r="C44" s="48" t="n">
        <f aca="false">'Maintenance Policies'!E18</f>
        <v>16</v>
      </c>
      <c r="D44" s="49" t="n">
        <f aca="false">F2*F7</f>
        <v>43529.36</v>
      </c>
      <c r="E44" s="50" t="n">
        <f aca="false">IF(C44&gt;'General Information'!$D$33,0,D44/(1+('General Information'!$D$34/100))^C44)</f>
        <v>27126.0580374105</v>
      </c>
      <c r="K44" s="1" t="n">
        <f aca="false">K43+1</f>
        <v>2035</v>
      </c>
      <c r="L44" s="169" t="n">
        <f aca="false">IF(K44-$C$6&gt;'General Information'!$D$33,0,IF(K44=$C$6,$D$36,0)+SUMIFS($D$37:$D$51,$C$37:$C$51,K44-$C$6,$B$37:$B$51,"&lt;&gt;*Indirect*"))</f>
        <v>0</v>
      </c>
      <c r="M44" s="169" t="n">
        <f aca="false">IF(K44-$C$6&gt;'General Information'!$D$33,0,SUMIFS($D$37:$D$51,$C$37:$C$51,K44-$C$6,$B$37:$B$51,"*Indirect*"))</f>
        <v>0</v>
      </c>
      <c r="N44" s="169" t="n">
        <f aca="false">IF(K44-$C$6&gt;'General Information'!$D$33,0,IF(K44=$C$6,$E$36,0)+SUMIF($C$37:$C$51,K44-$C$6,$E$37:$E$51))</f>
        <v>0</v>
      </c>
    </row>
    <row r="45" customFormat="false" ht="15" hidden="false" customHeight="false" outlineLevel="0" collapsed="false">
      <c r="B45" s="52" t="s">
        <v>4</v>
      </c>
      <c r="C45" s="53" t="n">
        <f aca="false">'Maintenance Policies'!E22</f>
        <v>20</v>
      </c>
      <c r="D45" s="54" t="n">
        <f aca="false">AV22</f>
        <v>1168588.850125</v>
      </c>
      <c r="E45" s="54" t="n">
        <f aca="false">IF(C45&gt;'General Information'!$D$33,0,D45/(1+('General Information'!$D$34/100))^C45)</f>
        <v>647019.312926701</v>
      </c>
      <c r="K45" s="1" t="n">
        <f aca="false">K44+1</f>
        <v>2036</v>
      </c>
      <c r="L45" s="169" t="n">
        <f aca="false">IF(K45-$C$6&gt;'General Information'!$D$33,0,IF(K45=$C$6,$D$36,0)+SUMIFS($D$37:$D$51,$C$37:$C$51,K45-$C$6,$B$37:$B$51,"&lt;&gt;*Indirect*"))</f>
        <v>230995.133333333</v>
      </c>
      <c r="M45" s="169" t="n">
        <f aca="false">IF(K45-$C$6&gt;'General Information'!$D$33,0,SUMIFS($D$37:$D$51,$C$37:$C$51,K45-$C$6,$B$37:$B$51,"*Indirect*"))</f>
        <v>32647.02</v>
      </c>
      <c r="N45" s="169" t="n">
        <f aca="false">IF(K45-$C$6&gt;'General Information'!$D$33,0,IF(K45=$C$6,$E$36,0)+SUMIF($C$37:$C$51,K45-$C$6,$E$37:$E$51))</f>
        <v>208121.550395744</v>
      </c>
    </row>
    <row r="46" customFormat="false" ht="15" hidden="false" customHeight="false" outlineLevel="0" collapsed="false">
      <c r="B46" s="51" t="s">
        <v>43</v>
      </c>
      <c r="C46" s="48" t="n">
        <f aca="false">'Maintenance Policies'!E22</f>
        <v>20</v>
      </c>
      <c r="D46" s="49" t="n">
        <f aca="false">F2*F8</f>
        <v>76176.38</v>
      </c>
      <c r="E46" s="50" t="n">
        <f aca="false">IF(C46&gt;'General Information'!$D$33,0,D46/(1+('General Information'!$D$34/100))^C46)</f>
        <v>42177.0146476848</v>
      </c>
      <c r="K46" s="1" t="n">
        <f aca="false">K45+1</f>
        <v>2037</v>
      </c>
      <c r="L46" s="169" t="n">
        <f aca="false">IF(K46-$C$6&gt;'General Information'!$D$33,0,IF(K46=$C$6,$D$36,0)+SUMIFS($D$37:$D$51,$C$37:$C$51,K46-$C$6,$B$37:$B$51,"&lt;&gt;*Indirect*"))</f>
        <v>0</v>
      </c>
      <c r="M46" s="169" t="n">
        <f aca="false">IF(K46-$C$6&gt;'General Information'!$D$33,0,SUMIFS($D$37:$D$51,$C$37:$C$51,K46-$C$6,$B$37:$B$51,"*Indirect*"))</f>
        <v>0</v>
      </c>
      <c r="N46" s="169" t="n">
        <f aca="false">IF(K46-$C$6&gt;'General Information'!$D$33,0,IF(K46=$C$6,$E$36,0)+SUMIF($C$37:$C$51,K46-$C$6,$E$37:$E$51))</f>
        <v>0</v>
      </c>
    </row>
    <row r="47" customFormat="false" ht="15" hidden="false" customHeight="false" outlineLevel="0" collapsed="false">
      <c r="B47" s="47" t="s">
        <v>677</v>
      </c>
      <c r="C47" s="48" t="n">
        <f aca="false">'Maintenance Policies'!E26</f>
        <v>24</v>
      </c>
      <c r="D47" s="49" t="n">
        <f aca="false">BD19</f>
        <v>230995.133333333</v>
      </c>
      <c r="E47" s="50" t="n">
        <f aca="false">IF(C47&gt;'General Information'!$D$33,0,D47/(1+('General Information'!$D$34/100))^C47)</f>
        <v>113634.29901691</v>
      </c>
      <c r="K47" s="1" t="n">
        <f aca="false">K46+1</f>
        <v>2038</v>
      </c>
      <c r="L47" s="169" t="n">
        <f aca="false">IF(K47-$C$6&gt;'General Information'!$D$33,0,IF(K47=$C$6,$D$36,0)+SUMIFS($D$37:$D$51,$C$37:$C$51,K47-$C$6,$B$37:$B$51,"&lt;&gt;*Indirect*"))</f>
        <v>0</v>
      </c>
      <c r="M47" s="169" t="n">
        <f aca="false">IF(K47-$C$6&gt;'General Information'!$D$33,0,SUMIFS($D$37:$D$51,$C$37:$C$51,K47-$C$6,$B$37:$B$51,"*Indirect*"))</f>
        <v>0</v>
      </c>
      <c r="N47" s="169" t="n">
        <f aca="false">IF(K47-$C$6&gt;'General Information'!$D$33,0,IF(K47=$C$6,$E$36,0)+SUMIF($C$37:$C$51,K47-$C$6,$E$37:$E$51))</f>
        <v>0</v>
      </c>
    </row>
    <row r="48" customFormat="false" ht="15" hidden="false" customHeight="false" outlineLevel="0" collapsed="false">
      <c r="B48" s="51" t="s">
        <v>719</v>
      </c>
      <c r="C48" s="48" t="n">
        <f aca="false">'Maintenance Policies'!E26</f>
        <v>24</v>
      </c>
      <c r="D48" s="49" t="n">
        <f aca="false">F2*F9</f>
        <v>32647.02</v>
      </c>
      <c r="E48" s="50" t="n">
        <f aca="false">IF(C48&gt;'General Information'!$D$33,0,D48/(1+('General Information'!$D$34/100))^C48)</f>
        <v>16060.1705289507</v>
      </c>
      <c r="K48" s="1" t="n">
        <f aca="false">K47+1</f>
        <v>2039</v>
      </c>
      <c r="L48" s="169" t="n">
        <f aca="false">IF(K48-$C$6&gt;'General Information'!$D$33,0,IF(K48=$C$6,$D$36,0)+SUMIFS($D$37:$D$51,$C$37:$C$51,K48-$C$6,$B$37:$B$51,"&lt;&gt;*Indirect*"))</f>
        <v>0</v>
      </c>
      <c r="M48" s="169" t="n">
        <f aca="false">IF(K48-$C$6&gt;'General Information'!$D$33,0,SUMIFS($D$37:$D$51,$C$37:$C$51,K48-$C$6,$B$37:$B$51,"*Indirect*"))</f>
        <v>0</v>
      </c>
      <c r="N48" s="169" t="n">
        <f aca="false">IF(K48-$C$6&gt;'General Information'!$D$33,0,IF(K48=$C$6,$E$36,0)+SUMIF($C$37:$C$51,K48-$C$6,$E$37:$E$51))</f>
        <v>0</v>
      </c>
    </row>
    <row r="49" customFormat="false" ht="15" hidden="false" customHeight="false" outlineLevel="0" collapsed="false">
      <c r="B49" s="47" t="s">
        <v>678</v>
      </c>
      <c r="C49" s="48" t="n">
        <f aca="false">'Maintenance Policies'!E28</f>
        <v>28</v>
      </c>
      <c r="D49" s="49" t="n">
        <f aca="false">BL21</f>
        <v>357434.342895833</v>
      </c>
      <c r="E49" s="50" t="n">
        <f aca="false">IF(C49&gt;'General Information'!$D$33,0,D49/(1+('General Information'!$D$34/100))^C49)</f>
        <v>156226.242064515</v>
      </c>
      <c r="K49" s="1" t="n">
        <f aca="false">K48+1</f>
        <v>2040</v>
      </c>
      <c r="L49" s="169" t="n">
        <f aca="false">IF(K49-$C$6&gt;'General Information'!$D$33,0,IF(K49=$C$6,$D$36,0)+SUMIFS($D$37:$D$51,$C$37:$C$51,K49-$C$6,$B$37:$B$51,"&lt;&gt;*Indirect*"))</f>
        <v>323004.886770833</v>
      </c>
      <c r="M49" s="169" t="n">
        <f aca="false">IF(K49-$C$6&gt;'General Information'!$D$33,0,SUMIFS($D$37:$D$51,$C$37:$C$51,K49-$C$6,$B$37:$B$51,"*Indirect*"))</f>
        <v>43529.36</v>
      </c>
      <c r="N49" s="169" t="n">
        <f aca="false">IF(K49-$C$6&gt;'General Information'!$D$33,0,IF(K49=$C$6,$E$36,0)+SUMIF($C$37:$C$51,K49-$C$6,$E$37:$E$51))</f>
        <v>257079.746086749</v>
      </c>
    </row>
    <row r="50" customFormat="false" ht="15" hidden="false" customHeight="false" outlineLevel="0" collapsed="false">
      <c r="B50" s="51" t="s">
        <v>720</v>
      </c>
      <c r="C50" s="48" t="n">
        <f aca="false">'Maintenance Policies'!E28</f>
        <v>28</v>
      </c>
      <c r="D50" s="49" t="n">
        <f aca="false">F2*F10</f>
        <v>43529.36</v>
      </c>
      <c r="E50" s="50" t="n">
        <f aca="false">IF(C50&gt;'General Information'!$D$33,0,D50/(1+('General Information'!$D$34/100))^C50)</f>
        <v>19025.6713363866</v>
      </c>
      <c r="K50" s="1" t="n">
        <f aca="false">K49+1</f>
        <v>2041</v>
      </c>
      <c r="L50" s="169" t="n">
        <f aca="false">IF(K50-$C$6&gt;'General Information'!$D$33,0,IF(K50=$C$6,$D$36,0)+SUMIFS($D$37:$D$51,$C$37:$C$51,K50-$C$6,$B$37:$B$51,"&lt;&gt;*Indirect*"))</f>
        <v>0</v>
      </c>
      <c r="M50" s="169" t="n">
        <f aca="false">IF(K50-$C$6&gt;'General Information'!$D$33,0,SUMIFS($D$37:$D$51,$C$37:$C$51,K50-$C$6,$B$37:$B$51,"*Indirect*"))</f>
        <v>0</v>
      </c>
      <c r="N50" s="169" t="n">
        <f aca="false">IF(K50-$C$6&gt;'General Information'!$D$33,0,IF(K50=$C$6,$E$36,0)+SUMIF($C$37:$C$51,K50-$C$6,$E$37:$E$51))</f>
        <v>0</v>
      </c>
    </row>
    <row r="51" customFormat="false" ht="15" hidden="false" customHeight="false" outlineLevel="0" collapsed="false">
      <c r="B51" s="55" t="s">
        <v>44</v>
      </c>
      <c r="C51" s="56" t="n">
        <f aca="false">'General Information'!D33</f>
        <v>30</v>
      </c>
      <c r="D51" s="57" t="n">
        <f aca="false">-'Maintenance Policies'!D32*AV22</f>
        <v>-438220.818796875</v>
      </c>
      <c r="E51" s="57" t="n">
        <f aca="false">IF(C51&gt;'General Information'!$D$33,0,D51/(1+('General Information'!$D$34/100))^C51)</f>
        <v>-180541.175088532</v>
      </c>
      <c r="K51" s="1" t="n">
        <f aca="false">K50+1</f>
        <v>2042</v>
      </c>
      <c r="L51" s="169" t="n">
        <f aca="false">IF(K51-$C$6&gt;'General Information'!$D$33,0,IF(K51=$C$6,$D$36,0)+SUMIFS($D$37:$D$51,$C$37:$C$51,K51-$C$6,$B$37:$B$51,"&lt;&gt;*Indirect*"))</f>
        <v>0</v>
      </c>
      <c r="M51" s="169" t="n">
        <f aca="false">IF(K51-$C$6&gt;'General Information'!$D$33,0,SUMIFS($D$37:$D$51,$C$37:$C$51,K51-$C$6,$B$37:$B$51,"*Indirect*"))</f>
        <v>0</v>
      </c>
      <c r="N51" s="169" t="n">
        <f aca="false">IF(K51-$C$6&gt;'General Information'!$D$33,0,IF(K51=$C$6,$E$36,0)+SUMIF($C$37:$C$51,K51-$C$6,$E$37:$E$51))</f>
        <v>0</v>
      </c>
    </row>
    <row r="52" customFormat="false" ht="25.5" hidden="false" customHeight="true" outlineLevel="0" collapsed="false">
      <c r="B52" s="58" t="s">
        <v>31</v>
      </c>
      <c r="C52" s="59"/>
      <c r="D52" s="59"/>
      <c r="E52" s="60" t="n">
        <f aca="false">SUM(E36:E51)</f>
        <v>6036217.26873333</v>
      </c>
      <c r="K52" s="1" t="n">
        <f aca="false">K51+1</f>
        <v>2043</v>
      </c>
      <c r="L52" s="169" t="n">
        <f aca="false">IF(K52-$C$6&gt;'General Information'!$D$33,0,IF(K52=$C$6,$D$36,0)+SUMIFS($D$37:$D$51,$C$37:$C$51,K52-$C$6,$B$37:$B$51,"&lt;&gt;*Indirect*"))</f>
        <v>0</v>
      </c>
      <c r="M52" s="169" t="n">
        <f aca="false">IF(K52-$C$6&gt;'General Information'!$D$33,0,SUMIFS($D$37:$D$51,$C$37:$C$51,K52-$C$6,$B$37:$B$51,"*Indirect*"))</f>
        <v>0</v>
      </c>
      <c r="N52" s="169" t="n">
        <f aca="false">IF(K52-$C$6&gt;'General Information'!$D$33,0,IF(K52=$C$6,$E$36,0)+SUMIF($C$37:$C$51,K52-$C$6,$E$37:$E$51))</f>
        <v>0</v>
      </c>
    </row>
    <row r="53" customFormat="false" ht="15" hidden="false" customHeight="false" outlineLevel="0" collapsed="false">
      <c r="K53" s="1" t="n">
        <f aca="false">K52+1</f>
        <v>2044</v>
      </c>
      <c r="L53" s="169" t="n">
        <f aca="false">IF(K53-$C$6&gt;'General Information'!$D$33,0,IF(K53=$C$6,$D$36,0)+SUMIFS($D$37:$D$51,$C$37:$C$51,K53-$C$6,$B$37:$B$51,"&lt;&gt;*Indirect*"))</f>
        <v>337845.169583333</v>
      </c>
      <c r="M53" s="169" t="n">
        <f aca="false">IF(K53-$C$6&gt;'General Information'!$D$33,0,SUMIFS($D$37:$D$51,$C$37:$C$51,K53-$C$6,$B$37:$B$51,"*Indirect*"))</f>
        <v>43529.36</v>
      </c>
      <c r="N53" s="169" t="n">
        <f aca="false">IF(K53-$C$6&gt;'General Information'!$D$33,0,IF(K53=$C$6,$E$36,0)+SUMIF($C$37:$C$51,K53-$C$6,$E$37:$E$51))</f>
        <v>237659.998296957</v>
      </c>
    </row>
    <row r="54" customFormat="false" ht="15" hidden="false" customHeight="false" outlineLevel="0" collapsed="false">
      <c r="K54" s="1" t="n">
        <f aca="false">K53+1</f>
        <v>2045</v>
      </c>
      <c r="L54" s="169" t="n">
        <f aca="false">IF(K54-$C$6&gt;'General Information'!$D$33,0,IF(K54=$C$6,$D$36,0)+SUMIFS($D$37:$D$51,$C$37:$C$51,K54-$C$6,$B$37:$B$51,"&lt;&gt;*Indirect*"))</f>
        <v>0</v>
      </c>
      <c r="M54" s="169" t="n">
        <f aca="false">IF(K54-$C$6&gt;'General Information'!$D$33,0,SUMIFS($D$37:$D$51,$C$37:$C$51,K54-$C$6,$B$37:$B$51,"*Indirect*"))</f>
        <v>0</v>
      </c>
      <c r="N54" s="169" t="n">
        <f aca="false">IF(K54-$C$6&gt;'General Information'!$D$33,0,IF(K54=$C$6,$E$36,0)+SUMIF($C$37:$C$51,K54-$C$6,$E$37:$E$51))</f>
        <v>0</v>
      </c>
    </row>
    <row r="55" customFormat="false" ht="15" hidden="false" customHeight="false" outlineLevel="0" collapsed="false">
      <c r="K55" s="1" t="n">
        <f aca="false">K54+1</f>
        <v>2046</v>
      </c>
      <c r="L55" s="169" t="n">
        <f aca="false">IF(K55-$C$6&gt;'General Information'!$D$33,0,IF(K55=$C$6,$D$36,0)+SUMIFS($D$37:$D$51,$C$37:$C$51,K55-$C$6,$B$37:$B$51,"&lt;&gt;*Indirect*"))</f>
        <v>0</v>
      </c>
      <c r="M55" s="169" t="n">
        <f aca="false">IF(K55-$C$6&gt;'General Information'!$D$33,0,SUMIFS($D$37:$D$51,$C$37:$C$51,K55-$C$6,$B$37:$B$51,"*Indirect*"))</f>
        <v>0</v>
      </c>
      <c r="N55" s="169" t="n">
        <f aca="false">IF(K55-$C$6&gt;'General Information'!$D$33,0,IF(K55=$C$6,$E$36,0)+SUMIF($C$37:$C$51,K55-$C$6,$E$37:$E$51))</f>
        <v>0</v>
      </c>
    </row>
    <row r="56" customFormat="false" ht="15" hidden="false" customHeight="false" outlineLevel="0" collapsed="false">
      <c r="K56" s="1" t="n">
        <f aca="false">K55+1</f>
        <v>2047</v>
      </c>
      <c r="L56" s="169" t="n">
        <f aca="false">IF(K56-$C$6&gt;'General Information'!$D$33,0,IF(K56=$C$6,$D$36,0)+SUMIFS($D$37:$D$51,$C$37:$C$51,K56-$C$6,$B$37:$B$51,"&lt;&gt;*Indirect*"))</f>
        <v>0</v>
      </c>
      <c r="M56" s="169" t="n">
        <f aca="false">IF(K56-$C$6&gt;'General Information'!$D$33,0,SUMIFS($D$37:$D$51,$C$37:$C$51,K56-$C$6,$B$37:$B$51,"*Indirect*"))</f>
        <v>0</v>
      </c>
      <c r="N56" s="169" t="n">
        <f aca="false">IF(K56-$C$6&gt;'General Information'!$D$33,0,IF(K56=$C$6,$E$36,0)+SUMIF($C$37:$C$51,K56-$C$6,$E$37:$E$51))</f>
        <v>0</v>
      </c>
    </row>
    <row r="57" customFormat="false" ht="15" hidden="false" customHeight="false" outlineLevel="0" collapsed="false">
      <c r="K57" s="1" t="n">
        <f aca="false">K56+1</f>
        <v>2048</v>
      </c>
      <c r="L57" s="169" t="n">
        <f aca="false">IF(K57-$C$6&gt;'General Information'!$D$33,0,IF(K57=$C$6,$D$36,0)+SUMIFS($D$37:$D$51,$C$37:$C$51,K57-$C$6,$B$37:$B$51,"&lt;&gt;*Indirect*"))</f>
        <v>1168588.850125</v>
      </c>
      <c r="M57" s="169" t="n">
        <f aca="false">IF(K57-$C$6&gt;'General Information'!$D$33,0,SUMIFS($D$37:$D$51,$C$37:$C$51,K57-$C$6,$B$37:$B$51,"*Indirect*"))</f>
        <v>76176.38</v>
      </c>
      <c r="N57" s="169" t="n">
        <f aca="false">IF(K57-$C$6&gt;'General Information'!$D$33,0,IF(K57=$C$6,$E$36,0)+SUMIF($C$37:$C$51,K57-$C$6,$E$37:$E$51))</f>
        <v>689196.327574386</v>
      </c>
    </row>
    <row r="58" customFormat="false" ht="15" hidden="false" customHeight="false" outlineLevel="0" collapsed="false">
      <c r="K58" s="1" t="n">
        <f aca="false">K57+1</f>
        <v>2049</v>
      </c>
      <c r="L58" s="169" t="n">
        <f aca="false">IF(K58-$C$6&gt;'General Information'!$D$33,0,IF(K58=$C$6,$D$36,0)+SUMIFS($D$37:$D$51,$C$37:$C$51,K58-$C$6,$B$37:$B$51,"&lt;&gt;*Indirect*"))</f>
        <v>0</v>
      </c>
      <c r="M58" s="169" t="n">
        <f aca="false">IF(K58-$C$6&gt;'General Information'!$D$33,0,SUMIFS($D$37:$D$51,$C$37:$C$51,K58-$C$6,$B$37:$B$51,"*Indirect*"))</f>
        <v>0</v>
      </c>
      <c r="N58" s="169" t="n">
        <f aca="false">IF(K58-$C$6&gt;'General Information'!$D$33,0,IF(K58=$C$6,$E$36,0)+SUMIF($C$37:$C$51,K58-$C$6,$E$37:$E$51))</f>
        <v>0</v>
      </c>
    </row>
    <row r="59" customFormat="false" ht="15" hidden="false" customHeight="false" outlineLevel="0" collapsed="false">
      <c r="K59" s="1" t="n">
        <f aca="false">K58+1</f>
        <v>2050</v>
      </c>
      <c r="L59" s="169" t="n">
        <f aca="false">IF(K59-$C$6&gt;'General Information'!$D$33,0,IF(K59=$C$6,$D$36,0)+SUMIFS($D$37:$D$51,$C$37:$C$51,K59-$C$6,$B$37:$B$51,"&lt;&gt;*Indirect*"))</f>
        <v>0</v>
      </c>
      <c r="M59" s="169" t="n">
        <f aca="false">IF(K59-$C$6&gt;'General Information'!$D$33,0,SUMIFS($D$37:$D$51,$C$37:$C$51,K59-$C$6,$B$37:$B$51,"*Indirect*"))</f>
        <v>0</v>
      </c>
      <c r="N59" s="169" t="n">
        <f aca="false">IF(K59-$C$6&gt;'General Information'!$D$33,0,IF(K59=$C$6,$E$36,0)+SUMIF($C$37:$C$51,K59-$C$6,$E$37:$E$51))</f>
        <v>0</v>
      </c>
    </row>
    <row r="60" customFormat="false" ht="15" hidden="false" customHeight="false" outlineLevel="0" collapsed="false">
      <c r="K60" s="1" t="n">
        <f aca="false">K59+1</f>
        <v>2051</v>
      </c>
      <c r="L60" s="169" t="n">
        <f aca="false">IF(K60-$C$6&gt;'General Information'!$D$33,0,IF(K60=$C$6,$D$36,0)+SUMIFS($D$37:$D$51,$C$37:$C$51,K60-$C$6,$B$37:$B$51,"&lt;&gt;*Indirect*"))</f>
        <v>0</v>
      </c>
      <c r="M60" s="169" t="n">
        <f aca="false">IF(K60-$C$6&gt;'General Information'!$D$33,0,SUMIFS($D$37:$D$51,$C$37:$C$51,K60-$C$6,$B$37:$B$51,"*Indirect*"))</f>
        <v>0</v>
      </c>
      <c r="N60" s="169" t="n">
        <f aca="false">IF(K60-$C$6&gt;'General Information'!$D$33,0,IF(K60=$C$6,$E$36,0)+SUMIF($C$37:$C$51,K60-$C$6,$E$37:$E$51))</f>
        <v>0</v>
      </c>
    </row>
    <row r="61" customFormat="false" ht="15" hidden="false" customHeight="false" outlineLevel="0" collapsed="false">
      <c r="K61" s="1" t="n">
        <f aca="false">K60+1</f>
        <v>2052</v>
      </c>
      <c r="L61" s="169" t="n">
        <f aca="false">IF(K61-$C$6&gt;'General Information'!$D$33,0,IF(K61=$C$6,$D$36,0)+SUMIFS($D$37:$D$51,$C$37:$C$51,K61-$C$6,$B$37:$B$51,"&lt;&gt;*Indirect*"))</f>
        <v>230995.133333333</v>
      </c>
      <c r="M61" s="169" t="n">
        <f aca="false">IF(K61-$C$6&gt;'General Information'!$D$33,0,SUMIFS($D$37:$D$51,$C$37:$C$51,K61-$C$6,$B$37:$B$51,"*Indirect*"))</f>
        <v>32647.02</v>
      </c>
      <c r="N61" s="169" t="n">
        <f aca="false">IF(K61-$C$6&gt;'General Information'!$D$33,0,IF(K61=$C$6,$E$36,0)+SUMIF($C$37:$C$51,K61-$C$6,$E$37:$E$51))</f>
        <v>129694.46954586</v>
      </c>
    </row>
    <row r="62" customFormat="false" ht="15" hidden="false" customHeight="false" outlineLevel="0" collapsed="false">
      <c r="K62" s="1" t="n">
        <f aca="false">K61+1</f>
        <v>2053</v>
      </c>
      <c r="L62" s="169" t="n">
        <f aca="false">IF(K62-$C$6&gt;'General Information'!$D$33,0,IF(K62=$C$6,$D$36,0)+SUMIFS($D$37:$D$51,$C$37:$C$51,K62-$C$6,$B$37:$B$51,"&lt;&gt;*Indirect*"))</f>
        <v>0</v>
      </c>
      <c r="M62" s="169" t="n">
        <f aca="false">IF(K62-$C$6&gt;'General Information'!$D$33,0,SUMIFS($D$37:$D$51,$C$37:$C$51,K62-$C$6,$B$37:$B$51,"*Indirect*"))</f>
        <v>0</v>
      </c>
      <c r="N62" s="169" t="n">
        <f aca="false">IF(K62-$C$6&gt;'General Information'!$D$33,0,IF(K62=$C$6,$E$36,0)+SUMIF($C$37:$C$51,K62-$C$6,$E$37:$E$51))</f>
        <v>0</v>
      </c>
    </row>
    <row r="63" customFormat="false" ht="15" hidden="false" customHeight="false" outlineLevel="0" collapsed="false">
      <c r="K63" s="1" t="n">
        <f aca="false">K62+1</f>
        <v>2054</v>
      </c>
      <c r="L63" s="169" t="n">
        <f aca="false">IF(K63-$C$6&gt;'General Information'!$D$33,0,IF(K63=$C$6,$D$36,0)+SUMIFS($D$37:$D$51,$C$37:$C$51,K63-$C$6,$B$37:$B$51,"&lt;&gt;*Indirect*"))</f>
        <v>0</v>
      </c>
      <c r="M63" s="169" t="n">
        <f aca="false">IF(K63-$C$6&gt;'General Information'!$D$33,0,SUMIFS($D$37:$D$51,$C$37:$C$51,K63-$C$6,$B$37:$B$51,"*Indirect*"))</f>
        <v>0</v>
      </c>
      <c r="N63" s="169" t="n">
        <f aca="false">IF(K63-$C$6&gt;'General Information'!$D$33,0,IF(K63=$C$6,$E$36,0)+SUMIF($C$37:$C$51,K63-$C$6,$E$37:$E$51))</f>
        <v>0</v>
      </c>
    </row>
    <row r="64" customFormat="false" ht="15" hidden="false" customHeight="false" outlineLevel="0" collapsed="false">
      <c r="K64" s="1" t="n">
        <f aca="false">K63+1</f>
        <v>2055</v>
      </c>
      <c r="L64" s="169" t="n">
        <f aca="false">IF(K64-$C$6&gt;'General Information'!$D$33,0,IF(K64=$C$6,$D$36,0)+SUMIFS($D$37:$D$51,$C$37:$C$51,K64-$C$6,$B$37:$B$51,"&lt;&gt;*Indirect*"))</f>
        <v>0</v>
      </c>
      <c r="M64" s="169" t="n">
        <f aca="false">IF(K64-$C$6&gt;'General Information'!$D$33,0,SUMIFS($D$37:$D$51,$C$37:$C$51,K64-$C$6,$B$37:$B$51,"*Indirect*"))</f>
        <v>0</v>
      </c>
      <c r="N64" s="169" t="n">
        <f aca="false">IF(K64-$C$6&gt;'General Information'!$D$33,0,IF(K64=$C$6,$E$36,0)+SUMIF($C$37:$C$51,K64-$C$6,$E$37:$E$51))</f>
        <v>0</v>
      </c>
    </row>
    <row r="65" customFormat="false" ht="15" hidden="false" customHeight="false" outlineLevel="0" collapsed="false">
      <c r="K65" s="1" t="n">
        <f aca="false">K64+1</f>
        <v>2056</v>
      </c>
      <c r="L65" s="169" t="n">
        <f aca="false">IF(K65-$C$6&gt;'General Information'!$D$33,0,IF(K65=$C$6,$D$36,0)+SUMIFS($D$37:$D$51,$C$37:$C$51,K65-$C$6,$B$37:$B$51,"&lt;&gt;*Indirect*"))</f>
        <v>357434.342895833</v>
      </c>
      <c r="M65" s="169" t="n">
        <f aca="false">IF(K65-$C$6&gt;'General Information'!$D$33,0,SUMIFS($D$37:$D$51,$C$37:$C$51,K65-$C$6,$B$37:$B$51,"*Indirect*"))</f>
        <v>43529.36</v>
      </c>
      <c r="N65" s="169" t="n">
        <f aca="false">IF(K65-$C$6&gt;'General Information'!$D$33,0,IF(K65=$C$6,$E$36,0)+SUMIF($C$37:$C$51,K65-$C$6,$E$37:$E$51))</f>
        <v>175251.913400902</v>
      </c>
    </row>
    <row r="66" customFormat="false" ht="15" hidden="false" customHeight="false" outlineLevel="0" collapsed="false">
      <c r="K66" s="1" t="n">
        <f aca="false">K65+1</f>
        <v>2057</v>
      </c>
      <c r="L66" s="169" t="n">
        <f aca="false">IF(K66-$C$6&gt;'General Information'!$D$33,0,IF(K66=$C$6,$D$36,0)+SUMIFS($D$37:$D$51,$C$37:$C$51,K66-$C$6,$B$37:$B$51,"&lt;&gt;*Indirect*"))</f>
        <v>0</v>
      </c>
      <c r="M66" s="169" t="n">
        <f aca="false">IF(K66-$C$6&gt;'General Information'!$D$33,0,SUMIFS($D$37:$D$51,$C$37:$C$51,K66-$C$6,$B$37:$B$51,"*Indirect*"))</f>
        <v>0</v>
      </c>
      <c r="N66" s="169" t="n">
        <f aca="false">IF(K66-$C$6&gt;'General Information'!$D$33,0,IF(K66=$C$6,$E$36,0)+SUMIF($C$37:$C$51,K66-$C$6,$E$37:$E$51))</f>
        <v>0</v>
      </c>
    </row>
    <row r="67" customFormat="false" ht="15" hidden="false" customHeight="false" outlineLevel="0" collapsed="false">
      <c r="K67" s="1" t="n">
        <f aca="false">K66+1</f>
        <v>2058</v>
      </c>
      <c r="L67" s="169" t="n">
        <f aca="false">IF(K67-$C$6&gt;'General Information'!$D$33,0,IF(K67=$C$6,$D$36,0)+SUMIFS($D$37:$D$51,$C$37:$C$51,K67-$C$6,$B$37:$B$51,"&lt;&gt;*Indirect*"))</f>
        <v>-438220.818796875</v>
      </c>
      <c r="M67" s="169" t="n">
        <f aca="false">IF(K67-$C$6&gt;'General Information'!$D$33,0,SUMIFS($D$37:$D$51,$C$37:$C$51,K67-$C$6,$B$37:$B$51,"*Indirect*"))</f>
        <v>0</v>
      </c>
      <c r="N67" s="169" t="n">
        <f aca="false">IF(K67-$C$6&gt;'General Information'!$D$33,0,IF(K67=$C$6,$E$36,0)+SUMIF($C$37:$C$51,K67-$C$6,$E$37:$E$51))</f>
        <v>-180541.175088532</v>
      </c>
    </row>
  </sheetData>
  <mergeCells count="3">
    <mergeCell ref="A1:B1"/>
    <mergeCell ref="A3:G3"/>
    <mergeCell ref="D11:G11"/>
  </mergeCells>
  <dataValidations count="2">
    <dataValidation allowBlank="false" error="Choose Regular, Middle, West or East." errorStyle="stop" errorTitle="Pricing source" operator="between" prompt="Which unit cost column on Pay_Items this alternative is priced from. Regular is the statewide Unit Cost column." promptTitle="Price from" showDropDown="false" showErrorMessage="true" showInputMessage="true" sqref="C11" type="list">
      <formula1>"Regular,Middle,West,East"</formula1>
      <formula2>0</formula2>
    </dataValidation>
    <dataValidation allowBlank="true" error="Select from list" errorStyle="stop" operator="between" showDropDown="false" showErrorMessage="true" showInputMessage="true" sqref="C7" type="list">
      <formula1>Pay_Items!$D$48:$D$53</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true"/>
  </sheetPr>
  <dimension ref="A1:X68"/>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selection pane="topLeft" activeCell="B42" activeCellId="0" sqref="B42"/>
    </sheetView>
  </sheetViews>
  <sheetFormatPr defaultColWidth="8.5390625" defaultRowHeight="15" zeroHeight="false" outlineLevelRow="0" outlineLevelCol="0"/>
  <cols>
    <col collapsed="false" customWidth="true" hidden="false" outlineLevel="0" max="1" min="1" style="0" width="12.29"/>
    <col collapsed="false" customWidth="true" hidden="false" outlineLevel="0" max="2" min="2" style="0" width="19.71"/>
    <col collapsed="false" customWidth="true" hidden="false" outlineLevel="0" max="3" min="3" style="0" width="53.71"/>
    <col collapsed="false" customWidth="true" hidden="false" outlineLevel="0" max="5" min="5" style="0" width="33.72"/>
    <col collapsed="false" customWidth="true" hidden="false" outlineLevel="0" max="6" min="6" style="0" width="20.71"/>
    <col collapsed="false" customWidth="true" hidden="false" outlineLevel="0" max="7" min="7" style="0" width="21.57"/>
    <col collapsed="false" customWidth="true" hidden="true" outlineLevel="0" max="9" min="9" style="0" width="9.14"/>
    <col collapsed="false" customWidth="true" hidden="true" outlineLevel="0" max="11" min="10" style="1" width="13.29"/>
    <col collapsed="false" customWidth="true" hidden="true" outlineLevel="0" max="12" min="12" style="2" width="33.86"/>
    <col collapsed="false" customWidth="true" hidden="true" outlineLevel="0" max="13" min="13" style="1" width="16"/>
    <col collapsed="false" customWidth="true" hidden="true" outlineLevel="0" max="16" min="14" style="1" width="13.29"/>
    <col collapsed="false" customWidth="true" hidden="true" outlineLevel="0" max="17" min="17" style="0" width="3.57"/>
    <col collapsed="false" customWidth="true" hidden="true" outlineLevel="0" max="19" min="18" style="0" width="13.29"/>
    <col collapsed="false" customWidth="true" hidden="true" outlineLevel="0" max="20" min="20" style="0" width="41.28"/>
    <col collapsed="false" customWidth="true" hidden="true" outlineLevel="0" max="22" min="21" style="0" width="13.29"/>
    <col collapsed="false" customWidth="true" hidden="true" outlineLevel="0" max="23" min="23" style="0" width="10"/>
    <col collapsed="false" customWidth="true" hidden="true" outlineLevel="0" max="24" min="24" style="0" width="10.29"/>
    <col collapsed="false" customWidth="true" hidden="true" outlineLevel="0" max="26" min="25" style="0" width="9.14"/>
  </cols>
  <sheetData>
    <row r="1" customFormat="false" ht="39.75" hidden="false" customHeight="true" outlineLevel="0" collapsed="false">
      <c r="A1" s="3" t="str">
        <f aca="false">HYPERLINK("#'General Information'!D9","◄ General Information")</f>
        <v>◄ General Information</v>
      </c>
      <c r="B1" s="3"/>
      <c r="C1" s="4" t="str">
        <f aca="false">HYPERLINK("#Summary!G1","Summary")</f>
        <v>Summary</v>
      </c>
      <c r="D1" s="5" t="str">
        <f aca="false">$A$34</f>
        <v>PCC Reconstruction - Alternative 2</v>
      </c>
      <c r="I1" s="0" t="s">
        <v>0</v>
      </c>
    </row>
    <row r="2" customFormat="false" ht="15" hidden="false" customHeight="false" outlineLevel="0" collapsed="false">
      <c r="A2" s="7" t="s">
        <v>1</v>
      </c>
      <c r="E2" s="8" t="s">
        <v>2</v>
      </c>
      <c r="F2" s="9" t="n">
        <f aca="false">IF('General Information'!$D$38="Yes",SUMIF(RevenueData!$A:$A,'General Information'!$D$10,RevenueData!$B:$B)+SUMIF(RevenueData!$A:$A,'General Information'!$D$10,RevenueData!$C:$C)+SUMIF(RevenueData!$A:$A,'General Information'!$D$10,RevenueData!$D:$D)+SUMIF(RevenueData!$A:$A,'General Information'!$D$10,RevenueData!$E:$E)+SUMIF(RevenueData!$A:$A,'General Information'!$D$10,RevenueData!$F:$F)+SUMIF(RevenueData!$A:$A,'General Information'!$D$10,RevenueData!$G:$G)+SUMIF(RevenueData!$A:$A,'General Information'!$D$10,RevenueData!$H:$H),0)</f>
        <v>5441.17</v>
      </c>
      <c r="G2" s="0" t="str">
        <f aca="false">IF(AND('General Information'!$D$38="Yes",F2=0),"No revenue data for this airport - lost revenue set to $0. Contact Aeronautics.","")</f>
        <v/>
      </c>
      <c r="J2" s="10" t="s">
        <v>3</v>
      </c>
      <c r="R2" s="7" t="s">
        <v>4</v>
      </c>
    </row>
    <row r="3" customFormat="false" ht="25.5" hidden="false" customHeight="true" outlineLevel="0" collapsed="false">
      <c r="A3" s="11" t="s">
        <v>5</v>
      </c>
      <c r="B3" s="11"/>
      <c r="C3" s="11"/>
      <c r="D3" s="11"/>
      <c r="E3" s="11"/>
      <c r="F3" s="11"/>
      <c r="G3" s="11"/>
    </row>
    <row r="4" customFormat="false" ht="15" hidden="false" customHeight="false" outlineLevel="0" collapsed="false">
      <c r="A4" s="12" t="s">
        <v>6</v>
      </c>
      <c r="B4" s="13"/>
      <c r="C4" s="14" t="s">
        <v>7</v>
      </c>
      <c r="D4" s="13"/>
      <c r="E4" s="15" t="s">
        <v>8</v>
      </c>
      <c r="F4" s="16" t="n">
        <f aca="false">ROUNDUP(C5*550/(50*100/9)/10000,0)+ROUNDUP(C5*'Maintenance Policies'!D38/10000,0)+ROUNDUP(C5*'Maintenance Policies'!D39/5000,0)+ROUNDUP(C5*'Maintenance Policies'!D40/5000,0)</f>
        <v>8</v>
      </c>
    </row>
    <row r="5" customFormat="false" ht="15" hidden="false" customHeight="false" outlineLevel="0" collapsed="false">
      <c r="A5" s="12" t="s">
        <v>9</v>
      </c>
      <c r="B5" s="13"/>
      <c r="C5" s="14" t="n">
        <f aca="false">'General Information'!D26</f>
        <v>45883</v>
      </c>
      <c r="D5" s="13" t="s">
        <v>10</v>
      </c>
      <c r="E5" s="17" t="s">
        <v>11</v>
      </c>
      <c r="F5" s="18" t="n">
        <f aca="false">ROUNDUP(C5*550/(50*100/9)/10000,0)+ROUNDUP(C5*'Maintenance Policies'!D44/10000,0)+ROUNDUP(C5*'Maintenance Policies'!D43/5000,0)+ROUNDUP(C5*'Maintenance Policies'!D42/5000,0)+ROUNDUP(C5*'Maintenance Policies'!D41/1000,0)+7</f>
        <v>16</v>
      </c>
    </row>
    <row r="6" customFormat="false" ht="15" hidden="false" customHeight="false" outlineLevel="0" collapsed="false">
      <c r="A6" s="12" t="s">
        <v>12</v>
      </c>
      <c r="B6" s="13"/>
      <c r="C6" s="14" t="n">
        <f aca="false">'General Information'!D25</f>
        <v>2028</v>
      </c>
      <c r="D6" s="13"/>
    </row>
    <row r="7" customFormat="false" ht="15" hidden="false" customHeight="false" outlineLevel="0" collapsed="false">
      <c r="A7" s="12" t="s">
        <v>13</v>
      </c>
      <c r="B7" s="13"/>
      <c r="C7" s="14" t="n">
        <f aca="false">'General Information'!D28</f>
        <v>12000</v>
      </c>
      <c r="D7" s="13" t="s">
        <v>14</v>
      </c>
      <c r="J7" s="1" t="s">
        <v>15</v>
      </c>
      <c r="K7" s="19" t="n">
        <f aca="false">C5/((12.5*12.5)/9)</f>
        <v>2642.8608</v>
      </c>
    </row>
    <row r="8" customFormat="false" ht="15" hidden="false" customHeight="false" outlineLevel="0" collapsed="false">
      <c r="C8" s="20"/>
      <c r="J8" s="1" t="s">
        <v>16</v>
      </c>
      <c r="K8" s="1" t="n">
        <f aca="false">K7*25+((K7/8)*12.5)</f>
        <v>70200.99</v>
      </c>
    </row>
    <row r="9" customFormat="false" ht="15" hidden="false" customHeight="false" outlineLevel="0" collapsed="false">
      <c r="C9" s="20"/>
    </row>
    <row r="10" customFormat="false" ht="15" hidden="false" customHeight="false" outlineLevel="0" collapsed="false">
      <c r="C10" s="20"/>
      <c r="I10" s="21" t="s">
        <v>17</v>
      </c>
    </row>
    <row r="11" customFormat="false" ht="27.75" hidden="false" customHeight="true" outlineLevel="0" collapsed="false">
      <c r="B11" s="22" t="s">
        <v>18</v>
      </c>
      <c r="C11" s="23" t="s">
        <v>19</v>
      </c>
      <c r="D11" s="11" t="str">
        <f aca="false">IF(OR($C$11="Regular",$C$11=""),"Regular is the statewide Unit Cost column on Pay_Items.","Prices from the "&amp;$C$11&amp;" column on Pay_Items: "&amp;SUM($I$13:$I$22)&amp;" of "&amp;COUNT($I$13:$I$22)&amp;" pay items used here have a "&amp;$C$11&amp;" cost, the rest fall back to Unit Cost.")</f>
        <v>Regular is the statewide Unit Cost column on Pay_Items.</v>
      </c>
      <c r="E11" s="11"/>
      <c r="F11" s="11"/>
      <c r="G11" s="11"/>
      <c r="I11" s="21" t="n">
        <f aca="false">IFERROR(MATCH($C$11,PriceSources,0),1)</f>
        <v>1</v>
      </c>
    </row>
    <row r="12" customFormat="false" ht="19.5" hidden="false" customHeight="true" outlineLevel="0" collapsed="false">
      <c r="A12" s="24" t="s">
        <v>20</v>
      </c>
      <c r="B12" s="24" t="s">
        <v>21</v>
      </c>
      <c r="C12" s="24" t="s">
        <v>22</v>
      </c>
      <c r="D12" s="25" t="s">
        <v>23</v>
      </c>
      <c r="E12" s="25" t="s">
        <v>24</v>
      </c>
      <c r="F12" s="25" t="s">
        <v>25</v>
      </c>
      <c r="G12" s="25" t="s">
        <v>26</v>
      </c>
      <c r="J12" s="1" t="s">
        <v>20</v>
      </c>
      <c r="K12" s="1" t="s">
        <v>21</v>
      </c>
      <c r="L12" s="2" t="s">
        <v>22</v>
      </c>
      <c r="M12" s="1" t="s">
        <v>23</v>
      </c>
      <c r="N12" s="1" t="s">
        <v>24</v>
      </c>
      <c r="O12" s="1" t="s">
        <v>25</v>
      </c>
      <c r="P12" s="1" t="s">
        <v>26</v>
      </c>
      <c r="R12" s="0" t="s">
        <v>20</v>
      </c>
      <c r="S12" s="0" t="s">
        <v>21</v>
      </c>
      <c r="T12" s="0" t="s">
        <v>22</v>
      </c>
      <c r="U12" s="0" t="s">
        <v>23</v>
      </c>
      <c r="V12" s="0" t="s">
        <v>24</v>
      </c>
      <c r="W12" s="0" t="s">
        <v>25</v>
      </c>
      <c r="X12" s="0" t="s">
        <v>26</v>
      </c>
    </row>
    <row r="13" customFormat="false" ht="19.5" hidden="false" customHeight="true" outlineLevel="0" collapsed="false">
      <c r="A13" s="0" t="n">
        <v>1</v>
      </c>
      <c r="B13" s="26" t="str">
        <f aca="false">IF(C13="","",VLOOKUP(C13,CHOOSE({1,2},Table2[Pay Item Description],Table2[Pay Item No.]),2,0))</f>
        <v>P-152-4.1</v>
      </c>
      <c r="C13" s="27" t="s">
        <v>528</v>
      </c>
      <c r="D13" s="28" t="str">
        <f aca="false">IF(C13="","N/A",VLOOKUP(C13,CHOOSE({1,2},Table2[Pay Item Description],Table2[Units]),2,0))</f>
        <v>C.Y.</v>
      </c>
      <c r="E13" s="29" t="n">
        <v>26765</v>
      </c>
      <c r="F13" s="30" t="n">
        <f aca="false">IF(C13="","N/A",IF(INDEX(UnitCostGrid,MATCH(C13,PayItemKeys,0),$I$11)="",INDEX(UnitCostGrid,MATCH(C13,PayItemKeys,0),1),INDEX(UnitCostGrid,MATCH(C13,PayItemKeys,0),$I$11)))</f>
        <v>12</v>
      </c>
      <c r="G13" s="31" t="n">
        <f aca="false">IF(C13="",0,F13*E13)</f>
        <v>321180</v>
      </c>
      <c r="I13" s="21" t="n">
        <f aca="false">IF(C13="","",IF(INDEX(UnitCostGrid,MATCH(C13,PayItemKeys,0),$I$11)="",0,1))</f>
        <v>1</v>
      </c>
      <c r="J13" s="1" t="n">
        <v>1</v>
      </c>
      <c r="K13" s="1" t="str">
        <f aca="false">IF(L13="",0,VLOOKUP(L13,CHOOSE({1,2},Table2[Pay Item Description],Table2[Pay Item No.]),2,0))</f>
        <v>P-605-5.1a</v>
      </c>
      <c r="L13" s="2" t="str">
        <f aca="false">Pay_Items!D55</f>
        <v>Joint Clean and Reseal, Concrete</v>
      </c>
      <c r="M13" s="1" t="str">
        <f aca="false">IF(L13="","N/A",VLOOKUP(L13,CHOOSE({1,2},Table2[Pay Item Description],Table2[Units]),2,0))</f>
        <v>L.F.</v>
      </c>
      <c r="N13" s="32" t="n">
        <f aca="false">K8*'Maintenance Policies'!D37</f>
        <v>70200.99</v>
      </c>
      <c r="O13" s="33" t="n">
        <f aca="false">IF(L13="","N/A",IF(INDEX(UnitCostGrid,MATCH(L13,PayItemKeys,0),$I$11)="",INDEX(UnitCostGrid,MATCH(L13,PayItemKeys,0),1),INDEX(UnitCostGrid,MATCH(L13,PayItemKeys,0),$I$11)))</f>
        <v>7</v>
      </c>
      <c r="P13" s="34" t="n">
        <f aca="false">O13*N13</f>
        <v>491406.93</v>
      </c>
      <c r="R13" s="0" t="n">
        <v>1</v>
      </c>
      <c r="S13" s="0" t="str">
        <f aca="false">IF(T13="",0,VLOOKUP(T13,CHOOSE({1,2},Table2[Pay Item Description],Table2[Pay Item No.]),2,0))</f>
        <v>P-101-5.5c</v>
      </c>
      <c r="T13" s="0" t="str">
        <f aca="false">Pay_Items!D15</f>
        <v>Slab Replacement, Concrete</v>
      </c>
      <c r="U13" s="0" t="str">
        <f aca="false">IF(T13="","N/A",VLOOKUP(T13,CHOOSE({1,2},Table2[Pay Item Description],Table2[Units]),2,0))</f>
        <v>S.Y.</v>
      </c>
      <c r="V13" s="35" t="n">
        <f aca="false">'Maintenance Policies'!D41*C5</f>
        <v>917.66</v>
      </c>
      <c r="W13" s="36" t="n">
        <f aca="false">IF(T13="","N/A",IF(INDEX(UnitCostGrid,MATCH(T13,PayItemKeys,0),$I$11)="",INDEX(UnitCostGrid,MATCH(T13,PayItemKeys,0),1),INDEX(UnitCostGrid,MATCH(T13,PayItemKeys,0),$I$11)))</f>
        <v>100</v>
      </c>
      <c r="X13" s="37" t="n">
        <f aca="false">W13*V13</f>
        <v>91766</v>
      </c>
    </row>
    <row r="14" customFormat="false" ht="19.5" hidden="false" customHeight="true" outlineLevel="0" collapsed="false">
      <c r="A14" s="0" t="n">
        <v>2</v>
      </c>
      <c r="B14" s="26" t="str">
        <f aca="false">IF(C14="","",VLOOKUP(C14,CHOOSE({1,2},Table2[Pay Item Description],Table2[Pay Item No.]),2,0))</f>
        <v>P-154-5.1</v>
      </c>
      <c r="C14" s="27" t="s">
        <v>533</v>
      </c>
      <c r="D14" s="28" t="str">
        <f aca="false">IF(C14="","N/A",VLOOKUP(C14,CHOOSE({1,2},Table2[Pay Item Description],Table2[Units]),2,0))</f>
        <v>C.Y.</v>
      </c>
      <c r="E14" s="29" t="n">
        <v>7647</v>
      </c>
      <c r="F14" s="30" t="n">
        <f aca="false">IF(C14="","N/A",IF(INDEX(UnitCostGrid,MATCH(C14,PayItemKeys,0),$I$11)="",INDEX(UnitCostGrid,MATCH(C14,PayItemKeys,0),1),INDEX(UnitCostGrid,MATCH(C14,PayItemKeys,0),$I$11)))</f>
        <v>55</v>
      </c>
      <c r="G14" s="31" t="n">
        <f aca="false">IF(C14="",0,F14*E14)</f>
        <v>420585</v>
      </c>
      <c r="I14" s="21" t="n">
        <f aca="false">IF(C14="","",IF(INDEX(UnitCostGrid,MATCH(C14,PayItemKeys,0),$I$11)="",0,1))</f>
        <v>1</v>
      </c>
      <c r="J14" s="1" t="n">
        <v>2</v>
      </c>
      <c r="K14" s="1" t="str">
        <f aca="false">VLOOKUP(L14,CHOOSE({1,2},Table2[Pay Item Description],Table2[Pay Item No.]),2,0)</f>
        <v>P-101-5.2c</v>
      </c>
      <c r="L14" s="2" t="str">
        <f aca="false">Pay_Items!D8</f>
        <v>Crack Seal, Concrete</v>
      </c>
      <c r="M14" s="1" t="str">
        <f aca="false">IF(L14="","N/A",VLOOKUP(L14,CHOOSE({1,2},Table2[Pay Item Description],Table2[Units]),2,0))</f>
        <v>L.F.</v>
      </c>
      <c r="N14" s="32" t="n">
        <f aca="false">'Maintenance Policies'!D38*(C5*9)</f>
        <v>1032.3675</v>
      </c>
      <c r="O14" s="33" t="n">
        <f aca="false">IF(L14="","N/A",IF(INDEX(UnitCostGrid,MATCH(L14,PayItemKeys,0),$I$11)="",INDEX(UnitCostGrid,MATCH(L14,PayItemKeys,0),1),INDEX(UnitCostGrid,MATCH(L14,PayItemKeys,0),$I$11)))</f>
        <v>8</v>
      </c>
      <c r="P14" s="34" t="n">
        <f aca="false">O14*N14</f>
        <v>8258.94</v>
      </c>
      <c r="R14" s="0" t="n">
        <v>2</v>
      </c>
      <c r="S14" s="0" t="str">
        <f aca="false">VLOOKUP(T14,CHOOSE({1,2},Table2[Pay Item Description],Table2[Pay Item No.]),2,0)</f>
        <v>P-101-5.5b</v>
      </c>
      <c r="T14" s="0" t="str">
        <f aca="false">Pay_Items!D14</f>
        <v>Full-Depth Repair, Concrete</v>
      </c>
      <c r="U14" s="0" t="str">
        <f aca="false">IF(T14="","N/A",VLOOKUP(T14,CHOOSE({1,2},Table2[Pay Item Description],Table2[Units]),2,0))</f>
        <v>S.Y.</v>
      </c>
      <c r="V14" s="35" t="n">
        <f aca="false">'Maintenance Policies'!D42*C5</f>
        <v>137.649</v>
      </c>
      <c r="W14" s="36" t="n">
        <f aca="false">IF(T14="","N/A",IF(INDEX(UnitCostGrid,MATCH(T14,PayItemKeys,0),$I$11)="",INDEX(UnitCostGrid,MATCH(T14,PayItemKeys,0),1),INDEX(UnitCostGrid,MATCH(T14,PayItemKeys,0),$I$11)))</f>
        <v>120</v>
      </c>
      <c r="X14" s="37" t="n">
        <f aca="false">W14*V14</f>
        <v>16517.88</v>
      </c>
    </row>
    <row r="15" customFormat="false" ht="19.5" hidden="false" customHeight="true" outlineLevel="0" collapsed="false">
      <c r="A15" s="0" t="n">
        <v>3</v>
      </c>
      <c r="B15" s="26" t="str">
        <f aca="false">IF(C15="","",VLOOKUP(C15,CHOOSE({1,2},Table2[Pay Item Description],Table2[Pay Item No.]),2,0))</f>
        <v>P-209-5.1</v>
      </c>
      <c r="C15" s="27" t="s">
        <v>555</v>
      </c>
      <c r="D15" s="28" t="str">
        <f aca="false">IF(C15="","N/A",VLOOKUP(C15,CHOOSE({1,2},Table2[Pay Item Description],Table2[Units]),2,0))</f>
        <v>C.Y.</v>
      </c>
      <c r="E15" s="29" t="n">
        <v>7647</v>
      </c>
      <c r="F15" s="30" t="n">
        <f aca="false">IF(C15="","N/A",IF(INDEX(UnitCostGrid,MATCH(C15,PayItemKeys,0),$I$11)="",INDEX(UnitCostGrid,MATCH(C15,PayItemKeys,0),1),INDEX(UnitCostGrid,MATCH(C15,PayItemKeys,0),$I$11)))</f>
        <v>65</v>
      </c>
      <c r="G15" s="31" t="n">
        <f aca="false">IF(C15="",0,F15*E15)</f>
        <v>497055</v>
      </c>
      <c r="I15" s="21" t="n">
        <f aca="false">IF(C15="","",IF(INDEX(UnitCostGrid,MATCH(C15,PayItemKeys,0),$I$11)="",0,1))</f>
        <v>1</v>
      </c>
      <c r="J15" s="1" t="n">
        <v>3</v>
      </c>
      <c r="K15" s="1" t="str">
        <f aca="false">VLOOKUP(L15,CHOOSE({1,2},Table2[Pay Item Description],Table2[Pay Item No.]),2,0)</f>
        <v>P-101-5.5a</v>
      </c>
      <c r="L15" s="2" t="str">
        <f aca="false">Pay_Items!D13</f>
        <v>Spall Repair, Concrete</v>
      </c>
      <c r="M15" s="1" t="str">
        <f aca="false">IF(L15="","N/A",VLOOKUP(L15,CHOOSE({1,2},Table2[Pay Item Description],Table2[Units]),2,0))</f>
        <v>S.F.</v>
      </c>
      <c r="N15" s="32" t="n">
        <f aca="false">'Maintenance Policies'!D39*(C5*9)</f>
        <v>536.8311</v>
      </c>
      <c r="O15" s="33" t="n">
        <f aca="false">IF(L15="","N/A",IF(INDEX(UnitCostGrid,MATCH(L15,PayItemKeys,0),$I$11)="",INDEX(UnitCostGrid,MATCH(L15,PayItemKeys,0),1),INDEX(UnitCostGrid,MATCH(L15,PayItemKeys,0),$I$11)))</f>
        <v>60</v>
      </c>
      <c r="P15" s="34" t="n">
        <f aca="false">O15*N15</f>
        <v>32209.866</v>
      </c>
      <c r="R15" s="0" t="n">
        <v>3</v>
      </c>
      <c r="S15" s="0" t="str">
        <f aca="false">VLOOKUP(T15,CHOOSE({1,2},Table2[Pay Item Description],Table2[Pay Item No.]),2,0)</f>
        <v>P-101-5.5a</v>
      </c>
      <c r="T15" s="0" t="str">
        <f aca="false">Pay_Items!D13</f>
        <v>Spall Repair, Concrete</v>
      </c>
      <c r="U15" s="0" t="str">
        <f aca="false">IF(T15="","N/A",VLOOKUP(T15,CHOOSE({1,2},Table2[Pay Item Description],Table2[Units]),2,0))</f>
        <v>S.F.</v>
      </c>
      <c r="V15" s="35" t="n">
        <f aca="false">'Maintenance Policies'!D43*(C5*9)</f>
        <v>536.8311</v>
      </c>
      <c r="W15" s="36" t="n">
        <f aca="false">IF(T15="","N/A",IF(INDEX(UnitCostGrid,MATCH(T15,PayItemKeys,0),$I$11)="",INDEX(UnitCostGrid,MATCH(T15,PayItemKeys,0),1),INDEX(UnitCostGrid,MATCH(T15,PayItemKeys,0),$I$11)))</f>
        <v>60</v>
      </c>
      <c r="X15" s="37" t="n">
        <f aca="false">W15*V15</f>
        <v>32209.866</v>
      </c>
    </row>
    <row r="16" customFormat="false" ht="19.5" hidden="false" customHeight="true" outlineLevel="0" collapsed="false">
      <c r="A16" s="0" t="n">
        <v>4</v>
      </c>
      <c r="B16" s="26" t="str">
        <f aca="false">IF(C16="","",VLOOKUP(C16,CHOOSE({1,2},Table2[Pay Item Description],Table2[Pay Item No.]),2,0))</f>
        <v>P-501-8.1c</v>
      </c>
      <c r="C16" s="27" t="s">
        <v>597</v>
      </c>
      <c r="D16" s="28" t="str">
        <f aca="false">IF(C16="","N/A",VLOOKUP(C16,CHOOSE({1,2},Table2[Pay Item Description],Table2[Units]),2,0))</f>
        <v>S.Y.</v>
      </c>
      <c r="E16" s="29" t="n">
        <v>45883</v>
      </c>
      <c r="F16" s="30" t="n">
        <f aca="false">IF(C16="","N/A",IF(INDEX(UnitCostGrid,MATCH(C16,PayItemKeys,0),$I$11)="",INDEX(UnitCostGrid,MATCH(C16,PayItemKeys,0),1),INDEX(UnitCostGrid,MATCH(C16,PayItemKeys,0),$I$11)))</f>
        <v>85</v>
      </c>
      <c r="G16" s="31" t="n">
        <f aca="false">IF(C16="",0,F16*E16)</f>
        <v>3900055</v>
      </c>
      <c r="I16" s="21" t="n">
        <f aca="false">IF(C16="","",IF(INDEX(UnitCostGrid,MATCH(C16,PayItemKeys,0),$I$11)="",0,1))</f>
        <v>1</v>
      </c>
      <c r="J16" s="1" t="n">
        <v>4</v>
      </c>
      <c r="K16" s="1" t="str">
        <f aca="false">VLOOKUP(L16,CHOOSE({1,2},Table2[Pay Item Description],Table2[Pay Item No.]),2,0)</f>
        <v>P-101-5.5b</v>
      </c>
      <c r="L16" s="2" t="str">
        <f aca="false">Pay_Items!D14</f>
        <v>Full-Depth Repair, Concrete</v>
      </c>
      <c r="M16" s="1" t="str">
        <f aca="false">IF(L16="","N/A",VLOOKUP(L16,CHOOSE({1,2},Table2[Pay Item Description],Table2[Units]),2,0))</f>
        <v>S.Y.</v>
      </c>
      <c r="N16" s="32" t="n">
        <f aca="false">'Maintenance Policies'!D40*C5</f>
        <v>137.649</v>
      </c>
      <c r="O16" s="33" t="n">
        <f aca="false">IF(L16="","N/A",IF(INDEX(UnitCostGrid,MATCH(L16,PayItemKeys,0),$I$11)="",INDEX(UnitCostGrid,MATCH(L16,PayItemKeys,0),1),INDEX(UnitCostGrid,MATCH(L16,PayItemKeys,0),$I$11)))</f>
        <v>120</v>
      </c>
      <c r="P16" s="34" t="n">
        <f aca="false">O16*N16</f>
        <v>16517.88</v>
      </c>
      <c r="R16" s="0" t="n">
        <v>4</v>
      </c>
      <c r="S16" s="0" t="str">
        <f aca="false">VLOOKUP(T16,CHOOSE({1,2},Table2[Pay Item Description],Table2[Pay Item No.]),2,0)</f>
        <v>P-101-5.2c</v>
      </c>
      <c r="T16" s="0" t="str">
        <f aca="false">Pay_Items!D8</f>
        <v>Crack Seal, Concrete</v>
      </c>
      <c r="U16" s="0" t="str">
        <f aca="false">IF(T16="","N/A",VLOOKUP(T16,CHOOSE({1,2},Table2[Pay Item Description],Table2[Units]),2,0))</f>
        <v>L.F.</v>
      </c>
      <c r="V16" s="35" t="n">
        <f aca="false">'Maintenance Policies'!D44*(C5*9)</f>
        <v>1238.841</v>
      </c>
      <c r="W16" s="36" t="n">
        <f aca="false">IF(T16="","N/A",IF(INDEX(UnitCostGrid,MATCH(T16,PayItemKeys,0),$I$11)="",INDEX(UnitCostGrid,MATCH(T16,PayItemKeys,0),1),INDEX(UnitCostGrid,MATCH(T16,PayItemKeys,0),$I$11)))</f>
        <v>8</v>
      </c>
      <c r="X16" s="37" t="n">
        <f aca="false">W16*V16</f>
        <v>9910.728</v>
      </c>
    </row>
    <row r="17" customFormat="false" ht="19.5" hidden="false" customHeight="true" outlineLevel="0" collapsed="false">
      <c r="A17" s="0" t="n">
        <v>5</v>
      </c>
      <c r="B17" s="26" t="str">
        <f aca="false">IF(C17="","",VLOOKUP(C17,CHOOSE({1,2},Table2[Pay Item Description],Table2[Pay Item No.]),2,0))</f>
        <v>P-620-5.1a</v>
      </c>
      <c r="C17" s="27" t="s">
        <v>626</v>
      </c>
      <c r="D17" s="28" t="str">
        <f aca="false">IF(C17="","N/A",VLOOKUP(C17,CHOOSE({1,2},Table2[Pay Item Description],Table2[Units]),2,0))</f>
        <v>S.F.</v>
      </c>
      <c r="E17" s="29" t="n">
        <v>12000</v>
      </c>
      <c r="F17" s="30" t="n">
        <f aca="false">IF(C17="","N/A",IF(INDEX(UnitCostGrid,MATCH(C17,PayItemKeys,0),$I$11)="",INDEX(UnitCostGrid,MATCH(C17,PayItemKeys,0),1),INDEX(UnitCostGrid,MATCH(C17,PayItemKeys,0),$I$11)))</f>
        <v>0.666666666666667</v>
      </c>
      <c r="G17" s="31" t="n">
        <f aca="false">IF(C17="",0,F17*E17)</f>
        <v>8000</v>
      </c>
      <c r="I17" s="21" t="n">
        <f aca="false">IF(C17="","",IF(INDEX(UnitCostGrid,MATCH(C17,PayItemKeys,0),$I$11)="",0,1))</f>
        <v>1</v>
      </c>
      <c r="O17" s="1" t="s">
        <v>27</v>
      </c>
      <c r="P17" s="34" t="n">
        <f aca="false">SUM(P13:P16)</f>
        <v>548393.616</v>
      </c>
      <c r="R17" s="0" t="n">
        <v>5</v>
      </c>
      <c r="S17" s="0" t="str">
        <f aca="false">VLOOKUP(T17,CHOOSE({1,2},Table2[Pay Item Description],Table2[Pay Item No.]),2,0)</f>
        <v>P-605-5.1a</v>
      </c>
      <c r="T17" s="0" t="str">
        <f aca="false">Pay_Items!D55</f>
        <v>Joint Clean and Reseal, Concrete</v>
      </c>
      <c r="U17" s="0" t="str">
        <f aca="false">IF(T17="","N/A",VLOOKUP(T17,CHOOSE({1,2},Table2[Pay Item Description],Table2[Units]),2,0))</f>
        <v>L.F.</v>
      </c>
      <c r="V17" s="35" t="n">
        <f aca="false">'Maintenance Policies'!D45*K8</f>
        <v>70200.99</v>
      </c>
      <c r="W17" s="36" t="n">
        <f aca="false">IF(T17="","N/A",IF(INDEX(UnitCostGrid,MATCH(T17,PayItemKeys,0),$I$11)="",INDEX(UnitCostGrid,MATCH(T17,PayItemKeys,0),1),INDEX(UnitCostGrid,MATCH(T17,PayItemKeys,0),$I$11)))</f>
        <v>7</v>
      </c>
      <c r="X17" s="37" t="n">
        <f aca="false">W17*V17</f>
        <v>491406.93</v>
      </c>
    </row>
    <row r="18" customFormat="false" ht="19.5" hidden="false" customHeight="true" outlineLevel="0" collapsed="false">
      <c r="A18" s="0" t="n">
        <v>6</v>
      </c>
      <c r="B18" s="26" t="str">
        <f aca="false">IF(C18="","",VLOOKUP(C18,CHOOSE({1,2},Table2[Pay Item Description],Table2[Pay Item No.]),2,0))</f>
        <v/>
      </c>
      <c r="C18" s="27"/>
      <c r="D18" s="28" t="str">
        <f aca="false">IF(C18="","N/A",VLOOKUP(C18,CHOOSE({1,2},Table2[Pay Item Description],Table2[Units]),2,0))</f>
        <v>N/A</v>
      </c>
      <c r="E18" s="29"/>
      <c r="F18" s="30" t="str">
        <f aca="false">IF(C18="","N/A",IF(INDEX(UnitCostGrid,MATCH(C18,PayItemKeys,0),$I$11)="",INDEX(UnitCostGrid,MATCH(C18,PayItemKeys,0),1),INDEX(UnitCostGrid,MATCH(C18,PayItemKeys,0),$I$11)))</f>
        <v>N/A</v>
      </c>
      <c r="G18" s="31" t="n">
        <f aca="false">IF(C18="",0,F18*E18)</f>
        <v>0</v>
      </c>
      <c r="I18" s="21" t="str">
        <f aca="false">IF(C18="","",IF(INDEX(UnitCostGrid,MATCH(C18,PayItemKeys,0),$I$11)="",0,1))</f>
        <v/>
      </c>
      <c r="L18" s="2" t="s">
        <v>28</v>
      </c>
      <c r="P18" s="34" t="n">
        <f aca="false">('General Information'!$D$36/100)*P17</f>
        <v>54839.3616</v>
      </c>
      <c r="W18" s="0" t="s">
        <v>27</v>
      </c>
      <c r="X18" s="37" t="n">
        <f aca="false">SUM(X13:X17)</f>
        <v>641811.404</v>
      </c>
    </row>
    <row r="19" customFormat="false" ht="19.5" hidden="false" customHeight="true" outlineLevel="0" collapsed="false">
      <c r="A19" s="0" t="n">
        <v>7</v>
      </c>
      <c r="B19" s="26" t="str">
        <f aca="false">IF(C19="","",VLOOKUP(C19,CHOOSE({1,2},Table2[Pay Item Description],Table2[Pay Item No.]),2,0))</f>
        <v/>
      </c>
      <c r="C19" s="27"/>
      <c r="D19" s="28" t="str">
        <f aca="false">IF(C19="","N/A",VLOOKUP(C19,CHOOSE({1,2},Table2[Pay Item Description],Table2[Units]),2,0))</f>
        <v>N/A</v>
      </c>
      <c r="E19" s="29"/>
      <c r="F19" s="30" t="str">
        <f aca="false">IF(C19="","N/A",IF(INDEX(UnitCostGrid,MATCH(C19,PayItemKeys,0),$I$11)="",INDEX(UnitCostGrid,MATCH(C19,PayItemKeys,0),1),INDEX(UnitCostGrid,MATCH(C19,PayItemKeys,0),$I$11)))</f>
        <v>N/A</v>
      </c>
      <c r="G19" s="31" t="n">
        <f aca="false">IF(C19="",0,F19*E19)</f>
        <v>0</v>
      </c>
      <c r="I19" s="21" t="str">
        <f aca="false">IF(C19="","",IF(INDEX(UnitCostGrid,MATCH(C19,PayItemKeys,0),$I$11)="",0,1))</f>
        <v/>
      </c>
      <c r="L19" s="2" t="s">
        <v>29</v>
      </c>
      <c r="P19" s="34" t="n">
        <f aca="false">('General Information'!$D$37/100)*P17</f>
        <v>27419.6808</v>
      </c>
      <c r="T19" s="0" t="s">
        <v>28</v>
      </c>
      <c r="X19" s="37" t="n">
        <f aca="false">('General Information'!$D$36/100)*X18</f>
        <v>64181.1404</v>
      </c>
    </row>
    <row r="20" customFormat="false" ht="19.5" hidden="false" customHeight="true" outlineLevel="0" collapsed="false">
      <c r="A20" s="0" t="n">
        <v>8</v>
      </c>
      <c r="B20" s="26" t="str">
        <f aca="false">IF(C20="","",VLOOKUP(C20,CHOOSE({1,2},Table2[Pay Item Description],Table2[Pay Item No.]),2,0))</f>
        <v/>
      </c>
      <c r="C20" s="27"/>
      <c r="D20" s="28" t="str">
        <f aca="false">IF(C20="","N/A",VLOOKUP(C20,CHOOSE({1,2},Table2[Pay Item Description],Table2[Units]),2,0))</f>
        <v>N/A</v>
      </c>
      <c r="E20" s="29"/>
      <c r="F20" s="30" t="str">
        <f aca="false">IF(C20="","N/A",IF(INDEX(UnitCostGrid,MATCH(C20,PayItemKeys,0),$I$11)="",INDEX(UnitCostGrid,MATCH(C20,PayItemKeys,0),1),INDEX(UnitCostGrid,MATCH(C20,PayItemKeys,0),$I$11)))</f>
        <v>N/A</v>
      </c>
      <c r="G20" s="31" t="n">
        <f aca="false">IF(C20="",0,F20*E20)</f>
        <v>0</v>
      </c>
      <c r="I20" s="21" t="str">
        <f aca="false">IF(C20="","",IF(INDEX(UnitCostGrid,MATCH(C20,PayItemKeys,0),$I$11)="",0,1))</f>
        <v/>
      </c>
      <c r="O20" s="1" t="s">
        <v>30</v>
      </c>
      <c r="P20" s="34" t="n">
        <f aca="false">SUM(P17:P19)</f>
        <v>630652.6584</v>
      </c>
      <c r="T20" s="0" t="s">
        <v>29</v>
      </c>
      <c r="X20" s="37" t="n">
        <f aca="false">('General Information'!$D$37/100)*X18</f>
        <v>32090.5702</v>
      </c>
    </row>
    <row r="21" customFormat="false" ht="19.5" hidden="false" customHeight="true" outlineLevel="0" collapsed="false">
      <c r="A21" s="0" t="n">
        <v>9</v>
      </c>
      <c r="B21" s="26" t="str">
        <f aca="false">IF(C21="","",VLOOKUP(C21,CHOOSE({1,2},Table2[Pay Item Description],Table2[Pay Item No.]),2,0))</f>
        <v/>
      </c>
      <c r="C21" s="27"/>
      <c r="D21" s="28" t="str">
        <f aca="false">IF(C21="","N/A",VLOOKUP(C21,CHOOSE({1,2},Table2[Pay Item Description],Table2[Units]),2,0))</f>
        <v>N/A</v>
      </c>
      <c r="E21" s="29"/>
      <c r="F21" s="30" t="str">
        <f aca="false">IF(C21="","N/A",IF(INDEX(UnitCostGrid,MATCH(C21,PayItemKeys,0),$I$11)="",INDEX(UnitCostGrid,MATCH(C21,PayItemKeys,0),1),INDEX(UnitCostGrid,MATCH(C21,PayItemKeys,0),$I$11)))</f>
        <v>N/A</v>
      </c>
      <c r="G21" s="31" t="n">
        <f aca="false">IF(C21="",0,F21*E21)</f>
        <v>0</v>
      </c>
      <c r="I21" s="21" t="str">
        <f aca="false">IF(C21="","",IF(INDEX(UnitCostGrid,MATCH(C21,PayItemKeys,0),$I$11)="",0,1))</f>
        <v/>
      </c>
      <c r="W21" s="0" t="s">
        <v>30</v>
      </c>
      <c r="X21" s="37" t="n">
        <f aca="false">SUM(X18:X20)</f>
        <v>738083.1146</v>
      </c>
    </row>
    <row r="22" customFormat="false" ht="19.5" hidden="false" customHeight="true" outlineLevel="0" collapsed="false">
      <c r="A22" s="0" t="n">
        <v>10</v>
      </c>
      <c r="B22" s="26" t="str">
        <f aca="false">IF(C22="","",VLOOKUP(C22,CHOOSE({1,2},Table2[Pay Item Description],Table2[Pay Item No.]),2,0))</f>
        <v/>
      </c>
      <c r="C22" s="27"/>
      <c r="D22" s="28" t="str">
        <f aca="false">IF(C22="","N/A",VLOOKUP(C22,CHOOSE({1,2},Table2[Pay Item Description],Table2[Units]),2,0))</f>
        <v>N/A</v>
      </c>
      <c r="E22" s="29"/>
      <c r="F22" s="30" t="str">
        <f aca="false">IF(C22="","N/A",IF(INDEX(UnitCostGrid,MATCH(C22,PayItemKeys,0),$I$11)="",INDEX(UnitCostGrid,MATCH(C22,PayItemKeys,0),1),INDEX(UnitCostGrid,MATCH(C22,PayItemKeys,0),$I$11)))</f>
        <v>N/A</v>
      </c>
      <c r="G22" s="31" t="n">
        <f aca="false">IF(C22="",0,F22*E22)</f>
        <v>0</v>
      </c>
      <c r="I22" s="21" t="str">
        <f aca="false">IF(C22="","",IF(INDEX(UnitCostGrid,MATCH(C22,PayItemKeys,0),$I$11)="",0,1))</f>
        <v/>
      </c>
    </row>
    <row r="23" customFormat="false" ht="15" hidden="false" customHeight="false" outlineLevel="0" collapsed="false">
      <c r="G23" s="37"/>
    </row>
    <row r="24" customFormat="false" ht="15" hidden="false" customHeight="false" outlineLevel="0" collapsed="false">
      <c r="A24" s="38" t="s">
        <v>27</v>
      </c>
      <c r="B24" s="38"/>
      <c r="G24" s="31" t="n">
        <f aca="false">SUM(G13:G22)</f>
        <v>5146875</v>
      </c>
    </row>
    <row r="25" customFormat="false" ht="15" hidden="false" customHeight="false" outlineLevel="0" collapsed="false">
      <c r="A25" s="38"/>
      <c r="B25" s="38" t="s">
        <v>28</v>
      </c>
      <c r="G25" s="31" t="n">
        <f aca="false">('General Information'!$D$36/100)*G24</f>
        <v>514687.5</v>
      </c>
    </row>
    <row r="26" customFormat="false" ht="15" hidden="false" customHeight="false" outlineLevel="0" collapsed="false">
      <c r="A26" s="38"/>
      <c r="B26" s="38" t="s">
        <v>29</v>
      </c>
      <c r="G26" s="31" t="n">
        <f aca="false">('General Information'!$D$37/100)*G24</f>
        <v>257343.75</v>
      </c>
    </row>
    <row r="27" customFormat="false" ht="21.75" hidden="false" customHeight="true" outlineLevel="0" collapsed="false">
      <c r="A27" s="39" t="s">
        <v>30</v>
      </c>
      <c r="B27" s="39"/>
      <c r="C27" s="39"/>
      <c r="D27" s="39"/>
      <c r="E27" s="39"/>
      <c r="F27" s="39"/>
      <c r="G27" s="40" t="n">
        <f aca="false">SUM(G24:G26)</f>
        <v>5918906.25</v>
      </c>
      <c r="H27" s="7"/>
      <c r="I27" s="7"/>
      <c r="J27" s="10"/>
      <c r="K27" s="10"/>
      <c r="L27" s="41"/>
      <c r="M27" s="10"/>
      <c r="N27" s="10"/>
      <c r="O27" s="10"/>
      <c r="P27" s="10"/>
      <c r="Q27" s="7"/>
      <c r="R27" s="7"/>
      <c r="S27" s="7"/>
      <c r="T27" s="7"/>
      <c r="U27" s="7"/>
      <c r="V27" s="7"/>
      <c r="W27" s="7"/>
      <c r="X27" s="7"/>
    </row>
    <row r="33" customFormat="false" ht="15" hidden="false" customHeight="false" outlineLevel="0" collapsed="false">
      <c r="A33" s="7" t="s">
        <v>31</v>
      </c>
    </row>
    <row r="34" customFormat="false" ht="19.5" hidden="false" customHeight="true" outlineLevel="0" collapsed="false">
      <c r="A34" s="42" t="s">
        <v>32</v>
      </c>
      <c r="I34" s="0" t="s">
        <v>0</v>
      </c>
    </row>
    <row r="36" customFormat="false" ht="19.5" hidden="false" customHeight="true" outlineLevel="0" collapsed="false">
      <c r="B36" s="24" t="s">
        <v>33</v>
      </c>
      <c r="C36" s="25" t="s">
        <v>34</v>
      </c>
      <c r="D36" s="25" t="s">
        <v>35</v>
      </c>
      <c r="E36" s="25" t="s">
        <v>36</v>
      </c>
    </row>
    <row r="37" customFormat="false" ht="15" hidden="false" customHeight="false" outlineLevel="0" collapsed="false">
      <c r="B37" s="43" t="s">
        <v>37</v>
      </c>
      <c r="C37" s="44" t="n">
        <f aca="false">C6</f>
        <v>2028</v>
      </c>
      <c r="D37" s="45" t="n">
        <f aca="false">G27</f>
        <v>5918906.25</v>
      </c>
      <c r="E37" s="46" t="n">
        <f aca="false">D37</f>
        <v>5918906.25</v>
      </c>
      <c r="K37" s="1" t="s">
        <v>38</v>
      </c>
      <c r="L37" s="2" t="s">
        <v>39</v>
      </c>
      <c r="M37" s="1" t="s">
        <v>40</v>
      </c>
      <c r="N37" s="1" t="s">
        <v>41</v>
      </c>
    </row>
    <row r="38" customFormat="false" ht="15" hidden="false" customHeight="false" outlineLevel="0" collapsed="false">
      <c r="B38" s="47" t="s">
        <v>3</v>
      </c>
      <c r="C38" s="48" t="n">
        <f aca="false">'Maintenance Policies'!E37</f>
        <v>19</v>
      </c>
      <c r="D38" s="49" t="n">
        <f aca="false">P20</f>
        <v>630652.6584</v>
      </c>
      <c r="E38" s="50" t="n">
        <f aca="false">IF(C38&gt;'General Information'!$D$33,0,D38/(1+('General Information'!$D$34/100))^C38)</f>
        <v>359652.398857314</v>
      </c>
      <c r="K38" s="1" t="n">
        <f aca="false">C6</f>
        <v>2028</v>
      </c>
      <c r="L38" s="2" t="n">
        <f aca="false">IF(K38-$C$6&gt;'General Information'!$D$33,0,IF(K38=$C$6,$D$37,0)+SUMIFS($D$38:$D$42,$C$38:$C$42,K38-$C$6,$B$38:$B$42,"&lt;&gt;*Indirect*"))</f>
        <v>5918906.25</v>
      </c>
      <c r="M38" s="2" t="n">
        <f aca="false">IF(K38-$C$6&gt;'General Information'!$D$33,0,SUMIFS($D$38:$D$42,$C$38:$C$42,K38-$C$6,$B$38:$B$42,"*Indirect*"))</f>
        <v>0</v>
      </c>
      <c r="N38" s="2" t="n">
        <f aca="false">IF(K38-$C$6&gt;'General Information'!$D$33,0,IF(K38=$C$6,$E$37,0)+SUMIF($C$38:$C$42,K38-$C$6,$E$38:$E$42))</f>
        <v>5918906.25</v>
      </c>
    </row>
    <row r="39" customFormat="false" ht="15" hidden="false" customHeight="false" outlineLevel="0" collapsed="false">
      <c r="B39" s="51" t="s">
        <v>42</v>
      </c>
      <c r="C39" s="48" t="n">
        <f aca="false">'Maintenance Policies'!E37</f>
        <v>19</v>
      </c>
      <c r="D39" s="49" t="n">
        <f aca="false">F2*F4</f>
        <v>43529.36</v>
      </c>
      <c r="E39" s="50" t="n">
        <f aca="false">IF(C39&gt;'General Information'!$D$33,0,D39/(1+('General Information'!$D$34/100))^C39)</f>
        <v>24824.1857640659</v>
      </c>
      <c r="K39" s="1" t="n">
        <f aca="false">K38+1</f>
        <v>2029</v>
      </c>
      <c r="L39" s="2" t="n">
        <f aca="false">IF(K39-$C$6&gt;'General Information'!$D$33,0,IF(K39=$C$6,$D$37,0)+SUMIFS($D$38:$D$42,$C$38:$C$42,K39-$C$6,$B$38:$B$42,"&lt;&gt;*Indirect*"))</f>
        <v>0</v>
      </c>
      <c r="M39" s="2" t="n">
        <f aca="false">IF(K39-$C$6&gt;'General Information'!$D$33,0,SUMIFS($D$38:$D$42,$C$38:$C$42,K39-$C$6,$B$38:$B$42,"*Indirect*"))</f>
        <v>0</v>
      </c>
      <c r="N39" s="2" t="n">
        <f aca="false">IF(K39-$C$6&gt;'General Information'!$D$33,0,IF(K39=$C$6,$E$37,0)+SUMIF($C$38:$C$42,K39-$C$6,$E$38:$E$42))</f>
        <v>0</v>
      </c>
    </row>
    <row r="40" customFormat="false" ht="15" hidden="false" customHeight="false" outlineLevel="0" collapsed="false">
      <c r="B40" s="52" t="s">
        <v>4</v>
      </c>
      <c r="C40" s="53" t="n">
        <f aca="false">'Maintenance Policies'!E41</f>
        <v>27</v>
      </c>
      <c r="D40" s="54" t="n">
        <f aca="false">X21</f>
        <v>738083.1146</v>
      </c>
      <c r="E40" s="54" t="n">
        <f aca="false">IF(C40&gt;'General Information'!$D$33,0,D40/(1+('General Information'!$D$34/100))^C40)</f>
        <v>332276.940438261</v>
      </c>
      <c r="K40" s="1" t="n">
        <f aca="false">K39+1</f>
        <v>2030</v>
      </c>
      <c r="L40" s="2" t="n">
        <f aca="false">IF(K40-$C$6&gt;'General Information'!$D$33,0,IF(K40=$C$6,$D$37,0)+SUMIFS($D$38:$D$42,$C$38:$C$42,K40-$C$6,$B$38:$B$42,"&lt;&gt;*Indirect*"))</f>
        <v>0</v>
      </c>
      <c r="M40" s="2" t="n">
        <f aca="false">IF(K40-$C$6&gt;'General Information'!$D$33,0,SUMIFS($D$38:$D$42,$C$38:$C$42,K40-$C$6,$B$38:$B$42,"*Indirect*"))</f>
        <v>0</v>
      </c>
      <c r="N40" s="2" t="n">
        <f aca="false">IF(K40-$C$6&gt;'General Information'!$D$33,0,IF(K40=$C$6,$E$37,0)+SUMIF($C$38:$C$42,K40-$C$6,$E$38:$E$42))</f>
        <v>0</v>
      </c>
    </row>
    <row r="41" customFormat="false" ht="15" hidden="false" customHeight="false" outlineLevel="0" collapsed="false">
      <c r="B41" s="51" t="s">
        <v>43</v>
      </c>
      <c r="C41" s="48" t="n">
        <f aca="false">'Maintenance Policies'!E41</f>
        <v>27</v>
      </c>
      <c r="D41" s="49" t="n">
        <f aca="false">F2*F5</f>
        <v>87058.72</v>
      </c>
      <c r="E41" s="50" t="n">
        <f aca="false">IF(C41&gt;'General Information'!$D$33,0,D41/(1+('General Information'!$D$34/100))^C41)</f>
        <v>39192.8829529563</v>
      </c>
      <c r="K41" s="1" t="n">
        <f aca="false">K40+1</f>
        <v>2031</v>
      </c>
      <c r="L41" s="2" t="n">
        <f aca="false">IF(K41-$C$6&gt;'General Information'!$D$33,0,IF(K41=$C$6,$D$37,0)+SUMIFS($D$38:$D$42,$C$38:$C$42,K41-$C$6,$B$38:$B$42,"&lt;&gt;*Indirect*"))</f>
        <v>0</v>
      </c>
      <c r="M41" s="2" t="n">
        <f aca="false">IF(K41-$C$6&gt;'General Information'!$D$33,0,SUMIFS($D$38:$D$42,$C$38:$C$42,K41-$C$6,$B$38:$B$42,"*Indirect*"))</f>
        <v>0</v>
      </c>
      <c r="N41" s="2" t="n">
        <f aca="false">IF(K41-$C$6&gt;'General Information'!$D$33,0,IF(K41=$C$6,$E$37,0)+SUMIF($C$38:$C$42,K41-$C$6,$E$38:$E$42))</f>
        <v>0</v>
      </c>
    </row>
    <row r="42" customFormat="false" ht="15" hidden="false" customHeight="false" outlineLevel="0" collapsed="false">
      <c r="B42" s="55" t="s">
        <v>44</v>
      </c>
      <c r="C42" s="56" t="n">
        <f aca="false">'General Information'!D33</f>
        <v>30</v>
      </c>
      <c r="D42" s="57" t="n">
        <f aca="false">-'Maintenance Policies'!D46*G27</f>
        <v>-1479726.5625</v>
      </c>
      <c r="E42" s="57" t="n">
        <f aca="false">IF(C42&gt;'General Information'!$D$33,0,D42/(1+('General Information'!$D$34/100))^C42)</f>
        <v>-609627.751453986</v>
      </c>
      <c r="K42" s="1" t="n">
        <f aca="false">K41+1</f>
        <v>2032</v>
      </c>
      <c r="L42" s="2" t="n">
        <f aca="false">IF(K42-$C$6&gt;'General Information'!$D$33,0,IF(K42=$C$6,$D$37,0)+SUMIFS($D$38:$D$42,$C$38:$C$42,K42-$C$6,$B$38:$B$42,"&lt;&gt;*Indirect*"))</f>
        <v>0</v>
      </c>
      <c r="M42" s="2" t="n">
        <f aca="false">IF(K42-$C$6&gt;'General Information'!$D$33,0,SUMIFS($D$38:$D$42,$C$38:$C$42,K42-$C$6,$B$38:$B$42,"*Indirect*"))</f>
        <v>0</v>
      </c>
      <c r="N42" s="2" t="n">
        <f aca="false">IF(K42-$C$6&gt;'General Information'!$D$33,0,IF(K42=$C$6,$E$37,0)+SUMIF($C$38:$C$42,K42-$C$6,$E$38:$E$42))</f>
        <v>0</v>
      </c>
    </row>
    <row r="43" customFormat="false" ht="25.5" hidden="false" customHeight="true" outlineLevel="0" collapsed="false">
      <c r="B43" s="58" t="s">
        <v>31</v>
      </c>
      <c r="C43" s="59"/>
      <c r="D43" s="59"/>
      <c r="E43" s="60" t="n">
        <f aca="false">SUM(E37:E42)</f>
        <v>6065224.90655861</v>
      </c>
      <c r="K43" s="1" t="n">
        <f aca="false">K42+1</f>
        <v>2033</v>
      </c>
      <c r="L43" s="2" t="n">
        <f aca="false">IF(K43-$C$6&gt;'General Information'!$D$33,0,IF(K43=$C$6,$D$37,0)+SUMIFS($D$38:$D$42,$C$38:$C$42,K43-$C$6,$B$38:$B$42,"&lt;&gt;*Indirect*"))</f>
        <v>0</v>
      </c>
      <c r="M43" s="2" t="n">
        <f aca="false">IF(K43-$C$6&gt;'General Information'!$D$33,0,SUMIFS($D$38:$D$42,$C$38:$C$42,K43-$C$6,$B$38:$B$42,"*Indirect*"))</f>
        <v>0</v>
      </c>
      <c r="N43" s="2" t="n">
        <f aca="false">IF(K43-$C$6&gt;'General Information'!$D$33,0,IF(K43=$C$6,$E$37,0)+SUMIF($C$38:$C$42,K43-$C$6,$E$38:$E$42))</f>
        <v>0</v>
      </c>
    </row>
    <row r="44" customFormat="false" ht="15" hidden="false" customHeight="false" outlineLevel="0" collapsed="false">
      <c r="K44" s="1" t="n">
        <f aca="false">K43+1</f>
        <v>2034</v>
      </c>
      <c r="L44" s="2" t="n">
        <f aca="false">IF(K44-$C$6&gt;'General Information'!$D$33,0,IF(K44=$C$6,$D$37,0)+SUMIFS($D$38:$D$42,$C$38:$C$42,K44-$C$6,$B$38:$B$42,"&lt;&gt;*Indirect*"))</f>
        <v>0</v>
      </c>
      <c r="M44" s="2" t="n">
        <f aca="false">IF(K44-$C$6&gt;'General Information'!$D$33,0,SUMIFS($D$38:$D$42,$C$38:$C$42,K44-$C$6,$B$38:$B$42,"*Indirect*"))</f>
        <v>0</v>
      </c>
      <c r="N44" s="2" t="n">
        <f aca="false">IF(K44-$C$6&gt;'General Information'!$D$33,0,IF(K44=$C$6,$E$37,0)+SUMIF($C$38:$C$42,K44-$C$6,$E$38:$E$42))</f>
        <v>0</v>
      </c>
    </row>
    <row r="45" customFormat="false" ht="15" hidden="false" customHeight="false" outlineLevel="0" collapsed="false">
      <c r="K45" s="1" t="n">
        <f aca="false">K44+1</f>
        <v>2035</v>
      </c>
      <c r="L45" s="2" t="n">
        <f aca="false">IF(K45-$C$6&gt;'General Information'!$D$33,0,IF(K45=$C$6,$D$37,0)+SUMIFS($D$38:$D$42,$C$38:$C$42,K45-$C$6,$B$38:$B$42,"&lt;&gt;*Indirect*"))</f>
        <v>0</v>
      </c>
      <c r="M45" s="2" t="n">
        <f aca="false">IF(K45-$C$6&gt;'General Information'!$D$33,0,SUMIFS($D$38:$D$42,$C$38:$C$42,K45-$C$6,$B$38:$B$42,"*Indirect*"))</f>
        <v>0</v>
      </c>
      <c r="N45" s="2" t="n">
        <f aca="false">IF(K45-$C$6&gt;'General Information'!$D$33,0,IF(K45=$C$6,$E$37,0)+SUMIF($C$38:$C$42,K45-$C$6,$E$38:$E$42))</f>
        <v>0</v>
      </c>
    </row>
    <row r="46" customFormat="false" ht="15" hidden="false" customHeight="false" outlineLevel="0" collapsed="false">
      <c r="K46" s="1" t="n">
        <f aca="false">K45+1</f>
        <v>2036</v>
      </c>
      <c r="L46" s="2" t="n">
        <f aca="false">IF(K46-$C$6&gt;'General Information'!$D$33,0,IF(K46=$C$6,$D$37,0)+SUMIFS($D$38:$D$42,$C$38:$C$42,K46-$C$6,$B$38:$B$42,"&lt;&gt;*Indirect*"))</f>
        <v>0</v>
      </c>
      <c r="M46" s="2" t="n">
        <f aca="false">IF(K46-$C$6&gt;'General Information'!$D$33,0,SUMIFS($D$38:$D$42,$C$38:$C$42,K46-$C$6,$B$38:$B$42,"*Indirect*"))</f>
        <v>0</v>
      </c>
      <c r="N46" s="2" t="n">
        <f aca="false">IF(K46-$C$6&gt;'General Information'!$D$33,0,IF(K46=$C$6,$E$37,0)+SUMIF($C$38:$C$42,K46-$C$6,$E$38:$E$42))</f>
        <v>0</v>
      </c>
    </row>
    <row r="47" customFormat="false" ht="15" hidden="false" customHeight="false" outlineLevel="0" collapsed="false">
      <c r="K47" s="1" t="n">
        <f aca="false">K46+1</f>
        <v>2037</v>
      </c>
      <c r="L47" s="2" t="n">
        <f aca="false">IF(K47-$C$6&gt;'General Information'!$D$33,0,IF(K47=$C$6,$D$37,0)+SUMIFS($D$38:$D$42,$C$38:$C$42,K47-$C$6,$B$38:$B$42,"&lt;&gt;*Indirect*"))</f>
        <v>0</v>
      </c>
      <c r="M47" s="2" t="n">
        <f aca="false">IF(K47-$C$6&gt;'General Information'!$D$33,0,SUMIFS($D$38:$D$42,$C$38:$C$42,K47-$C$6,$B$38:$B$42,"*Indirect*"))</f>
        <v>0</v>
      </c>
      <c r="N47" s="2" t="n">
        <f aca="false">IF(K47-$C$6&gt;'General Information'!$D$33,0,IF(K47=$C$6,$E$37,0)+SUMIF($C$38:$C$42,K47-$C$6,$E$38:$E$42))</f>
        <v>0</v>
      </c>
    </row>
    <row r="48" customFormat="false" ht="15" hidden="false" customHeight="false" outlineLevel="0" collapsed="false">
      <c r="K48" s="1" t="n">
        <f aca="false">K47+1</f>
        <v>2038</v>
      </c>
      <c r="L48" s="2" t="n">
        <f aca="false">IF(K48-$C$6&gt;'General Information'!$D$33,0,IF(K48=$C$6,$D$37,0)+SUMIFS($D$38:$D$42,$C$38:$C$42,K48-$C$6,$B$38:$B$42,"&lt;&gt;*Indirect*"))</f>
        <v>0</v>
      </c>
      <c r="M48" s="2" t="n">
        <f aca="false">IF(K48-$C$6&gt;'General Information'!$D$33,0,SUMIFS($D$38:$D$42,$C$38:$C$42,K48-$C$6,$B$38:$B$42,"*Indirect*"))</f>
        <v>0</v>
      </c>
      <c r="N48" s="2" t="n">
        <f aca="false">IF(K48-$C$6&gt;'General Information'!$D$33,0,IF(K48=$C$6,$E$37,0)+SUMIF($C$38:$C$42,K48-$C$6,$E$38:$E$42))</f>
        <v>0</v>
      </c>
    </row>
    <row r="49" customFormat="false" ht="15" hidden="false" customHeight="false" outlineLevel="0" collapsed="false">
      <c r="K49" s="1" t="n">
        <f aca="false">K48+1</f>
        <v>2039</v>
      </c>
      <c r="L49" s="2" t="n">
        <f aca="false">IF(K49-$C$6&gt;'General Information'!$D$33,0,IF(K49=$C$6,$D$37,0)+SUMIFS($D$38:$D$42,$C$38:$C$42,K49-$C$6,$B$38:$B$42,"&lt;&gt;*Indirect*"))</f>
        <v>0</v>
      </c>
      <c r="M49" s="2" t="n">
        <f aca="false">IF(K49-$C$6&gt;'General Information'!$D$33,0,SUMIFS($D$38:$D$42,$C$38:$C$42,K49-$C$6,$B$38:$B$42,"*Indirect*"))</f>
        <v>0</v>
      </c>
      <c r="N49" s="2" t="n">
        <f aca="false">IF(K49-$C$6&gt;'General Information'!$D$33,0,IF(K49=$C$6,$E$37,0)+SUMIF($C$38:$C$42,K49-$C$6,$E$38:$E$42))</f>
        <v>0</v>
      </c>
    </row>
    <row r="50" customFormat="false" ht="15" hidden="false" customHeight="false" outlineLevel="0" collapsed="false">
      <c r="K50" s="1" t="n">
        <f aca="false">K49+1</f>
        <v>2040</v>
      </c>
      <c r="L50" s="2" t="n">
        <f aca="false">IF(K50-$C$6&gt;'General Information'!$D$33,0,IF(K50=$C$6,$D$37,0)+SUMIFS($D$38:$D$42,$C$38:$C$42,K50-$C$6,$B$38:$B$42,"&lt;&gt;*Indirect*"))</f>
        <v>0</v>
      </c>
      <c r="M50" s="2" t="n">
        <f aca="false">IF(K50-$C$6&gt;'General Information'!$D$33,0,SUMIFS($D$38:$D$42,$C$38:$C$42,K50-$C$6,$B$38:$B$42,"*Indirect*"))</f>
        <v>0</v>
      </c>
      <c r="N50" s="2" t="n">
        <f aca="false">IF(K50-$C$6&gt;'General Information'!$D$33,0,IF(K50=$C$6,$E$37,0)+SUMIF($C$38:$C$42,K50-$C$6,$E$38:$E$42))</f>
        <v>0</v>
      </c>
    </row>
    <row r="51" customFormat="false" ht="15" hidden="false" customHeight="false" outlineLevel="0" collapsed="false">
      <c r="K51" s="1" t="n">
        <f aca="false">K50+1</f>
        <v>2041</v>
      </c>
      <c r="L51" s="2" t="n">
        <f aca="false">IF(K51-$C$6&gt;'General Information'!$D$33,0,IF(K51=$C$6,$D$37,0)+SUMIFS($D$38:$D$42,$C$38:$C$42,K51-$C$6,$B$38:$B$42,"&lt;&gt;*Indirect*"))</f>
        <v>0</v>
      </c>
      <c r="M51" s="2" t="n">
        <f aca="false">IF(K51-$C$6&gt;'General Information'!$D$33,0,SUMIFS($D$38:$D$42,$C$38:$C$42,K51-$C$6,$B$38:$B$42,"*Indirect*"))</f>
        <v>0</v>
      </c>
      <c r="N51" s="2" t="n">
        <f aca="false">IF(K51-$C$6&gt;'General Information'!$D$33,0,IF(K51=$C$6,$E$37,0)+SUMIF($C$38:$C$42,K51-$C$6,$E$38:$E$42))</f>
        <v>0</v>
      </c>
    </row>
    <row r="52" customFormat="false" ht="15" hidden="false" customHeight="false" outlineLevel="0" collapsed="false">
      <c r="K52" s="1" t="n">
        <f aca="false">K51+1</f>
        <v>2042</v>
      </c>
      <c r="L52" s="2" t="n">
        <f aca="false">IF(K52-$C$6&gt;'General Information'!$D$33,0,IF(K52=$C$6,$D$37,0)+SUMIFS($D$38:$D$42,$C$38:$C$42,K52-$C$6,$B$38:$B$42,"&lt;&gt;*Indirect*"))</f>
        <v>0</v>
      </c>
      <c r="M52" s="2" t="n">
        <f aca="false">IF(K52-$C$6&gt;'General Information'!$D$33,0,SUMIFS($D$38:$D$42,$C$38:$C$42,K52-$C$6,$B$38:$B$42,"*Indirect*"))</f>
        <v>0</v>
      </c>
      <c r="N52" s="2" t="n">
        <f aca="false">IF(K52-$C$6&gt;'General Information'!$D$33,0,IF(K52=$C$6,$E$37,0)+SUMIF($C$38:$C$42,K52-$C$6,$E$38:$E$42))</f>
        <v>0</v>
      </c>
    </row>
    <row r="53" customFormat="false" ht="15" hidden="false" customHeight="false" outlineLevel="0" collapsed="false">
      <c r="K53" s="1" t="n">
        <f aca="false">K52+1</f>
        <v>2043</v>
      </c>
      <c r="L53" s="2" t="n">
        <f aca="false">IF(K53-$C$6&gt;'General Information'!$D$33,0,IF(K53=$C$6,$D$37,0)+SUMIFS($D$38:$D$42,$C$38:$C$42,K53-$C$6,$B$38:$B$42,"&lt;&gt;*Indirect*"))</f>
        <v>0</v>
      </c>
      <c r="M53" s="2" t="n">
        <f aca="false">IF(K53-$C$6&gt;'General Information'!$D$33,0,SUMIFS($D$38:$D$42,$C$38:$C$42,K53-$C$6,$B$38:$B$42,"*Indirect*"))</f>
        <v>0</v>
      </c>
      <c r="N53" s="2" t="n">
        <f aca="false">IF(K53-$C$6&gt;'General Information'!$D$33,0,IF(K53=$C$6,$E$37,0)+SUMIF($C$38:$C$42,K53-$C$6,$E$38:$E$42))</f>
        <v>0</v>
      </c>
    </row>
    <row r="54" customFormat="false" ht="15" hidden="false" customHeight="false" outlineLevel="0" collapsed="false">
      <c r="K54" s="1" t="n">
        <f aca="false">K53+1</f>
        <v>2044</v>
      </c>
      <c r="L54" s="2" t="n">
        <f aca="false">IF(K54-$C$6&gt;'General Information'!$D$33,0,IF(K54=$C$6,$D$37,0)+SUMIFS($D$38:$D$42,$C$38:$C$42,K54-$C$6,$B$38:$B$42,"&lt;&gt;*Indirect*"))</f>
        <v>0</v>
      </c>
      <c r="M54" s="2" t="n">
        <f aca="false">IF(K54-$C$6&gt;'General Information'!$D$33,0,SUMIFS($D$38:$D$42,$C$38:$C$42,K54-$C$6,$B$38:$B$42,"*Indirect*"))</f>
        <v>0</v>
      </c>
      <c r="N54" s="2" t="n">
        <f aca="false">IF(K54-$C$6&gt;'General Information'!$D$33,0,IF(K54=$C$6,$E$37,0)+SUMIF($C$38:$C$42,K54-$C$6,$E$38:$E$42))</f>
        <v>0</v>
      </c>
    </row>
    <row r="55" customFormat="false" ht="15" hidden="false" customHeight="false" outlineLevel="0" collapsed="false">
      <c r="K55" s="1" t="n">
        <f aca="false">K54+1</f>
        <v>2045</v>
      </c>
      <c r="L55" s="2" t="n">
        <f aca="false">IF(K55-$C$6&gt;'General Information'!$D$33,0,IF(K55=$C$6,$D$37,0)+SUMIFS($D$38:$D$42,$C$38:$C$42,K55-$C$6,$B$38:$B$42,"&lt;&gt;*Indirect*"))</f>
        <v>0</v>
      </c>
      <c r="M55" s="2" t="n">
        <f aca="false">IF(K55-$C$6&gt;'General Information'!$D$33,0,SUMIFS($D$38:$D$42,$C$38:$C$42,K55-$C$6,$B$38:$B$42,"*Indirect*"))</f>
        <v>0</v>
      </c>
      <c r="N55" s="2" t="n">
        <f aca="false">IF(K55-$C$6&gt;'General Information'!$D$33,0,IF(K55=$C$6,$E$37,0)+SUMIF($C$38:$C$42,K55-$C$6,$E$38:$E$42))</f>
        <v>0</v>
      </c>
    </row>
    <row r="56" customFormat="false" ht="15" hidden="false" customHeight="false" outlineLevel="0" collapsed="false">
      <c r="K56" s="1" t="n">
        <f aca="false">K55+1</f>
        <v>2046</v>
      </c>
      <c r="L56" s="2" t="n">
        <f aca="false">IF(K56-$C$6&gt;'General Information'!$D$33,0,IF(K56=$C$6,$D$37,0)+SUMIFS($D$38:$D$42,$C$38:$C$42,K56-$C$6,$B$38:$B$42,"&lt;&gt;*Indirect*"))</f>
        <v>0</v>
      </c>
      <c r="M56" s="2" t="n">
        <f aca="false">IF(K56-$C$6&gt;'General Information'!$D$33,0,SUMIFS($D$38:$D$42,$C$38:$C$42,K56-$C$6,$B$38:$B$42,"*Indirect*"))</f>
        <v>0</v>
      </c>
      <c r="N56" s="2" t="n">
        <f aca="false">IF(K56-$C$6&gt;'General Information'!$D$33,0,IF(K56=$C$6,$E$37,0)+SUMIF($C$38:$C$42,K56-$C$6,$E$38:$E$42))</f>
        <v>0</v>
      </c>
    </row>
    <row r="57" customFormat="false" ht="15" hidden="false" customHeight="false" outlineLevel="0" collapsed="false">
      <c r="K57" s="1" t="n">
        <f aca="false">K56+1</f>
        <v>2047</v>
      </c>
      <c r="L57" s="2" t="n">
        <f aca="false">IF(K57-$C$6&gt;'General Information'!$D$33,0,IF(K57=$C$6,$D$37,0)+SUMIFS($D$38:$D$42,$C$38:$C$42,K57-$C$6,$B$38:$B$42,"&lt;&gt;*Indirect*"))</f>
        <v>630652.6584</v>
      </c>
      <c r="M57" s="2" t="n">
        <f aca="false">IF(K57-$C$6&gt;'General Information'!$D$33,0,SUMIFS($D$38:$D$42,$C$38:$C$42,K57-$C$6,$B$38:$B$42,"*Indirect*"))</f>
        <v>43529.36</v>
      </c>
      <c r="N57" s="2" t="n">
        <f aca="false">IF(K57-$C$6&gt;'General Information'!$D$33,0,IF(K57=$C$6,$E$37,0)+SUMIF($C$38:$C$42,K57-$C$6,$E$38:$E$42))</f>
        <v>384476.58462138</v>
      </c>
    </row>
    <row r="58" customFormat="false" ht="15" hidden="false" customHeight="false" outlineLevel="0" collapsed="false">
      <c r="K58" s="1" t="n">
        <f aca="false">K57+1</f>
        <v>2048</v>
      </c>
      <c r="L58" s="2" t="n">
        <f aca="false">IF(K58-$C$6&gt;'General Information'!$D$33,0,IF(K58=$C$6,$D$37,0)+SUMIFS($D$38:$D$42,$C$38:$C$42,K58-$C$6,$B$38:$B$42,"&lt;&gt;*Indirect*"))</f>
        <v>0</v>
      </c>
      <c r="M58" s="2" t="n">
        <f aca="false">IF(K58-$C$6&gt;'General Information'!$D$33,0,SUMIFS($D$38:$D$42,$C$38:$C$42,K58-$C$6,$B$38:$B$42,"*Indirect*"))</f>
        <v>0</v>
      </c>
      <c r="N58" s="2" t="n">
        <f aca="false">IF(K58-$C$6&gt;'General Information'!$D$33,0,IF(K58=$C$6,$E$37,0)+SUMIF($C$38:$C$42,K58-$C$6,$E$38:$E$42))</f>
        <v>0</v>
      </c>
    </row>
    <row r="59" customFormat="false" ht="15" hidden="false" customHeight="false" outlineLevel="0" collapsed="false">
      <c r="K59" s="1" t="n">
        <f aca="false">K58+1</f>
        <v>2049</v>
      </c>
      <c r="L59" s="2" t="n">
        <f aca="false">IF(K59-$C$6&gt;'General Information'!$D$33,0,IF(K59=$C$6,$D$37,0)+SUMIFS($D$38:$D$42,$C$38:$C$42,K59-$C$6,$B$38:$B$42,"&lt;&gt;*Indirect*"))</f>
        <v>0</v>
      </c>
      <c r="M59" s="2" t="n">
        <f aca="false">IF(K59-$C$6&gt;'General Information'!$D$33,0,SUMIFS($D$38:$D$42,$C$38:$C$42,K59-$C$6,$B$38:$B$42,"*Indirect*"))</f>
        <v>0</v>
      </c>
      <c r="N59" s="2" t="n">
        <f aca="false">IF(K59-$C$6&gt;'General Information'!$D$33,0,IF(K59=$C$6,$E$37,0)+SUMIF($C$38:$C$42,K59-$C$6,$E$38:$E$42))</f>
        <v>0</v>
      </c>
    </row>
    <row r="60" customFormat="false" ht="15" hidden="false" customHeight="false" outlineLevel="0" collapsed="false">
      <c r="K60" s="1" t="n">
        <f aca="false">K59+1</f>
        <v>2050</v>
      </c>
      <c r="L60" s="2" t="n">
        <f aca="false">IF(K60-$C$6&gt;'General Information'!$D$33,0,IF(K60=$C$6,$D$37,0)+SUMIFS($D$38:$D$42,$C$38:$C$42,K60-$C$6,$B$38:$B$42,"&lt;&gt;*Indirect*"))</f>
        <v>0</v>
      </c>
      <c r="M60" s="2" t="n">
        <f aca="false">IF(K60-$C$6&gt;'General Information'!$D$33,0,SUMIFS($D$38:$D$42,$C$38:$C$42,K60-$C$6,$B$38:$B$42,"*Indirect*"))</f>
        <v>0</v>
      </c>
      <c r="N60" s="2" t="n">
        <f aca="false">IF(K60-$C$6&gt;'General Information'!$D$33,0,IF(K60=$C$6,$E$37,0)+SUMIF($C$38:$C$42,K60-$C$6,$E$38:$E$42))</f>
        <v>0</v>
      </c>
    </row>
    <row r="61" customFormat="false" ht="15" hidden="false" customHeight="false" outlineLevel="0" collapsed="false">
      <c r="K61" s="1" t="n">
        <f aca="false">K60+1</f>
        <v>2051</v>
      </c>
      <c r="L61" s="2" t="n">
        <f aca="false">IF(K61-$C$6&gt;'General Information'!$D$33,0,IF(K61=$C$6,$D$37,0)+SUMIFS($D$38:$D$42,$C$38:$C$42,K61-$C$6,$B$38:$B$42,"&lt;&gt;*Indirect*"))</f>
        <v>0</v>
      </c>
      <c r="M61" s="2" t="n">
        <f aca="false">IF(K61-$C$6&gt;'General Information'!$D$33,0,SUMIFS($D$38:$D$42,$C$38:$C$42,K61-$C$6,$B$38:$B$42,"*Indirect*"))</f>
        <v>0</v>
      </c>
      <c r="N61" s="2" t="n">
        <f aca="false">IF(K61-$C$6&gt;'General Information'!$D$33,0,IF(K61=$C$6,$E$37,0)+SUMIF($C$38:$C$42,K61-$C$6,$E$38:$E$42))</f>
        <v>0</v>
      </c>
    </row>
    <row r="62" customFormat="false" ht="15" hidden="false" customHeight="false" outlineLevel="0" collapsed="false">
      <c r="K62" s="1" t="n">
        <f aca="false">K61+1</f>
        <v>2052</v>
      </c>
      <c r="L62" s="2" t="n">
        <f aca="false">IF(K62-$C$6&gt;'General Information'!$D$33,0,IF(K62=$C$6,$D$37,0)+SUMIFS($D$38:$D$42,$C$38:$C$42,K62-$C$6,$B$38:$B$42,"&lt;&gt;*Indirect*"))</f>
        <v>0</v>
      </c>
      <c r="M62" s="2" t="n">
        <f aca="false">IF(K62-$C$6&gt;'General Information'!$D$33,0,SUMIFS($D$38:$D$42,$C$38:$C$42,K62-$C$6,$B$38:$B$42,"*Indirect*"))</f>
        <v>0</v>
      </c>
      <c r="N62" s="2" t="n">
        <f aca="false">IF(K62-$C$6&gt;'General Information'!$D$33,0,IF(K62=$C$6,$E$37,0)+SUMIF($C$38:$C$42,K62-$C$6,$E$38:$E$42))</f>
        <v>0</v>
      </c>
    </row>
    <row r="63" customFormat="false" ht="15" hidden="false" customHeight="false" outlineLevel="0" collapsed="false">
      <c r="K63" s="1" t="n">
        <f aca="false">K62+1</f>
        <v>2053</v>
      </c>
      <c r="L63" s="2" t="n">
        <f aca="false">IF(K63-$C$6&gt;'General Information'!$D$33,0,IF(K63=$C$6,$D$37,0)+SUMIFS($D$38:$D$42,$C$38:$C$42,K63-$C$6,$B$38:$B$42,"&lt;&gt;*Indirect*"))</f>
        <v>0</v>
      </c>
      <c r="M63" s="2" t="n">
        <f aca="false">IF(K63-$C$6&gt;'General Information'!$D$33,0,SUMIFS($D$38:$D$42,$C$38:$C$42,K63-$C$6,$B$38:$B$42,"*Indirect*"))</f>
        <v>0</v>
      </c>
      <c r="N63" s="2" t="n">
        <f aca="false">IF(K63-$C$6&gt;'General Information'!$D$33,0,IF(K63=$C$6,$E$37,0)+SUMIF($C$38:$C$42,K63-$C$6,$E$38:$E$42))</f>
        <v>0</v>
      </c>
    </row>
    <row r="64" customFormat="false" ht="15" hidden="false" customHeight="false" outlineLevel="0" collapsed="false">
      <c r="K64" s="1" t="n">
        <f aca="false">K63+1</f>
        <v>2054</v>
      </c>
      <c r="L64" s="2" t="n">
        <f aca="false">IF(K64-$C$6&gt;'General Information'!$D$33,0,IF(K64=$C$6,$D$37,0)+SUMIFS($D$38:$D$42,$C$38:$C$42,K64-$C$6,$B$38:$B$42,"&lt;&gt;*Indirect*"))</f>
        <v>0</v>
      </c>
      <c r="M64" s="2" t="n">
        <f aca="false">IF(K64-$C$6&gt;'General Information'!$D$33,0,SUMIFS($D$38:$D$42,$C$38:$C$42,K64-$C$6,$B$38:$B$42,"*Indirect*"))</f>
        <v>0</v>
      </c>
      <c r="N64" s="2" t="n">
        <f aca="false">IF(K64-$C$6&gt;'General Information'!$D$33,0,IF(K64=$C$6,$E$37,0)+SUMIF($C$38:$C$42,K64-$C$6,$E$38:$E$42))</f>
        <v>0</v>
      </c>
    </row>
    <row r="65" customFormat="false" ht="15" hidden="false" customHeight="false" outlineLevel="0" collapsed="false">
      <c r="K65" s="1" t="n">
        <f aca="false">K64+1</f>
        <v>2055</v>
      </c>
      <c r="L65" s="2" t="n">
        <f aca="false">IF(K65-$C$6&gt;'General Information'!$D$33,0,IF(K65=$C$6,$D$37,0)+SUMIFS($D$38:$D$42,$C$38:$C$42,K65-$C$6,$B$38:$B$42,"&lt;&gt;*Indirect*"))</f>
        <v>738083.1146</v>
      </c>
      <c r="M65" s="2" t="n">
        <f aca="false">IF(K65-$C$6&gt;'General Information'!$D$33,0,SUMIFS($D$38:$D$42,$C$38:$C$42,K65-$C$6,$B$38:$B$42,"*Indirect*"))</f>
        <v>87058.72</v>
      </c>
      <c r="N65" s="2" t="n">
        <f aca="false">IF(K65-$C$6&gt;'General Information'!$D$33,0,IF(K65=$C$6,$E$37,0)+SUMIF($C$38:$C$42,K65-$C$6,$E$38:$E$42))</f>
        <v>371469.823391218</v>
      </c>
    </row>
    <row r="66" customFormat="false" ht="15" hidden="false" customHeight="false" outlineLevel="0" collapsed="false">
      <c r="K66" s="1" t="n">
        <f aca="false">K65+1</f>
        <v>2056</v>
      </c>
      <c r="L66" s="2" t="n">
        <f aca="false">IF(K66-$C$6&gt;'General Information'!$D$33,0,IF(K66=$C$6,$D$37,0)+SUMIFS($D$38:$D$42,$C$38:$C$42,K66-$C$6,$B$38:$B$42,"&lt;&gt;*Indirect*"))</f>
        <v>0</v>
      </c>
      <c r="M66" s="2" t="n">
        <f aca="false">IF(K66-$C$6&gt;'General Information'!$D$33,0,SUMIFS($D$38:$D$42,$C$38:$C$42,K66-$C$6,$B$38:$B$42,"*Indirect*"))</f>
        <v>0</v>
      </c>
      <c r="N66" s="2" t="n">
        <f aca="false">IF(K66-$C$6&gt;'General Information'!$D$33,0,IF(K66=$C$6,$E$37,0)+SUMIF($C$38:$C$42,K66-$C$6,$E$38:$E$42))</f>
        <v>0</v>
      </c>
    </row>
    <row r="67" customFormat="false" ht="15" hidden="false" customHeight="false" outlineLevel="0" collapsed="false">
      <c r="K67" s="1" t="n">
        <f aca="false">K66+1</f>
        <v>2057</v>
      </c>
      <c r="L67" s="2" t="n">
        <f aca="false">IF(K67-$C$6&gt;'General Information'!$D$33,0,IF(K67=$C$6,$D$37,0)+SUMIFS($D$38:$D$42,$C$38:$C$42,K67-$C$6,$B$38:$B$42,"&lt;&gt;*Indirect*"))</f>
        <v>0</v>
      </c>
      <c r="M67" s="2" t="n">
        <f aca="false">IF(K67-$C$6&gt;'General Information'!$D$33,0,SUMIFS($D$38:$D$42,$C$38:$C$42,K67-$C$6,$B$38:$B$42,"*Indirect*"))</f>
        <v>0</v>
      </c>
      <c r="N67" s="2" t="n">
        <f aca="false">IF(K67-$C$6&gt;'General Information'!$D$33,0,IF(K67=$C$6,$E$37,0)+SUMIF($C$38:$C$42,K67-$C$6,$E$38:$E$42))</f>
        <v>0</v>
      </c>
    </row>
    <row r="68" customFormat="false" ht="15" hidden="false" customHeight="false" outlineLevel="0" collapsed="false">
      <c r="K68" s="1" t="n">
        <f aca="false">K67+1</f>
        <v>2058</v>
      </c>
      <c r="L68" s="2" t="n">
        <f aca="false">IF(K68-$C$6&gt;'General Information'!$D$33,0,IF(K68=$C$6,$D$37,0)+SUMIFS($D$38:$D$42,$C$38:$C$42,K68-$C$6,$B$38:$B$42,"&lt;&gt;*Indirect*"))</f>
        <v>-1479726.5625</v>
      </c>
      <c r="M68" s="2" t="n">
        <f aca="false">IF(K68-$C$6&gt;'General Information'!$D$33,0,SUMIFS($D$38:$D$42,$C$38:$C$42,K68-$C$6,$B$38:$B$42,"*Indirect*"))</f>
        <v>0</v>
      </c>
      <c r="N68" s="2" t="n">
        <f aca="false">IF(K68-$C$6&gt;'General Information'!$D$33,0,IF(K68=$C$6,$E$37,0)+SUMIF($C$38:$C$42,K68-$C$6,$E$38:$E$42))</f>
        <v>-609627.751453986</v>
      </c>
    </row>
  </sheetData>
  <mergeCells count="3">
    <mergeCell ref="A1:B1"/>
    <mergeCell ref="A3:G3"/>
    <mergeCell ref="D11:G11"/>
  </mergeCells>
  <dataValidations count="1">
    <dataValidation allowBlank="false" error="Choose Regular, Middle, West or East." errorStyle="stop" errorTitle="Pricing source" operator="between" prompt="Which unit cost column on Pay_Items this alternative is priced from. Regular is the statewide Unit Cost column." promptTitle="Price from" showDropDown="false" showErrorMessage="true" showInputMessage="true" sqref="C11" type="list">
      <formula1>"Regular,Middle,West,East"</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true"/>
  </sheetPr>
  <dimension ref="A1:X68"/>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selection pane="topLeft" activeCell="B42" activeCellId="0" sqref="B42"/>
    </sheetView>
  </sheetViews>
  <sheetFormatPr defaultColWidth="8.5390625" defaultRowHeight="15" zeroHeight="false" outlineLevelRow="0" outlineLevelCol="0"/>
  <cols>
    <col collapsed="false" customWidth="true" hidden="false" outlineLevel="0" max="1" min="1" style="0" width="12.29"/>
    <col collapsed="false" customWidth="true" hidden="false" outlineLevel="0" max="2" min="2" style="0" width="19.71"/>
    <col collapsed="false" customWidth="true" hidden="false" outlineLevel="0" max="3" min="3" style="0" width="53.71"/>
    <col collapsed="false" customWidth="true" hidden="false" outlineLevel="0" max="5" min="5" style="0" width="33.72"/>
    <col collapsed="false" customWidth="true" hidden="false" outlineLevel="0" max="6" min="6" style="0" width="20.71"/>
    <col collapsed="false" customWidth="true" hidden="false" outlineLevel="0" max="7" min="7" style="0" width="21.57"/>
    <col collapsed="false" customWidth="true" hidden="true" outlineLevel="0" max="9" min="9" style="0" width="9.14"/>
    <col collapsed="false" customWidth="true" hidden="true" outlineLevel="0" max="11" min="10" style="1" width="13.29"/>
    <col collapsed="false" customWidth="true" hidden="true" outlineLevel="0" max="12" min="12" style="2" width="33.86"/>
    <col collapsed="false" customWidth="true" hidden="true" outlineLevel="0" max="13" min="13" style="1" width="16"/>
    <col collapsed="false" customWidth="true" hidden="true" outlineLevel="0" max="16" min="14" style="1" width="13.29"/>
    <col collapsed="false" customWidth="true" hidden="true" outlineLevel="0" max="17" min="17" style="0" width="3.57"/>
    <col collapsed="false" customWidth="true" hidden="true" outlineLevel="0" max="19" min="18" style="0" width="13.29"/>
    <col collapsed="false" customWidth="true" hidden="true" outlineLevel="0" max="20" min="20" style="0" width="41.28"/>
    <col collapsed="false" customWidth="true" hidden="true" outlineLevel="0" max="22" min="21" style="0" width="13.29"/>
    <col collapsed="false" customWidth="true" hidden="true" outlineLevel="0" max="23" min="23" style="0" width="10"/>
    <col collapsed="false" customWidth="true" hidden="true" outlineLevel="0" max="24" min="24" style="0" width="10.29"/>
    <col collapsed="false" customWidth="true" hidden="true" outlineLevel="0" max="26" min="25" style="0" width="9.14"/>
  </cols>
  <sheetData>
    <row r="1" customFormat="false" ht="39.75" hidden="false" customHeight="true" outlineLevel="0" collapsed="false">
      <c r="A1" s="3" t="str">
        <f aca="false">HYPERLINK("#'General Information'!D9","◄ General Information")</f>
        <v>◄ General Information</v>
      </c>
      <c r="B1" s="3"/>
      <c r="C1" s="4" t="str">
        <f aca="false">HYPERLINK("#Summary!G1","Summary")</f>
        <v>Summary</v>
      </c>
      <c r="D1" s="5" t="str">
        <f aca="false">$A$34</f>
        <v>PCC Reconstruction - Alternative 2</v>
      </c>
      <c r="I1" s="0" t="s">
        <v>0</v>
      </c>
    </row>
    <row r="2" customFormat="false" ht="15" hidden="false" customHeight="false" outlineLevel="0" collapsed="false">
      <c r="A2" s="7" t="s">
        <v>1</v>
      </c>
      <c r="E2" s="8" t="s">
        <v>2</v>
      </c>
      <c r="F2" s="9" t="n">
        <f aca="false">IF('General Information'!$D$38="Yes",SUMIF(RevenueData!$A:$A,'General Information'!$D$10,RevenueData!$B:$B)+SUMIF(RevenueData!$A:$A,'General Information'!$D$10,RevenueData!$C:$C)+SUMIF(RevenueData!$A:$A,'General Information'!$D$10,RevenueData!$D:$D)+SUMIF(RevenueData!$A:$A,'General Information'!$D$10,RevenueData!$E:$E)+SUMIF(RevenueData!$A:$A,'General Information'!$D$10,RevenueData!$F:$F)+SUMIF(RevenueData!$A:$A,'General Information'!$D$10,RevenueData!$G:$G)+SUMIF(RevenueData!$A:$A,'General Information'!$D$10,RevenueData!$H:$H),0)</f>
        <v>5441.17</v>
      </c>
      <c r="G2" s="0" t="str">
        <f aca="false">IF(AND('General Information'!$D$38="Yes",F2=0),"No revenue data for this airport - lost revenue set to $0. Contact Aeronautics.","")</f>
        <v/>
      </c>
      <c r="J2" s="10" t="s">
        <v>3</v>
      </c>
      <c r="R2" s="7" t="s">
        <v>4</v>
      </c>
    </row>
    <row r="3" customFormat="false" ht="25.5" hidden="false" customHeight="true" outlineLevel="0" collapsed="false">
      <c r="A3" s="11" t="s">
        <v>5</v>
      </c>
      <c r="B3" s="11"/>
      <c r="C3" s="11"/>
      <c r="D3" s="11"/>
      <c r="E3" s="11"/>
      <c r="F3" s="11"/>
      <c r="G3" s="11"/>
    </row>
    <row r="4" customFormat="false" ht="15" hidden="false" customHeight="false" outlineLevel="0" collapsed="false">
      <c r="A4" s="12" t="s">
        <v>6</v>
      </c>
      <c r="B4" s="13"/>
      <c r="C4" s="14" t="s">
        <v>7</v>
      </c>
      <c r="D4" s="13"/>
      <c r="E4" s="15" t="s">
        <v>8</v>
      </c>
      <c r="F4" s="16" t="n">
        <f aca="false">ROUNDUP(C5*550/(50*100/9)/10000,0)+ROUNDUP(C5*'Maintenance Policies'!D38/10000,0)+ROUNDUP(C5*'Maintenance Policies'!D39/5000,0)+ROUNDUP(C5*'Maintenance Policies'!D40/5000,0)</f>
        <v>8</v>
      </c>
    </row>
    <row r="5" customFormat="false" ht="15" hidden="false" customHeight="false" outlineLevel="0" collapsed="false">
      <c r="A5" s="12" t="s">
        <v>9</v>
      </c>
      <c r="B5" s="13"/>
      <c r="C5" s="14" t="n">
        <f aca="false">'General Information'!D26</f>
        <v>45883</v>
      </c>
      <c r="D5" s="13" t="s">
        <v>10</v>
      </c>
      <c r="E5" s="17" t="s">
        <v>11</v>
      </c>
      <c r="F5" s="18" t="n">
        <f aca="false">ROUNDUP(C5*550/(50*100/9)/10000,0)+ROUNDUP(C5*'Maintenance Policies'!D44/10000,0)+ROUNDUP(C5*'Maintenance Policies'!D43/5000,0)+ROUNDUP(C5*'Maintenance Policies'!D42/5000,0)+ROUNDUP(C5*'Maintenance Policies'!D41/1000,0)+7</f>
        <v>16</v>
      </c>
    </row>
    <row r="6" customFormat="false" ht="15" hidden="false" customHeight="false" outlineLevel="0" collapsed="false">
      <c r="A6" s="12" t="s">
        <v>12</v>
      </c>
      <c r="B6" s="13"/>
      <c r="C6" s="14" t="n">
        <f aca="false">'General Information'!D25</f>
        <v>2028</v>
      </c>
      <c r="D6" s="13"/>
    </row>
    <row r="7" customFormat="false" ht="15" hidden="false" customHeight="false" outlineLevel="0" collapsed="false">
      <c r="A7" s="12" t="s">
        <v>13</v>
      </c>
      <c r="B7" s="13"/>
      <c r="C7" s="14" t="n">
        <f aca="false">'General Information'!D28</f>
        <v>12000</v>
      </c>
      <c r="D7" s="13" t="s">
        <v>14</v>
      </c>
      <c r="J7" s="1" t="s">
        <v>15</v>
      </c>
      <c r="K7" s="19" t="n">
        <f aca="false">C5/((12.5*12.5)/9)</f>
        <v>2642.8608</v>
      </c>
    </row>
    <row r="8" customFormat="false" ht="15" hidden="false" customHeight="false" outlineLevel="0" collapsed="false">
      <c r="C8" s="20"/>
      <c r="J8" s="1" t="s">
        <v>16</v>
      </c>
      <c r="K8" s="1" t="n">
        <f aca="false">K7*25+((K7/8)*12.5)</f>
        <v>70200.99</v>
      </c>
    </row>
    <row r="9" customFormat="false" ht="15" hidden="false" customHeight="false" outlineLevel="0" collapsed="false">
      <c r="C9" s="20"/>
    </row>
    <row r="10" customFormat="false" ht="15" hidden="false" customHeight="false" outlineLevel="0" collapsed="false">
      <c r="C10" s="20"/>
      <c r="I10" s="21" t="s">
        <v>17</v>
      </c>
    </row>
    <row r="11" customFormat="false" ht="27.75" hidden="false" customHeight="true" outlineLevel="0" collapsed="false">
      <c r="B11" s="22" t="s">
        <v>18</v>
      </c>
      <c r="C11" s="23" t="s">
        <v>19</v>
      </c>
      <c r="D11" s="11" t="str">
        <f aca="false">IF(OR($C$11="Regular",$C$11=""),"Regular is the statewide Unit Cost column on Pay_Items.","Prices from the "&amp;$C$11&amp;" column on Pay_Items: "&amp;SUM($I$13:$I$22)&amp;" of "&amp;COUNT($I$13:$I$22)&amp;" pay items used here have a "&amp;$C$11&amp;" cost, the rest fall back to Unit Cost.")</f>
        <v>Regular is the statewide Unit Cost column on Pay_Items.</v>
      </c>
      <c r="E11" s="11"/>
      <c r="F11" s="11"/>
      <c r="G11" s="11"/>
      <c r="I11" s="21" t="n">
        <f aca="false">IFERROR(MATCH($C$11,PriceSources,0),1)</f>
        <v>1</v>
      </c>
    </row>
    <row r="12" customFormat="false" ht="19.5" hidden="false" customHeight="true" outlineLevel="0" collapsed="false">
      <c r="A12" s="24" t="s">
        <v>20</v>
      </c>
      <c r="B12" s="24" t="s">
        <v>21</v>
      </c>
      <c r="C12" s="24" t="s">
        <v>22</v>
      </c>
      <c r="D12" s="25" t="s">
        <v>23</v>
      </c>
      <c r="E12" s="25" t="s">
        <v>24</v>
      </c>
      <c r="F12" s="25" t="s">
        <v>25</v>
      </c>
      <c r="G12" s="25" t="s">
        <v>26</v>
      </c>
      <c r="J12" s="1" t="s">
        <v>20</v>
      </c>
      <c r="K12" s="1" t="s">
        <v>21</v>
      </c>
      <c r="L12" s="2" t="s">
        <v>22</v>
      </c>
      <c r="M12" s="1" t="s">
        <v>23</v>
      </c>
      <c r="N12" s="1" t="s">
        <v>24</v>
      </c>
      <c r="O12" s="1" t="s">
        <v>25</v>
      </c>
      <c r="P12" s="1" t="s">
        <v>26</v>
      </c>
      <c r="R12" s="0" t="s">
        <v>20</v>
      </c>
      <c r="S12" s="0" t="s">
        <v>21</v>
      </c>
      <c r="T12" s="0" t="s">
        <v>22</v>
      </c>
      <c r="U12" s="0" t="s">
        <v>23</v>
      </c>
      <c r="V12" s="0" t="s">
        <v>24</v>
      </c>
      <c r="W12" s="0" t="s">
        <v>25</v>
      </c>
      <c r="X12" s="0" t="s">
        <v>26</v>
      </c>
    </row>
    <row r="13" customFormat="false" ht="19.5" hidden="false" customHeight="true" outlineLevel="0" collapsed="false">
      <c r="A13" s="0" t="n">
        <v>1</v>
      </c>
      <c r="B13" s="26" t="str">
        <f aca="false">IF(C13="","",VLOOKUP(C13,CHOOSE({1,2},Table2[Pay Item Description],Table2[Pay Item No.]),2,0))</f>
        <v>P-152-4.1</v>
      </c>
      <c r="C13" s="27" t="s">
        <v>528</v>
      </c>
      <c r="D13" s="28" t="str">
        <f aca="false">IF(C13="","N/A",VLOOKUP(C13,CHOOSE({1,2},Table2[Pay Item Description],Table2[Units]),2,0))</f>
        <v>C.Y.</v>
      </c>
      <c r="E13" s="29" t="n">
        <v>21667</v>
      </c>
      <c r="F13" s="30" t="n">
        <f aca="false">IF(C13="","N/A",IF(INDEX(UnitCostGrid,MATCH(C13,PayItemKeys,0),$I$11)="",INDEX(UnitCostGrid,MATCH(C13,PayItemKeys,0),1),INDEX(UnitCostGrid,MATCH(C13,PayItemKeys,0),$I$11)))</f>
        <v>12</v>
      </c>
      <c r="G13" s="31" t="n">
        <f aca="false">IF(C13="",0,F13*E13)</f>
        <v>260004</v>
      </c>
      <c r="I13" s="21" t="n">
        <f aca="false">IF(C13="","",IF(INDEX(UnitCostGrid,MATCH(C13,PayItemKeys,0),$I$11)="",0,1))</f>
        <v>1</v>
      </c>
      <c r="J13" s="1" t="n">
        <v>1</v>
      </c>
      <c r="K13" s="1" t="str">
        <f aca="false">IF(L13="",0,VLOOKUP(L13,CHOOSE({1,2},Table2[Pay Item Description],Table2[Pay Item No.]),2,0))</f>
        <v>P-605-5.1a</v>
      </c>
      <c r="L13" s="2" t="str">
        <f aca="false">Pay_Items!D55</f>
        <v>Joint Clean and Reseal, Concrete</v>
      </c>
      <c r="M13" s="1" t="str">
        <f aca="false">IF(L13="","N/A",VLOOKUP(L13,CHOOSE({1,2},Table2[Pay Item Description],Table2[Units]),2,0))</f>
        <v>L.F.</v>
      </c>
      <c r="N13" s="32" t="n">
        <f aca="false">K8*'Maintenance Policies'!D37</f>
        <v>70200.99</v>
      </c>
      <c r="O13" s="33" t="n">
        <f aca="false">IF(L13="","N/A",IF(INDEX(UnitCostGrid,MATCH(L13,PayItemKeys,0),$I$11)="",INDEX(UnitCostGrid,MATCH(L13,PayItemKeys,0),1),INDEX(UnitCostGrid,MATCH(L13,PayItemKeys,0),$I$11)))</f>
        <v>7</v>
      </c>
      <c r="P13" s="34" t="n">
        <f aca="false">O13*N13</f>
        <v>491406.93</v>
      </c>
      <c r="R13" s="0" t="n">
        <v>1</v>
      </c>
      <c r="S13" s="0" t="str">
        <f aca="false">IF(T13="",0,VLOOKUP(T13,CHOOSE({1,2},Table2[Pay Item Description],Table2[Pay Item No.]),2,0))</f>
        <v>P-101-5.5c</v>
      </c>
      <c r="T13" s="0" t="str">
        <f aca="false">Pay_Items!D15</f>
        <v>Slab Replacement, Concrete</v>
      </c>
      <c r="U13" s="0" t="str">
        <f aca="false">IF(T13="","N/A",VLOOKUP(T13,CHOOSE({1,2},Table2[Pay Item Description],Table2[Units]),2,0))</f>
        <v>S.Y.</v>
      </c>
      <c r="V13" s="35" t="n">
        <f aca="false">'Maintenance Policies'!D41*C5</f>
        <v>917.66</v>
      </c>
      <c r="W13" s="36" t="n">
        <f aca="false">IF(T13="","N/A",IF(INDEX(UnitCostGrid,MATCH(T13,PayItemKeys,0),$I$11)="",INDEX(UnitCostGrid,MATCH(T13,PayItemKeys,0),1),INDEX(UnitCostGrid,MATCH(T13,PayItemKeys,0),$I$11)))</f>
        <v>100</v>
      </c>
      <c r="X13" s="37" t="n">
        <f aca="false">W13*V13</f>
        <v>91766</v>
      </c>
    </row>
    <row r="14" customFormat="false" ht="19.5" hidden="false" customHeight="true" outlineLevel="0" collapsed="false">
      <c r="A14" s="0" t="n">
        <v>2</v>
      </c>
      <c r="B14" s="26" t="str">
        <f aca="false">IF(C14="","",VLOOKUP(C14,CHOOSE({1,2},Table2[Pay Item Description],Table2[Pay Item No.]),2,0))</f>
        <v>P-209-5.1</v>
      </c>
      <c r="C14" s="27" t="s">
        <v>555</v>
      </c>
      <c r="D14" s="28" t="str">
        <f aca="false">IF(C14="","N/A",VLOOKUP(C14,CHOOSE({1,2},Table2[Pay Item Description],Table2[Units]),2,0))</f>
        <v>C.Y.</v>
      </c>
      <c r="E14" s="29" t="n">
        <v>7647</v>
      </c>
      <c r="F14" s="30" t="n">
        <f aca="false">IF(C14="","N/A",IF(INDEX(UnitCostGrid,MATCH(C14,PayItemKeys,0),$I$11)="",INDEX(UnitCostGrid,MATCH(C14,PayItemKeys,0),1),INDEX(UnitCostGrid,MATCH(C14,PayItemKeys,0),$I$11)))</f>
        <v>65</v>
      </c>
      <c r="G14" s="31" t="n">
        <f aca="false">IF(C14="",0,F14*E14)</f>
        <v>497055</v>
      </c>
      <c r="I14" s="21" t="n">
        <f aca="false">IF(C14="","",IF(INDEX(UnitCostGrid,MATCH(C14,PayItemKeys,0),$I$11)="",0,1))</f>
        <v>1</v>
      </c>
      <c r="J14" s="1" t="n">
        <v>2</v>
      </c>
      <c r="K14" s="1" t="str">
        <f aca="false">VLOOKUP(L14,CHOOSE({1,2},Table2[Pay Item Description],Table2[Pay Item No.]),2,0)</f>
        <v>P-101-5.2c</v>
      </c>
      <c r="L14" s="2" t="str">
        <f aca="false">Pay_Items!D8</f>
        <v>Crack Seal, Concrete</v>
      </c>
      <c r="M14" s="1" t="str">
        <f aca="false">IF(L14="","N/A",VLOOKUP(L14,CHOOSE({1,2},Table2[Pay Item Description],Table2[Units]),2,0))</f>
        <v>L.F.</v>
      </c>
      <c r="N14" s="32" t="n">
        <f aca="false">'Maintenance Policies'!D38*(C5*9)</f>
        <v>1032.3675</v>
      </c>
      <c r="O14" s="33" t="n">
        <f aca="false">IF(L14="","N/A",IF(INDEX(UnitCostGrid,MATCH(L14,PayItemKeys,0),$I$11)="",INDEX(UnitCostGrid,MATCH(L14,PayItemKeys,0),1),INDEX(UnitCostGrid,MATCH(L14,PayItemKeys,0),$I$11)))</f>
        <v>8</v>
      </c>
      <c r="P14" s="34" t="n">
        <f aca="false">O14*N14</f>
        <v>8258.94</v>
      </c>
      <c r="R14" s="0" t="n">
        <v>2</v>
      </c>
      <c r="S14" s="0" t="str">
        <f aca="false">VLOOKUP(T14,CHOOSE({1,2},Table2[Pay Item Description],Table2[Pay Item No.]),2,0)</f>
        <v>P-101-5.5b</v>
      </c>
      <c r="T14" s="0" t="str">
        <f aca="false">Pay_Items!D14</f>
        <v>Full-Depth Repair, Concrete</v>
      </c>
      <c r="U14" s="0" t="str">
        <f aca="false">IF(T14="","N/A",VLOOKUP(T14,CHOOSE({1,2},Table2[Pay Item Description],Table2[Units]),2,0))</f>
        <v>S.Y.</v>
      </c>
      <c r="V14" s="35" t="n">
        <f aca="false">'Maintenance Policies'!D42*C5</f>
        <v>137.649</v>
      </c>
      <c r="W14" s="36" t="n">
        <f aca="false">IF(T14="","N/A",IF(INDEX(UnitCostGrid,MATCH(T14,PayItemKeys,0),$I$11)="",INDEX(UnitCostGrid,MATCH(T14,PayItemKeys,0),1),INDEX(UnitCostGrid,MATCH(T14,PayItemKeys,0),$I$11)))</f>
        <v>120</v>
      </c>
      <c r="X14" s="37" t="n">
        <f aca="false">W14*V14</f>
        <v>16517.88</v>
      </c>
    </row>
    <row r="15" customFormat="false" ht="19.5" hidden="false" customHeight="true" outlineLevel="0" collapsed="false">
      <c r="A15" s="0" t="n">
        <v>3</v>
      </c>
      <c r="B15" s="26" t="str">
        <f aca="false">IF(C15="","",VLOOKUP(C15,CHOOSE({1,2},Table2[Pay Item Description],Table2[Pay Item No.]),2,0))</f>
        <v>P-501-8.1d</v>
      </c>
      <c r="C15" s="27" t="s">
        <v>599</v>
      </c>
      <c r="D15" s="28" t="str">
        <f aca="false">IF(C15="","N/A",VLOOKUP(C15,CHOOSE({1,2},Table2[Pay Item Description],Table2[Units]),2,0))</f>
        <v>S.Y.</v>
      </c>
      <c r="E15" s="29" t="n">
        <v>45883</v>
      </c>
      <c r="F15" s="30" t="n">
        <f aca="false">IF(C15="","N/A",IF(INDEX(UnitCostGrid,MATCH(C15,PayItemKeys,0),$I$11)="",INDEX(UnitCostGrid,MATCH(C15,PayItemKeys,0),1),INDEX(UnitCostGrid,MATCH(C15,PayItemKeys,0),$I$11)))</f>
        <v>91</v>
      </c>
      <c r="G15" s="31" t="n">
        <f aca="false">IF(C15="",0,F15*E15)</f>
        <v>4175353</v>
      </c>
      <c r="I15" s="21" t="n">
        <f aca="false">IF(C15="","",IF(INDEX(UnitCostGrid,MATCH(C15,PayItemKeys,0),$I$11)="",0,1))</f>
        <v>1</v>
      </c>
      <c r="J15" s="1" t="n">
        <v>3</v>
      </c>
      <c r="K15" s="1" t="str">
        <f aca="false">VLOOKUP(L15,CHOOSE({1,2},Table2[Pay Item Description],Table2[Pay Item No.]),2,0)</f>
        <v>P-101-5.5a</v>
      </c>
      <c r="L15" s="2" t="str">
        <f aca="false">Pay_Items!D13</f>
        <v>Spall Repair, Concrete</v>
      </c>
      <c r="M15" s="1" t="str">
        <f aca="false">IF(L15="","N/A",VLOOKUP(L15,CHOOSE({1,2},Table2[Pay Item Description],Table2[Units]),2,0))</f>
        <v>S.F.</v>
      </c>
      <c r="N15" s="32" t="n">
        <f aca="false">'Maintenance Policies'!D39*(C5*9)</f>
        <v>536.8311</v>
      </c>
      <c r="O15" s="33" t="n">
        <f aca="false">IF(L15="","N/A",IF(INDEX(UnitCostGrid,MATCH(L15,PayItemKeys,0),$I$11)="",INDEX(UnitCostGrid,MATCH(L15,PayItemKeys,0),1),INDEX(UnitCostGrid,MATCH(L15,PayItemKeys,0),$I$11)))</f>
        <v>60</v>
      </c>
      <c r="P15" s="34" t="n">
        <f aca="false">O15*N15</f>
        <v>32209.866</v>
      </c>
      <c r="R15" s="0" t="n">
        <v>3</v>
      </c>
      <c r="S15" s="0" t="str">
        <f aca="false">VLOOKUP(T15,CHOOSE({1,2},Table2[Pay Item Description],Table2[Pay Item No.]),2,0)</f>
        <v>P-101-5.5a</v>
      </c>
      <c r="T15" s="0" t="str">
        <f aca="false">Pay_Items!D13</f>
        <v>Spall Repair, Concrete</v>
      </c>
      <c r="U15" s="0" t="str">
        <f aca="false">IF(T15="","N/A",VLOOKUP(T15,CHOOSE({1,2},Table2[Pay Item Description],Table2[Units]),2,0))</f>
        <v>S.F.</v>
      </c>
      <c r="V15" s="35" t="n">
        <f aca="false">'Maintenance Policies'!D43*(C5*9)</f>
        <v>536.8311</v>
      </c>
      <c r="W15" s="36" t="n">
        <f aca="false">IF(T15="","N/A",IF(INDEX(UnitCostGrid,MATCH(T15,PayItemKeys,0),$I$11)="",INDEX(UnitCostGrid,MATCH(T15,PayItemKeys,0),1),INDEX(UnitCostGrid,MATCH(T15,PayItemKeys,0),$I$11)))</f>
        <v>60</v>
      </c>
      <c r="X15" s="37" t="n">
        <f aca="false">W15*V15</f>
        <v>32209.866</v>
      </c>
    </row>
    <row r="16" customFormat="false" ht="19.5" hidden="false" customHeight="true" outlineLevel="0" collapsed="false">
      <c r="A16" s="0" t="n">
        <v>4</v>
      </c>
      <c r="B16" s="26" t="str">
        <f aca="false">IF(C16="","",VLOOKUP(C16,CHOOSE({1,2},Table2[Pay Item Description],Table2[Pay Item No.]),2,0))</f>
        <v>P-620-5.1a</v>
      </c>
      <c r="C16" s="27" t="s">
        <v>626</v>
      </c>
      <c r="D16" s="28" t="str">
        <f aca="false">IF(C16="","N/A",VLOOKUP(C16,CHOOSE({1,2},Table2[Pay Item Description],Table2[Units]),2,0))</f>
        <v>S.F.</v>
      </c>
      <c r="E16" s="29" t="n">
        <v>12000</v>
      </c>
      <c r="F16" s="30" t="n">
        <f aca="false">IF(C16="","N/A",IF(INDEX(UnitCostGrid,MATCH(C16,PayItemKeys,0),$I$11)="",INDEX(UnitCostGrid,MATCH(C16,PayItemKeys,0),1),INDEX(UnitCostGrid,MATCH(C16,PayItemKeys,0),$I$11)))</f>
        <v>0.666666666666667</v>
      </c>
      <c r="G16" s="31" t="n">
        <f aca="false">IF(C16="",0,F16*E16)</f>
        <v>8000</v>
      </c>
      <c r="I16" s="21" t="n">
        <f aca="false">IF(C16="","",IF(INDEX(UnitCostGrid,MATCH(C16,PayItemKeys,0),$I$11)="",0,1))</f>
        <v>1</v>
      </c>
      <c r="J16" s="1" t="n">
        <v>4</v>
      </c>
      <c r="K16" s="1" t="str">
        <f aca="false">VLOOKUP(L16,CHOOSE({1,2},Table2[Pay Item Description],Table2[Pay Item No.]),2,0)</f>
        <v>P-101-5.5b</v>
      </c>
      <c r="L16" s="2" t="str">
        <f aca="false">Pay_Items!D14</f>
        <v>Full-Depth Repair, Concrete</v>
      </c>
      <c r="M16" s="1" t="str">
        <f aca="false">IF(L16="","N/A",VLOOKUP(L16,CHOOSE({1,2},Table2[Pay Item Description],Table2[Units]),2,0))</f>
        <v>S.Y.</v>
      </c>
      <c r="N16" s="32" t="n">
        <f aca="false">'Maintenance Policies'!D40*C5</f>
        <v>137.649</v>
      </c>
      <c r="O16" s="33" t="n">
        <f aca="false">IF(L16="","N/A",IF(INDEX(UnitCostGrid,MATCH(L16,PayItemKeys,0),$I$11)="",INDEX(UnitCostGrid,MATCH(L16,PayItemKeys,0),1),INDEX(UnitCostGrid,MATCH(L16,PayItemKeys,0),$I$11)))</f>
        <v>120</v>
      </c>
      <c r="P16" s="34" t="n">
        <f aca="false">O16*N16</f>
        <v>16517.88</v>
      </c>
      <c r="R16" s="0" t="n">
        <v>4</v>
      </c>
      <c r="S16" s="0" t="str">
        <f aca="false">VLOOKUP(T16,CHOOSE({1,2},Table2[Pay Item Description],Table2[Pay Item No.]),2,0)</f>
        <v>P-101-5.2c</v>
      </c>
      <c r="T16" s="0" t="str">
        <f aca="false">Pay_Items!D8</f>
        <v>Crack Seal, Concrete</v>
      </c>
      <c r="U16" s="0" t="str">
        <f aca="false">IF(T16="","N/A",VLOOKUP(T16,CHOOSE({1,2},Table2[Pay Item Description],Table2[Units]),2,0))</f>
        <v>L.F.</v>
      </c>
      <c r="V16" s="35" t="n">
        <f aca="false">'Maintenance Policies'!D44*(C5*9)</f>
        <v>1238.841</v>
      </c>
      <c r="W16" s="36" t="n">
        <f aca="false">IF(T16="","N/A",IF(INDEX(UnitCostGrid,MATCH(T16,PayItemKeys,0),$I$11)="",INDEX(UnitCostGrid,MATCH(T16,PayItemKeys,0),1),INDEX(UnitCostGrid,MATCH(T16,PayItemKeys,0),$I$11)))</f>
        <v>8</v>
      </c>
      <c r="X16" s="37" t="n">
        <f aca="false">W16*V16</f>
        <v>9910.728</v>
      </c>
    </row>
    <row r="17" customFormat="false" ht="19.5" hidden="false" customHeight="true" outlineLevel="0" collapsed="false">
      <c r="A17" s="0" t="n">
        <v>5</v>
      </c>
      <c r="B17" s="26" t="str">
        <f aca="false">IF(C17="","",VLOOKUP(C17,CHOOSE({1,2},Table2[Pay Item Description],Table2[Pay Item No.]),2,0))</f>
        <v/>
      </c>
      <c r="C17" s="27"/>
      <c r="D17" s="28" t="str">
        <f aca="false">IF(C17="","N/A",VLOOKUP(C17,CHOOSE({1,2},Table2[Pay Item Description],Table2[Units]),2,0))</f>
        <v>N/A</v>
      </c>
      <c r="E17" s="29"/>
      <c r="F17" s="30" t="str">
        <f aca="false">IF(C17="","N/A",IF(INDEX(UnitCostGrid,MATCH(C17,PayItemKeys,0),$I$11)="",INDEX(UnitCostGrid,MATCH(C17,PayItemKeys,0),1),INDEX(UnitCostGrid,MATCH(C17,PayItemKeys,0),$I$11)))</f>
        <v>N/A</v>
      </c>
      <c r="G17" s="31" t="n">
        <f aca="false">IF(C17="",0,F17*E17)</f>
        <v>0</v>
      </c>
      <c r="I17" s="21" t="str">
        <f aca="false">IF(C17="","",IF(INDEX(UnitCostGrid,MATCH(C17,PayItemKeys,0),$I$11)="",0,1))</f>
        <v/>
      </c>
      <c r="O17" s="1" t="s">
        <v>27</v>
      </c>
      <c r="P17" s="34" t="n">
        <f aca="false">SUM(P13:P16)</f>
        <v>548393.616</v>
      </c>
      <c r="R17" s="0" t="n">
        <v>5</v>
      </c>
      <c r="S17" s="0" t="str">
        <f aca="false">VLOOKUP(T17,CHOOSE({1,2},Table2[Pay Item Description],Table2[Pay Item No.]),2,0)</f>
        <v>P-605-5.1a</v>
      </c>
      <c r="T17" s="0" t="str">
        <f aca="false">Pay_Items!D55</f>
        <v>Joint Clean and Reseal, Concrete</v>
      </c>
      <c r="U17" s="0" t="str">
        <f aca="false">IF(T17="","N/A",VLOOKUP(T17,CHOOSE({1,2},Table2[Pay Item Description],Table2[Units]),2,0))</f>
        <v>L.F.</v>
      </c>
      <c r="V17" s="35" t="n">
        <f aca="false">'Maintenance Policies'!D45*K8</f>
        <v>70200.99</v>
      </c>
      <c r="W17" s="36" t="n">
        <f aca="false">IF(T17="","N/A",IF(INDEX(UnitCostGrid,MATCH(T17,PayItemKeys,0),$I$11)="",INDEX(UnitCostGrid,MATCH(T17,PayItemKeys,0),1),INDEX(UnitCostGrid,MATCH(T17,PayItemKeys,0),$I$11)))</f>
        <v>7</v>
      </c>
      <c r="X17" s="37" t="n">
        <f aca="false">W17*V17</f>
        <v>491406.93</v>
      </c>
    </row>
    <row r="18" customFormat="false" ht="19.5" hidden="false" customHeight="true" outlineLevel="0" collapsed="false">
      <c r="A18" s="0" t="n">
        <v>6</v>
      </c>
      <c r="B18" s="26" t="str">
        <f aca="false">IF(C18="","",VLOOKUP(C18,CHOOSE({1,2},Table2[Pay Item Description],Table2[Pay Item No.]),2,0))</f>
        <v/>
      </c>
      <c r="C18" s="27"/>
      <c r="D18" s="28" t="str">
        <f aca="false">IF(C18="","N/A",VLOOKUP(C18,CHOOSE({1,2},Table2[Pay Item Description],Table2[Units]),2,0))</f>
        <v>N/A</v>
      </c>
      <c r="E18" s="29"/>
      <c r="F18" s="30" t="str">
        <f aca="false">IF(C18="","N/A",IF(INDEX(UnitCostGrid,MATCH(C18,PayItemKeys,0),$I$11)="",INDEX(UnitCostGrid,MATCH(C18,PayItemKeys,0),1),INDEX(UnitCostGrid,MATCH(C18,PayItemKeys,0),$I$11)))</f>
        <v>N/A</v>
      </c>
      <c r="G18" s="31" t="n">
        <f aca="false">IF(C18="",0,F18*E18)</f>
        <v>0</v>
      </c>
      <c r="I18" s="21" t="str">
        <f aca="false">IF(C18="","",IF(INDEX(UnitCostGrid,MATCH(C18,PayItemKeys,0),$I$11)="",0,1))</f>
        <v/>
      </c>
      <c r="L18" s="2" t="s">
        <v>28</v>
      </c>
      <c r="P18" s="34" t="n">
        <f aca="false">('General Information'!$D$36/100)*P17</f>
        <v>54839.3616</v>
      </c>
      <c r="W18" s="0" t="s">
        <v>27</v>
      </c>
      <c r="X18" s="37" t="n">
        <f aca="false">SUM(X13:X17)</f>
        <v>641811.404</v>
      </c>
    </row>
    <row r="19" customFormat="false" ht="19.5" hidden="false" customHeight="true" outlineLevel="0" collapsed="false">
      <c r="A19" s="0" t="n">
        <v>7</v>
      </c>
      <c r="B19" s="26" t="str">
        <f aca="false">IF(C19="","",VLOOKUP(C19,CHOOSE({1,2},Table2[Pay Item Description],Table2[Pay Item No.]),2,0))</f>
        <v/>
      </c>
      <c r="C19" s="27"/>
      <c r="D19" s="28" t="str">
        <f aca="false">IF(C19="","N/A",VLOOKUP(C19,CHOOSE({1,2},Table2[Pay Item Description],Table2[Units]),2,0))</f>
        <v>N/A</v>
      </c>
      <c r="E19" s="29"/>
      <c r="F19" s="30" t="str">
        <f aca="false">IF(C19="","N/A",IF(INDEX(UnitCostGrid,MATCH(C19,PayItemKeys,0),$I$11)="",INDEX(UnitCostGrid,MATCH(C19,PayItemKeys,0),1),INDEX(UnitCostGrid,MATCH(C19,PayItemKeys,0),$I$11)))</f>
        <v>N/A</v>
      </c>
      <c r="G19" s="31" t="n">
        <f aca="false">IF(C19="",0,F19*E19)</f>
        <v>0</v>
      </c>
      <c r="I19" s="21" t="str">
        <f aca="false">IF(C19="","",IF(INDEX(UnitCostGrid,MATCH(C19,PayItemKeys,0),$I$11)="",0,1))</f>
        <v/>
      </c>
      <c r="L19" s="2" t="s">
        <v>29</v>
      </c>
      <c r="P19" s="34" t="n">
        <f aca="false">('General Information'!$D$37/100)*P17</f>
        <v>27419.6808</v>
      </c>
      <c r="T19" s="0" t="s">
        <v>28</v>
      </c>
      <c r="X19" s="37" t="n">
        <f aca="false">('General Information'!$D$36/100)*X18</f>
        <v>64181.1404</v>
      </c>
    </row>
    <row r="20" customFormat="false" ht="19.5" hidden="false" customHeight="true" outlineLevel="0" collapsed="false">
      <c r="A20" s="0" t="n">
        <v>8</v>
      </c>
      <c r="B20" s="26" t="str">
        <f aca="false">IF(C20="","",VLOOKUP(C20,CHOOSE({1,2},Table2[Pay Item Description],Table2[Pay Item No.]),2,0))</f>
        <v/>
      </c>
      <c r="C20" s="27"/>
      <c r="D20" s="28" t="str">
        <f aca="false">IF(C20="","N/A",VLOOKUP(C20,CHOOSE({1,2},Table2[Pay Item Description],Table2[Units]),2,0))</f>
        <v>N/A</v>
      </c>
      <c r="E20" s="29"/>
      <c r="F20" s="30" t="str">
        <f aca="false">IF(C20="","N/A",IF(INDEX(UnitCostGrid,MATCH(C20,PayItemKeys,0),$I$11)="",INDEX(UnitCostGrid,MATCH(C20,PayItemKeys,0),1),INDEX(UnitCostGrid,MATCH(C20,PayItemKeys,0),$I$11)))</f>
        <v>N/A</v>
      </c>
      <c r="G20" s="31" t="n">
        <f aca="false">IF(C20="",0,F20*E20)</f>
        <v>0</v>
      </c>
      <c r="I20" s="21" t="str">
        <f aca="false">IF(C20="","",IF(INDEX(UnitCostGrid,MATCH(C20,PayItemKeys,0),$I$11)="",0,1))</f>
        <v/>
      </c>
      <c r="O20" s="1" t="s">
        <v>30</v>
      </c>
      <c r="P20" s="34" t="n">
        <f aca="false">SUM(P17:P19)</f>
        <v>630652.6584</v>
      </c>
      <c r="T20" s="0" t="s">
        <v>29</v>
      </c>
      <c r="X20" s="37" t="n">
        <f aca="false">('General Information'!$D$37/100)*X18</f>
        <v>32090.5702</v>
      </c>
    </row>
    <row r="21" customFormat="false" ht="19.5" hidden="false" customHeight="true" outlineLevel="0" collapsed="false">
      <c r="A21" s="0" t="n">
        <v>9</v>
      </c>
      <c r="B21" s="26" t="str">
        <f aca="false">IF(C21="","",VLOOKUP(C21,CHOOSE({1,2},Table2[Pay Item Description],Table2[Pay Item No.]),2,0))</f>
        <v/>
      </c>
      <c r="C21" s="27"/>
      <c r="D21" s="28" t="str">
        <f aca="false">IF(C21="","N/A",VLOOKUP(C21,CHOOSE({1,2},Table2[Pay Item Description],Table2[Units]),2,0))</f>
        <v>N/A</v>
      </c>
      <c r="E21" s="29"/>
      <c r="F21" s="30" t="str">
        <f aca="false">IF(C21="","N/A",IF(INDEX(UnitCostGrid,MATCH(C21,PayItemKeys,0),$I$11)="",INDEX(UnitCostGrid,MATCH(C21,PayItemKeys,0),1),INDEX(UnitCostGrid,MATCH(C21,PayItemKeys,0),$I$11)))</f>
        <v>N/A</v>
      </c>
      <c r="G21" s="31" t="n">
        <f aca="false">IF(C21="",0,F21*E21)</f>
        <v>0</v>
      </c>
      <c r="I21" s="21" t="str">
        <f aca="false">IF(C21="","",IF(INDEX(UnitCostGrid,MATCH(C21,PayItemKeys,0),$I$11)="",0,1))</f>
        <v/>
      </c>
      <c r="W21" s="0" t="s">
        <v>30</v>
      </c>
      <c r="X21" s="37" t="n">
        <f aca="false">SUM(X18:X20)</f>
        <v>738083.1146</v>
      </c>
    </row>
    <row r="22" customFormat="false" ht="19.5" hidden="false" customHeight="true" outlineLevel="0" collapsed="false">
      <c r="A22" s="0" t="n">
        <v>10</v>
      </c>
      <c r="B22" s="26" t="str">
        <f aca="false">IF(C22="","",VLOOKUP(C22,CHOOSE({1,2},Table2[Pay Item Description],Table2[Pay Item No.]),2,0))</f>
        <v/>
      </c>
      <c r="C22" s="27"/>
      <c r="D22" s="28" t="str">
        <f aca="false">IF(C22="","N/A",VLOOKUP(C22,CHOOSE({1,2},Table2[Pay Item Description],Table2[Units]),2,0))</f>
        <v>N/A</v>
      </c>
      <c r="E22" s="29"/>
      <c r="F22" s="30" t="str">
        <f aca="false">IF(C22="","N/A",IF(INDEX(UnitCostGrid,MATCH(C22,PayItemKeys,0),$I$11)="",INDEX(UnitCostGrid,MATCH(C22,PayItemKeys,0),1),INDEX(UnitCostGrid,MATCH(C22,PayItemKeys,0),$I$11)))</f>
        <v>N/A</v>
      </c>
      <c r="G22" s="31" t="n">
        <f aca="false">IF(C22="",0,F22*E22)</f>
        <v>0</v>
      </c>
      <c r="I22" s="21" t="str">
        <f aca="false">IF(C22="","",IF(INDEX(UnitCostGrid,MATCH(C22,PayItemKeys,0),$I$11)="",0,1))</f>
        <v/>
      </c>
    </row>
    <row r="23" customFormat="false" ht="15" hidden="false" customHeight="false" outlineLevel="0" collapsed="false">
      <c r="G23" s="37"/>
    </row>
    <row r="24" customFormat="false" ht="15" hidden="false" customHeight="false" outlineLevel="0" collapsed="false">
      <c r="A24" s="38" t="s">
        <v>27</v>
      </c>
      <c r="B24" s="38"/>
      <c r="G24" s="31" t="n">
        <f aca="false">SUM(G13:G22)</f>
        <v>4940412</v>
      </c>
    </row>
    <row r="25" customFormat="false" ht="15" hidden="false" customHeight="false" outlineLevel="0" collapsed="false">
      <c r="A25" s="38"/>
      <c r="B25" s="38" t="s">
        <v>28</v>
      </c>
      <c r="G25" s="31" t="n">
        <f aca="false">('General Information'!$D$36/100)*G24</f>
        <v>494041.2</v>
      </c>
    </row>
    <row r="26" customFormat="false" ht="15" hidden="false" customHeight="false" outlineLevel="0" collapsed="false">
      <c r="A26" s="38"/>
      <c r="B26" s="38" t="s">
        <v>29</v>
      </c>
      <c r="G26" s="31" t="n">
        <f aca="false">('General Information'!$D$37/100)*G24</f>
        <v>247020.6</v>
      </c>
    </row>
    <row r="27" customFormat="false" ht="21.75" hidden="false" customHeight="true" outlineLevel="0" collapsed="false">
      <c r="A27" s="39" t="s">
        <v>30</v>
      </c>
      <c r="B27" s="39"/>
      <c r="C27" s="39"/>
      <c r="D27" s="39"/>
      <c r="E27" s="39"/>
      <c r="F27" s="39"/>
      <c r="G27" s="40" t="n">
        <f aca="false">SUM(G24:G26)</f>
        <v>5681473.8</v>
      </c>
      <c r="H27" s="7"/>
      <c r="I27" s="7"/>
      <c r="J27" s="10"/>
      <c r="K27" s="10"/>
      <c r="L27" s="41"/>
      <c r="M27" s="10"/>
      <c r="N27" s="10"/>
      <c r="O27" s="10"/>
      <c r="P27" s="10"/>
      <c r="Q27" s="7"/>
      <c r="R27" s="7"/>
      <c r="S27" s="7"/>
      <c r="T27" s="7"/>
      <c r="U27" s="7"/>
      <c r="V27" s="7"/>
      <c r="W27" s="7"/>
      <c r="X27" s="7"/>
    </row>
    <row r="33" customFormat="false" ht="15" hidden="false" customHeight="false" outlineLevel="0" collapsed="false">
      <c r="A33" s="7" t="s">
        <v>31</v>
      </c>
    </row>
    <row r="34" customFormat="false" ht="19.5" hidden="false" customHeight="true" outlineLevel="0" collapsed="false">
      <c r="A34" s="42" t="s">
        <v>32</v>
      </c>
      <c r="I34" s="0" t="s">
        <v>0</v>
      </c>
    </row>
    <row r="36" customFormat="false" ht="19.5" hidden="false" customHeight="true" outlineLevel="0" collapsed="false">
      <c r="B36" s="24" t="s">
        <v>33</v>
      </c>
      <c r="C36" s="25" t="s">
        <v>34</v>
      </c>
      <c r="D36" s="25" t="s">
        <v>35</v>
      </c>
      <c r="E36" s="25" t="s">
        <v>36</v>
      </c>
    </row>
    <row r="37" customFormat="false" ht="15" hidden="false" customHeight="false" outlineLevel="0" collapsed="false">
      <c r="B37" s="43" t="s">
        <v>37</v>
      </c>
      <c r="C37" s="44" t="n">
        <f aca="false">C6</f>
        <v>2028</v>
      </c>
      <c r="D37" s="45" t="n">
        <f aca="false">G27</f>
        <v>5681473.8</v>
      </c>
      <c r="E37" s="46" t="n">
        <f aca="false">D37</f>
        <v>5681473.8</v>
      </c>
      <c r="K37" s="1" t="s">
        <v>38</v>
      </c>
      <c r="L37" s="2" t="s">
        <v>39</v>
      </c>
      <c r="M37" s="1" t="s">
        <v>40</v>
      </c>
      <c r="N37" s="1" t="s">
        <v>41</v>
      </c>
    </row>
    <row r="38" customFormat="false" ht="15" hidden="false" customHeight="false" outlineLevel="0" collapsed="false">
      <c r="B38" s="47" t="s">
        <v>3</v>
      </c>
      <c r="C38" s="48" t="n">
        <f aca="false">'Maintenance Policies'!E37</f>
        <v>19</v>
      </c>
      <c r="D38" s="49" t="n">
        <f aca="false">P20</f>
        <v>630652.6584</v>
      </c>
      <c r="E38" s="50" t="n">
        <f aca="false">IF(C38&gt;'General Information'!$D$33,0,D38/(1+('General Information'!$D$34/100))^C38)</f>
        <v>359652.398857314</v>
      </c>
      <c r="K38" s="1" t="n">
        <f aca="false">C6</f>
        <v>2028</v>
      </c>
      <c r="L38" s="2" t="n">
        <f aca="false">IF(K38-$C$6&gt;'General Information'!$D$33,0,IF(K38=$C$6,$D$37,0)+SUMIFS($D$38:$D$42,$C$38:$C$42,K38-$C$6,$B$38:$B$42,"&lt;&gt;*Indirect*"))</f>
        <v>5681473.8</v>
      </c>
      <c r="M38" s="2" t="n">
        <f aca="false">IF(K38-$C$6&gt;'General Information'!$D$33,0,SUMIFS($D$38:$D$42,$C$38:$C$42,K38-$C$6,$B$38:$B$42,"*Indirect*"))</f>
        <v>0</v>
      </c>
      <c r="N38" s="2" t="n">
        <f aca="false">IF(K38-$C$6&gt;'General Information'!$D$33,0,IF(K38=$C$6,$E$37,0)+SUMIF($C$38:$C$42,K38-$C$6,$E$38:$E$42))</f>
        <v>5681473.8</v>
      </c>
    </row>
    <row r="39" customFormat="false" ht="15" hidden="false" customHeight="false" outlineLevel="0" collapsed="false">
      <c r="B39" s="51" t="s">
        <v>42</v>
      </c>
      <c r="C39" s="48" t="n">
        <f aca="false">'Maintenance Policies'!E37</f>
        <v>19</v>
      </c>
      <c r="D39" s="49" t="n">
        <f aca="false">F2*F4</f>
        <v>43529.36</v>
      </c>
      <c r="E39" s="50" t="n">
        <f aca="false">IF(C39&gt;'General Information'!$D$33,0,D39/(1+('General Information'!$D$34/100))^C39)</f>
        <v>24824.1857640659</v>
      </c>
      <c r="K39" s="1" t="n">
        <f aca="false">K38+1</f>
        <v>2029</v>
      </c>
      <c r="L39" s="2" t="n">
        <f aca="false">IF(K39-$C$6&gt;'General Information'!$D$33,0,IF(K39=$C$6,$D$37,0)+SUMIFS($D$38:$D$42,$C$38:$C$42,K39-$C$6,$B$38:$B$42,"&lt;&gt;*Indirect*"))</f>
        <v>0</v>
      </c>
      <c r="M39" s="2" t="n">
        <f aca="false">IF(K39-$C$6&gt;'General Information'!$D$33,0,SUMIFS($D$38:$D$42,$C$38:$C$42,K39-$C$6,$B$38:$B$42,"*Indirect*"))</f>
        <v>0</v>
      </c>
      <c r="N39" s="2" t="n">
        <f aca="false">IF(K39-$C$6&gt;'General Information'!$D$33,0,IF(K39=$C$6,$E$37,0)+SUMIF($C$38:$C$42,K39-$C$6,$E$38:$E$42))</f>
        <v>0</v>
      </c>
    </row>
    <row r="40" customFormat="false" ht="15" hidden="false" customHeight="false" outlineLevel="0" collapsed="false">
      <c r="B40" s="52" t="s">
        <v>4</v>
      </c>
      <c r="C40" s="53" t="n">
        <f aca="false">'Maintenance Policies'!E41</f>
        <v>27</v>
      </c>
      <c r="D40" s="54" t="n">
        <f aca="false">X21</f>
        <v>738083.1146</v>
      </c>
      <c r="E40" s="54" t="n">
        <f aca="false">IF(C40&gt;'General Information'!$D$33,0,D40/(1+('General Information'!$D$34/100))^C40)</f>
        <v>332276.940438261</v>
      </c>
      <c r="K40" s="1" t="n">
        <f aca="false">K39+1</f>
        <v>2030</v>
      </c>
      <c r="L40" s="2" t="n">
        <f aca="false">IF(K40-$C$6&gt;'General Information'!$D$33,0,IF(K40=$C$6,$D$37,0)+SUMIFS($D$38:$D$42,$C$38:$C$42,K40-$C$6,$B$38:$B$42,"&lt;&gt;*Indirect*"))</f>
        <v>0</v>
      </c>
      <c r="M40" s="2" t="n">
        <f aca="false">IF(K40-$C$6&gt;'General Information'!$D$33,0,SUMIFS($D$38:$D$42,$C$38:$C$42,K40-$C$6,$B$38:$B$42,"*Indirect*"))</f>
        <v>0</v>
      </c>
      <c r="N40" s="2" t="n">
        <f aca="false">IF(K40-$C$6&gt;'General Information'!$D$33,0,IF(K40=$C$6,$E$37,0)+SUMIF($C$38:$C$42,K40-$C$6,$E$38:$E$42))</f>
        <v>0</v>
      </c>
    </row>
    <row r="41" customFormat="false" ht="15" hidden="false" customHeight="false" outlineLevel="0" collapsed="false">
      <c r="B41" s="51" t="s">
        <v>43</v>
      </c>
      <c r="C41" s="48" t="n">
        <f aca="false">'Maintenance Policies'!E41</f>
        <v>27</v>
      </c>
      <c r="D41" s="49" t="n">
        <f aca="false">F2*F5</f>
        <v>87058.72</v>
      </c>
      <c r="E41" s="50" t="n">
        <f aca="false">IF(C41&gt;'General Information'!$D$33,0,D41/(1+('General Information'!$D$34/100))^C41)</f>
        <v>39192.8829529563</v>
      </c>
      <c r="K41" s="1" t="n">
        <f aca="false">K40+1</f>
        <v>2031</v>
      </c>
      <c r="L41" s="2" t="n">
        <f aca="false">IF(K41-$C$6&gt;'General Information'!$D$33,0,IF(K41=$C$6,$D$37,0)+SUMIFS($D$38:$D$42,$C$38:$C$42,K41-$C$6,$B$38:$B$42,"&lt;&gt;*Indirect*"))</f>
        <v>0</v>
      </c>
      <c r="M41" s="2" t="n">
        <f aca="false">IF(K41-$C$6&gt;'General Information'!$D$33,0,SUMIFS($D$38:$D$42,$C$38:$C$42,K41-$C$6,$B$38:$B$42,"*Indirect*"))</f>
        <v>0</v>
      </c>
      <c r="N41" s="2" t="n">
        <f aca="false">IF(K41-$C$6&gt;'General Information'!$D$33,0,IF(K41=$C$6,$E$37,0)+SUMIF($C$38:$C$42,K41-$C$6,$E$38:$E$42))</f>
        <v>0</v>
      </c>
    </row>
    <row r="42" customFormat="false" ht="15" hidden="false" customHeight="false" outlineLevel="0" collapsed="false">
      <c r="B42" s="55" t="s">
        <v>44</v>
      </c>
      <c r="C42" s="56" t="n">
        <f aca="false">'General Information'!D33</f>
        <v>30</v>
      </c>
      <c r="D42" s="57" t="n">
        <f aca="false">-'Maintenance Policies'!D46*G27</f>
        <v>-1420368.45</v>
      </c>
      <c r="E42" s="57" t="n">
        <f aca="false">IF(C42&gt;'General Information'!$D$33,0,D42/(1+('General Information'!$D$34/100))^C42)</f>
        <v>-585172.995034131</v>
      </c>
      <c r="K42" s="1" t="n">
        <f aca="false">K41+1</f>
        <v>2032</v>
      </c>
      <c r="L42" s="2" t="n">
        <f aca="false">IF(K42-$C$6&gt;'General Information'!$D$33,0,IF(K42=$C$6,$D$37,0)+SUMIFS($D$38:$D$42,$C$38:$C$42,K42-$C$6,$B$38:$B$42,"&lt;&gt;*Indirect*"))</f>
        <v>0</v>
      </c>
      <c r="M42" s="2" t="n">
        <f aca="false">IF(K42-$C$6&gt;'General Information'!$D$33,0,SUMIFS($D$38:$D$42,$C$38:$C$42,K42-$C$6,$B$38:$B$42,"*Indirect*"))</f>
        <v>0</v>
      </c>
      <c r="N42" s="2" t="n">
        <f aca="false">IF(K42-$C$6&gt;'General Information'!$D$33,0,IF(K42=$C$6,$E$37,0)+SUMIF($C$38:$C$42,K42-$C$6,$E$38:$E$42))</f>
        <v>0</v>
      </c>
    </row>
    <row r="43" customFormat="false" ht="25.5" hidden="false" customHeight="true" outlineLevel="0" collapsed="false">
      <c r="B43" s="58" t="s">
        <v>31</v>
      </c>
      <c r="C43" s="59"/>
      <c r="D43" s="59"/>
      <c r="E43" s="60" t="n">
        <f aca="false">SUM(E37:E42)</f>
        <v>5852247.21297847</v>
      </c>
      <c r="K43" s="1" t="n">
        <f aca="false">K42+1</f>
        <v>2033</v>
      </c>
      <c r="L43" s="2" t="n">
        <f aca="false">IF(K43-$C$6&gt;'General Information'!$D$33,0,IF(K43=$C$6,$D$37,0)+SUMIFS($D$38:$D$42,$C$38:$C$42,K43-$C$6,$B$38:$B$42,"&lt;&gt;*Indirect*"))</f>
        <v>0</v>
      </c>
      <c r="M43" s="2" t="n">
        <f aca="false">IF(K43-$C$6&gt;'General Information'!$D$33,0,SUMIFS($D$38:$D$42,$C$38:$C$42,K43-$C$6,$B$38:$B$42,"*Indirect*"))</f>
        <v>0</v>
      </c>
      <c r="N43" s="2" t="n">
        <f aca="false">IF(K43-$C$6&gt;'General Information'!$D$33,0,IF(K43=$C$6,$E$37,0)+SUMIF($C$38:$C$42,K43-$C$6,$E$38:$E$42))</f>
        <v>0</v>
      </c>
    </row>
    <row r="44" customFormat="false" ht="15" hidden="false" customHeight="false" outlineLevel="0" collapsed="false">
      <c r="K44" s="1" t="n">
        <f aca="false">K43+1</f>
        <v>2034</v>
      </c>
      <c r="L44" s="2" t="n">
        <f aca="false">IF(K44-$C$6&gt;'General Information'!$D$33,0,IF(K44=$C$6,$D$37,0)+SUMIFS($D$38:$D$42,$C$38:$C$42,K44-$C$6,$B$38:$B$42,"&lt;&gt;*Indirect*"))</f>
        <v>0</v>
      </c>
      <c r="M44" s="2" t="n">
        <f aca="false">IF(K44-$C$6&gt;'General Information'!$D$33,0,SUMIFS($D$38:$D$42,$C$38:$C$42,K44-$C$6,$B$38:$B$42,"*Indirect*"))</f>
        <v>0</v>
      </c>
      <c r="N44" s="2" t="n">
        <f aca="false">IF(K44-$C$6&gt;'General Information'!$D$33,0,IF(K44=$C$6,$E$37,0)+SUMIF($C$38:$C$42,K44-$C$6,$E$38:$E$42))</f>
        <v>0</v>
      </c>
    </row>
    <row r="45" customFormat="false" ht="15" hidden="false" customHeight="false" outlineLevel="0" collapsed="false">
      <c r="K45" s="1" t="n">
        <f aca="false">K44+1</f>
        <v>2035</v>
      </c>
      <c r="L45" s="2" t="n">
        <f aca="false">IF(K45-$C$6&gt;'General Information'!$D$33,0,IF(K45=$C$6,$D$37,0)+SUMIFS($D$38:$D$42,$C$38:$C$42,K45-$C$6,$B$38:$B$42,"&lt;&gt;*Indirect*"))</f>
        <v>0</v>
      </c>
      <c r="M45" s="2" t="n">
        <f aca="false">IF(K45-$C$6&gt;'General Information'!$D$33,0,SUMIFS($D$38:$D$42,$C$38:$C$42,K45-$C$6,$B$38:$B$42,"*Indirect*"))</f>
        <v>0</v>
      </c>
      <c r="N45" s="2" t="n">
        <f aca="false">IF(K45-$C$6&gt;'General Information'!$D$33,0,IF(K45=$C$6,$E$37,0)+SUMIF($C$38:$C$42,K45-$C$6,$E$38:$E$42))</f>
        <v>0</v>
      </c>
    </row>
    <row r="46" customFormat="false" ht="15" hidden="false" customHeight="false" outlineLevel="0" collapsed="false">
      <c r="K46" s="1" t="n">
        <f aca="false">K45+1</f>
        <v>2036</v>
      </c>
      <c r="L46" s="2" t="n">
        <f aca="false">IF(K46-$C$6&gt;'General Information'!$D$33,0,IF(K46=$C$6,$D$37,0)+SUMIFS($D$38:$D$42,$C$38:$C$42,K46-$C$6,$B$38:$B$42,"&lt;&gt;*Indirect*"))</f>
        <v>0</v>
      </c>
      <c r="M46" s="2" t="n">
        <f aca="false">IF(K46-$C$6&gt;'General Information'!$D$33,0,SUMIFS($D$38:$D$42,$C$38:$C$42,K46-$C$6,$B$38:$B$42,"*Indirect*"))</f>
        <v>0</v>
      </c>
      <c r="N46" s="2" t="n">
        <f aca="false">IF(K46-$C$6&gt;'General Information'!$D$33,0,IF(K46=$C$6,$E$37,0)+SUMIF($C$38:$C$42,K46-$C$6,$E$38:$E$42))</f>
        <v>0</v>
      </c>
    </row>
    <row r="47" customFormat="false" ht="15" hidden="false" customHeight="false" outlineLevel="0" collapsed="false">
      <c r="K47" s="1" t="n">
        <f aca="false">K46+1</f>
        <v>2037</v>
      </c>
      <c r="L47" s="2" t="n">
        <f aca="false">IF(K47-$C$6&gt;'General Information'!$D$33,0,IF(K47=$C$6,$D$37,0)+SUMIFS($D$38:$D$42,$C$38:$C$42,K47-$C$6,$B$38:$B$42,"&lt;&gt;*Indirect*"))</f>
        <v>0</v>
      </c>
      <c r="M47" s="2" t="n">
        <f aca="false">IF(K47-$C$6&gt;'General Information'!$D$33,0,SUMIFS($D$38:$D$42,$C$38:$C$42,K47-$C$6,$B$38:$B$42,"*Indirect*"))</f>
        <v>0</v>
      </c>
      <c r="N47" s="2" t="n">
        <f aca="false">IF(K47-$C$6&gt;'General Information'!$D$33,0,IF(K47=$C$6,$E$37,0)+SUMIF($C$38:$C$42,K47-$C$6,$E$38:$E$42))</f>
        <v>0</v>
      </c>
    </row>
    <row r="48" customFormat="false" ht="15" hidden="false" customHeight="false" outlineLevel="0" collapsed="false">
      <c r="K48" s="1" t="n">
        <f aca="false">K47+1</f>
        <v>2038</v>
      </c>
      <c r="L48" s="2" t="n">
        <f aca="false">IF(K48-$C$6&gt;'General Information'!$D$33,0,IF(K48=$C$6,$D$37,0)+SUMIFS($D$38:$D$42,$C$38:$C$42,K48-$C$6,$B$38:$B$42,"&lt;&gt;*Indirect*"))</f>
        <v>0</v>
      </c>
      <c r="M48" s="2" t="n">
        <f aca="false">IF(K48-$C$6&gt;'General Information'!$D$33,0,SUMIFS($D$38:$D$42,$C$38:$C$42,K48-$C$6,$B$38:$B$42,"*Indirect*"))</f>
        <v>0</v>
      </c>
      <c r="N48" s="2" t="n">
        <f aca="false">IF(K48-$C$6&gt;'General Information'!$D$33,0,IF(K48=$C$6,$E$37,0)+SUMIF($C$38:$C$42,K48-$C$6,$E$38:$E$42))</f>
        <v>0</v>
      </c>
    </row>
    <row r="49" customFormat="false" ht="15" hidden="false" customHeight="false" outlineLevel="0" collapsed="false">
      <c r="K49" s="1" t="n">
        <f aca="false">K48+1</f>
        <v>2039</v>
      </c>
      <c r="L49" s="2" t="n">
        <f aca="false">IF(K49-$C$6&gt;'General Information'!$D$33,0,IF(K49=$C$6,$D$37,0)+SUMIFS($D$38:$D$42,$C$38:$C$42,K49-$C$6,$B$38:$B$42,"&lt;&gt;*Indirect*"))</f>
        <v>0</v>
      </c>
      <c r="M49" s="2" t="n">
        <f aca="false">IF(K49-$C$6&gt;'General Information'!$D$33,0,SUMIFS($D$38:$D$42,$C$38:$C$42,K49-$C$6,$B$38:$B$42,"*Indirect*"))</f>
        <v>0</v>
      </c>
      <c r="N49" s="2" t="n">
        <f aca="false">IF(K49-$C$6&gt;'General Information'!$D$33,0,IF(K49=$C$6,$E$37,0)+SUMIF($C$38:$C$42,K49-$C$6,$E$38:$E$42))</f>
        <v>0</v>
      </c>
    </row>
    <row r="50" customFormat="false" ht="15" hidden="false" customHeight="false" outlineLevel="0" collapsed="false">
      <c r="K50" s="1" t="n">
        <f aca="false">K49+1</f>
        <v>2040</v>
      </c>
      <c r="L50" s="2" t="n">
        <f aca="false">IF(K50-$C$6&gt;'General Information'!$D$33,0,IF(K50=$C$6,$D$37,0)+SUMIFS($D$38:$D$42,$C$38:$C$42,K50-$C$6,$B$38:$B$42,"&lt;&gt;*Indirect*"))</f>
        <v>0</v>
      </c>
      <c r="M50" s="2" t="n">
        <f aca="false">IF(K50-$C$6&gt;'General Information'!$D$33,0,SUMIFS($D$38:$D$42,$C$38:$C$42,K50-$C$6,$B$38:$B$42,"*Indirect*"))</f>
        <v>0</v>
      </c>
      <c r="N50" s="2" t="n">
        <f aca="false">IF(K50-$C$6&gt;'General Information'!$D$33,0,IF(K50=$C$6,$E$37,0)+SUMIF($C$38:$C$42,K50-$C$6,$E$38:$E$42))</f>
        <v>0</v>
      </c>
    </row>
    <row r="51" customFormat="false" ht="15" hidden="false" customHeight="false" outlineLevel="0" collapsed="false">
      <c r="K51" s="1" t="n">
        <f aca="false">K50+1</f>
        <v>2041</v>
      </c>
      <c r="L51" s="2" t="n">
        <f aca="false">IF(K51-$C$6&gt;'General Information'!$D$33,0,IF(K51=$C$6,$D$37,0)+SUMIFS($D$38:$D$42,$C$38:$C$42,K51-$C$6,$B$38:$B$42,"&lt;&gt;*Indirect*"))</f>
        <v>0</v>
      </c>
      <c r="M51" s="2" t="n">
        <f aca="false">IF(K51-$C$6&gt;'General Information'!$D$33,0,SUMIFS($D$38:$D$42,$C$38:$C$42,K51-$C$6,$B$38:$B$42,"*Indirect*"))</f>
        <v>0</v>
      </c>
      <c r="N51" s="2" t="n">
        <f aca="false">IF(K51-$C$6&gt;'General Information'!$D$33,0,IF(K51=$C$6,$E$37,0)+SUMIF($C$38:$C$42,K51-$C$6,$E$38:$E$42))</f>
        <v>0</v>
      </c>
    </row>
    <row r="52" customFormat="false" ht="15" hidden="false" customHeight="false" outlineLevel="0" collapsed="false">
      <c r="K52" s="1" t="n">
        <f aca="false">K51+1</f>
        <v>2042</v>
      </c>
      <c r="L52" s="2" t="n">
        <f aca="false">IF(K52-$C$6&gt;'General Information'!$D$33,0,IF(K52=$C$6,$D$37,0)+SUMIFS($D$38:$D$42,$C$38:$C$42,K52-$C$6,$B$38:$B$42,"&lt;&gt;*Indirect*"))</f>
        <v>0</v>
      </c>
      <c r="M52" s="2" t="n">
        <f aca="false">IF(K52-$C$6&gt;'General Information'!$D$33,0,SUMIFS($D$38:$D$42,$C$38:$C$42,K52-$C$6,$B$38:$B$42,"*Indirect*"))</f>
        <v>0</v>
      </c>
      <c r="N52" s="2" t="n">
        <f aca="false">IF(K52-$C$6&gt;'General Information'!$D$33,0,IF(K52=$C$6,$E$37,0)+SUMIF($C$38:$C$42,K52-$C$6,$E$38:$E$42))</f>
        <v>0</v>
      </c>
    </row>
    <row r="53" customFormat="false" ht="15" hidden="false" customHeight="false" outlineLevel="0" collapsed="false">
      <c r="K53" s="1" t="n">
        <f aca="false">K52+1</f>
        <v>2043</v>
      </c>
      <c r="L53" s="2" t="n">
        <f aca="false">IF(K53-$C$6&gt;'General Information'!$D$33,0,IF(K53=$C$6,$D$37,0)+SUMIFS($D$38:$D$42,$C$38:$C$42,K53-$C$6,$B$38:$B$42,"&lt;&gt;*Indirect*"))</f>
        <v>0</v>
      </c>
      <c r="M53" s="2" t="n">
        <f aca="false">IF(K53-$C$6&gt;'General Information'!$D$33,0,SUMIFS($D$38:$D$42,$C$38:$C$42,K53-$C$6,$B$38:$B$42,"*Indirect*"))</f>
        <v>0</v>
      </c>
      <c r="N53" s="2" t="n">
        <f aca="false">IF(K53-$C$6&gt;'General Information'!$D$33,0,IF(K53=$C$6,$E$37,0)+SUMIF($C$38:$C$42,K53-$C$6,$E$38:$E$42))</f>
        <v>0</v>
      </c>
    </row>
    <row r="54" customFormat="false" ht="15" hidden="false" customHeight="false" outlineLevel="0" collapsed="false">
      <c r="K54" s="1" t="n">
        <f aca="false">K53+1</f>
        <v>2044</v>
      </c>
      <c r="L54" s="2" t="n">
        <f aca="false">IF(K54-$C$6&gt;'General Information'!$D$33,0,IF(K54=$C$6,$D$37,0)+SUMIFS($D$38:$D$42,$C$38:$C$42,K54-$C$6,$B$38:$B$42,"&lt;&gt;*Indirect*"))</f>
        <v>0</v>
      </c>
      <c r="M54" s="2" t="n">
        <f aca="false">IF(K54-$C$6&gt;'General Information'!$D$33,0,SUMIFS($D$38:$D$42,$C$38:$C$42,K54-$C$6,$B$38:$B$42,"*Indirect*"))</f>
        <v>0</v>
      </c>
      <c r="N54" s="2" t="n">
        <f aca="false">IF(K54-$C$6&gt;'General Information'!$D$33,0,IF(K54=$C$6,$E$37,0)+SUMIF($C$38:$C$42,K54-$C$6,$E$38:$E$42))</f>
        <v>0</v>
      </c>
    </row>
    <row r="55" customFormat="false" ht="15" hidden="false" customHeight="false" outlineLevel="0" collapsed="false">
      <c r="K55" s="1" t="n">
        <f aca="false">K54+1</f>
        <v>2045</v>
      </c>
      <c r="L55" s="2" t="n">
        <f aca="false">IF(K55-$C$6&gt;'General Information'!$D$33,0,IF(K55=$C$6,$D$37,0)+SUMIFS($D$38:$D$42,$C$38:$C$42,K55-$C$6,$B$38:$B$42,"&lt;&gt;*Indirect*"))</f>
        <v>0</v>
      </c>
      <c r="M55" s="2" t="n">
        <f aca="false">IF(K55-$C$6&gt;'General Information'!$D$33,0,SUMIFS($D$38:$D$42,$C$38:$C$42,K55-$C$6,$B$38:$B$42,"*Indirect*"))</f>
        <v>0</v>
      </c>
      <c r="N55" s="2" t="n">
        <f aca="false">IF(K55-$C$6&gt;'General Information'!$D$33,0,IF(K55=$C$6,$E$37,0)+SUMIF($C$38:$C$42,K55-$C$6,$E$38:$E$42))</f>
        <v>0</v>
      </c>
    </row>
    <row r="56" customFormat="false" ht="15" hidden="false" customHeight="false" outlineLevel="0" collapsed="false">
      <c r="K56" s="1" t="n">
        <f aca="false">K55+1</f>
        <v>2046</v>
      </c>
      <c r="L56" s="2" t="n">
        <f aca="false">IF(K56-$C$6&gt;'General Information'!$D$33,0,IF(K56=$C$6,$D$37,0)+SUMIFS($D$38:$D$42,$C$38:$C$42,K56-$C$6,$B$38:$B$42,"&lt;&gt;*Indirect*"))</f>
        <v>0</v>
      </c>
      <c r="M56" s="2" t="n">
        <f aca="false">IF(K56-$C$6&gt;'General Information'!$D$33,0,SUMIFS($D$38:$D$42,$C$38:$C$42,K56-$C$6,$B$38:$B$42,"*Indirect*"))</f>
        <v>0</v>
      </c>
      <c r="N56" s="2" t="n">
        <f aca="false">IF(K56-$C$6&gt;'General Information'!$D$33,0,IF(K56=$C$6,$E$37,0)+SUMIF($C$38:$C$42,K56-$C$6,$E$38:$E$42))</f>
        <v>0</v>
      </c>
    </row>
    <row r="57" customFormat="false" ht="15" hidden="false" customHeight="false" outlineLevel="0" collapsed="false">
      <c r="K57" s="1" t="n">
        <f aca="false">K56+1</f>
        <v>2047</v>
      </c>
      <c r="L57" s="2" t="n">
        <f aca="false">IF(K57-$C$6&gt;'General Information'!$D$33,0,IF(K57=$C$6,$D$37,0)+SUMIFS($D$38:$D$42,$C$38:$C$42,K57-$C$6,$B$38:$B$42,"&lt;&gt;*Indirect*"))</f>
        <v>630652.6584</v>
      </c>
      <c r="M57" s="2" t="n">
        <f aca="false">IF(K57-$C$6&gt;'General Information'!$D$33,0,SUMIFS($D$38:$D$42,$C$38:$C$42,K57-$C$6,$B$38:$B$42,"*Indirect*"))</f>
        <v>43529.36</v>
      </c>
      <c r="N57" s="2" t="n">
        <f aca="false">IF(K57-$C$6&gt;'General Information'!$D$33,0,IF(K57=$C$6,$E$37,0)+SUMIF($C$38:$C$42,K57-$C$6,$E$38:$E$42))</f>
        <v>384476.58462138</v>
      </c>
    </row>
    <row r="58" customFormat="false" ht="15" hidden="false" customHeight="false" outlineLevel="0" collapsed="false">
      <c r="K58" s="1" t="n">
        <f aca="false">K57+1</f>
        <v>2048</v>
      </c>
      <c r="L58" s="2" t="n">
        <f aca="false">IF(K58-$C$6&gt;'General Information'!$D$33,0,IF(K58=$C$6,$D$37,0)+SUMIFS($D$38:$D$42,$C$38:$C$42,K58-$C$6,$B$38:$B$42,"&lt;&gt;*Indirect*"))</f>
        <v>0</v>
      </c>
      <c r="M58" s="2" t="n">
        <f aca="false">IF(K58-$C$6&gt;'General Information'!$D$33,0,SUMIFS($D$38:$D$42,$C$38:$C$42,K58-$C$6,$B$38:$B$42,"*Indirect*"))</f>
        <v>0</v>
      </c>
      <c r="N58" s="2" t="n">
        <f aca="false">IF(K58-$C$6&gt;'General Information'!$D$33,0,IF(K58=$C$6,$E$37,0)+SUMIF($C$38:$C$42,K58-$C$6,$E$38:$E$42))</f>
        <v>0</v>
      </c>
    </row>
    <row r="59" customFormat="false" ht="15" hidden="false" customHeight="false" outlineLevel="0" collapsed="false">
      <c r="K59" s="1" t="n">
        <f aca="false">K58+1</f>
        <v>2049</v>
      </c>
      <c r="L59" s="2" t="n">
        <f aca="false">IF(K59-$C$6&gt;'General Information'!$D$33,0,IF(K59=$C$6,$D$37,0)+SUMIFS($D$38:$D$42,$C$38:$C$42,K59-$C$6,$B$38:$B$42,"&lt;&gt;*Indirect*"))</f>
        <v>0</v>
      </c>
      <c r="M59" s="2" t="n">
        <f aca="false">IF(K59-$C$6&gt;'General Information'!$D$33,0,SUMIFS($D$38:$D$42,$C$38:$C$42,K59-$C$6,$B$38:$B$42,"*Indirect*"))</f>
        <v>0</v>
      </c>
      <c r="N59" s="2" t="n">
        <f aca="false">IF(K59-$C$6&gt;'General Information'!$D$33,0,IF(K59=$C$6,$E$37,0)+SUMIF($C$38:$C$42,K59-$C$6,$E$38:$E$42))</f>
        <v>0</v>
      </c>
    </row>
    <row r="60" customFormat="false" ht="15" hidden="false" customHeight="false" outlineLevel="0" collapsed="false">
      <c r="K60" s="1" t="n">
        <f aca="false">K59+1</f>
        <v>2050</v>
      </c>
      <c r="L60" s="2" t="n">
        <f aca="false">IF(K60-$C$6&gt;'General Information'!$D$33,0,IF(K60=$C$6,$D$37,0)+SUMIFS($D$38:$D$42,$C$38:$C$42,K60-$C$6,$B$38:$B$42,"&lt;&gt;*Indirect*"))</f>
        <v>0</v>
      </c>
      <c r="M60" s="2" t="n">
        <f aca="false">IF(K60-$C$6&gt;'General Information'!$D$33,0,SUMIFS($D$38:$D$42,$C$38:$C$42,K60-$C$6,$B$38:$B$42,"*Indirect*"))</f>
        <v>0</v>
      </c>
      <c r="N60" s="2" t="n">
        <f aca="false">IF(K60-$C$6&gt;'General Information'!$D$33,0,IF(K60=$C$6,$E$37,0)+SUMIF($C$38:$C$42,K60-$C$6,$E$38:$E$42))</f>
        <v>0</v>
      </c>
    </row>
    <row r="61" customFormat="false" ht="15" hidden="false" customHeight="false" outlineLevel="0" collapsed="false">
      <c r="K61" s="1" t="n">
        <f aca="false">K60+1</f>
        <v>2051</v>
      </c>
      <c r="L61" s="2" t="n">
        <f aca="false">IF(K61-$C$6&gt;'General Information'!$D$33,0,IF(K61=$C$6,$D$37,0)+SUMIFS($D$38:$D$42,$C$38:$C$42,K61-$C$6,$B$38:$B$42,"&lt;&gt;*Indirect*"))</f>
        <v>0</v>
      </c>
      <c r="M61" s="2" t="n">
        <f aca="false">IF(K61-$C$6&gt;'General Information'!$D$33,0,SUMIFS($D$38:$D$42,$C$38:$C$42,K61-$C$6,$B$38:$B$42,"*Indirect*"))</f>
        <v>0</v>
      </c>
      <c r="N61" s="2" t="n">
        <f aca="false">IF(K61-$C$6&gt;'General Information'!$D$33,0,IF(K61=$C$6,$E$37,0)+SUMIF($C$38:$C$42,K61-$C$6,$E$38:$E$42))</f>
        <v>0</v>
      </c>
    </row>
    <row r="62" customFormat="false" ht="15" hidden="false" customHeight="false" outlineLevel="0" collapsed="false">
      <c r="K62" s="1" t="n">
        <f aca="false">K61+1</f>
        <v>2052</v>
      </c>
      <c r="L62" s="2" t="n">
        <f aca="false">IF(K62-$C$6&gt;'General Information'!$D$33,0,IF(K62=$C$6,$D$37,0)+SUMIFS($D$38:$D$42,$C$38:$C$42,K62-$C$6,$B$38:$B$42,"&lt;&gt;*Indirect*"))</f>
        <v>0</v>
      </c>
      <c r="M62" s="2" t="n">
        <f aca="false">IF(K62-$C$6&gt;'General Information'!$D$33,0,SUMIFS($D$38:$D$42,$C$38:$C$42,K62-$C$6,$B$38:$B$42,"*Indirect*"))</f>
        <v>0</v>
      </c>
      <c r="N62" s="2" t="n">
        <f aca="false">IF(K62-$C$6&gt;'General Information'!$D$33,0,IF(K62=$C$6,$E$37,0)+SUMIF($C$38:$C$42,K62-$C$6,$E$38:$E$42))</f>
        <v>0</v>
      </c>
    </row>
    <row r="63" customFormat="false" ht="15" hidden="false" customHeight="false" outlineLevel="0" collapsed="false">
      <c r="K63" s="1" t="n">
        <f aca="false">K62+1</f>
        <v>2053</v>
      </c>
      <c r="L63" s="2" t="n">
        <f aca="false">IF(K63-$C$6&gt;'General Information'!$D$33,0,IF(K63=$C$6,$D$37,0)+SUMIFS($D$38:$D$42,$C$38:$C$42,K63-$C$6,$B$38:$B$42,"&lt;&gt;*Indirect*"))</f>
        <v>0</v>
      </c>
      <c r="M63" s="2" t="n">
        <f aca="false">IF(K63-$C$6&gt;'General Information'!$D$33,0,SUMIFS($D$38:$D$42,$C$38:$C$42,K63-$C$6,$B$38:$B$42,"*Indirect*"))</f>
        <v>0</v>
      </c>
      <c r="N63" s="2" t="n">
        <f aca="false">IF(K63-$C$6&gt;'General Information'!$D$33,0,IF(K63=$C$6,$E$37,0)+SUMIF($C$38:$C$42,K63-$C$6,$E$38:$E$42))</f>
        <v>0</v>
      </c>
    </row>
    <row r="64" customFormat="false" ht="15" hidden="false" customHeight="false" outlineLevel="0" collapsed="false">
      <c r="K64" s="1" t="n">
        <f aca="false">K63+1</f>
        <v>2054</v>
      </c>
      <c r="L64" s="2" t="n">
        <f aca="false">IF(K64-$C$6&gt;'General Information'!$D$33,0,IF(K64=$C$6,$D$37,0)+SUMIFS($D$38:$D$42,$C$38:$C$42,K64-$C$6,$B$38:$B$42,"&lt;&gt;*Indirect*"))</f>
        <v>0</v>
      </c>
      <c r="M64" s="2" t="n">
        <f aca="false">IF(K64-$C$6&gt;'General Information'!$D$33,0,SUMIFS($D$38:$D$42,$C$38:$C$42,K64-$C$6,$B$38:$B$42,"*Indirect*"))</f>
        <v>0</v>
      </c>
      <c r="N64" s="2" t="n">
        <f aca="false">IF(K64-$C$6&gt;'General Information'!$D$33,0,IF(K64=$C$6,$E$37,0)+SUMIF($C$38:$C$42,K64-$C$6,$E$38:$E$42))</f>
        <v>0</v>
      </c>
    </row>
    <row r="65" customFormat="false" ht="15" hidden="false" customHeight="false" outlineLevel="0" collapsed="false">
      <c r="K65" s="1" t="n">
        <f aca="false">K64+1</f>
        <v>2055</v>
      </c>
      <c r="L65" s="2" t="n">
        <f aca="false">IF(K65-$C$6&gt;'General Information'!$D$33,0,IF(K65=$C$6,$D$37,0)+SUMIFS($D$38:$D$42,$C$38:$C$42,K65-$C$6,$B$38:$B$42,"&lt;&gt;*Indirect*"))</f>
        <v>738083.1146</v>
      </c>
      <c r="M65" s="2" t="n">
        <f aca="false">IF(K65-$C$6&gt;'General Information'!$D$33,0,SUMIFS($D$38:$D$42,$C$38:$C$42,K65-$C$6,$B$38:$B$42,"*Indirect*"))</f>
        <v>87058.72</v>
      </c>
      <c r="N65" s="2" t="n">
        <f aca="false">IF(K65-$C$6&gt;'General Information'!$D$33,0,IF(K65=$C$6,$E$37,0)+SUMIF($C$38:$C$42,K65-$C$6,$E$38:$E$42))</f>
        <v>371469.823391218</v>
      </c>
    </row>
    <row r="66" customFormat="false" ht="15" hidden="false" customHeight="false" outlineLevel="0" collapsed="false">
      <c r="K66" s="1" t="n">
        <f aca="false">K65+1</f>
        <v>2056</v>
      </c>
      <c r="L66" s="2" t="n">
        <f aca="false">IF(K66-$C$6&gt;'General Information'!$D$33,0,IF(K66=$C$6,$D$37,0)+SUMIFS($D$38:$D$42,$C$38:$C$42,K66-$C$6,$B$38:$B$42,"&lt;&gt;*Indirect*"))</f>
        <v>0</v>
      </c>
      <c r="M66" s="2" t="n">
        <f aca="false">IF(K66-$C$6&gt;'General Information'!$D$33,0,SUMIFS($D$38:$D$42,$C$38:$C$42,K66-$C$6,$B$38:$B$42,"*Indirect*"))</f>
        <v>0</v>
      </c>
      <c r="N66" s="2" t="n">
        <f aca="false">IF(K66-$C$6&gt;'General Information'!$D$33,0,IF(K66=$C$6,$E$37,0)+SUMIF($C$38:$C$42,K66-$C$6,$E$38:$E$42))</f>
        <v>0</v>
      </c>
    </row>
    <row r="67" customFormat="false" ht="15" hidden="false" customHeight="false" outlineLevel="0" collapsed="false">
      <c r="K67" s="1" t="n">
        <f aca="false">K66+1</f>
        <v>2057</v>
      </c>
      <c r="L67" s="2" t="n">
        <f aca="false">IF(K67-$C$6&gt;'General Information'!$D$33,0,IF(K67=$C$6,$D$37,0)+SUMIFS($D$38:$D$42,$C$38:$C$42,K67-$C$6,$B$38:$B$42,"&lt;&gt;*Indirect*"))</f>
        <v>0</v>
      </c>
      <c r="M67" s="2" t="n">
        <f aca="false">IF(K67-$C$6&gt;'General Information'!$D$33,0,SUMIFS($D$38:$D$42,$C$38:$C$42,K67-$C$6,$B$38:$B$42,"*Indirect*"))</f>
        <v>0</v>
      </c>
      <c r="N67" s="2" t="n">
        <f aca="false">IF(K67-$C$6&gt;'General Information'!$D$33,0,IF(K67=$C$6,$E$37,0)+SUMIF($C$38:$C$42,K67-$C$6,$E$38:$E$42))</f>
        <v>0</v>
      </c>
    </row>
    <row r="68" customFormat="false" ht="15" hidden="false" customHeight="false" outlineLevel="0" collapsed="false">
      <c r="K68" s="1" t="n">
        <f aca="false">K67+1</f>
        <v>2058</v>
      </c>
      <c r="L68" s="2" t="n">
        <f aca="false">IF(K68-$C$6&gt;'General Information'!$D$33,0,IF(K68=$C$6,$D$37,0)+SUMIFS($D$38:$D$42,$C$38:$C$42,K68-$C$6,$B$38:$B$42,"&lt;&gt;*Indirect*"))</f>
        <v>-1420368.45</v>
      </c>
      <c r="M68" s="2" t="n">
        <f aca="false">IF(K68-$C$6&gt;'General Information'!$D$33,0,SUMIFS($D$38:$D$42,$C$38:$C$42,K68-$C$6,$B$38:$B$42,"*Indirect*"))</f>
        <v>0</v>
      </c>
      <c r="N68" s="2" t="n">
        <f aca="false">IF(K68-$C$6&gt;'General Information'!$D$33,0,IF(K68=$C$6,$E$37,0)+SUMIF($C$38:$C$42,K68-$C$6,$E$38:$E$42))</f>
        <v>-585172.995034131</v>
      </c>
    </row>
  </sheetData>
  <mergeCells count="3">
    <mergeCell ref="A1:B1"/>
    <mergeCell ref="A3:G3"/>
    <mergeCell ref="D11:G11"/>
  </mergeCells>
  <dataValidations count="1">
    <dataValidation allowBlank="false" error="Choose Regular, Middle, West or East." errorStyle="stop" errorTitle="Pricing source" operator="between" prompt="Which unit cost column on Pay_Items this alternative is priced from. Regular is the statewide Unit Cost column." promptTitle="Price from" showDropDown="false" showErrorMessage="true" showInputMessage="true" sqref="C11" type="list">
      <formula1>"Regular,Middle,West,East"</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Company>TDOT Aeronautics Division</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2021-03-15T15:18:27Z</dcterms:created>
  <dc:creator>TDOT Aeronautics Division / Applied Research Associates</dc:creator>
  <dc:description/>
  <dc:language>en-US</dc:language>
  <cp:lastModifiedBy/>
  <dcterms:modified xsi:type="dcterms:W3CDTF">2026-09-14T22:03:16Z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
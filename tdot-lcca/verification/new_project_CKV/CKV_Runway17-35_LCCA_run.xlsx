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9.xml" ContentType="application/vnd.openxmlformats-officedocument.drawing+xml"/>
  <Override PartName="/xl/drawings/drawing8.xml" ContentType="application/vnd.openxmlformats-officedocument.drawing+xml"/>
  <Override PartName="/xl/drawings/drawing7.xml" ContentType="application/vnd.openxmlformats-officedocument.drawing+xml"/>
  <Override PartName="/xl/drawings/drawing6.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_rels/drawing13.xml.rels" ContentType="application/vnd.openxmlformats-package.relationships+xml"/>
  <Override PartName="/xl/drawings/_rels/drawing8.xml.rels" ContentType="application/vnd.openxmlformats-package.relationships+xml"/>
  <Override PartName="/xl/drawings/_rels/drawing9.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1.xml.rels" ContentType="application/vnd.openxmlformats-package.relationships+xml"/>
  <Override PartName="/xl/drawings/_rels/drawing6.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1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charts/chart13.xml" ContentType="application/vnd.openxmlformats-officedocument.drawingml.chart+xml"/>
  <Override PartName="/xl/charts/chart9.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_rels/item1.xml.rels" ContentType="application/vnd.openxmlformats-package.relationships+xml"/>
  <Override PartName="/customXml/item1.xml" ContentType="application/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Alt 1 (New HMA)" sheetId="16" state="visible" r:id="rId18"/>
    <sheet name="Alt 2 (New PCC)" sheetId="17" state="visible" r:id="rId19"/>
  </sheets>
  <definedNames>
    <definedName function="false" hidden="false" localSheetId="3" name="_xlnm.Print_Area" vbProcedure="false">'General Information'!$A$1:$J$48</definedName>
    <definedName function="false" hidden="false" localSheetId="13" name="_xlnm.Print_Area" vbProcedure="false">Summary!$A$1:$U$78</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<sst xmlns="http://schemas.openxmlformats.org/spreadsheetml/2006/main" count="2070" uniqueCount="915">
  <si>
    <t xml:space="preserve">  Grey cells are yours: C4 to C7 project data (filled from General Information), F4 and F5 closure days, C13 to C22 pay items and E13 to E22 quantities. Everything else calculates.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</si>
  <si>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</si>
  <si>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</si>
  <si>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</si>
  <si>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</si>
  <si>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</si>
  <si>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</si>
  <si>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</si>
  <si>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</si>
  <si>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</si>
  <si>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</si>
  <si>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</si>
  <si>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</si>
  <si>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</si>
  <si>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</si>
  <si>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</si>
  <si>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</si>
  <si>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</si>
  <si>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</si>
  <si>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</si>
  <si>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</si>
  <si>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</si>
  <si>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</si>
  <si>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</si>
  <si>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</si>
  <si>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</si>
  <si>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</si>
  <si>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</si>
  <si>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</si>
  <si>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</si>
  <si>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</si>
  <si>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</si>
  <si>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</si>
  <si>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</si>
  <si>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</si>
  <si>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</si>
  <si>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</si>
  <si>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</si>
  <si>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</si>
  <si>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</si>
  <si>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</si>
  <si>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</si>
  <si>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</si>
  <si>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</si>
  <si>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</si>
  <si>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</si>
  <si>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</si>
  <si>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</si>
  <si>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</si>
  <si>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Instructions:</t>
  </si>
  <si>
    <t xml:space="preserve">HOW TO USE THIS WORKBOOK</t>
  </si>
  <si>
    <t xml:space="preserve">1.   Fill in the grey cells below (D9 to D39).
2.   Click Alternative Setup and add your alternatives.
3.   Click View Summary to compare them.
Grey cells are yours to fill in; white cells calculate themselves.
Typical Values lists the usual range for each input.</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</si>
  <si>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</si>
  <si>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</si>
  <si>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</si>
  <si>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</si>
  <si>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</si>
  <si>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</si>
  <si>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</si>
  <si>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</si>
  <si>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</si>
  <si>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Outlaw Field</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</si>
  <si>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</si>
  <si>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</si>
  <si>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</si>
  <si>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</si>
  <si>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</si>
  <si>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</si>
  <si>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</si>
  <si>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</si>
  <si>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</si>
  <si>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</si>
  <si>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</si>
  <si>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</si>
  <si>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</si>
  <si>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</si>
  <si>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</si>
  <si>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</si>
  <si>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</si>
  <si>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</si>
  <si>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</si>
  <si>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</si>
  <si>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</si>
  <si>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</si>
  <si>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</si>
  <si>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</si>
  <si>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</si>
  <si>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</si>
  <si>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</si>
  <si>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</si>
  <si>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</si>
  <si>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</si>
  <si>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</si>
  <si>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</si>
  <si>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</si>
  <si>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5936</t>
  </si>
  <si>
    <t xml:space="preserve">Carroll County Airport</t>
  </si>
  <si>
    <t xml:space="preserve">HZD</t>
  </si>
  <si>
    <t xml:space="preserve">Huntingdon</t>
  </si>
  <si>
    <t xml:space="preserve">Carroll</t>
  </si>
  <si>
    <t xml:space="preserve">Markings Type</t>
  </si>
  <si>
    <t xml:space="preserve">Project Name:</t>
  </si>
  <si>
    <t xml:space="preserve">Runway 17-35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</si>
  <si>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</si>
  <si>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</si>
  <si>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</si>
  <si>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</si>
  <si>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</si>
  <si>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</si>
  <si>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</si>
  <si>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</si>
  <si>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</si>
  <si>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</si>
  <si>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</si>
  <si>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</si>
  <si>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</si>
  <si>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</si>
  <si>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</si>
  <si>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</si>
  <si>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</si>
  <si>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</si>
  <si>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</si>
  <si>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</si>
  <si>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</si>
  <si>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</si>
  <si>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</si>
  <si>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</si>
  <si>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</si>
  <si>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</si>
  <si>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</si>
  <si>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</si>
  <si>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</si>
  <si>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</si>
  <si>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</si>
  <si>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17-35</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</si>
  <si>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</si>
  <si>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</si>
  <si>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</si>
  <si>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</si>
  <si>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</si>
  <si>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</si>
  <si>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</si>
  <si>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</si>
  <si>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</si>
  <si>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</si>
  <si>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</si>
  <si>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</si>
  <si>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6,000 x 100 ft</t>
  </si>
  <si>
    <t xml:space="preserve">Dallas Bay Skypark Airport</t>
  </si>
  <si>
    <t xml:space="preserve">1A0</t>
  </si>
  <si>
    <t xml:space="preserve">Chattanooga</t>
  </si>
  <si>
    <t xml:space="preserve">&gt; 60,000 to &lt; 100,000 lbs</t>
  </si>
  <si>
    <t xml:space="preserve">Intial Construction Year:</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</si>
  <si>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</si>
  <si>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</si>
  <si>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</si>
  <si>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</si>
  <si>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</si>
  <si>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</si>
  <si>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</si>
  <si>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</si>
  <si>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</si>
  <si>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</si>
  <si>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</si>
  <si>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</si>
  <si>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</si>
  <si>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</si>
  <si>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</si>
  <si>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</si>
  <si>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</si>
  <si>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</si>
  <si>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</si>
  <si>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</si>
  <si>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</si>
  <si>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</si>
  <si>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</si>
  <si>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</si>
  <si>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</si>
  <si>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</si>
  <si>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</si>
  <si>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</si>
  <si>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</si>
  <si>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</si>
  <si>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</si>
  <si>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</si>
  <si>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</si>
  <si>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</si>
  <si>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</si>
  <si>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</si>
  <si>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</si>
  <si>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</si>
  <si>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</si>
  <si>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</si>
  <si>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</si>
  <si>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</si>
  <si>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</si>
  <si>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</si>
  <si>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</si>
  <si>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</si>
  <si>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</si>
  <si>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</si>
  <si>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</si>
  <si>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</si>
  <si>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</si>
  <si>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</si>
  <si>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</si>
  <si>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</si>
  <si>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</si>
  <si>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</si>
  <si>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</si>
  <si>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</si>
  <si>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</si>
  <si>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</si>
  <si>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</si>
  <si>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</si>
  <si>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</si>
  <si>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</si>
  <si>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</si>
  <si>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</si>
  <si>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</si>
  <si>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</si>
  <si>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</si>
  <si>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</si>
  <si>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</si>
  <si>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</si>
  <si>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</si>
  <si>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</si>
  <si>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</si>
  <si>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</si>
  <si>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</si>
  <si>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</si>
  <si>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</si>
  <si>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</si>
  <si>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</si>
  <si>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</si>
  <si>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</si>
  <si>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</si>
  <si>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</si>
  <si>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</si>
  <si>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</si>
  <si>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</si>
  <si>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</si>
  <si>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</si>
  <si>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</si>
  <si>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</si>
  <si>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</si>
  <si>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</si>
  <si>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</si>
  <si>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</si>
  <si>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</si>
  <si>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</si>
  <si>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</si>
  <si>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</si>
  <si>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</si>
  <si>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</si>
  <si>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</si>
  <si>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</si>
  <si>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</si>
  <si>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</si>
  <si>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</si>
  <si>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</si>
  <si>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</si>
  <si>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</si>
  <si>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</si>
  <si>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</si>
  <si>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</si>
  <si>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</si>
  <si>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</si>
  <si>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</si>
  <si>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</si>
  <si>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</si>
  <si>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</si>
  <si>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</si>
  <si>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</si>
  <si>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</si>
  <si>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</si>
  <si>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</si>
  <si>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</si>
  <si>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</si>
  <si>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</si>
  <si>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</si>
  <si>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</si>
  <si>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</si>
  <si>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</si>
  <si>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</si>
  <si>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</si>
  <si>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</si>
  <si>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</si>
  <si>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</si>
  <si>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</si>
  <si>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</si>
  <si>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</si>
  <si>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</si>
  <si>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</si>
  <si>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</si>
  <si>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</si>
  <si>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</si>
  <si>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</si>
  <si>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</si>
  <si>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</si>
  <si>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</si>
  <si>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</si>
  <si>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</si>
  <si>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</si>
  <si>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</si>
  <si>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</si>
  <si>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</si>
  <si>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</si>
  <si>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</si>
  <si>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</si>
  <si>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</si>
  <si>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</si>
  <si>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</si>
  <si>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</si>
  <si>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</si>
  <si>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</si>
  <si>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</si>
  <si>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</si>
  <si>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</si>
  <si>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</si>
  <si>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</si>
  <si>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</si>
  <si>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</si>
  <si>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</si>
  <si>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</si>
  <si>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</si>
  <si>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</si>
  <si>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</si>
  <si>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</si>
  <si>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</si>
  <si>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</si>
  <si>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</si>
  <si>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</si>
  <si>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</si>
  <si>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</si>
  <si>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</si>
  <si>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</si>
  <si>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</si>
  <si>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</si>
  <si>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</si>
  <si>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</si>
  <si>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</si>
  <si>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</si>
  <si>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</si>
  <si>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</si>
  <si>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</si>
  <si>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</si>
  <si>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</si>
  <si>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</si>
  <si>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</si>
  <si>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</si>
  <si>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</si>
  <si>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</si>
  <si>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</si>
  <si>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</si>
  <si>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</si>
  <si>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</si>
  <si>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</si>
  <si>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</si>
  <si>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</si>
  <si>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</si>
  <si>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</si>
  <si>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</si>
  <si>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</si>
  <si>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</si>
  <si>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</si>
  <si>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</si>
  <si>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</si>
  <si>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</si>
  <si>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</si>
  <si>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</si>
  <si>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</si>
  <si>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</si>
  <si>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</si>
  <si>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</si>
  <si>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</si>
  <si>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</si>
  <si>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</si>
  <si>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</si>
  <si>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</si>
  <si>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</si>
  <si>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</si>
  <si>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</si>
  <si>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</si>
  <si>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</si>
  <si>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</si>
  <si>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</si>
  <si>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</si>
  <si>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</si>
  <si>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</si>
  <si>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</si>
  <si>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</si>
  <si>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</si>
  <si>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</si>
  <si>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</si>
  <si>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</si>
  <si>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</si>
  <si>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</si>
  <si>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</si>
  <si>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</si>
  <si>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</si>
  <si>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</si>
  <si>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</si>
  <si>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</si>
  <si>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</si>
  <si>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</si>
  <si>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</si>
  <si>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</si>
  <si>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</si>
  <si>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</si>
  <si>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</si>
  <si>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</si>
  <si>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</si>
  <si>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</si>
  <si>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</si>
  <si>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</si>
  <si>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</si>
  <si>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</si>
  <si>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</si>
  <si>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</si>
  <si>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</si>
  <si>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</si>
  <si>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</si>
  <si>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</si>
  <si>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</si>
  <si>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</si>
  <si>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</si>
  <si>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</si>
  <si>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</si>
  <si>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</si>
  <si>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</si>
  <si>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</si>
  <si>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</si>
  <si>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</si>
  <si>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</si>
  <si>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</si>
  <si>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</si>
  <si>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</si>
  <si>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</si>
  <si>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</si>
  <si>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</si>
  <si>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</si>
  <si>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</si>
  <si>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</si>
  <si>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</si>
  <si>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</si>
  <si>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</si>
  <si>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</si>
  <si>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</si>
  <si>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</si>
  <si>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</si>
  <si>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</si>
  <si>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</si>
  <si>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</si>
  <si>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</si>
  <si>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</si>
  <si>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</si>
  <si>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</si>
  <si>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</si>
  <si>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</si>
  <si>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</si>
  <si>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</si>
  <si>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</si>
  <si>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</si>
  <si>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</si>
  <si>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</si>
  <si>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</si>
  <si>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</si>
  <si>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</si>
  <si>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</si>
  <si>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</si>
  <si>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</si>
  <si>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</si>
  <si>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</si>
  <si>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</si>
  <si>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</si>
  <si>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</si>
  <si>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</si>
  <si>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</si>
  <si>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</si>
  <si>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</si>
  <si>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</si>
  <si>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</si>
  <si>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</si>
  <si>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</si>
  <si>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</si>
  <si>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</si>
  <si>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</si>
  <si>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</si>
  <si>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</si>
  <si>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</si>
  <si>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</si>
  <si>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</si>
  <si>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</si>
  <si>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</si>
  <si>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</si>
  <si>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</si>
  <si>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</si>
  <si>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</si>
  <si>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</si>
  <si>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</si>
  <si>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</si>
  <si>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</si>
  <si>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</si>
  <si>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</si>
  <si>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</si>
  <si>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</si>
  <si>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</si>
  <si>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</si>
  <si>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</si>
  <si>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</si>
  <si>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</si>
  <si>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</si>
  <si>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</si>
  <si>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</si>
  <si>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</si>
  <si>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</si>
  <si>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</si>
  <si>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</si>
  <si>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</si>
  <si>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</si>
  <si>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</si>
  <si>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</si>
  <si>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</si>
  <si>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</si>
  <si>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</si>
  <si>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</si>
  <si>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</si>
  <si>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</si>
  <si>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</si>
  <si>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</si>
  <si>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</si>
  <si>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</si>
  <si>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</si>
  <si>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</si>
  <si>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</si>
  <si>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</si>
  <si>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</si>
  <si>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</si>
  <si>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</si>
  <si>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</si>
  <si>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</si>
  <si>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</si>
  <si>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</si>
  <si>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</si>
  <si>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</si>
  <si>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</si>
  <si>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</si>
  <si>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</si>
  <si>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</si>
  <si>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</si>
  <si>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</si>
  <si>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</si>
  <si>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</si>
  <si>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</si>
  <si>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</si>
  <si>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</si>
  <si>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</si>
  <si>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</si>
  <si>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</si>
  <si>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</si>
  <si>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</si>
  <si>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</si>
  <si>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</si>
  <si>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</si>
  <si>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</si>
  <si>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</si>
  <si>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</si>
  <si>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</si>
  <si>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</si>
  <si>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</si>
  <si>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</si>
  <si>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</si>
  <si>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</si>
  <si>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</si>
  <si>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</si>
  <si>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</si>
  <si>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</si>
  <si>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</si>
  <si>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</si>
  <si>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</si>
  <si>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</si>
  <si>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</si>
  <si>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</si>
  <si>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</si>
  <si>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</si>
  <si>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</si>
  <si>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</si>
  <si>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</si>
  <si>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</si>
  <si>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</si>
  <si>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</si>
  <si>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</si>
  <si>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</si>
  <si>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</si>
  <si>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</si>
  <si>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</si>
  <si>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</si>
  <si>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</si>
  <si>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</si>
  <si>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</si>
  <si>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</si>
  <si>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</si>
  <si>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</si>
  <si>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</si>
  <si>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</si>
  <si>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</si>
  <si>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</si>
  <si>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</si>
  <si>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</si>
  <si>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</si>
  <si>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</si>
  <si>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</si>
  <si>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</si>
  <si>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Grey cells are yours: C4 to C8 project data (filled from General Information), F4 to F10 closure days, C13 to C22 pay items and E13 to E22 quantities. Everything else calculates.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</si>
  <si>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</si>
  <si>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</si>
  <si>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</si>
  <si>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</si>
  <si>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</si>
  <si>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</si>
  <si>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</si>
  <si>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</si>
  <si>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</si>
  <si>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</si>
  <si>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</si>
  <si>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</si>
  <si>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</si>
  <si>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</si>
  <si>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</si>
  <si>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</si>
  <si>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</si>
  <si>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</si>
  <si>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</si>
  <si>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</si>
  <si>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</si>
  <si>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</si>
  <si>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</si>
  <si>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</si>
  <si>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</si>
  <si>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</si>
  <si>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</si>
  <si>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</si>
  <si>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</si>
  <si>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</si>
  <si>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</si>
  <si>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</si>
  <si>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</si>
  <si>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</si>
  <si>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</si>
  <si>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</si>
  <si>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</si>
  <si>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</si>
  <si>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</si>
  <si>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</si>
  <si>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</si>
  <si>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</si>
  <si>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</si>
  <si>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</si>
  <si>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</si>
  <si>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Everything from this column onward calculates from the alternative worksheets and updates by itself. Columns A:E and "Chart 1" are written by the Alternative Setup form as before.</t>
  </si>
  <si>
    <t xml:space="preserve">Alternative</t>
  </si>
  <si>
    <t xml:space="preserve">Present Worth</t>
  </si>
  <si>
    <t xml:space="preserve">Alternative Description</t>
  </si>
  <si>
    <t xml:space="preserve">Worksheet</t>
  </si>
  <si>
    <t xml:space="preserve">Initial construction</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</si>
  <si>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</si>
  <si>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</si>
  <si>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</si>
  <si>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</si>
  <si>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</si>
  <si>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</si>
  <si>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</si>
  <si>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</si>
  <si>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Present worth by category</t>
  </si>
  <si>
    <t xml:space="preserve">Alt 1</t>
  </si>
  <si>
    <t xml:space="preserve">Category</t>
  </si>
  <si>
    <t xml:space="preserve">Alt 2</t>
  </si>
  <si>
    <t xml:space="preserve">Maintenance</t>
  </si>
  <si>
    <t xml:space="preserve">Rehabilitation</t>
  </si>
  <si>
    <t xml:space="preserve">Lost revenue</t>
  </si>
  <si>
    <t xml:space="preserve">Net present worth vs. discount rate</t>
  </si>
  <si>
    <t xml:space="preserve">Rate (%)</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</si>
  <si>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</si>
  <si>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</si>
  <si>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</si>
  <si>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</si>
  <si>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</si>
  <si>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</si>
  <si>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</si>
  <si>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</si>
  <si>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</si>
  <si>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</si>
  <si>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</si>
  <si>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CHARTS</t>
  </si>
  <si>
    <t xml:space="preserve">By calendar year: spend (undiscounted), cumulative discounted cost, closure days</t>
  </si>
  <si>
    <t xml:space="preserve">Calendar year</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</si>
  <si>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</si>
  <si>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</si>
  <si>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</si>
  <si>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</si>
  <si>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</si>
  <si>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</si>
  <si>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</si>
  <si>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</si>
  <si>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</si>
  <si>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Commercial service / general aviation</t>
  </si>
  <si>
    <t xml:space="preserve">6 / 72</t>
  </si>
  <si>
    <t xml:space="preserve">Airports in the FAA NPIAS (eligible for AIP)</t>
  </si>
  <si>
    <t xml:space="preserve">Airports in the TDOT pavement management network (APTech APMS, PCI per ASTM D5340)</t>
  </si>
  <si>
    <t xml:space="preserve">~70</t>
  </si>
  <si>
    <t xml:space="preserve">PCI performance objective, runways / taxiways</t>
  </si>
  <si>
    <t xml:space="preserve">78 / 75</t>
  </si>
  <si>
    <t xml:space="preserve">PCI</t>
  </si>
  <si>
    <t xml:space="preserve">TASP system-wide estimate: pavement rehabilitation (10-yr life goal)</t>
  </si>
  <si>
    <t xml:space="preserve">$</t>
  </si>
  <si>
    <t xml:space="preserve">TASP system-wide estimate: pavement new / reconstruction (20-yr life goal)</t>
  </si>
  <si>
    <t xml:space="preserve">State share on GA capital projects (federal or state funded)</t>
  </si>
  <si>
    <t xml:space="preserve">up to 90% (10% local); 95/5 on federal discretionary</t>
  </si>
  <si>
    <t xml:space="preserve">Statewide Airfield Pavement and Marking Maintenance Program (crack seal, seal coat, markings)</t>
  </si>
  <si>
    <t xml:space="preserve">100% state funded, no local share</t>
  </si>
  <si>
    <t xml:space="preserve">Pavement areas and PCI by airport (statewide tables)</t>
  </si>
  <si>
    <t xml:space="preserve">see APTech IDEA portal</t>
  </si>
  <si>
    <t xml:space="preserve">NPIAS 2025-2029 classification of each TN airport (National / Regional / Local / Basic)</t>
  </si>
  <si>
    <t xml:space="preserve">see Appendix A</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</si>
  <si>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</si>
  <si>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</si>
  <si>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Airport</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</si>
  <si>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</si>
  <si>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</si>
  <si>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</si>
  <si>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</si>
  <si>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</si>
  <si>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</si>
  <si>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</si>
  <si>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</si>
  <si>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</si>
  <si>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Bomar Field, Shelbyville (SYI)</t>
  </si>
  <si>
    <t xml:space="preserve">5,503 x 100</t>
  </si>
  <si>
    <t xml:space="preserve">Gatlinburg-Pigeon Forge (GKT)</t>
  </si>
  <si>
    <t xml:space="preserve">10/28</t>
  </si>
  <si>
    <t xml:space="preserve">5,506 x 75</t>
  </si>
  <si>
    <t xml:space="preserve">GA, East</t>
  </si>
  <si>
    <t xml:space="preserve">75-ft width</t>
  </si>
  <si>
    <t xml:space="preserve">Outlaw Field, Clarksville (CKV)</t>
  </si>
  <si>
    <t xml:space="preserve">17/35</t>
  </si>
  <si>
    <t xml:space="preserve">5,999 x 100</t>
  </si>
  <si>
    <t xml:space="preserve">used in the new-project test</t>
  </si>
  <si>
    <t xml:space="preserve">McKellar-Sipes Regional (MKL)</t>
  </si>
  <si>
    <t xml:space="preserve">2/20</t>
  </si>
  <si>
    <t xml:space="preserve">6,005 x 150</t>
  </si>
  <si>
    <t xml:space="preserve">GA, West</t>
  </si>
  <si>
    <t xml:space="preserve">rebuilt 2024, ~$28M all-in</t>
  </si>
  <si>
    <t xml:space="preserve">Smyrna (MQY)</t>
  </si>
  <si>
    <t xml:space="preserve">1/19</t>
  </si>
  <si>
    <t xml:space="preserve">5,546 x 100</t>
  </si>
  <si>
    <t xml:space="preserve">reconstructed 2025, ~$13M all-in</t>
  </si>
  <si>
    <t xml:space="preserve">14/32</t>
  </si>
  <si>
    <t xml:space="preserve">8,038 x 150</t>
  </si>
  <si>
    <t xml:space="preserve">former military</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</si>
  <si>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</si>
  <si>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</si>
  <si>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</si>
  <si>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</si>
  <si>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</si>
  <si>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</si>
  <si>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</si>
  <si>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</si>
  <si>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</si>
  <si>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</si>
  <si>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</si>
  <si>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</si>
  <si>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</si>
  <si>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</si>
  <si>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</si>
  <si>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</si>
  <si>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</si>
  <si>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P-401 Asphalt Base Course</t>
  </si>
  <si>
    <t xml:space="preserve">typically 5 to 10% below surface course</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</si>
  <si>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</si>
  <si>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</si>
  <si>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</si>
  <si>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</si>
  <si>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</si>
  <si>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</si>
  <si>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</si>
  <si>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</si>
  <si>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</si>
  <si>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</si>
  <si>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</si>
  <si>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</si>
  <si>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</si>
  <si>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</si>
  <si>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</si>
  <si>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</si>
  <si>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</si>
  <si>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</si>
  <si>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</si>
  <si>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</si>
  <si>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</si>
  <si>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</si>
  <si>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</si>
  <si>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</si>
  <si>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</si>
  <si>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</si>
  <si>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</si>
  <si>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</si>
  <si>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</si>
  <si>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</si>
  <si>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</si>
  <si>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</si>
  <si>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</si>
  <si>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</si>
  <si>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</si>
  <si>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</si>
  <si>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</si>
  <si>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</si>
  <si>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</si>
  <si>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</si>
  <si>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</si>
  <si>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</si>
  <si>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</si>
  <si>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</si>
  <si>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</si>
  <si>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</si>
  <si>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</si>
  <si>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</si>
  <si>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</si>
  <si>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</si>
  <si>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</si>
  <si>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</si>
  <si>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</si>
  <si>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</si>
  <si>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</si>
  <si>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</si>
  <si>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</si>
  <si>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</si>
  <si>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</si>
  <si>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</si>
  <si>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</si>
  <si>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</si>
  <si>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</si>
  <si>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</si>
  <si>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</si>
  <si>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</si>
  <si>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</si>
  <si>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</si>
  <si>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</si>
  <si>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</si>
  <si>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</si>
  <si>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OMB A-94 Appendix C real rate, 20-year and 30-year (calendar 2026)</t>
  </si>
  <si>
    <t xml:space="preserve">Revised March 2026 (OMB memo M-26-09); 2025 values were 1.8% (10-yr) and 2.3% (30-yr)</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</si>
  <si>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</si>
  <si>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</si>
  <si>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</si>
  <si>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FAA AC 150/5320-6E Appendix 1 (superseded)</t>
  </si>
  <si>
    <t xml:space="preserve">4% and 20 years; straight-line residual value</t>
  </si>
  <si>
    <t xml:space="preserve">Dropped in 6F/6G; still widely cited</t>
  </si>
  <si>
    <t xml:space="preserve">AAPTP 06-06 airport LCCA guide (Auburn/NCAT)</t>
  </si>
  <si>
    <t xml:space="preserve">4%, 20 years, NPW, remaining-life salvage; user cost includes lost airport revenue</t>
  </si>
  <si>
    <t xml:space="preserve">Basis for the "airport daily revenue" approach used here</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</si>
  <si>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</si>
  <si>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</si>
  <si>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</si>
  <si>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Structural design life (FAARFIELD, AC 150/5320-6G)</t>
  </si>
  <si>
    <t xml:space="preserve">design life, not service life</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</si>
  <si>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</si>
  <si>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</si>
  <si>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</si>
  <si>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</si>
  <si>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</si>
  <si>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</si>
  <si>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</si>
  <si>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</si>
  <si>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</si>
  <si>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</si>
  <si>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</si>
  <si>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</si>
  <si>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</si>
  <si>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</si>
  <si>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</si>
  <si>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</si>
  <si>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HMA patching + crack sealing + treatment</t>
  </si>
  <si>
    <t xml:space="preserve">crack sealing, patching, seal coats per AC 150/5380-6C</t>
  </si>
  <si>
    <t xml:space="preserve">asphalt runways reach PCI 70 in about 12 to 15 years (FAA 2014 performance trends)</t>
  </si>
  <si>
    <t xml:space="preserve">policy year 20 is at the optimistic end of the published range</t>
  </si>
  <si>
    <t xml:space="preserve">PCC joint resealing + patching</t>
  </si>
  <si>
    <t xml:space="preserve">hot-pour sealant 3-8 yr; silicone 8-15 yr; compression seals 15-20 yr</t>
  </si>
  <si>
    <t xml:space="preserve">policy year 19 assumes silicone-class sealant life</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</si>
  <si>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</si>
  <si>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</si>
  <si>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</si>
  <si>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</si>
  <si>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</si>
  <si>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Treatment fact sheets with life and cost by treatment</t>
  </si>
  <si>
    <t xml:space="preserve">ACRP Report 159 (GA airports) and ACRP Synthesis 22</t>
  </si>
  <si>
    <t xml:space="preserve">use for project-specific overrides of the policy years</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</si>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</sst>
</file>

<file path=xl/styles.xml><?xml version="1.0" encoding="utf-8"?>
<styleSheet xmlns="http://schemas.openxmlformats.org/spreadsheetml/2006/main">
  <numFmts count="17">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M"/>
    <numFmt numFmtId="180" formatCode="#,##0.00"/>
  </numFmts>
  <fonts count="36">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b val="true"/>
      <sz val="11"/>
      <color theme="0"/>
      <name val="Calibri"/>
      <family val="2"/>
      <charset val="1"/>
    </font>
    <font>
      <b val="true"/>
      <sz val="12"/>
      <name val="Arial"/>
      <family val="0"/>
      <charset val="1"/>
    </font>
    <font>
      <b val="true"/>
      <sz val="10"/>
      <name val="Arial"/>
      <family val="0"/>
      <charset val="1"/>
    </font>
    <font>
      <sz val="10"/>
      <name val="Arial"/>
      <family val="0"/>
      <charset val="1"/>
    </font>
    <font>
      <sz val="9"/>
      <color rgb="FF7F7F7F"/>
      <name val="Arial"/>
      <family val="0"/>
      <charset val="1"/>
    </font>
    <font>
      <b val="true"/>
      <sz val="18"/>
      <color rgb="FF000000"/>
      <name val="Calibri"/>
      <family val="2"/>
    </font>
    <font>
      <sz val="10"/>
      <color rgb="FF000000"/>
      <name val="Calibri"/>
      <family val="2"/>
    </font>
    <font>
      <u val="single"/>
      <sz val="9"/>
      <color rgb="FF1F4E9C"/>
      <name val="Arial"/>
      <family val="0"/>
      <charset val="1"/>
    </font>
  </fonts>
  <fills count="12">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DCDCDC"/>
      </patternFill>
    </fill>
    <fill>
      <patternFill patternType="solid">
        <fgColor rgb="FFEAF2FB"/>
        <bgColor rgb="FFE8F6EC"/>
      </patternFill>
    </fill>
    <fill>
      <patternFill patternType="solid">
        <fgColor theme="0" tint="-0.25"/>
        <bgColor rgb="FFB8B6AE"/>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s>
  <borders count="3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style="double"/>
      <diagonal/>
    </border>
    <border diagonalUp="false" diagonalDown="false">
      <left/>
      <right style="double"/>
      <top style="double"/>
      <bottom style="double"/>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4" fillId="0" borderId="0" applyFont="true" applyBorder="false" applyAlignment="true" applyProtection="false">
      <alignment horizontal="general" vertical="bottom" textRotation="0" wrapText="false" indent="0" shrinkToFit="false"/>
    </xf>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9" fillId="3" borderId="0" xfId="0" applyFont="true" applyBorder="true" applyAlignment="true" applyProtection="false">
      <alignment horizontal="left" vertical="center" textRotation="0" wrapText="false" indent="1" shrinkToFit="false"/>
      <protection locked="true" hidden="false"/>
    </xf>
    <xf numFmtId="164" fontId="20" fillId="6" borderId="0" xfId="0" applyFont="true" applyBorder="true" applyAlignment="true" applyProtection="false">
      <alignment horizontal="left" vertical="top" textRotation="0" wrapText="true" indent="1" shrinkToFit="false"/>
      <protection locked="true" hidden="false"/>
    </xf>
    <xf numFmtId="164" fontId="21"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1" fillId="6" borderId="20" xfId="0" applyFont="true" applyBorder="true" applyAlignment="true" applyProtection="false">
      <alignment horizontal="left" vertical="center" textRotation="0" wrapText="true" indent="1"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2"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8" fillId="0" borderId="22" xfId="0" applyFont="true" applyBorder="true" applyAlignment="true" applyProtection="false">
      <alignment horizontal="general" vertical="center" textRotation="0" wrapText="true" indent="0" shrinkToFit="false"/>
      <protection locked="true" hidden="false"/>
    </xf>
    <xf numFmtId="164" fontId="10" fillId="0" borderId="23" xfId="0" applyFont="true" applyBorder="true" applyAlignment="true" applyProtection="false">
      <alignment horizontal="general"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73" fontId="11" fillId="0" borderId="24" xfId="0" applyFont="true" applyBorder="true" applyAlignment="true" applyProtection="false">
      <alignment horizontal="center" vertical="center" textRotation="0" wrapText="true" indent="0" shrinkToFit="false"/>
      <protection locked="true" hidden="false"/>
    </xf>
    <xf numFmtId="164" fontId="11"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general"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73" fontId="11" fillId="0" borderId="27" xfId="0" applyFont="true" applyBorder="true" applyAlignment="true" applyProtection="false">
      <alignment horizontal="center"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10" fillId="0" borderId="33" xfId="0" applyFont="true" applyBorder="true" applyAlignment="true" applyProtection="false">
      <alignment horizontal="general" vertical="center" textRotation="0" wrapText="true" indent="0" shrinkToFit="false"/>
      <protection locked="true" hidden="false"/>
    </xf>
    <xf numFmtId="164" fontId="11" fillId="0" borderId="34" xfId="0" applyFont="true" applyBorder="true" applyAlignment="true" applyProtection="false">
      <alignment horizontal="general" vertical="center" textRotation="0" wrapText="true" indent="0" shrinkToFit="false"/>
      <protection locked="true" hidden="false"/>
    </xf>
    <xf numFmtId="173" fontId="11" fillId="0" borderId="34" xfId="0" applyFont="true" applyBorder="true" applyAlignment="true" applyProtection="false">
      <alignment horizontal="center" vertical="center" textRotation="0" wrapText="true" indent="0" shrinkToFit="false"/>
      <protection locked="true" hidden="false"/>
    </xf>
    <xf numFmtId="164" fontId="11" fillId="0" borderId="34"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left" vertical="center" textRotation="0" wrapText="true" indent="0" shrinkToFit="false"/>
      <protection locked="true" hidden="false"/>
    </xf>
    <xf numFmtId="164" fontId="8" fillId="0" borderId="22" xfId="0" applyFont="true" applyBorder="true" applyAlignment="true" applyProtection="false">
      <alignment horizontal="left" vertical="center" textRotation="0" wrapText="true" indent="0" shrinkToFit="false"/>
      <protection locked="true" hidden="false"/>
    </xf>
    <xf numFmtId="164" fontId="8" fillId="0" borderId="23" xfId="0" applyFont="true" applyBorder="true" applyAlignment="true" applyProtection="false">
      <alignment horizontal="general" vertical="center" textRotation="0" wrapText="true" indent="0" shrinkToFit="false"/>
      <protection locked="true" hidden="false"/>
    </xf>
    <xf numFmtId="164" fontId="7" fillId="0" borderId="24" xfId="0" applyFont="true" applyBorder="true" applyAlignment="true" applyProtection="false">
      <alignment horizontal="general" vertical="center" textRotation="0" wrapText="true" indent="0" shrinkToFit="false"/>
      <protection locked="true" hidden="false"/>
    </xf>
    <xf numFmtId="173" fontId="7" fillId="0" borderId="24" xfId="0" applyFont="true" applyBorder="true" applyAlignment="true" applyProtection="false">
      <alignment horizontal="center" vertical="center" textRotation="0" wrapText="true" indent="0" shrinkToFit="false"/>
      <protection locked="true" hidden="false"/>
    </xf>
    <xf numFmtId="164" fontId="7" fillId="0" borderId="25"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8" fillId="0" borderId="26" xfId="0" applyFont="true" applyBorder="true" applyAlignment="true" applyProtection="false">
      <alignment horizontal="general" vertical="center" textRotation="0" wrapText="true" indent="0" shrinkToFit="false"/>
      <protection locked="true" hidden="false"/>
    </xf>
    <xf numFmtId="164" fontId="7" fillId="0" borderId="27" xfId="0" applyFont="true" applyBorder="true" applyAlignment="true" applyProtection="false">
      <alignment horizontal="general" vertical="center" textRotation="0" wrapText="true" indent="0" shrinkToFit="false"/>
      <protection locked="true" hidden="false"/>
    </xf>
    <xf numFmtId="173" fontId="7" fillId="0" borderId="27" xfId="0" applyFont="true" applyBorder="true" applyAlignment="true" applyProtection="false">
      <alignment horizontal="center"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33" xfId="0" applyFont="true" applyBorder="true" applyAlignment="true" applyProtection="false">
      <alignment horizontal="general" vertical="center" textRotation="0" wrapText="true" indent="0" shrinkToFit="false"/>
      <protection locked="true" hidden="false"/>
    </xf>
    <xf numFmtId="164" fontId="7" fillId="0" borderId="34" xfId="0" applyFont="true" applyBorder="true" applyAlignment="true" applyProtection="false">
      <alignment horizontal="general" vertical="center" textRotation="0" wrapText="true" indent="0" shrinkToFit="false"/>
      <protection locked="true" hidden="false"/>
    </xf>
    <xf numFmtId="173" fontId="7" fillId="0" borderId="34" xfId="0" applyFont="true" applyBorder="true" applyAlignment="true" applyProtection="false">
      <alignment horizontal="center" vertical="center" textRotation="0" wrapText="true" indent="0" shrinkToFit="false"/>
      <protection locked="true" hidden="false"/>
    </xf>
    <xf numFmtId="164" fontId="7" fillId="0" borderId="34"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70" fontId="0" fillId="8" borderId="0" xfId="0" applyFont="false" applyBorder="false" applyAlignment="false" applyProtection="false">
      <alignment horizontal="general" vertical="bottom" textRotation="0" wrapText="false" indent="0" shrinkToFit="false"/>
      <protection locked="true" hidden="false"/>
    </xf>
    <xf numFmtId="164" fontId="28" fillId="9" borderId="35" xfId="0" applyFont="true" applyBorder="true" applyAlignment="true" applyProtection="false">
      <alignment horizontal="center" vertical="bottom" textRotation="0" wrapText="false" indent="0" shrinkToFit="false"/>
      <protection locked="true" hidden="false"/>
    </xf>
    <xf numFmtId="168" fontId="28" fillId="10" borderId="35" xfId="0" applyFont="true" applyBorder="true" applyAlignment="true" applyProtection="false">
      <alignment horizontal="center" vertical="bottom" textRotation="0" wrapText="false" indent="0" shrinkToFit="false"/>
      <protection locked="true" hidden="false"/>
    </xf>
    <xf numFmtId="165" fontId="28" fillId="10" borderId="35" xfId="17" applyFont="true" applyBorder="true" applyAlignment="true" applyProtection="true">
      <alignment horizontal="center" vertical="bottom" textRotation="0" wrapText="false" indent="0" shrinkToFit="false"/>
      <protection locked="true" hidden="false"/>
    </xf>
    <xf numFmtId="164" fontId="0" fillId="11"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4" fontId="30" fillId="5" borderId="1" xfId="0" applyFont="true" applyBorder="true" applyAlignment="true" applyProtection="false">
      <alignment horizontal="general" vertical="center" textRotation="0" wrapText="true" indent="0" shrinkToFit="false"/>
      <protection locked="true" hidden="false"/>
    </xf>
    <xf numFmtId="164" fontId="31" fillId="0" borderId="1" xfId="0" applyFont="true" applyBorder="true" applyAlignment="false" applyProtection="false">
      <alignment horizontal="general" vertical="bottom" textRotation="0" wrapText="false" indent="0" shrinkToFit="false"/>
      <protection locked="true" hidden="false"/>
    </xf>
    <xf numFmtId="175" fontId="31" fillId="0" borderId="1" xfId="0" applyFont="true" applyBorder="true" applyAlignment="false" applyProtection="false">
      <alignment horizontal="general" vertical="bottom" textRotation="0" wrapText="false" indent="0" shrinkToFit="false"/>
      <protection locked="true" hidden="false"/>
    </xf>
    <xf numFmtId="167" fontId="31" fillId="0" borderId="1" xfId="0" applyFont="true" applyBorder="true" applyAlignment="false" applyProtection="false">
      <alignment horizontal="general" vertical="bottom" textRotation="0" wrapText="false" indent="0" shrinkToFit="false"/>
      <protection locked="true" hidden="false"/>
    </xf>
    <xf numFmtId="176" fontId="31" fillId="0" borderId="1"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75" fontId="32" fillId="0" borderId="0" xfId="0" applyFont="true" applyBorder="true" applyAlignment="false" applyProtection="false">
      <alignment horizontal="general" vertical="bottom" textRotation="0" wrapText="false" indent="0" shrinkToFit="false"/>
      <protection locked="true" hidden="false"/>
    </xf>
    <xf numFmtId="164" fontId="30"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77" fontId="32" fillId="0" borderId="0" xfId="0" applyFont="true" applyBorder="true" applyAlignment="false" applyProtection="false">
      <alignment horizontal="general" vertical="bottom" textRotation="0" wrapText="false" indent="0" shrinkToFit="false"/>
      <protection locked="true" hidden="false"/>
    </xf>
    <xf numFmtId="178" fontId="31" fillId="0" borderId="1" xfId="0" applyFont="true" applyBorder="true" applyAlignment="false" applyProtection="false">
      <alignment horizontal="general" vertical="bottom" textRotation="0" wrapText="false" indent="0" shrinkToFit="false"/>
      <protection locked="true" hidden="false"/>
    </xf>
    <xf numFmtId="166" fontId="32"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8" fontId="31" fillId="0" borderId="1" xfId="0" applyFont="true" applyBorder="true" applyAlignment="true" applyProtection="false">
      <alignment horizontal="general" vertical="top" textRotation="0" wrapText="true" indent="0" shrinkToFit="false"/>
      <protection locked="true" hidden="false"/>
    </xf>
    <xf numFmtId="166" fontId="31" fillId="0" borderId="1" xfId="0" applyFont="true" applyBorder="true" applyAlignment="true" applyProtection="false">
      <alignment horizontal="general" vertical="top" textRotation="0" wrapText="true" indent="0" shrinkToFit="false"/>
      <protection locked="true" hidden="false"/>
    </xf>
    <xf numFmtId="164" fontId="35" fillId="0" borderId="1" xfId="0" applyFont="true" applyBorder="true" applyAlignment="true" applyProtection="false">
      <alignment horizontal="general" vertical="top" textRotation="0" wrapText="true" indent="0" shrinkToFit="false"/>
      <protection locked="true" hidden="false"/>
    </xf>
    <xf numFmtId="180" fontId="31" fillId="0"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ont>
        <color rgb="FF9C0006"/>
      </font>
      <fill>
        <patternFill>
          <bgColor rgb="FFFFC7CE"/>
        </patternFill>
      </fill>
    </dxf>
    <dxf>
      <font>
        <b val="1"/>
        <color rgb="FF1F3864"/>
      </font>
      <fill>
        <patternFill>
          <bgColor rgb="FFDDEBF7"/>
        </patternFill>
      </fill>
    </dxf>
  </dxfs>
  <colors>
    <indexedColors>
      <rgbColor rgb="FF000000"/>
      <rgbColor rgb="FFFFFFFF"/>
      <rgbColor rgb="FFFF0000"/>
      <rgbColor rgb="FF00FF00"/>
      <rgbColor rgb="FF0000FF"/>
      <rgbColor rgb="FFFFFF00"/>
      <rgbColor rgb="FFFF00FF"/>
      <rgbColor rgb="FF00FFFF"/>
      <rgbColor rgb="FF9C0006"/>
      <rgbColor rgb="FF186A3B"/>
      <rgbColor rgb="FF000080"/>
      <rgbColor rgb="FF7F6000"/>
      <rgbColor rgb="FF800080"/>
      <rgbColor rgb="FF8B8B8B"/>
      <rgbColor rgb="FFBFBFBF"/>
      <rgbColor rgb="FF808080"/>
      <rgbColor rgb="FF8EA9DB"/>
      <rgbColor rgb="FF595959"/>
      <rgbColor rgb="FFFFF3CD"/>
      <rgbColor rgb="FFE8F6EC"/>
      <rgbColor rgb="FF660066"/>
      <rgbColor rgb="FFF39C7A"/>
      <rgbColor rgb="FF0563C1"/>
      <rgbColor rgb="FFD9D9D9"/>
      <rgbColor rgb="FF000080"/>
      <rgbColor rgb="FFFF00FF"/>
      <rgbColor rgb="FFDAE3F3"/>
      <rgbColor rgb="FF00FFFF"/>
      <rgbColor rgb="FF800080"/>
      <rgbColor rgb="FFC00000"/>
      <rgbColor rgb="FF008080"/>
      <rgbColor rgb="FF0000FF"/>
      <rgbColor rgb="FF00CCFF"/>
      <rgbColor rgb="FFDDEBF7"/>
      <rgbColor rgb="FFEAF2FB"/>
      <rgbColor rgb="FFDCDCDC"/>
      <rgbColor rgb="FF8FAADC"/>
      <rgbColor rgb="FFA6A6A6"/>
      <rgbColor rgb="FFB8B6AE"/>
      <rgbColor rgb="FFFFC7CE"/>
      <rgbColor rgb="FF2A78D6"/>
      <rgbColor rgb="FF6DA7EC"/>
      <rgbColor rgb="FFA5A5A5"/>
      <rgbColor rgb="FFD9E1F2"/>
      <rgbColor rgb="FFED7D31"/>
      <rgbColor rgb="FFEB6834"/>
      <rgbColor rgb="FF646464"/>
      <rgbColor rgb="FF8C8C8C"/>
      <rgbColor rgb="FF1F3864"/>
      <rgbColor rgb="FF4472C4"/>
      <rgbColor rgb="FF003300"/>
      <rgbColor rgb="FF4A4A4A"/>
      <rgbColor rgb="FF993300"/>
      <rgbColor rgb="FF7F7F7F"/>
      <rgbColor rgb="FF1F4E9C"/>
      <rgbColor rgb="FF1D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32393.9</c:v>
                </c:pt>
                <c:pt idx="20">
                  <c:v>0</c:v>
                </c:pt>
                <c:pt idx="21">
                  <c:v>0</c:v>
                </c:pt>
                <c:pt idx="22">
                  <c:v>0</c:v>
                </c:pt>
                <c:pt idx="23">
                  <c:v>0</c:v>
                </c:pt>
                <c:pt idx="24">
                  <c:v>0</c:v>
                </c:pt>
                <c:pt idx="25">
                  <c:v>0</c:v>
                </c:pt>
                <c:pt idx="26">
                  <c:v>0</c:v>
                </c:pt>
                <c:pt idx="27">
                  <c:v>61548.41</c:v>
                </c:pt>
                <c:pt idx="28">
                  <c:v>0</c:v>
                </c:pt>
                <c:pt idx="29">
                  <c:v>0</c:v>
                </c:pt>
                <c:pt idx="30">
                  <c:v>0</c:v>
                </c:pt>
              </c:numCache>
            </c:numRef>
          </c:val>
        </c:ser>
        <c:gapWidth val="219"/>
        <c:overlap val="100"/>
        <c:axId val="28914137"/>
        <c:axId val="5331312"/>
      </c:barChart>
      <c:catAx>
        <c:axId val="28914137"/>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331312"/>
        <c:crosses val="autoZero"/>
        <c:auto val="1"/>
        <c:lblAlgn val="ctr"/>
        <c:lblOffset val="100"/>
        <c:noMultiLvlLbl val="0"/>
      </c:catAx>
      <c:valAx>
        <c:axId val="533131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891413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22675.73</c:v>
                </c:pt>
                <c:pt idx="5">
                  <c:v>0</c:v>
                </c:pt>
                <c:pt idx="6">
                  <c:v>0</c:v>
                </c:pt>
                <c:pt idx="7">
                  <c:v>0</c:v>
                </c:pt>
                <c:pt idx="8">
                  <c:v>22675.73</c:v>
                </c:pt>
                <c:pt idx="9">
                  <c:v>0</c:v>
                </c:pt>
                <c:pt idx="10">
                  <c:v>0</c:v>
                </c:pt>
                <c:pt idx="11">
                  <c:v>0</c:v>
                </c:pt>
                <c:pt idx="12">
                  <c:v>29154.51</c:v>
                </c:pt>
                <c:pt idx="13">
                  <c:v>0</c:v>
                </c:pt>
                <c:pt idx="14">
                  <c:v>0</c:v>
                </c:pt>
                <c:pt idx="15">
                  <c:v>0</c:v>
                </c:pt>
                <c:pt idx="16">
                  <c:v>29154.51</c:v>
                </c:pt>
                <c:pt idx="17">
                  <c:v>0</c:v>
                </c:pt>
                <c:pt idx="18">
                  <c:v>0</c:v>
                </c:pt>
                <c:pt idx="19">
                  <c:v>0</c:v>
                </c:pt>
                <c:pt idx="20">
                  <c:v>61548.41</c:v>
                </c:pt>
                <c:pt idx="21">
                  <c:v>0</c:v>
                </c:pt>
                <c:pt idx="22">
                  <c:v>0</c:v>
                </c:pt>
                <c:pt idx="23">
                  <c:v>0</c:v>
                </c:pt>
                <c:pt idx="24">
                  <c:v>22675.73</c:v>
                </c:pt>
                <c:pt idx="25">
                  <c:v>0</c:v>
                </c:pt>
                <c:pt idx="26">
                  <c:v>0</c:v>
                </c:pt>
                <c:pt idx="27">
                  <c:v>0</c:v>
                </c:pt>
                <c:pt idx="28">
                  <c:v>29154.51</c:v>
                </c:pt>
                <c:pt idx="29">
                  <c:v>0</c:v>
                </c:pt>
                <c:pt idx="30">
                  <c:v>0</c:v>
                </c:pt>
              </c:numCache>
            </c:numRef>
          </c:val>
        </c:ser>
        <c:gapWidth val="219"/>
        <c:overlap val="100"/>
        <c:axId val="14659367"/>
        <c:axId val="50422676"/>
      </c:barChart>
      <c:catAx>
        <c:axId val="14659367"/>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50422676"/>
        <c:crosses val="autoZero"/>
        <c:auto val="1"/>
        <c:lblAlgn val="ctr"/>
        <c:lblOffset val="100"/>
        <c:noMultiLvlLbl val="0"/>
      </c:catAx>
      <c:valAx>
        <c:axId val="50422676"/>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465936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gapWidth val="219"/>
        <c:overlap val="-27"/>
        <c:axId val="95093842"/>
        <c:axId val="28963080"/>
      </c:barChart>
      <c:catAx>
        <c:axId val="95093842"/>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8963080"/>
        <c:crosses val="autoZero"/>
        <c:auto val="1"/>
        <c:lblAlgn val="ctr"/>
        <c:lblOffset val="100"/>
        <c:noMultiLvlLbl val="0"/>
      </c:catAx>
      <c:valAx>
        <c:axId val="28963080"/>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509384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gapWidth val="219"/>
        <c:overlap val="-27"/>
        <c:axId val="5914296"/>
        <c:axId val="74784722"/>
      </c:barChart>
      <c:catAx>
        <c:axId val="5914296"/>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4784722"/>
        <c:crosses val="autoZero"/>
        <c:auto val="1"/>
        <c:lblAlgn val="ctr"/>
        <c:lblOffset val="100"/>
        <c:noMultiLvlLbl val="0"/>
      </c:catAx>
      <c:valAx>
        <c:axId val="74784722"/>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91429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331584.866666667</c:v>
                </c:pt>
                <c:pt idx="5">
                  <c:v>0</c:v>
                </c:pt>
                <c:pt idx="6">
                  <c:v>0</c:v>
                </c:pt>
                <c:pt idx="7">
                  <c:v>0</c:v>
                </c:pt>
                <c:pt idx="8">
                  <c:v>515298.285229167</c:v>
                </c:pt>
                <c:pt idx="9">
                  <c:v>0</c:v>
                </c:pt>
                <c:pt idx="10">
                  <c:v>0</c:v>
                </c:pt>
                <c:pt idx="11">
                  <c:v>0</c:v>
                </c:pt>
                <c:pt idx="12">
                  <c:v>331584.866666667</c:v>
                </c:pt>
                <c:pt idx="13">
                  <c:v>0</c:v>
                </c:pt>
                <c:pt idx="14">
                  <c:v>0</c:v>
                </c:pt>
                <c:pt idx="15">
                  <c:v>0</c:v>
                </c:pt>
                <c:pt idx="16">
                  <c:v>1685716.704375</c:v>
                </c:pt>
                <c:pt idx="17">
                  <c:v>0</c:v>
                </c:pt>
                <c:pt idx="18">
                  <c:v>0</c:v>
                </c:pt>
                <c:pt idx="19">
                  <c:v>0</c:v>
                </c:pt>
                <c:pt idx="20">
                  <c:v>331584.866666667</c:v>
                </c:pt>
                <c:pt idx="21">
                  <c:v>0</c:v>
                </c:pt>
                <c:pt idx="22">
                  <c:v>0</c:v>
                </c:pt>
                <c:pt idx="23">
                  <c:v>0</c:v>
                </c:pt>
                <c:pt idx="24">
                  <c:v>515298.285229167</c:v>
                </c:pt>
                <c:pt idx="25">
                  <c:v>0</c:v>
                </c:pt>
                <c:pt idx="26">
                  <c:v>0</c:v>
                </c:pt>
                <c:pt idx="27">
                  <c:v>0</c:v>
                </c:pt>
                <c:pt idx="28">
                  <c:v>331584.866666667</c:v>
                </c:pt>
                <c:pt idx="29">
                  <c:v>0</c:v>
                </c:pt>
                <c:pt idx="30">
                  <c:v>0</c:v>
                </c:pt>
              </c:numCache>
            </c:numRef>
          </c:val>
        </c:ser>
        <c:gapWidth val="219"/>
        <c:overlap val="-27"/>
        <c:axId val="35630473"/>
        <c:axId val="76427462"/>
      </c:barChart>
      <c:catAx>
        <c:axId val="35630473"/>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6427462"/>
        <c:crosses val="autoZero"/>
        <c:auto val="1"/>
        <c:lblAlgn val="ctr"/>
        <c:lblOffset val="100"/>
        <c:noMultiLvlLbl val="0"/>
      </c:catAx>
      <c:valAx>
        <c:axId val="76427462"/>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563047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
                </c:pt>
                <c:pt idx="3">
                  <c:v/>
                </c:pt>
              </c:strCache>
            </c:strRef>
          </c:cat>
          <c:val>
            <c:numRef>
              <c:f>Summary!$C$4:$C$7</c:f>
              <c:numCache>
                <c:formatCode>\$#,##0</c:formatCode>
                <c:ptCount val="4"/>
                <c:pt idx="0">
                  <c:v>7268437</c:v>
                </c:pt>
                <c:pt idx="1">
                  <c:v>9062465.75</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
                </c:pt>
                <c:pt idx="3">
                  <c:v/>
                </c:pt>
              </c:strCache>
            </c:strRef>
          </c:cat>
          <c:val>
            <c:numRef>
              <c:f>Summary!$D$4:$D$7</c:f>
              <c:numCache>
                <c:formatCode>\$#,##0</c:formatCode>
                <c:ptCount val="4"/>
                <c:pt idx="0">
                  <c:v>9829223.74547321</c:v>
                </c:pt>
                <c:pt idx="1">
                  <c:v>9180602.24949232</c:v>
                </c:pt>
              </c:numCache>
            </c:numRef>
          </c:val>
        </c:ser>
        <c:gapWidth val="219"/>
        <c:overlap val="-27"/>
        <c:axId val="9769942"/>
        <c:axId val="34941621"/>
      </c:barChart>
      <c:catAx>
        <c:axId val="9769942"/>
        <c:scaling>
          <c:orientation val="minMax"/>
        </c:scaling>
        <c:delete val="0"/>
        <c:axPos val="b"/>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4941621"/>
        <c:crosses val="autoZero"/>
        <c:auto val="1"/>
        <c:lblAlgn val="ctr"/>
        <c:lblOffset val="100"/>
        <c:noMultiLvlLbl val="0"/>
      </c:catAx>
      <c:valAx>
        <c:axId val="34941621"/>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76994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Summary!$X$5:$AA$5</c:f>
              <c:numCache>
                <c:formatCode>\$#,##0;"($"#,##0\);\-</c:formatCode>
                <c:ptCount val="4"/>
                <c:pt idx="0">
                  <c:v>7268437</c:v>
                </c:pt>
                <c:pt idx="1">
                  <c:v>9062465.75</c:v>
                </c:pt>
                <c:pt idx="2">
                  <c:v>0</c:v>
                </c:pt>
                <c:pt idx="3">
                  <c:v>0</c:v>
                </c:pt>
              </c:numCache>
            </c:numRef>
          </c:val>
        </c:ser>
        <c:ser>
          <c:idx val="1"/>
          <c:order val="1"/>
          <c:tx>
            <c:strRef>
              <c:f>Summary!W6</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Summary!$X$6:$AA$6</c:f>
              <c:numCache>
                <c:formatCode>\$#,##0;"($"#,##0\);\-</c:formatCode>
                <c:ptCount val="4"/>
                <c:pt idx="0">
                  <c:v>1574420.72193685</c:v>
                </c:pt>
                <c:pt idx="1">
                  <c:v>522567.104910763</c:v>
                </c:pt>
                <c:pt idx="2">
                  <c:v>0</c:v>
                </c:pt>
                <c:pt idx="3">
                  <c:v>0</c:v>
                </c:pt>
              </c:numCache>
            </c:numRef>
          </c:val>
        </c:ser>
        <c:ser>
          <c:idx val="2"/>
          <c:order val="2"/>
          <c:tx>
            <c:strRef>
              <c:f>Summary!W7</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Summary!$X$7:$AA$7</c:f>
              <c:numCache>
                <c:formatCode>\$#,##0;"($"#,##0\);\-</c:formatCode>
                <c:ptCount val="4"/>
                <c:pt idx="0">
                  <c:v>939071.040347879</c:v>
                </c:pt>
                <c:pt idx="1">
                  <c:v>482791.159867436</c:v>
                </c:pt>
                <c:pt idx="2">
                  <c:v>0</c:v>
                </c:pt>
                <c:pt idx="3">
                  <c:v>0</c:v>
                </c:pt>
              </c:numCache>
            </c:numRef>
          </c:val>
        </c:ser>
        <c:ser>
          <c:idx val="3"/>
          <c:order val="3"/>
          <c:tx>
            <c:strRef>
              <c:f>Summary!W8</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Summary!$X$8:$AA$8</c:f>
              <c:numCache>
                <c:formatCode>\$#,##0;"($"#,##0\);\-</c:formatCode>
                <c:ptCount val="4"/>
                <c:pt idx="0">
                  <c:v>134639.61403581</c:v>
                </c:pt>
                <c:pt idx="1">
                  <c:v>46182.209105713</c:v>
                </c:pt>
                <c:pt idx="2">
                  <c:v>0</c:v>
                </c:pt>
                <c:pt idx="3">
                  <c:v>0</c:v>
                </c:pt>
              </c:numCache>
            </c:numRef>
          </c:val>
        </c:ser>
        <c:ser>
          <c:idx val="4"/>
          <c:order val="4"/>
          <c:tx>
            <c:strRef>
              <c:f>Summary!W9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Summary!$X$9:$AA$9</c:f>
              <c:numCache>
                <c:formatCode>\$#,##0;"($"#,##0\);\-</c:formatCode>
                <c:ptCount val="4"/>
                <c:pt idx="0">
                  <c:v>-87344.6308473242</c:v>
                </c:pt>
                <c:pt idx="1">
                  <c:v>-933403.974391597</c:v>
                </c:pt>
                <c:pt idx="2">
                  <c:v>0</c:v>
                </c:pt>
                <c:pt idx="3">
                  <c:v>0</c:v>
                </c:pt>
              </c:numCache>
            </c:numRef>
          </c:val>
        </c:ser>
        <c:gapWidth val="60"/>
        <c:overlap val="100"/>
        <c:axId val="32094489"/>
        <c:axId val="10498334"/>
      </c:barChart>
      <c:catAx>
        <c:axId val="32094489"/>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0498334"/>
        <c:crosses val="autoZero"/>
        <c:auto val="1"/>
        <c:lblAlgn val="ctr"/>
        <c:lblOffset val="100"/>
        <c:noMultiLvlLbl val="0"/>
      </c:catAx>
      <c:valAx>
        <c:axId val="10498334"/>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209448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10262552.894263</c:v>
                </c:pt>
                <c:pt idx="1">
                  <c:v>10146264.598081</c:v>
                </c:pt>
                <c:pt idx="2">
                  <c:v>10035470.4285864</c:v>
                </c:pt>
                <c:pt idx="3">
                  <c:v>9929881.09618256</c:v>
                </c:pt>
                <c:pt idx="4">
                  <c:v>9829223.74547321</c:v>
                </c:pt>
                <c:pt idx="5">
                  <c:v>9733240.96335756</c:v>
                </c:pt>
                <c:pt idx="6">
                  <c:v>9641689.85014773</c:v>
                </c:pt>
                <c:pt idx="7">
                  <c:v>9554341.14952141</c:v>
                </c:pt>
                <c:pt idx="8">
                  <c:v>9470978.43341119</c:v>
                </c:pt>
                <c:pt idx="9">
                  <c:v>9391397.33820115</c:v>
                </c:pt>
                <c:pt idx="10">
                  <c:v>9315404.84885081</c:v>
                </c:pt>
                <c:pt idx="11">
                  <c:v>9242818.62779832</c:v>
                </c:pt>
                <c:pt idx="12">
                  <c:v>9173466.38571005</c:v>
                </c:pt>
                <c:pt idx="13">
                  <c:v>9107185.29134381</c:v>
                </c:pt>
                <c:pt idx="14">
                  <c:v>9043821.41797902</c:v>
                </c:pt>
                <c:pt idx="15">
                  <c:v>8983229.22403956</c:v>
                </c:pt>
                <c:pt idx="16">
                  <c:v>8925271.06569606</c:v>
                </c:pt>
                <c:pt idx="17">
                  <c:v>8869816.73938347</c:v>
                </c:pt>
                <c:pt idx="18">
                  <c:v>8816743.0523088</c:v>
                </c:pt>
                <c:pt idx="19">
                  <c:v>8765933.419153</c:v>
                </c:pt>
                <c:pt idx="20">
                  <c:v>8717277.48329128</c:v>
                </c:pt>
                <c:pt idx="21">
                  <c:v>8670670.76096791</c:v>
                </c:pt>
                <c:pt idx="22">
                  <c:v>8626014.30696557</c:v>
                </c:pt>
                <c:pt idx="23">
                  <c:v>8583214.40040654</c:v>
                </c:pt>
                <c:pt idx="24">
                  <c:v>8542182.24941267</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9127262.70353926</c:v>
                </c:pt>
                <c:pt idx="1">
                  <c:v>9143740.59930613</c:v>
                </c:pt>
                <c:pt idx="2">
                  <c:v>9157977.79503656</c:v>
                </c:pt>
                <c:pt idx="3">
                  <c:v>9170197.41405273</c:v>
                </c:pt>
                <c:pt idx="4">
                  <c:v>9180602.24949232</c:v>
                </c:pt>
                <c:pt idx="5">
                  <c:v>9189376.56426341</c:v>
                </c:pt>
                <c:pt idx="6">
                  <c:v>9196687.73240377</c:v>
                </c:pt>
                <c:pt idx="7">
                  <c:v>9202687.7359094</c:v>
                </c:pt>
                <c:pt idx="8">
                  <c:v>9207514.52983484</c:v>
                </c:pt>
                <c:pt idx="9">
                  <c:v>9211293.28731988</c:v>
                </c:pt>
                <c:pt idx="10">
                  <c:v>9214137.53515365</c:v>
                </c:pt>
                <c:pt idx="11">
                  <c:v>9216150.18953936</c:v>
                </c:pt>
                <c:pt idx="12">
                  <c:v>9217424.50085983</c:v>
                </c:pt>
                <c:pt idx="13">
                  <c:v>9218044.91546017</c:v>
                </c:pt>
                <c:pt idx="14">
                  <c:v>9218087.86175034</c:v>
                </c:pt>
                <c:pt idx="15">
                  <c:v>9217622.46728144</c:v>
                </c:pt>
                <c:pt idx="16">
                  <c:v>9216711.21285899</c:v>
                </c:pt>
                <c:pt idx="17">
                  <c:v>9215410.52921935</c:v>
                </c:pt>
                <c:pt idx="18">
                  <c:v>9213771.34130587</c:v>
                </c:pt>
                <c:pt idx="19">
                  <c:v>9211839.56473663</c:v>
                </c:pt>
                <c:pt idx="20">
                  <c:v>9209656.55864997</c:v>
                </c:pt>
                <c:pt idx="21">
                  <c:v>9207259.53874488</c:v>
                </c:pt>
                <c:pt idx="22">
                  <c:v>9204681.95399732</c:v>
                </c:pt>
                <c:pt idx="23">
                  <c:v>9201953.83022717</c:v>
                </c:pt>
                <c:pt idx="24">
                  <c:v>9199102.08341167</c:v>
                </c:pt>
              </c:numCache>
            </c:numRef>
          </c:val>
          <c:smooth val="0"/>
        </c:ser>
        <c:ser>
          <c:idx val="2"/>
          <c:order val="2"/>
          <c:tx>
            <c:strRef>
              <c:f>Summary!Z11</c:f>
              <c:strCache>
                <c:ptCount val="1"/>
                <c:pt idx="0">
                  <c:v>Alt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ser>
          <c:idx val="3"/>
          <c:order val="3"/>
          <c:tx>
            <c:strRef>
              <c:f>Summary!AA11</c:f>
              <c:strCache>
                <c:ptCount val="1"/>
                <c:pt idx="0">
                  <c:v>Alt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329251"/>
        <c:axId val="66202510"/>
      </c:lineChart>
      <c:catAx>
        <c:axId val="329251"/>
        <c:scaling>
          <c:orientation val="minMax"/>
        </c:scaling>
        <c:delete val="0"/>
        <c:axPos val="b"/>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6202510"/>
        <c:crosses val="autoZero"/>
        <c:auto val="1"/>
        <c:lblAlgn val="ctr"/>
        <c:lblOffset val="100"/>
        <c:noMultiLvlLbl val="0"/>
      </c:catAx>
      <c:valAx>
        <c:axId val="66202510"/>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2925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7268437</c:v>
                </c:pt>
                <c:pt idx="1">
                  <c:v>0</c:v>
                </c:pt>
                <c:pt idx="2">
                  <c:v>0</c:v>
                </c:pt>
                <c:pt idx="3">
                  <c:v>0</c:v>
                </c:pt>
                <c:pt idx="4">
                  <c:v>354260.596666667</c:v>
                </c:pt>
                <c:pt idx="5">
                  <c:v>0</c:v>
                </c:pt>
                <c:pt idx="6">
                  <c:v>0</c:v>
                </c:pt>
                <c:pt idx="7">
                  <c:v>0</c:v>
                </c:pt>
                <c:pt idx="8">
                  <c:v>354260.596666667</c:v>
                </c:pt>
                <c:pt idx="9">
                  <c:v>0</c:v>
                </c:pt>
                <c:pt idx="10">
                  <c:v>0</c:v>
                </c:pt>
                <c:pt idx="11">
                  <c:v>0</c:v>
                </c:pt>
                <c:pt idx="12">
                  <c:v>494427.545104167</c:v>
                </c:pt>
                <c:pt idx="13">
                  <c:v>0</c:v>
                </c:pt>
                <c:pt idx="14">
                  <c:v>0</c:v>
                </c:pt>
                <c:pt idx="15">
                  <c:v>0</c:v>
                </c:pt>
                <c:pt idx="16">
                  <c:v>515990.152916667</c:v>
                </c:pt>
                <c:pt idx="17">
                  <c:v>0</c:v>
                </c:pt>
                <c:pt idx="18">
                  <c:v>0</c:v>
                </c:pt>
                <c:pt idx="19">
                  <c:v>0</c:v>
                </c:pt>
                <c:pt idx="20">
                  <c:v>1757615.166125</c:v>
                </c:pt>
                <c:pt idx="21">
                  <c:v>0</c:v>
                </c:pt>
                <c:pt idx="22">
                  <c:v>0</c:v>
                </c:pt>
                <c:pt idx="23">
                  <c:v>0</c:v>
                </c:pt>
                <c:pt idx="24">
                  <c:v>354260.596666667</c:v>
                </c:pt>
                <c:pt idx="25">
                  <c:v>0</c:v>
                </c:pt>
                <c:pt idx="26">
                  <c:v>0</c:v>
                </c:pt>
                <c:pt idx="27">
                  <c:v>0</c:v>
                </c:pt>
                <c:pt idx="28">
                  <c:v>544452.795229167</c:v>
                </c:pt>
                <c:pt idx="29">
                  <c:v>0</c:v>
                </c:pt>
                <c:pt idx="30">
                  <c:v>-212008.344515625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9062465.75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948718.4816</c:v>
                </c:pt>
                <c:pt idx="20">
                  <c:v>0</c:v>
                </c:pt>
                <c:pt idx="21">
                  <c:v>0</c:v>
                </c:pt>
                <c:pt idx="22">
                  <c:v>0</c:v>
                </c:pt>
                <c:pt idx="23">
                  <c:v>0</c:v>
                </c:pt>
                <c:pt idx="24">
                  <c:v>0</c:v>
                </c:pt>
                <c:pt idx="25">
                  <c:v>0</c:v>
                </c:pt>
                <c:pt idx="26">
                  <c:v>0</c:v>
                </c:pt>
                <c:pt idx="27">
                  <c:v>1133967.1054</c:v>
                </c:pt>
                <c:pt idx="28">
                  <c:v>0</c:v>
                </c:pt>
                <c:pt idx="29">
                  <c:v>0</c:v>
                </c:pt>
                <c:pt idx="30">
                  <c:v>-2265616.4375</c:v>
                </c:pt>
              </c:numCache>
            </c:numRef>
          </c:val>
        </c:ser>
        <c:ser>
          <c:idx val="2"/>
          <c:order val="2"/>
          <c:tx>
            <c:strRef>
              <c:f>Summary!AA40</c:f>
              <c:strCache>
                <c:ptCount val="1"/>
                <c:pt idx="0">
                  <c:v>Alt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ser>
          <c:idx val="3"/>
          <c:order val="3"/>
          <c:tx>
            <c:strRef>
              <c:f>Summary!AB40</c:f>
              <c:strCache>
                <c:ptCount val="1"/>
                <c:pt idx="0">
                  <c:v>Alt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11246272"/>
        <c:axId val="50097528"/>
      </c:barChart>
      <c:catAx>
        <c:axId val="11246272"/>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50097528"/>
        <c:crosses val="autoZero"/>
        <c:auto val="1"/>
        <c:lblAlgn val="ctr"/>
        <c:lblOffset val="100"/>
        <c:noMultiLvlLbl val="0"/>
      </c:catAx>
      <c:valAx>
        <c:axId val="50097528"/>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124627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7268437</c:v>
                </c:pt>
                <c:pt idx="1">
                  <c:v>7268437</c:v>
                </c:pt>
                <c:pt idx="2">
                  <c:v>7268437</c:v>
                </c:pt>
                <c:pt idx="3">
                  <c:v>7268437</c:v>
                </c:pt>
                <c:pt idx="4">
                  <c:v>7583192.95172522</c:v>
                </c:pt>
                <c:pt idx="5">
                  <c:v>7583192.95172522</c:v>
                </c:pt>
                <c:pt idx="6">
                  <c:v>7583192.95172522</c:v>
                </c:pt>
                <c:pt idx="7">
                  <c:v>7583192.95172522</c:v>
                </c:pt>
                <c:pt idx="8">
                  <c:v>7862849.53808745</c:v>
                </c:pt>
                <c:pt idx="9">
                  <c:v>7862849.53808745</c:v>
                </c:pt>
                <c:pt idx="10">
                  <c:v>7862849.53808745</c:v>
                </c:pt>
                <c:pt idx="11">
                  <c:v>7862849.53808745</c:v>
                </c:pt>
                <c:pt idx="12">
                  <c:v>8209631.07043672</c:v>
                </c:pt>
                <c:pt idx="13">
                  <c:v>8209631.07043672</c:v>
                </c:pt>
                <c:pt idx="14">
                  <c:v>8209631.07043672</c:v>
                </c:pt>
                <c:pt idx="15">
                  <c:v>8209631.07043672</c:v>
                </c:pt>
                <c:pt idx="16">
                  <c:v>8531179.07469751</c:v>
                </c:pt>
                <c:pt idx="17">
                  <c:v>8531179.07469751</c:v>
                </c:pt>
                <c:pt idx="18">
                  <c:v>8531179.07469751</c:v>
                </c:pt>
                <c:pt idx="19">
                  <c:v>8531179.07469751</c:v>
                </c:pt>
                <c:pt idx="20">
                  <c:v>9504327.97737111</c:v>
                </c:pt>
                <c:pt idx="21">
                  <c:v>9504327.97737111</c:v>
                </c:pt>
                <c:pt idx="22">
                  <c:v>9504327.97737111</c:v>
                </c:pt>
                <c:pt idx="23">
                  <c:v>9504327.97737111</c:v>
                </c:pt>
                <c:pt idx="24">
                  <c:v>9678600.71632721</c:v>
                </c:pt>
                <c:pt idx="25">
                  <c:v>9678600.71632721</c:v>
                </c:pt>
                <c:pt idx="26">
                  <c:v>9678600.71632721</c:v>
                </c:pt>
                <c:pt idx="27">
                  <c:v>9678600.71632721</c:v>
                </c:pt>
                <c:pt idx="28">
                  <c:v>9916568.37632054</c:v>
                </c:pt>
                <c:pt idx="29">
                  <c:v>9916568.37632054</c:v>
                </c:pt>
                <c:pt idx="30">
                  <c:v>9829223.74547321</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9062465.75</c:v>
                </c:pt>
                <c:pt idx="1">
                  <c:v>9062465.75</c:v>
                </c:pt>
                <c:pt idx="2">
                  <c:v>9062465.75</c:v>
                </c:pt>
                <c:pt idx="3">
                  <c:v>9062465.75</c:v>
                </c:pt>
                <c:pt idx="4">
                  <c:v>9062465.75</c:v>
                </c:pt>
                <c:pt idx="5">
                  <c:v>9062465.75</c:v>
                </c:pt>
                <c:pt idx="6">
                  <c:v>9062465.75</c:v>
                </c:pt>
                <c:pt idx="7">
                  <c:v>9062465.75</c:v>
                </c:pt>
                <c:pt idx="8">
                  <c:v>9062465.75</c:v>
                </c:pt>
                <c:pt idx="9">
                  <c:v>9062465.75</c:v>
                </c:pt>
                <c:pt idx="10">
                  <c:v>9062465.75</c:v>
                </c:pt>
                <c:pt idx="11">
                  <c:v>9062465.75</c:v>
                </c:pt>
                <c:pt idx="12">
                  <c:v>9062465.75</c:v>
                </c:pt>
                <c:pt idx="13">
                  <c:v>9062465.75</c:v>
                </c:pt>
                <c:pt idx="14">
                  <c:v>9062465.75</c:v>
                </c:pt>
                <c:pt idx="15">
                  <c:v>9062465.75</c:v>
                </c:pt>
                <c:pt idx="16">
                  <c:v>9062465.75</c:v>
                </c:pt>
                <c:pt idx="17">
                  <c:v>9062465.75</c:v>
                </c:pt>
                <c:pt idx="18">
                  <c:v>9062465.75</c:v>
                </c:pt>
                <c:pt idx="19">
                  <c:v>9603506.64343471</c:v>
                </c:pt>
                <c:pt idx="20">
                  <c:v>9603506.64343471</c:v>
                </c:pt>
                <c:pt idx="21">
                  <c:v>9603506.64343471</c:v>
                </c:pt>
                <c:pt idx="22">
                  <c:v>9603506.64343471</c:v>
                </c:pt>
                <c:pt idx="23">
                  <c:v>9603506.64343471</c:v>
                </c:pt>
                <c:pt idx="24">
                  <c:v>9603506.64343471</c:v>
                </c:pt>
                <c:pt idx="25">
                  <c:v>9603506.64343471</c:v>
                </c:pt>
                <c:pt idx="26">
                  <c:v>9603506.64343471</c:v>
                </c:pt>
                <c:pt idx="27">
                  <c:v>10114006.2238839</c:v>
                </c:pt>
                <c:pt idx="28">
                  <c:v>10114006.2238839</c:v>
                </c:pt>
                <c:pt idx="29">
                  <c:v>10114006.2238839</c:v>
                </c:pt>
                <c:pt idx="30">
                  <c:v>9180602.24949232</c:v>
                </c:pt>
              </c:numCache>
            </c:numRef>
          </c:val>
          <c:smooth val="0"/>
        </c:ser>
        <c:ser>
          <c:idx val="2"/>
          <c:order val="2"/>
          <c:tx>
            <c:strRef>
              <c:f>Summary!AE40</c:f>
              <c:strCache>
                <c:ptCount val="1"/>
                <c:pt idx="0">
                  <c:v>Alt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ser>
          <c:idx val="3"/>
          <c:order val="3"/>
          <c:tx>
            <c:strRef>
              <c:f>Summary!AF40</c:f>
              <c:strCache>
                <c:ptCount val="1"/>
                <c:pt idx="0">
                  <c:v>Alt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86678828"/>
        <c:axId val="53152981"/>
      </c:lineChart>
      <c:catAx>
        <c:axId val="86678828"/>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3152981"/>
        <c:crosses val="autoZero"/>
        <c:auto val="1"/>
        <c:lblAlgn val="ctr"/>
        <c:lblOffset val="100"/>
        <c:noMultiLvlLbl val="0"/>
      </c:catAx>
      <c:valAx>
        <c:axId val="53152981"/>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667882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7</c:v>
                </c:pt>
                <c:pt idx="5">
                  <c:v>0</c:v>
                </c:pt>
                <c:pt idx="6">
                  <c:v>0</c:v>
                </c:pt>
                <c:pt idx="7">
                  <c:v>0</c:v>
                </c:pt>
                <c:pt idx="8">
                  <c:v>7</c:v>
                </c:pt>
                <c:pt idx="9">
                  <c:v>0</c:v>
                </c:pt>
                <c:pt idx="10">
                  <c:v>0</c:v>
                </c:pt>
                <c:pt idx="11">
                  <c:v>0</c:v>
                </c:pt>
                <c:pt idx="12">
                  <c:v>9</c:v>
                </c:pt>
                <c:pt idx="13">
                  <c:v>0</c:v>
                </c:pt>
                <c:pt idx="14">
                  <c:v>0</c:v>
                </c:pt>
                <c:pt idx="15">
                  <c:v>0</c:v>
                </c:pt>
                <c:pt idx="16">
                  <c:v>9</c:v>
                </c:pt>
                <c:pt idx="17">
                  <c:v>0</c:v>
                </c:pt>
                <c:pt idx="18">
                  <c:v>0</c:v>
                </c:pt>
                <c:pt idx="19">
                  <c:v>0</c:v>
                </c:pt>
                <c:pt idx="20">
                  <c:v>19</c:v>
                </c:pt>
                <c:pt idx="21">
                  <c:v>0</c:v>
                </c:pt>
                <c:pt idx="22">
                  <c:v>0</c:v>
                </c:pt>
                <c:pt idx="23">
                  <c:v>0</c:v>
                </c:pt>
                <c:pt idx="24">
                  <c:v>7</c:v>
                </c:pt>
                <c:pt idx="25">
                  <c:v>0</c:v>
                </c:pt>
                <c:pt idx="26">
                  <c:v>0</c:v>
                </c:pt>
                <c:pt idx="27">
                  <c:v>0</c:v>
                </c:pt>
                <c:pt idx="28">
                  <c:v>9</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10</c:v>
                </c:pt>
                <c:pt idx="20">
                  <c:v>0</c:v>
                </c:pt>
                <c:pt idx="21">
                  <c:v>0</c:v>
                </c:pt>
                <c:pt idx="22">
                  <c:v>0</c:v>
                </c:pt>
                <c:pt idx="23">
                  <c:v>0</c:v>
                </c:pt>
                <c:pt idx="24">
                  <c:v>0</c:v>
                </c:pt>
                <c:pt idx="25">
                  <c:v>0</c:v>
                </c:pt>
                <c:pt idx="26">
                  <c:v>0</c:v>
                </c:pt>
                <c:pt idx="27">
                  <c:v>19</c:v>
                </c:pt>
                <c:pt idx="28">
                  <c:v>0</c:v>
                </c:pt>
                <c:pt idx="29">
                  <c:v>0</c:v>
                </c:pt>
                <c:pt idx="30">
                  <c:v>0</c:v>
                </c:pt>
              </c:numCache>
            </c:numRef>
          </c:val>
        </c:ser>
        <c:ser>
          <c:idx val="2"/>
          <c:order val="2"/>
          <c:tx>
            <c:strRef>
              <c:f>Summary!AI40</c:f>
              <c:strCache>
                <c:ptCount val="1"/>
                <c:pt idx="0">
                  <c:v>Alt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ser>
          <c:idx val="3"/>
          <c:order val="3"/>
          <c:tx>
            <c:strRef>
              <c:f>Summary!AJ40</c:f>
              <c:strCache>
                <c:ptCount val="1"/>
                <c:pt idx="0">
                  <c:v>Alt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34255744"/>
        <c:axId val="22246610"/>
      </c:barChart>
      <c:catAx>
        <c:axId val="34255744"/>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2246610"/>
        <c:crosses val="autoZero"/>
        <c:auto val="1"/>
        <c:lblAlgn val="ctr"/>
        <c:lblOffset val="100"/>
        <c:noMultiLvlLbl val="0"/>
      </c:catAx>
      <c:valAx>
        <c:axId val="22246610"/>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425574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22675.73</c:v>
                </c:pt>
                <c:pt idx="5">
                  <c:v>0</c:v>
                </c:pt>
                <c:pt idx="6">
                  <c:v>0</c:v>
                </c:pt>
                <c:pt idx="7">
                  <c:v>0</c:v>
                </c:pt>
                <c:pt idx="8">
                  <c:v>22675.73</c:v>
                </c:pt>
                <c:pt idx="9">
                  <c:v>0</c:v>
                </c:pt>
                <c:pt idx="10">
                  <c:v>0</c:v>
                </c:pt>
                <c:pt idx="11">
                  <c:v>0</c:v>
                </c:pt>
                <c:pt idx="12">
                  <c:v>29154.51</c:v>
                </c:pt>
                <c:pt idx="13">
                  <c:v>0</c:v>
                </c:pt>
                <c:pt idx="14">
                  <c:v>0</c:v>
                </c:pt>
                <c:pt idx="15">
                  <c:v>0</c:v>
                </c:pt>
                <c:pt idx="16">
                  <c:v>29154.51</c:v>
                </c:pt>
                <c:pt idx="17">
                  <c:v>0</c:v>
                </c:pt>
                <c:pt idx="18">
                  <c:v>0</c:v>
                </c:pt>
                <c:pt idx="19">
                  <c:v>0</c:v>
                </c:pt>
                <c:pt idx="20">
                  <c:v>61548.41</c:v>
                </c:pt>
                <c:pt idx="21">
                  <c:v>0</c:v>
                </c:pt>
                <c:pt idx="22">
                  <c:v>0</c:v>
                </c:pt>
                <c:pt idx="23">
                  <c:v>0</c:v>
                </c:pt>
                <c:pt idx="24">
                  <c:v>22675.73</c:v>
                </c:pt>
                <c:pt idx="25">
                  <c:v>0</c:v>
                </c:pt>
                <c:pt idx="26">
                  <c:v>0</c:v>
                </c:pt>
                <c:pt idx="27">
                  <c:v>0</c:v>
                </c:pt>
                <c:pt idx="28">
                  <c:v>29154.51</c:v>
                </c:pt>
                <c:pt idx="29">
                  <c:v>0</c:v>
                </c:pt>
                <c:pt idx="30">
                  <c:v>0</c:v>
                </c:pt>
              </c:numCache>
            </c:numRef>
          </c:val>
        </c:ser>
        <c:gapWidth val="219"/>
        <c:overlap val="100"/>
        <c:axId val="11985630"/>
        <c:axId val="4239796"/>
      </c:barChart>
      <c:catAx>
        <c:axId val="11985630"/>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239796"/>
        <c:crosses val="autoZero"/>
        <c:auto val="1"/>
        <c:lblAlgn val="ctr"/>
        <c:lblOffset val="100"/>
        <c:noMultiLvlLbl val="0"/>
      </c:catAx>
      <c:valAx>
        <c:axId val="4239796"/>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198563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32393.9</c:v>
                </c:pt>
                <c:pt idx="20">
                  <c:v>0</c:v>
                </c:pt>
                <c:pt idx="21">
                  <c:v>0</c:v>
                </c:pt>
                <c:pt idx="22">
                  <c:v>0</c:v>
                </c:pt>
                <c:pt idx="23">
                  <c:v>0</c:v>
                </c:pt>
                <c:pt idx="24">
                  <c:v>0</c:v>
                </c:pt>
                <c:pt idx="25">
                  <c:v>0</c:v>
                </c:pt>
                <c:pt idx="26">
                  <c:v>0</c:v>
                </c:pt>
                <c:pt idx="27">
                  <c:v>61548.41</c:v>
                </c:pt>
                <c:pt idx="28">
                  <c:v>0</c:v>
                </c:pt>
                <c:pt idx="29">
                  <c:v>0</c:v>
                </c:pt>
                <c:pt idx="30">
                  <c:v>0</c:v>
                </c:pt>
              </c:numCache>
            </c:numRef>
          </c:val>
        </c:ser>
        <c:gapWidth val="219"/>
        <c:overlap val="100"/>
        <c:axId val="21530761"/>
        <c:axId val="69666740"/>
      </c:barChart>
      <c:catAx>
        <c:axId val="21530761"/>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9666740"/>
        <c:crosses val="autoZero"/>
        <c:auto val="1"/>
        <c:lblAlgn val="ctr"/>
        <c:lblOffset val="100"/>
        <c:noMultiLvlLbl val="0"/>
      </c:catAx>
      <c:valAx>
        <c:axId val="69666740"/>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153076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
</Relationships>
</file>

<file path=xl/drawings/_rels/drawing12.xml.rels><?xml version="1.0" encoding="UTF-8"?>
<Relationships xmlns="http://schemas.openxmlformats.org/package/2006/relationships"><Relationship Id="rId1" Type="http://schemas.openxmlformats.org/officeDocument/2006/relationships/chart" Target="../charts/chart12.xml"/>
</Relationships>
</file>

<file path=xl/drawings/_rels/drawing13.xml.rels><?xml version="1.0" encoding="UTF-8"?>
<Relationships xmlns="http://schemas.openxmlformats.org/package/2006/relationships"><Relationship Id="rId1" Type="http://schemas.openxmlformats.org/officeDocument/2006/relationships/chart" Target="../charts/chart1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16848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95760</xdr:rowOff>
    </xdr:to>
    <xdr:sp>
      <xdr:nvSpPr>
        <xdr:cNvPr id="2" name="TextBox 2"/>
        <xdr:cNvSpPr/>
      </xdr:nvSpPr>
      <xdr:spPr>
        <a:xfrm>
          <a:off x="781200" y="1498680"/>
          <a:ext cx="9295920" cy="655884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Adminimstration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associeted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16848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45728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190080</xdr:rowOff>
    </xdr:to>
    <xdr:pic>
      <xdr:nvPicPr>
        <xdr:cNvPr id="5" name="Picture 1" descr=""/>
        <xdr:cNvPicPr/>
      </xdr:nvPicPr>
      <xdr:blipFill>
        <a:blip r:embed="rId1"/>
        <a:stretch/>
      </xdr:blipFill>
      <xdr:spPr>
        <a:xfrm>
          <a:off x="774720" y="162000"/>
          <a:ext cx="1945800" cy="92340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161640</xdr:rowOff>
    </xdr:to>
    <xdr:pic>
      <xdr:nvPicPr>
        <xdr:cNvPr id="6" name="Picture 1" descr=""/>
        <xdr:cNvPicPr/>
      </xdr:nvPicPr>
      <xdr:blipFill>
        <a:blip r:embed="rId1"/>
        <a:stretch/>
      </xdr:blipFill>
      <xdr:spPr>
        <a:xfrm>
          <a:off x="774720" y="162000"/>
          <a:ext cx="1765440" cy="8092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55</xdr:row>
      <xdr:rowOff>156240</xdr:rowOff>
    </xdr:from>
    <xdr:to>
      <xdr:col>19</xdr:col>
      <xdr:colOff>1244160</xdr:colOff>
      <xdr:row>72</xdr:row>
      <xdr:rowOff>155880</xdr:rowOff>
    </xdr:to>
    <xdr:graphicFrame>
      <xdr:nvGraphicFramePr>
        <xdr:cNvPr id="11" name="Chart 1"/>
        <xdr:cNvGraphicFramePr/>
      </xdr:nvGraphicFramePr>
      <xdr:xfrm>
        <a:off x="21247200" y="11096640"/>
        <a:ext cx="871164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20</xdr:row>
      <xdr:rowOff>78120</xdr:rowOff>
    </xdr:from>
    <xdr:to>
      <xdr:col>9</xdr:col>
      <xdr:colOff>423360</xdr:colOff>
      <xdr:row>35</xdr:row>
      <xdr:rowOff>100080</xdr:rowOff>
    </xdr:to>
    <xdr:graphicFrame>
      <xdr:nvGraphicFramePr>
        <xdr:cNvPr id="12" name="Summary Chart 1"/>
        <xdr:cNvGraphicFramePr/>
      </xdr:nvGraphicFramePr>
      <xdr:xfrm>
        <a:off x="11112480" y="4238640"/>
        <a:ext cx="557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20</xdr:row>
      <xdr:rowOff>78120</xdr:rowOff>
    </xdr:from>
    <xdr:to>
      <xdr:col>17</xdr:col>
      <xdr:colOff>601200</xdr:colOff>
      <xdr:row>35</xdr:row>
      <xdr:rowOff>100080</xdr:rowOff>
    </xdr:to>
    <xdr:graphicFrame>
      <xdr:nvGraphicFramePr>
        <xdr:cNvPr id="13" name="Summary Chart 2"/>
        <xdr:cNvGraphicFramePr/>
      </xdr:nvGraphicFramePr>
      <xdr:xfrm>
        <a:off x="21247200" y="4238640"/>
        <a:ext cx="557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38</xdr:row>
      <xdr:rowOff>78120</xdr:rowOff>
    </xdr:from>
    <xdr:to>
      <xdr:col>9</xdr:col>
      <xdr:colOff>423360</xdr:colOff>
      <xdr:row>52</xdr:row>
      <xdr:rowOff>178200</xdr:rowOff>
    </xdr:to>
    <xdr:graphicFrame>
      <xdr:nvGraphicFramePr>
        <xdr:cNvPr id="14" name="Summary Chart 3"/>
        <xdr:cNvGraphicFramePr/>
      </xdr:nvGraphicFramePr>
      <xdr:xfrm>
        <a:off x="11112480" y="7667640"/>
        <a:ext cx="557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38</xdr:row>
      <xdr:rowOff>78120</xdr:rowOff>
    </xdr:from>
    <xdr:to>
      <xdr:col>17</xdr:col>
      <xdr:colOff>601200</xdr:colOff>
      <xdr:row>52</xdr:row>
      <xdr:rowOff>178200</xdr:rowOff>
    </xdr:to>
    <xdr:graphicFrame>
      <xdr:nvGraphicFramePr>
        <xdr:cNvPr id="15" name="Summary Chart 4"/>
        <xdr:cNvGraphicFramePr/>
      </xdr:nvGraphicFramePr>
      <xdr:xfrm>
        <a:off x="21247200" y="7667640"/>
        <a:ext cx="557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55</xdr:row>
      <xdr:rowOff>156240</xdr:rowOff>
    </xdr:from>
    <xdr:to>
      <xdr:col>9</xdr:col>
      <xdr:colOff>423360</xdr:colOff>
      <xdr:row>70</xdr:row>
      <xdr:rowOff>178200</xdr:rowOff>
    </xdr:to>
    <xdr:graphicFrame>
      <xdr:nvGraphicFramePr>
        <xdr:cNvPr id="16" name="Summary Chart 5"/>
        <xdr:cNvGraphicFramePr/>
      </xdr:nvGraphicFramePr>
      <xdr:xfrm>
        <a:off x="11112480" y="11096640"/>
        <a:ext cx="557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1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18"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10</v>
      </c>
    </row>
    <row r="5" customFormat="false" ht="15" hidden="false" customHeight="false" outlineLevel="0" collapsed="false">
      <c r="A5" s="0" t="s">
        <v>9</v>
      </c>
      <c r="C5" s="0" t="n">
        <f aca="false">'General Information'!D26</f>
        <v>66667</v>
      </c>
      <c r="D5" s="0" t="s">
        <v>10</v>
      </c>
      <c r="E5" s="15" t="s">
        <v>11</v>
      </c>
      <c r="F5" s="16" t="n">
        <f aca="false">ROUNDUP(C5*550/(50*100/9)/10000,0)+ROUNDUP(C5*'Maintenance Policies'!D44/10000,0)+ROUNDUP(C5*'Maintenance Policies'!D43/5000,0)+ROUNDUP(C5*'Maintenance Policies'!D42/5000,0)+ROUNDUP(C5*'Maintenance Policies'!D41/1000,0)+7</f>
        <v>19</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15000</v>
      </c>
      <c r="D7" s="0" t="s">
        <v>14</v>
      </c>
      <c r="J7" s="1" t="s">
        <v>15</v>
      </c>
      <c r="K7" s="17" t="n">
        <f aca="false">C5/((12.5*12.5)/9)</f>
        <v>3840.0192</v>
      </c>
    </row>
    <row r="8" customFormat="false" ht="15" hidden="false" customHeight="false" outlineLevel="0" collapsed="false">
      <c r="C8" s="18"/>
      <c r="J8" s="1" t="s">
        <v>16</v>
      </c>
      <c r="K8" s="1" t="n">
        <f aca="false">K7*25+((K7/8)*12.5)</f>
        <v>102000.51</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102000.51</v>
      </c>
      <c r="O13" s="26" t="n">
        <f aca="false">IF(L13="","N/A",VLOOKUP(L13,CHOOSE({1,2},Table2[Pay Item Description],Table2[Unit Cost]),2,0))</f>
        <v>7</v>
      </c>
      <c r="P13" s="27"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1333.34</v>
      </c>
      <c r="W13" s="29" t="n">
        <f aca="false">IF(T13="","N/A",VLOOKUP(T13,CHOOSE({1,2},Table2[Pay Item Description],Table2[Unit Cost]),2,0))</f>
        <v>100</v>
      </c>
      <c r="X13" s="30" t="n">
        <f aca="false">W13*V13</f>
        <v>133334</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1500.0075</v>
      </c>
      <c r="O14" s="26" t="n">
        <f aca="false">IF(L14="","N/A",VLOOKUP(L14,CHOOSE({1,2},Table2[Pay Item Description],Table2[Unit Cost]),2,0))</f>
        <v>8</v>
      </c>
      <c r="P14" s="27"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200.001</v>
      </c>
      <c r="W14" s="29" t="n">
        <f aca="false">IF(T14="","N/A",VLOOKUP(T14,CHOOSE({1,2},Table2[Pay Item Description],Table2[Unit Cost]),2,0))</f>
        <v>120</v>
      </c>
      <c r="X14" s="30" t="n">
        <f aca="false">W14*V14</f>
        <v>24000.12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780.0039</v>
      </c>
      <c r="O15" s="26" t="n">
        <f aca="false">IF(L15="","N/A",VLOOKUP(L15,CHOOSE({1,2},Table2[Pay Item Description],Table2[Unit Cost]),2,0))</f>
        <v>60</v>
      </c>
      <c r="P15" s="27"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780.0039</v>
      </c>
      <c r="W15" s="29" t="n">
        <f aca="false">IF(T15="","N/A",VLOOKUP(T15,CHOOSE({1,2},Table2[Pay Item Description],Table2[Unit Cost]),2,0))</f>
        <v>60</v>
      </c>
      <c r="X15" s="30" t="n">
        <f aca="false">W15*V15</f>
        <v>46800.234</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200.001</v>
      </c>
      <c r="O16" s="26" t="n">
        <f aca="false">IF(L16="","N/A",VLOOKUP(L16,CHOOSE({1,2},Table2[Pay Item Description],Table2[Unit Cost]),2,0))</f>
        <v>120</v>
      </c>
      <c r="P16" s="27"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1800.009</v>
      </c>
      <c r="W16" s="29" t="n">
        <f aca="false">IF(T16="","N/A",VLOOKUP(T16,CHOOSE({1,2},Table2[Pay Item Description],Table2[Unit Cost]),2,0))</f>
        <v>8</v>
      </c>
      <c r="X16" s="30" t="n">
        <f aca="false">W16*V16</f>
        <v>14400.072</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102000.51</v>
      </c>
      <c r="W17" s="29" t="n">
        <f aca="false">IF(T17="","N/A",VLOOKUP(T17,CHOOSE({1,2},Table2[Pay Item Description],Table2[Unit Cost]),2,0))</f>
        <v>7</v>
      </c>
      <c r="X17" s="30" t="n">
        <f aca="false">W17*V17</f>
        <v>714003.57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79680.3984</v>
      </c>
      <c r="W18" s="6" t="s">
        <v>24</v>
      </c>
      <c r="X18" s="30" t="n">
        <f aca="false">SUM(X13:X17)</f>
        <v>932537.996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39840.1992</v>
      </c>
      <c r="T19" s="6" t="s">
        <v>25</v>
      </c>
      <c r="X19" s="30" t="n">
        <f aca="false">('General Information'!$D$36/100)*X18</f>
        <v>93253.7996</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916324.5816</v>
      </c>
      <c r="T20" s="6" t="s">
        <v>26</v>
      </c>
      <c r="X20" s="30" t="n">
        <f aca="false">('General Information'!$D$37/100)*X18</f>
        <v>46626.8998</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1072418.6954</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916324.5816</v>
      </c>
      <c r="E38" s="43" t="n">
        <f aca="false">IF(C38&gt;'General Information'!$D$33,0,D38/(1+('General Information'!$D$34/100))^C38)</f>
        <v>522567.104910763</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32393.9</v>
      </c>
      <c r="E39" s="43" t="n">
        <f aca="false">IF(C39&gt;'General Information'!$D$33,0,D39/(1+('General Information'!$D$34/100))^C39)</f>
        <v>18473.7885239428</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1072418.6954</v>
      </c>
      <c r="E40" s="43" t="n">
        <f aca="false">IF(C40&gt;'General Information'!$D$33,0,D40/(1+('General Information'!$D$34/100))^C40)</f>
        <v>482791.159867436</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61548.41</v>
      </c>
      <c r="E41" s="43" t="n">
        <f aca="false">IF(C41&gt;'General Information'!$D$33,0,D41/(1+('General Information'!$D$34/100))^C41)</f>
        <v>27708.4205817702</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1051540.47388391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916324.5816</v>
      </c>
      <c r="M57" s="2" t="n">
        <f aca="false">IF(K57-$C$6&gt;'General Information'!$D$33,0,SUMIFS($D$38:$D$42,$C$38:$C$42,K57-$C$6,$B$38:$B$42,"*Indirect*"))</f>
        <v>32393.9</v>
      </c>
      <c r="N57" s="2" t="n">
        <f aca="false">IF(K57-$C$6&gt;'General Information'!$D$33,0,IF(K57=$C$6,$E$37,0)+SUMIF($C$38:$C$42,K57-$C$6,$E$38:$E$42))</f>
        <v>541040.893434706</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1072418.6954</v>
      </c>
      <c r="M65" s="2" t="n">
        <f aca="false">IF(K65-$C$6&gt;'General Information'!$D$33,0,SUMIFS($D$38:$D$42,$C$38:$C$42,K65-$C$6,$B$38:$B$42,"*Indirect*"))</f>
        <v>61548.41</v>
      </c>
      <c r="N65" s="2" t="n">
        <f aca="false">IF(K65-$C$6&gt;'General Information'!$D$33,0,IF(K65=$C$6,$E$37,0)+SUMIF($C$38:$C$42,K65-$C$6,$E$38:$E$42))</f>
        <v>510499.580449206</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4.9" hidden="false" customHeight="false" outlineLevel="0" collapsed="false">
      <c r="E7" s="48" t="s">
        <v>47</v>
      </c>
    </row>
    <row r="9" customFormat="false" ht="12.75" hidden="false" customHeight="false" outlineLevel="0" collapsed="false">
      <c r="B9" s="49" t="s">
        <v>48</v>
      </c>
    </row>
    <row r="28" customFormat="false" ht="12.75" hidden="false" customHeight="false" outlineLevel="0" collapsed="false">
      <c r="B28" s="49"/>
    </row>
  </sheetData>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2.75" hidden="false" customHeight="false" outlineLevel="0" collapsed="false">
      <c r="E7" s="47" t="s">
        <v>47</v>
      </c>
    </row>
    <row r="9" customFormat="false" ht="12.75" hidden="false" customHeight="false" outlineLevel="0" collapsed="false">
      <c r="B9" s="49"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0" t="s">
        <v>50</v>
      </c>
      <c r="G2" s="50"/>
      <c r="H2" s="50"/>
      <c r="I2" s="50"/>
      <c r="J2" s="50"/>
    </row>
    <row r="3" customFormat="false" ht="15" hidden="false" customHeight="true" outlineLevel="0" collapsed="false">
      <c r="F3" s="51" t="s">
        <v>51</v>
      </c>
      <c r="G3" s="51"/>
      <c r="H3" s="51"/>
      <c r="I3" s="51"/>
      <c r="J3" s="51"/>
    </row>
    <row r="4" customFormat="false" ht="15" hidden="false" customHeight="true" outlineLevel="0" collapsed="false">
      <c r="F4" s="51"/>
      <c r="G4" s="51"/>
      <c r="H4" s="51"/>
      <c r="I4" s="51"/>
      <c r="J4" s="51"/>
    </row>
    <row r="5" customFormat="false" ht="15" hidden="false" customHeight="true" outlineLevel="0" collapsed="false">
      <c r="F5" s="51"/>
      <c r="G5" s="51"/>
      <c r="H5" s="51"/>
      <c r="I5" s="51"/>
      <c r="J5" s="51"/>
    </row>
    <row r="6" customFormat="false" ht="15" hidden="false" customHeight="true" outlineLevel="0" collapsed="false">
      <c r="F6" s="51"/>
      <c r="G6" s="51"/>
      <c r="H6" s="51"/>
      <c r="I6" s="51"/>
      <c r="J6" s="51"/>
    </row>
    <row r="7" customFormat="false" ht="15" hidden="false" customHeight="true" outlineLevel="0" collapsed="false">
      <c r="F7" s="51"/>
      <c r="G7" s="51"/>
      <c r="H7" s="51"/>
      <c r="I7" s="51"/>
      <c r="J7" s="51"/>
      <c r="K7" s="47" t="s">
        <v>1</v>
      </c>
    </row>
    <row r="8" customFormat="false" ht="12.75" hidden="false" customHeight="false" outlineLevel="0" collapsed="false">
      <c r="B8" s="52" t="s">
        <v>52</v>
      </c>
      <c r="C8" s="52"/>
      <c r="D8" s="52"/>
      <c r="E8" s="52"/>
      <c r="L8" s="53" t="s">
        <v>53</v>
      </c>
      <c r="M8" s="53" t="s">
        <v>54</v>
      </c>
      <c r="N8" s="53" t="s">
        <v>55</v>
      </c>
      <c r="O8" s="53" t="s">
        <v>56</v>
      </c>
      <c r="P8" s="53" t="s">
        <v>57</v>
      </c>
      <c r="Q8" s="53" t="s">
        <v>58</v>
      </c>
      <c r="S8" s="47" t="s">
        <v>59</v>
      </c>
    </row>
    <row r="9" customFormat="false" ht="27.75" hidden="false" customHeight="true" outlineLevel="0" collapsed="false">
      <c r="C9" s="47" t="s">
        <v>60</v>
      </c>
      <c r="D9" s="54" t="s">
        <v>61</v>
      </c>
      <c r="F9" s="55"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5"/>
      <c r="H9" s="55"/>
      <c r="I9" s="55"/>
      <c r="J9" s="55"/>
      <c r="L9" s="53"/>
      <c r="M9" s="53"/>
      <c r="N9" s="53" t="s">
        <v>62</v>
      </c>
      <c r="O9" s="53" t="s">
        <v>62</v>
      </c>
      <c r="P9" s="53"/>
      <c r="Q9" s="21"/>
    </row>
    <row r="10" customFormat="false" ht="12.75" hidden="false" customHeight="false" outlineLevel="0" collapsed="false">
      <c r="C10" s="47" t="s">
        <v>63</v>
      </c>
      <c r="D10" s="56" t="str">
        <f aca="false">IF(D9="","N/A",VLOOKUP(Airport_Name,Table17[],2))</f>
        <v>CKV</v>
      </c>
      <c r="L10" s="47" t="s">
        <v>64</v>
      </c>
      <c r="M10" s="47" t="s">
        <v>65</v>
      </c>
      <c r="N10" s="47" t="s">
        <v>66</v>
      </c>
      <c r="O10" s="47" t="s">
        <v>67</v>
      </c>
      <c r="P10" s="47" t="s">
        <v>68</v>
      </c>
      <c r="S10" s="47" t="s">
        <v>69</v>
      </c>
    </row>
    <row r="11" customFormat="false" ht="12.75" hidden="false" customHeight="false" outlineLevel="0" collapsed="false">
      <c r="C11" s="47" t="s">
        <v>70</v>
      </c>
      <c r="D11" s="56" t="str">
        <f aca="false">IF(D9="","N/A",VLOOKUP(Airport_Name,Table17[],3))</f>
        <v>Clarksville</v>
      </c>
      <c r="L11" s="47" t="s">
        <v>71</v>
      </c>
      <c r="M11" s="47" t="s">
        <v>72</v>
      </c>
      <c r="N11" s="47" t="s">
        <v>73</v>
      </c>
      <c r="O11" s="47" t="s">
        <v>74</v>
      </c>
      <c r="P11" s="47" t="s">
        <v>75</v>
      </c>
      <c r="S11" s="47" t="s">
        <v>76</v>
      </c>
    </row>
    <row r="12" customFormat="false" ht="12.75" hidden="false" customHeight="false" outlineLevel="0" collapsed="false">
      <c r="C12" s="47" t="s">
        <v>77</v>
      </c>
      <c r="D12" s="56" t="n">
        <f aca="false">IF(D9="","N/A",VLOOKUP(Airport_Name,Table17[],6))</f>
        <v>0</v>
      </c>
      <c r="L12" s="47" t="s">
        <v>78</v>
      </c>
      <c r="M12" s="47" t="s">
        <v>79</v>
      </c>
      <c r="N12" s="47" t="s">
        <v>80</v>
      </c>
      <c r="O12" s="47" t="s">
        <v>81</v>
      </c>
      <c r="P12" s="47" t="s">
        <v>75</v>
      </c>
      <c r="S12" s="47" t="s">
        <v>82</v>
      </c>
    </row>
    <row r="13" customFormat="false" ht="12.75" hidden="false" customHeight="false" outlineLevel="0" collapsed="false">
      <c r="C13" s="47" t="s">
        <v>83</v>
      </c>
      <c r="D13" s="56" t="str">
        <f aca="false">IF(D9="","N/A",VLOOKUP(Airport_Name,Table17[],5))</f>
        <v>Middle</v>
      </c>
      <c r="L13" s="47" t="s">
        <v>84</v>
      </c>
      <c r="M13" s="47" t="s">
        <v>85</v>
      </c>
      <c r="N13" s="47" t="s">
        <v>86</v>
      </c>
      <c r="O13" s="47" t="s">
        <v>87</v>
      </c>
      <c r="P13" s="47" t="s">
        <v>75</v>
      </c>
    </row>
    <row r="14" customFormat="false" ht="12.75" hidden="false" customHeight="false" outlineLevel="0" collapsed="false">
      <c r="C14" s="47" t="s">
        <v>88</v>
      </c>
      <c r="D14" s="54" t="s">
        <v>89</v>
      </c>
      <c r="L14" s="47" t="s">
        <v>90</v>
      </c>
      <c r="M14" s="47" t="s">
        <v>91</v>
      </c>
      <c r="N14" s="47" t="s">
        <v>92</v>
      </c>
      <c r="O14" s="47" t="s">
        <v>93</v>
      </c>
      <c r="P14" s="47" t="s">
        <v>68</v>
      </c>
    </row>
    <row r="15" customFormat="false" ht="12.75" hidden="false" customHeight="false" outlineLevel="0" collapsed="false">
      <c r="C15" s="47" t="s">
        <v>94</v>
      </c>
      <c r="D15" s="57" t="s">
        <v>95</v>
      </c>
      <c r="L15" s="47" t="s">
        <v>96</v>
      </c>
      <c r="M15" s="47" t="s">
        <v>97</v>
      </c>
      <c r="N15" s="47" t="s">
        <v>98</v>
      </c>
      <c r="O15" s="47" t="s">
        <v>99</v>
      </c>
      <c r="P15" s="47" t="s">
        <v>75</v>
      </c>
      <c r="S15" s="47" t="s">
        <v>100</v>
      </c>
    </row>
    <row r="16" customFormat="false" ht="12.75" hidden="false" customHeight="false" outlineLevel="0" collapsed="false">
      <c r="C16" s="47" t="s">
        <v>101</v>
      </c>
      <c r="D16" s="54" t="s">
        <v>102</v>
      </c>
      <c r="L16" s="47" t="s">
        <v>103</v>
      </c>
      <c r="M16" s="47" t="s">
        <v>104</v>
      </c>
      <c r="N16" s="47" t="s">
        <v>105</v>
      </c>
      <c r="O16" s="47" t="s">
        <v>106</v>
      </c>
      <c r="P16" s="47" t="s">
        <v>68</v>
      </c>
    </row>
    <row r="17" customFormat="false" ht="12.75" hidden="false" customHeight="false" outlineLevel="0" collapsed="false">
      <c r="C17" s="47" t="s">
        <v>107</v>
      </c>
      <c r="D17" s="58"/>
      <c r="L17" s="47" t="s">
        <v>108</v>
      </c>
      <c r="M17" s="47" t="s">
        <v>109</v>
      </c>
      <c r="N17" s="47" t="s">
        <v>110</v>
      </c>
      <c r="O17" s="47" t="s">
        <v>111</v>
      </c>
      <c r="P17" s="47" t="s">
        <v>75</v>
      </c>
      <c r="S17" s="47" t="s">
        <v>112</v>
      </c>
    </row>
    <row r="18" customFormat="false" ht="12.75" hidden="false" customHeight="false" outlineLevel="0" collapsed="false">
      <c r="L18" s="47" t="s">
        <v>113</v>
      </c>
      <c r="M18" s="47" t="s">
        <v>114</v>
      </c>
      <c r="N18" s="47" t="s">
        <v>87</v>
      </c>
      <c r="O18" s="47" t="s">
        <v>115</v>
      </c>
      <c r="P18" s="47" t="s">
        <v>116</v>
      </c>
      <c r="S18" s="47" t="s">
        <v>117</v>
      </c>
    </row>
    <row r="19" customFormat="false" ht="12.75" hidden="false" customHeight="false" outlineLevel="0" collapsed="false">
      <c r="L19" s="47" t="s">
        <v>118</v>
      </c>
      <c r="M19" s="47" t="s">
        <v>119</v>
      </c>
      <c r="N19" s="47" t="s">
        <v>120</v>
      </c>
      <c r="O19" s="47" t="s">
        <v>121</v>
      </c>
      <c r="P19" s="47" t="s">
        <v>116</v>
      </c>
    </row>
    <row r="20" customFormat="false" ht="12.75" hidden="false" customHeight="false" outlineLevel="0" collapsed="false">
      <c r="B20" s="52" t="s">
        <v>122</v>
      </c>
      <c r="C20" s="52"/>
      <c r="D20" s="52"/>
      <c r="E20" s="52"/>
      <c r="L20" s="47" t="s">
        <v>123</v>
      </c>
      <c r="M20" s="47" t="s">
        <v>124</v>
      </c>
      <c r="N20" s="47" t="s">
        <v>125</v>
      </c>
      <c r="O20" s="47" t="s">
        <v>126</v>
      </c>
      <c r="P20" s="47" t="s">
        <v>116</v>
      </c>
    </row>
    <row r="21" customFormat="false" ht="12.75" hidden="false" customHeight="false" outlineLevel="0" collapsed="false">
      <c r="C21" s="47" t="s">
        <v>127</v>
      </c>
      <c r="D21" s="54" t="s">
        <v>69</v>
      </c>
      <c r="L21" s="47" t="s">
        <v>128</v>
      </c>
      <c r="M21" s="47" t="s">
        <v>129</v>
      </c>
      <c r="N21" s="47" t="s">
        <v>130</v>
      </c>
      <c r="O21" s="47" t="s">
        <v>131</v>
      </c>
      <c r="P21" s="47" t="s">
        <v>116</v>
      </c>
      <c r="S21" s="47" t="s">
        <v>132</v>
      </c>
    </row>
    <row r="22" customFormat="false" ht="12.75" hidden="false" customHeight="false" outlineLevel="0" collapsed="false">
      <c r="C22" s="47" t="s">
        <v>133</v>
      </c>
      <c r="D22" s="54" t="s">
        <v>134</v>
      </c>
      <c r="L22" s="47" t="s">
        <v>135</v>
      </c>
      <c r="M22" s="47" t="s">
        <v>136</v>
      </c>
      <c r="N22" s="47" t="s">
        <v>137</v>
      </c>
      <c r="O22" s="47" t="s">
        <v>138</v>
      </c>
      <c r="P22" s="47" t="s">
        <v>75</v>
      </c>
    </row>
    <row r="23" customFormat="false" ht="12.75" hidden="false" customHeight="false" outlineLevel="0" collapsed="false">
      <c r="C23" s="47" t="s">
        <v>139</v>
      </c>
      <c r="D23" s="54" t="s">
        <v>140</v>
      </c>
      <c r="L23" s="47" t="s">
        <v>141</v>
      </c>
      <c r="M23" s="47" t="s">
        <v>142</v>
      </c>
      <c r="N23" s="47" t="s">
        <v>143</v>
      </c>
      <c r="O23" s="47" t="s">
        <v>144</v>
      </c>
      <c r="P23" s="47" t="s">
        <v>116</v>
      </c>
      <c r="S23" s="47" t="s">
        <v>145</v>
      </c>
    </row>
    <row r="24" customFormat="false" ht="12.75" hidden="false" customHeight="false" outlineLevel="0" collapsed="false">
      <c r="C24" s="47" t="s">
        <v>146</v>
      </c>
      <c r="D24" s="54" t="s">
        <v>147</v>
      </c>
      <c r="L24" s="47" t="s">
        <v>148</v>
      </c>
      <c r="M24" s="47" t="s">
        <v>149</v>
      </c>
      <c r="N24" s="47" t="s">
        <v>150</v>
      </c>
      <c r="O24" s="47" t="s">
        <v>126</v>
      </c>
      <c r="P24" s="47" t="s">
        <v>116</v>
      </c>
      <c r="S24" s="47" t="s">
        <v>151</v>
      </c>
    </row>
    <row r="25" customFormat="false" ht="12.75" hidden="false" customHeight="false" outlineLevel="0" collapsed="false">
      <c r="C25" s="47" t="s">
        <v>152</v>
      </c>
      <c r="D25" s="54" t="n">
        <v>2028</v>
      </c>
      <c r="F25" s="59" t="s">
        <v>153</v>
      </c>
      <c r="L25" s="47" t="s">
        <v>154</v>
      </c>
      <c r="M25" s="47" t="s">
        <v>155</v>
      </c>
      <c r="N25" s="47" t="s">
        <v>156</v>
      </c>
      <c r="O25" s="47" t="s">
        <v>156</v>
      </c>
      <c r="P25" s="47" t="s">
        <v>68</v>
      </c>
      <c r="S25" s="47" t="s">
        <v>157</v>
      </c>
    </row>
    <row r="26" customFormat="false" ht="12.75" hidden="false" customHeight="false" outlineLevel="0" collapsed="false">
      <c r="C26" s="47" t="s">
        <v>158</v>
      </c>
      <c r="D26" s="54" t="n">
        <v>66667</v>
      </c>
      <c r="F26" s="59" t="s">
        <v>159</v>
      </c>
      <c r="L26" s="47" t="s">
        <v>160</v>
      </c>
      <c r="M26" s="47" t="s">
        <v>161</v>
      </c>
      <c r="N26" s="47" t="s">
        <v>162</v>
      </c>
      <c r="O26" s="47" t="s">
        <v>163</v>
      </c>
      <c r="P26" s="47" t="s">
        <v>75</v>
      </c>
    </row>
    <row r="27" customFormat="false" ht="12.75" hidden="false" customHeight="false" outlineLevel="0" collapsed="false">
      <c r="C27" s="47" t="s">
        <v>164</v>
      </c>
      <c r="D27" s="54" t="n">
        <v>0</v>
      </c>
      <c r="F27" s="59" t="s">
        <v>165</v>
      </c>
      <c r="L27" s="47" t="s">
        <v>166</v>
      </c>
      <c r="M27" s="47" t="s">
        <v>167</v>
      </c>
      <c r="N27" s="47" t="s">
        <v>168</v>
      </c>
      <c r="O27" s="47" t="s">
        <v>169</v>
      </c>
      <c r="P27" s="47" t="s">
        <v>116</v>
      </c>
    </row>
    <row r="28" customFormat="false" ht="12.75" hidden="false" customHeight="false" outlineLevel="0" collapsed="false">
      <c r="C28" s="47" t="s">
        <v>170</v>
      </c>
      <c r="D28" s="54" t="n">
        <v>15000</v>
      </c>
      <c r="F28" s="59" t="s">
        <v>171</v>
      </c>
      <c r="L28" s="47" t="s">
        <v>172</v>
      </c>
      <c r="M28" s="47" t="s">
        <v>173</v>
      </c>
      <c r="N28" s="47" t="s">
        <v>174</v>
      </c>
      <c r="O28" s="47" t="s">
        <v>175</v>
      </c>
      <c r="P28" s="47" t="s">
        <v>68</v>
      </c>
    </row>
    <row r="29" customFormat="false" ht="12.75" hidden="false" customHeight="false" outlineLevel="0" collapsed="false">
      <c r="C29" s="47" t="s">
        <v>176</v>
      </c>
      <c r="D29" s="54" t="s">
        <v>112</v>
      </c>
      <c r="L29" s="47" t="s">
        <v>177</v>
      </c>
      <c r="M29" s="47" t="s">
        <v>178</v>
      </c>
      <c r="N29" s="47" t="s">
        <v>179</v>
      </c>
      <c r="O29" s="47" t="s">
        <v>180</v>
      </c>
      <c r="P29" s="47" t="s">
        <v>75</v>
      </c>
    </row>
    <row r="30" customFormat="false" ht="12.75" hidden="false" customHeight="false" outlineLevel="0" collapsed="false">
      <c r="L30" s="47" t="s">
        <v>181</v>
      </c>
      <c r="M30" s="47" t="s">
        <v>182</v>
      </c>
      <c r="N30" s="47" t="s">
        <v>183</v>
      </c>
      <c r="O30" s="47" t="s">
        <v>184</v>
      </c>
      <c r="P30" s="47" t="s">
        <v>75</v>
      </c>
    </row>
    <row r="31" customFormat="false" ht="12.75" hidden="false" customHeight="false" outlineLevel="0" collapsed="false">
      <c r="L31" s="47" t="s">
        <v>185</v>
      </c>
      <c r="M31" s="47" t="s">
        <v>186</v>
      </c>
      <c r="N31" s="47" t="s">
        <v>187</v>
      </c>
      <c r="O31" s="47" t="s">
        <v>188</v>
      </c>
      <c r="P31" s="47" t="s">
        <v>68</v>
      </c>
    </row>
    <row r="32" customFormat="false" ht="12.75" hidden="false" customHeight="false" outlineLevel="0" collapsed="false">
      <c r="B32" s="52" t="s">
        <v>189</v>
      </c>
      <c r="C32" s="52"/>
      <c r="D32" s="52"/>
      <c r="E32" s="52"/>
      <c r="L32" s="47" t="s">
        <v>190</v>
      </c>
      <c r="M32" s="47" t="s">
        <v>191</v>
      </c>
      <c r="N32" s="47" t="s">
        <v>192</v>
      </c>
      <c r="O32" s="47" t="s">
        <v>193</v>
      </c>
      <c r="P32" s="47" t="s">
        <v>68</v>
      </c>
    </row>
    <row r="33" customFormat="false" ht="12.75" hidden="false" customHeight="false" outlineLevel="0" collapsed="false">
      <c r="C33" s="47" t="s">
        <v>194</v>
      </c>
      <c r="D33" s="60" t="n">
        <v>30</v>
      </c>
      <c r="F33" s="59" t="s">
        <v>195</v>
      </c>
      <c r="L33" s="47" t="s">
        <v>196</v>
      </c>
      <c r="M33" s="47" t="s">
        <v>197</v>
      </c>
      <c r="N33" s="47" t="s">
        <v>198</v>
      </c>
      <c r="O33" s="47" t="s">
        <v>199</v>
      </c>
      <c r="P33" s="47" t="s">
        <v>116</v>
      </c>
    </row>
    <row r="34" customFormat="false" ht="12.75" hidden="false" customHeight="false" outlineLevel="0" collapsed="false">
      <c r="C34" s="47" t="s">
        <v>200</v>
      </c>
      <c r="D34" s="60" t="n">
        <v>3</v>
      </c>
      <c r="F34" s="59" t="s">
        <v>201</v>
      </c>
      <c r="L34" s="47" t="s">
        <v>202</v>
      </c>
      <c r="M34" s="47" t="s">
        <v>203</v>
      </c>
      <c r="N34" s="47" t="s">
        <v>204</v>
      </c>
      <c r="O34" s="47" t="s">
        <v>111</v>
      </c>
      <c r="P34" s="47" t="s">
        <v>75</v>
      </c>
    </row>
    <row r="35" customFormat="false" ht="12.75" hidden="false" customHeight="false" outlineLevel="0" collapsed="false">
      <c r="C35" s="47" t="s">
        <v>205</v>
      </c>
      <c r="D35" s="5" t="s">
        <v>206</v>
      </c>
      <c r="L35" s="47" t="s">
        <v>207</v>
      </c>
      <c r="M35" s="47" t="s">
        <v>208</v>
      </c>
      <c r="N35" s="47" t="s">
        <v>209</v>
      </c>
      <c r="O35" s="47" t="s">
        <v>210</v>
      </c>
      <c r="P35" s="47" t="s">
        <v>75</v>
      </c>
    </row>
    <row r="36" customFormat="false" ht="12.75" hidden="false" customHeight="false" outlineLevel="0" collapsed="false">
      <c r="C36" s="47" t="s">
        <v>211</v>
      </c>
      <c r="D36" s="60" t="n">
        <v>10</v>
      </c>
      <c r="F36" s="59" t="s">
        <v>212</v>
      </c>
      <c r="L36" s="47" t="s">
        <v>213</v>
      </c>
      <c r="M36" s="47" t="s">
        <v>214</v>
      </c>
      <c r="N36" s="47" t="s">
        <v>215</v>
      </c>
      <c r="O36" s="47" t="s">
        <v>216</v>
      </c>
      <c r="P36" s="47" t="s">
        <v>116</v>
      </c>
    </row>
    <row r="37" customFormat="false" ht="12.75" hidden="false" customHeight="false" outlineLevel="0" collapsed="false">
      <c r="C37" s="47" t="s">
        <v>217</v>
      </c>
      <c r="D37" s="60" t="n">
        <v>5</v>
      </c>
      <c r="F37" s="59" t="s">
        <v>218</v>
      </c>
      <c r="L37" s="47" t="s">
        <v>219</v>
      </c>
      <c r="M37" s="47" t="s">
        <v>220</v>
      </c>
      <c r="N37" s="47" t="s">
        <v>221</v>
      </c>
      <c r="O37" s="47" t="s">
        <v>222</v>
      </c>
      <c r="P37" s="47" t="s">
        <v>68</v>
      </c>
    </row>
    <row r="38" customFormat="false" ht="12.75" hidden="false" customHeight="false" outlineLevel="0" collapsed="false">
      <c r="C38" s="47" t="s">
        <v>223</v>
      </c>
      <c r="D38" s="61" t="s">
        <v>224</v>
      </c>
      <c r="F38" s="59" t="s">
        <v>225</v>
      </c>
      <c r="L38" s="47" t="s">
        <v>226</v>
      </c>
      <c r="M38" s="47" t="s">
        <v>227</v>
      </c>
      <c r="N38" s="47" t="s">
        <v>228</v>
      </c>
      <c r="O38" s="47" t="s">
        <v>229</v>
      </c>
      <c r="P38" s="47" t="s">
        <v>116</v>
      </c>
    </row>
    <row r="39" customFormat="false" ht="12.75" hidden="false" customHeight="false" outlineLevel="0" collapsed="false">
      <c r="C39" s="47" t="s">
        <v>230</v>
      </c>
      <c r="D39" s="62"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3239.39</v>
      </c>
      <c r="L39" s="47" t="s">
        <v>231</v>
      </c>
      <c r="M39" s="47" t="s">
        <v>232</v>
      </c>
      <c r="N39" s="47" t="s">
        <v>233</v>
      </c>
      <c r="O39" s="47" t="s">
        <v>234</v>
      </c>
      <c r="P39" s="47" t="s">
        <v>75</v>
      </c>
    </row>
    <row r="40" customFormat="false" ht="12.75" hidden="false" customHeight="false" outlineLevel="0" collapsed="false">
      <c r="L40" s="47" t="s">
        <v>235</v>
      </c>
      <c r="M40" s="47" t="s">
        <v>236</v>
      </c>
      <c r="N40" s="47" t="s">
        <v>237</v>
      </c>
      <c r="O40" s="47" t="s">
        <v>238</v>
      </c>
      <c r="P40" s="47" t="s">
        <v>68</v>
      </c>
    </row>
    <row r="41" customFormat="false" ht="12.75" hidden="false" customHeight="false" outlineLevel="0" collapsed="false">
      <c r="B41" s="49" t="s">
        <v>239</v>
      </c>
      <c r="L41" s="47" t="s">
        <v>240</v>
      </c>
      <c r="M41" s="47" t="s">
        <v>241</v>
      </c>
      <c r="N41" s="47" t="s">
        <v>242</v>
      </c>
      <c r="O41" s="47" t="s">
        <v>210</v>
      </c>
      <c r="P41" s="47" t="s">
        <v>75</v>
      </c>
    </row>
    <row r="42" customFormat="false" ht="12.75" hidden="false" customHeight="false" outlineLevel="0" collapsed="false">
      <c r="L42" s="47" t="s">
        <v>243</v>
      </c>
      <c r="M42" s="47" t="s">
        <v>244</v>
      </c>
      <c r="N42" s="47" t="s">
        <v>245</v>
      </c>
      <c r="O42" s="47" t="s">
        <v>246</v>
      </c>
      <c r="P42" s="47" t="s">
        <v>68</v>
      </c>
    </row>
    <row r="43" customFormat="false" ht="12.75" hidden="false" customHeight="false" outlineLevel="0" collapsed="false">
      <c r="L43" s="47" t="s">
        <v>247</v>
      </c>
      <c r="M43" s="47" t="s">
        <v>248</v>
      </c>
      <c r="N43" s="47" t="s">
        <v>249</v>
      </c>
      <c r="O43" s="47" t="s">
        <v>250</v>
      </c>
      <c r="P43" s="47" t="s">
        <v>68</v>
      </c>
    </row>
    <row r="44" customFormat="false" ht="21" hidden="false" customHeight="true" outlineLevel="0" collapsed="false">
      <c r="B44" s="49" t="s">
        <v>251</v>
      </c>
      <c r="D44" s="3" t="str">
        <f aca="false">HYPERLINK("#Summary!G1","View Summary  ►")</f>
        <v>View Summary  ►</v>
      </c>
      <c r="L44" s="47" t="s">
        <v>252</v>
      </c>
      <c r="M44" s="47" t="s">
        <v>253</v>
      </c>
      <c r="N44" s="47" t="s">
        <v>254</v>
      </c>
      <c r="O44" s="47" t="s">
        <v>255</v>
      </c>
      <c r="P44" s="47" t="s">
        <v>68</v>
      </c>
    </row>
    <row r="45" customFormat="false" ht="12.75" hidden="false" customHeight="false" outlineLevel="0" collapsed="false">
      <c r="L45" s="47" t="s">
        <v>256</v>
      </c>
      <c r="M45" s="47" t="s">
        <v>257</v>
      </c>
      <c r="N45" s="47" t="s">
        <v>258</v>
      </c>
      <c r="O45" s="47" t="s">
        <v>259</v>
      </c>
      <c r="P45" s="47" t="s">
        <v>68</v>
      </c>
    </row>
    <row r="46" customFormat="false" ht="21" hidden="false" customHeight="true" outlineLevel="0" collapsed="false">
      <c r="B46" s="49" t="s">
        <v>260</v>
      </c>
      <c r="D46" s="3" t="str">
        <f aca="false">HYPERLINK("#'Typical Values'!A1","Typical Values  ►")</f>
        <v>Typical Values  ►</v>
      </c>
      <c r="L46" s="47" t="s">
        <v>261</v>
      </c>
      <c r="M46" s="47" t="s">
        <v>262</v>
      </c>
      <c r="N46" s="47" t="s">
        <v>263</v>
      </c>
      <c r="O46" s="47" t="s">
        <v>264</v>
      </c>
      <c r="P46" s="47" t="s">
        <v>68</v>
      </c>
    </row>
    <row r="47" customFormat="false" ht="12.75" hidden="false" customHeight="false" outlineLevel="0" collapsed="false">
      <c r="L47" s="47" t="s">
        <v>265</v>
      </c>
      <c r="M47" s="47" t="s">
        <v>266</v>
      </c>
      <c r="N47" s="47" t="s">
        <v>267</v>
      </c>
      <c r="O47" s="47" t="s">
        <v>268</v>
      </c>
      <c r="P47" s="47" t="s">
        <v>68</v>
      </c>
    </row>
    <row r="48" customFormat="false" ht="12.75" hidden="false" customHeight="false" outlineLevel="0" collapsed="false">
      <c r="L48" s="47" t="s">
        <v>269</v>
      </c>
      <c r="M48" s="47" t="s">
        <v>270</v>
      </c>
      <c r="N48" s="47" t="s">
        <v>271</v>
      </c>
      <c r="O48" s="47" t="s">
        <v>272</v>
      </c>
      <c r="P48" s="47" t="s">
        <v>116</v>
      </c>
    </row>
    <row r="49" customFormat="false" ht="12.75" hidden="false" customHeight="false" outlineLevel="0" collapsed="false">
      <c r="L49" s="47" t="s">
        <v>273</v>
      </c>
      <c r="M49" s="47" t="s">
        <v>274</v>
      </c>
      <c r="N49" s="47" t="s">
        <v>275</v>
      </c>
      <c r="O49" s="47" t="s">
        <v>276</v>
      </c>
      <c r="P49" s="47" t="s">
        <v>116</v>
      </c>
    </row>
    <row r="50" customFormat="false" ht="12.75" hidden="false" customHeight="false" outlineLevel="0" collapsed="false">
      <c r="L50" s="47" t="s">
        <v>277</v>
      </c>
      <c r="M50" s="47" t="s">
        <v>278</v>
      </c>
      <c r="N50" s="47" t="s">
        <v>279</v>
      </c>
      <c r="O50" s="47" t="s">
        <v>280</v>
      </c>
      <c r="P50" s="47" t="s">
        <v>116</v>
      </c>
    </row>
    <row r="51" customFormat="false" ht="12.75" hidden="false" customHeight="false" outlineLevel="0" collapsed="false">
      <c r="L51" s="47" t="s">
        <v>281</v>
      </c>
      <c r="M51" s="47" t="s">
        <v>282</v>
      </c>
      <c r="N51" s="47" t="s">
        <v>283</v>
      </c>
      <c r="O51" s="47" t="s">
        <v>284</v>
      </c>
      <c r="P51" s="47" t="s">
        <v>68</v>
      </c>
    </row>
    <row r="52" customFormat="false" ht="12.75" hidden="false" customHeight="false" outlineLevel="0" collapsed="false">
      <c r="L52" s="47" t="s">
        <v>285</v>
      </c>
      <c r="M52" s="47" t="s">
        <v>286</v>
      </c>
      <c r="N52" s="47" t="s">
        <v>287</v>
      </c>
      <c r="O52" s="47" t="s">
        <v>288</v>
      </c>
      <c r="P52" s="47" t="s">
        <v>68</v>
      </c>
    </row>
    <row r="53" customFormat="false" ht="12.75" hidden="false" customHeight="false" outlineLevel="0" collapsed="false">
      <c r="L53" s="47" t="s">
        <v>289</v>
      </c>
      <c r="M53" s="47" t="s">
        <v>290</v>
      </c>
      <c r="N53" s="47" t="s">
        <v>291</v>
      </c>
      <c r="O53" s="47" t="s">
        <v>292</v>
      </c>
      <c r="P53" s="47" t="s">
        <v>68</v>
      </c>
    </row>
    <row r="54" customFormat="false" ht="12.75" hidden="false" customHeight="false" outlineLevel="0" collapsed="false">
      <c r="L54" s="47" t="s">
        <v>293</v>
      </c>
      <c r="M54" s="47" t="s">
        <v>294</v>
      </c>
      <c r="N54" s="47" t="s">
        <v>295</v>
      </c>
      <c r="O54" s="47" t="s">
        <v>296</v>
      </c>
      <c r="P54" s="47" t="s">
        <v>68</v>
      </c>
    </row>
    <row r="55" customFormat="false" ht="12.75" hidden="false" customHeight="false" outlineLevel="0" collapsed="false">
      <c r="L55" s="47" t="s">
        <v>297</v>
      </c>
      <c r="M55" s="47" t="s">
        <v>298</v>
      </c>
      <c r="N55" s="47" t="s">
        <v>150</v>
      </c>
      <c r="O55" s="47" t="s">
        <v>126</v>
      </c>
      <c r="P55" s="47" t="s">
        <v>116</v>
      </c>
    </row>
    <row r="56" customFormat="false" ht="12.75" hidden="false" customHeight="false" outlineLevel="0" collapsed="false">
      <c r="L56" s="47" t="s">
        <v>299</v>
      </c>
      <c r="M56" s="47" t="s">
        <v>300</v>
      </c>
      <c r="N56" s="47" t="s">
        <v>301</v>
      </c>
      <c r="O56" s="47" t="s">
        <v>302</v>
      </c>
      <c r="P56" s="47" t="s">
        <v>116</v>
      </c>
    </row>
    <row r="57" customFormat="false" ht="12.75" hidden="false" customHeight="false" outlineLevel="0" collapsed="false">
      <c r="L57" s="47" t="s">
        <v>303</v>
      </c>
      <c r="M57" s="47" t="s">
        <v>304</v>
      </c>
      <c r="N57" s="47" t="s">
        <v>305</v>
      </c>
      <c r="O57" s="47" t="s">
        <v>306</v>
      </c>
      <c r="P57" s="47" t="s">
        <v>116</v>
      </c>
    </row>
    <row r="58" customFormat="false" ht="12.75" hidden="false" customHeight="false" outlineLevel="0" collapsed="false">
      <c r="L58" s="47" t="s">
        <v>307</v>
      </c>
      <c r="M58" s="47" t="s">
        <v>308</v>
      </c>
      <c r="N58" s="47" t="s">
        <v>309</v>
      </c>
      <c r="O58" s="47" t="s">
        <v>115</v>
      </c>
      <c r="P58" s="47" t="s">
        <v>116</v>
      </c>
    </row>
    <row r="59" customFormat="false" ht="12.75" hidden="false" customHeight="false" outlineLevel="0" collapsed="false">
      <c r="L59" s="47" t="s">
        <v>310</v>
      </c>
      <c r="M59" s="47" t="s">
        <v>311</v>
      </c>
      <c r="N59" s="47" t="s">
        <v>312</v>
      </c>
      <c r="O59" s="47" t="s">
        <v>313</v>
      </c>
      <c r="P59" s="47" t="s">
        <v>68</v>
      </c>
    </row>
    <row r="60" customFormat="false" ht="12.75" hidden="false" customHeight="false" outlineLevel="0" collapsed="false">
      <c r="L60" s="47" t="s">
        <v>314</v>
      </c>
      <c r="M60" s="47" t="s">
        <v>315</v>
      </c>
      <c r="N60" s="47" t="s">
        <v>279</v>
      </c>
      <c r="O60" s="47" t="s">
        <v>316</v>
      </c>
      <c r="P60" s="47" t="s">
        <v>116</v>
      </c>
    </row>
    <row r="61" customFormat="false" ht="12.75" hidden="false" customHeight="false" outlineLevel="0" collapsed="false">
      <c r="L61" s="47" t="s">
        <v>317</v>
      </c>
      <c r="M61" s="47" t="s">
        <v>318</v>
      </c>
      <c r="N61" s="47" t="s">
        <v>250</v>
      </c>
      <c r="O61" s="47" t="s">
        <v>319</v>
      </c>
      <c r="P61" s="47" t="s">
        <v>75</v>
      </c>
    </row>
    <row r="62" customFormat="false" ht="12.75" hidden="false" customHeight="false" outlineLevel="0" collapsed="false">
      <c r="L62" s="47" t="s">
        <v>320</v>
      </c>
      <c r="M62" s="47" t="s">
        <v>321</v>
      </c>
      <c r="N62" s="47" t="s">
        <v>322</v>
      </c>
      <c r="O62" s="47" t="s">
        <v>323</v>
      </c>
      <c r="P62" s="47" t="s">
        <v>116</v>
      </c>
    </row>
    <row r="63" customFormat="false" ht="12.75" hidden="false" customHeight="false" outlineLevel="0" collapsed="false">
      <c r="L63" s="47" t="s">
        <v>324</v>
      </c>
      <c r="M63" s="47" t="s">
        <v>325</v>
      </c>
      <c r="N63" s="47" t="s">
        <v>204</v>
      </c>
      <c r="O63" s="47" t="s">
        <v>111</v>
      </c>
      <c r="P63" s="47" t="s">
        <v>75</v>
      </c>
    </row>
    <row r="64" customFormat="false" ht="12.75" hidden="false" customHeight="false" outlineLevel="0" collapsed="false">
      <c r="L64" s="47" t="s">
        <v>326</v>
      </c>
      <c r="M64" s="47" t="s">
        <v>327</v>
      </c>
      <c r="N64" s="47" t="s">
        <v>110</v>
      </c>
      <c r="O64" s="47" t="s">
        <v>111</v>
      </c>
      <c r="P64" s="47" t="s">
        <v>75</v>
      </c>
    </row>
    <row r="65" customFormat="false" ht="12.75" hidden="false" customHeight="false" outlineLevel="0" collapsed="false">
      <c r="L65" s="47" t="s">
        <v>328</v>
      </c>
      <c r="M65" s="47" t="s">
        <v>329</v>
      </c>
      <c r="N65" s="47" t="s">
        <v>330</v>
      </c>
      <c r="O65" s="47" t="s">
        <v>331</v>
      </c>
      <c r="P65" s="47" t="s">
        <v>116</v>
      </c>
    </row>
    <row r="66" customFormat="false" ht="12.75" hidden="false" customHeight="false" outlineLevel="0" collapsed="false">
      <c r="L66" s="47" t="s">
        <v>332</v>
      </c>
      <c r="M66" s="47" t="s">
        <v>333</v>
      </c>
      <c r="N66" s="47" t="s">
        <v>334</v>
      </c>
      <c r="O66" s="47" t="s">
        <v>335</v>
      </c>
      <c r="P66" s="47" t="s">
        <v>116</v>
      </c>
    </row>
    <row r="67" customFormat="false" ht="12.75" hidden="false" customHeight="false" outlineLevel="0" collapsed="false">
      <c r="L67" s="47" t="s">
        <v>336</v>
      </c>
      <c r="M67" s="47" t="s">
        <v>337</v>
      </c>
      <c r="N67" s="47" t="s">
        <v>338</v>
      </c>
      <c r="O67" s="47" t="s">
        <v>339</v>
      </c>
      <c r="P67" s="47" t="s">
        <v>68</v>
      </c>
    </row>
    <row r="68" customFormat="false" ht="12.75" hidden="false" customHeight="false" outlineLevel="0" collapsed="false">
      <c r="L68" s="47" t="s">
        <v>340</v>
      </c>
      <c r="M68" s="47" t="s">
        <v>341</v>
      </c>
      <c r="N68" s="47" t="s">
        <v>342</v>
      </c>
      <c r="O68" s="47" t="s">
        <v>343</v>
      </c>
      <c r="P68" s="47" t="s">
        <v>68</v>
      </c>
    </row>
    <row r="69" customFormat="false" ht="12.75" hidden="false" customHeight="false" outlineLevel="0" collapsed="false">
      <c r="L69" s="47" t="s">
        <v>344</v>
      </c>
      <c r="M69" s="47" t="s">
        <v>345</v>
      </c>
      <c r="N69" s="47" t="s">
        <v>267</v>
      </c>
      <c r="O69" s="47" t="s">
        <v>268</v>
      </c>
      <c r="P69" s="47" t="s">
        <v>68</v>
      </c>
    </row>
    <row r="70" customFormat="false" ht="12.75" hidden="false" customHeight="false" outlineLevel="0" collapsed="false">
      <c r="L70" s="47" t="s">
        <v>346</v>
      </c>
      <c r="M70" s="47" t="s">
        <v>347</v>
      </c>
      <c r="N70" s="47" t="s">
        <v>348</v>
      </c>
      <c r="O70" s="47" t="s">
        <v>349</v>
      </c>
      <c r="P70" s="47" t="s">
        <v>116</v>
      </c>
    </row>
    <row r="71" customFormat="false" ht="12.75" hidden="false" customHeight="false" outlineLevel="0" collapsed="false">
      <c r="L71" s="47" t="s">
        <v>61</v>
      </c>
      <c r="M71" s="47" t="s">
        <v>350</v>
      </c>
      <c r="N71" s="47" t="s">
        <v>351</v>
      </c>
      <c r="O71" s="47" t="s">
        <v>352</v>
      </c>
      <c r="P71" s="47" t="s">
        <v>68</v>
      </c>
    </row>
    <row r="72" customFormat="false" ht="12.75" hidden="false" customHeight="false" outlineLevel="0" collapsed="false">
      <c r="L72" s="47" t="s">
        <v>353</v>
      </c>
      <c r="M72" s="47" t="s">
        <v>354</v>
      </c>
      <c r="N72" s="47" t="s">
        <v>355</v>
      </c>
      <c r="O72" s="47" t="s">
        <v>343</v>
      </c>
      <c r="P72" s="47" t="s">
        <v>68</v>
      </c>
    </row>
    <row r="73" customFormat="false" ht="12.75" hidden="false" customHeight="false" outlineLevel="0" collapsed="false">
      <c r="L73" s="47" t="s">
        <v>356</v>
      </c>
      <c r="M73" s="47" t="s">
        <v>357</v>
      </c>
      <c r="N73" s="47" t="s">
        <v>358</v>
      </c>
      <c r="O73" s="47" t="s">
        <v>93</v>
      </c>
      <c r="P73" s="47" t="s">
        <v>68</v>
      </c>
    </row>
    <row r="74" customFormat="false" ht="12.75" hidden="false" customHeight="false" outlineLevel="0" collapsed="false">
      <c r="L74" s="47" t="s">
        <v>359</v>
      </c>
      <c r="M74" s="47" t="s">
        <v>360</v>
      </c>
      <c r="N74" s="47" t="s">
        <v>361</v>
      </c>
      <c r="O74" s="47" t="s">
        <v>362</v>
      </c>
      <c r="P74" s="47" t="s">
        <v>75</v>
      </c>
    </row>
    <row r="75" customFormat="false" ht="12.75" hidden="false" customHeight="false" outlineLevel="0" collapsed="false">
      <c r="L75" s="47" t="s">
        <v>363</v>
      </c>
      <c r="M75" s="47" t="s">
        <v>364</v>
      </c>
      <c r="N75" s="47" t="s">
        <v>365</v>
      </c>
      <c r="O75" s="47" t="s">
        <v>366</v>
      </c>
      <c r="P75" s="47" t="s">
        <v>75</v>
      </c>
    </row>
    <row r="76" customFormat="false" ht="12.75" hidden="false" customHeight="false" outlineLevel="0" collapsed="false">
      <c r="L76" s="47" t="s">
        <v>367</v>
      </c>
      <c r="M76" s="47" t="s">
        <v>368</v>
      </c>
      <c r="N76" s="47" t="s">
        <v>369</v>
      </c>
      <c r="O76" s="47" t="s">
        <v>370</v>
      </c>
      <c r="P76" s="47" t="s">
        <v>116</v>
      </c>
    </row>
    <row r="77" customFormat="false" ht="12.75" hidden="false" customHeight="false" outlineLevel="0" collapsed="false">
      <c r="L77" s="47" t="s">
        <v>371</v>
      </c>
      <c r="M77" s="47" t="s">
        <v>372</v>
      </c>
      <c r="N77" s="47" t="s">
        <v>373</v>
      </c>
      <c r="O77" s="47" t="s">
        <v>374</v>
      </c>
      <c r="P77" s="47" t="s">
        <v>75</v>
      </c>
    </row>
    <row r="78" customFormat="false" ht="12.75" hidden="false" customHeight="false" outlineLevel="0" collapsed="false">
      <c r="L78" s="47" t="s">
        <v>375</v>
      </c>
      <c r="M78" s="47" t="s">
        <v>376</v>
      </c>
      <c r="N78" s="47" t="s">
        <v>377</v>
      </c>
      <c r="O78" s="47" t="s">
        <v>378</v>
      </c>
      <c r="P78" s="47" t="s">
        <v>116</v>
      </c>
    </row>
    <row r="79" customFormat="false" ht="12.75" hidden="false" customHeight="false" outlineLevel="0" collapsed="false">
      <c r="L79" s="47" t="s">
        <v>379</v>
      </c>
      <c r="M79" s="47" t="s">
        <v>380</v>
      </c>
      <c r="N79" s="47" t="s">
        <v>381</v>
      </c>
      <c r="O79" s="47" t="s">
        <v>382</v>
      </c>
      <c r="P79" s="47" t="s">
        <v>68</v>
      </c>
    </row>
    <row r="80" customFormat="false" ht="12.75" hidden="false" customHeight="false" outlineLevel="0" collapsed="false">
      <c r="L80" s="47" t="s">
        <v>383</v>
      </c>
      <c r="M80" s="47" t="s">
        <v>384</v>
      </c>
      <c r="N80" s="47" t="s">
        <v>385</v>
      </c>
      <c r="O80" s="47" t="s">
        <v>339</v>
      </c>
      <c r="P80" s="47" t="s">
        <v>68</v>
      </c>
    </row>
    <row r="81" customFormat="false" ht="12.75" hidden="false" customHeight="false" outlineLevel="0" collapsed="false">
      <c r="L81" s="47" t="s">
        <v>386</v>
      </c>
      <c r="M81" s="47" t="s">
        <v>387</v>
      </c>
      <c r="N81" s="47" t="s">
        <v>388</v>
      </c>
      <c r="O81" s="47" t="s">
        <v>389</v>
      </c>
      <c r="P81" s="47" t="s">
        <v>68</v>
      </c>
    </row>
    <row r="82" customFormat="false" ht="12.75" hidden="false" customHeight="false" outlineLevel="0" collapsed="false">
      <c r="L82" s="47" t="s">
        <v>390</v>
      </c>
      <c r="M82" s="47" t="s">
        <v>391</v>
      </c>
      <c r="N82" s="47" t="s">
        <v>392</v>
      </c>
      <c r="O82" s="47" t="s">
        <v>393</v>
      </c>
      <c r="P82" s="47" t="s">
        <v>116</v>
      </c>
    </row>
    <row r="83" customFormat="false" ht="12.75" hidden="false" customHeight="false" outlineLevel="0" collapsed="false">
      <c r="L83" s="47" t="s">
        <v>394</v>
      </c>
      <c r="M83" s="47" t="s">
        <v>395</v>
      </c>
      <c r="N83" s="47" t="s">
        <v>396</v>
      </c>
      <c r="O83" s="47" t="s">
        <v>397</v>
      </c>
      <c r="P83" s="47" t="s">
        <v>68</v>
      </c>
    </row>
    <row r="84" customFormat="false" ht="12.75" hidden="false" customHeight="false" outlineLevel="0" collapsed="false">
      <c r="L84" s="47" t="s">
        <v>398</v>
      </c>
      <c r="M84" s="47" t="s">
        <v>399</v>
      </c>
      <c r="N84" s="47" t="s">
        <v>400</v>
      </c>
      <c r="O84" s="47" t="s">
        <v>401</v>
      </c>
      <c r="P84" s="47" t="s">
        <v>68</v>
      </c>
    </row>
    <row r="85" customFormat="false" ht="12.75" hidden="false" customHeight="false" outlineLevel="0" collapsed="false">
      <c r="L85" s="47" t="s">
        <v>402</v>
      </c>
      <c r="M85" s="47" t="s">
        <v>403</v>
      </c>
      <c r="N85" s="47" t="s">
        <v>404</v>
      </c>
      <c r="O85" s="47" t="s">
        <v>405</v>
      </c>
      <c r="P85" s="47" t="s">
        <v>68</v>
      </c>
    </row>
    <row r="86" customFormat="false" ht="12.75" hidden="false" customHeight="false" outlineLevel="0" collapsed="false">
      <c r="L86" s="47" t="s">
        <v>406</v>
      </c>
      <c r="M86" s="47" t="s">
        <v>407</v>
      </c>
      <c r="N86" s="47" t="s">
        <v>408</v>
      </c>
      <c r="O86" s="47" t="s">
        <v>409</v>
      </c>
      <c r="P86" s="47" t="s">
        <v>75</v>
      </c>
    </row>
    <row r="87" customFormat="false" ht="12.75" hidden="false" customHeight="false" outlineLevel="0" collapsed="false">
      <c r="L87" s="47" t="s">
        <v>410</v>
      </c>
      <c r="M87" s="47" t="s">
        <v>411</v>
      </c>
      <c r="N87" s="47" t="s">
        <v>412</v>
      </c>
      <c r="O87" s="47" t="s">
        <v>193</v>
      </c>
      <c r="P87" s="47" t="s">
        <v>68</v>
      </c>
    </row>
    <row r="88" customFormat="false" ht="12.75" hidden="false" customHeight="false" outlineLevel="0" collapsed="false">
      <c r="L88" s="47" t="s">
        <v>413</v>
      </c>
      <c r="M88" s="47" t="s">
        <v>414</v>
      </c>
      <c r="N88" s="47" t="s">
        <v>415</v>
      </c>
      <c r="O88" s="47" t="s">
        <v>184</v>
      </c>
      <c r="P88" s="47" t="s">
        <v>75</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5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7" activeCellId="0" sqref="D7"/>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12.75" hidden="false" customHeight="false" outlineLevel="0" collapsed="false">
      <c r="G1" s="63" t="s">
        <v>416</v>
      </c>
      <c r="H1" s="63"/>
      <c r="I1" s="63"/>
    </row>
    <row r="2" customFormat="false" ht="12.75" hidden="false" customHeight="false" outlineLevel="0" collapsed="false">
      <c r="A2" s="49" t="s">
        <v>417</v>
      </c>
      <c r="B2" s="47" t="s">
        <v>418</v>
      </c>
      <c r="C2" s="49" t="s">
        <v>419</v>
      </c>
      <c r="D2" s="49" t="s">
        <v>420</v>
      </c>
      <c r="E2" s="49" t="s">
        <v>421</v>
      </c>
      <c r="F2" s="49" t="s">
        <v>22</v>
      </c>
      <c r="G2" s="53" t="s">
        <v>68</v>
      </c>
      <c r="H2" s="53" t="s">
        <v>75</v>
      </c>
      <c r="I2" s="53" t="s">
        <v>116</v>
      </c>
    </row>
    <row r="3" customFormat="false" ht="12.75" hidden="false" customHeight="false" outlineLevel="0" collapsed="false">
      <c r="A3" s="49"/>
      <c r="B3" s="47" t="s">
        <v>422</v>
      </c>
      <c r="C3" s="49"/>
      <c r="D3" s="49"/>
      <c r="E3" s="49" t="s">
        <v>62</v>
      </c>
      <c r="F3" s="49" t="s">
        <v>62</v>
      </c>
      <c r="G3" s="53"/>
      <c r="H3" s="53"/>
      <c r="I3" s="53"/>
    </row>
    <row r="4" customFormat="false" ht="12.75" hidden="false" customHeight="false" outlineLevel="0" collapsed="false">
      <c r="A4" s="49" t="s">
        <v>423</v>
      </c>
      <c r="B4" s="47" t="s">
        <v>424</v>
      </c>
      <c r="C4" s="64" t="s">
        <v>425</v>
      </c>
      <c r="D4" s="65" t="s">
        <v>426</v>
      </c>
      <c r="E4" s="21" t="s">
        <v>10</v>
      </c>
      <c r="F4" s="66" t="n">
        <v>4.2</v>
      </c>
      <c r="J4" s="47" t="s">
        <v>427</v>
      </c>
    </row>
    <row r="5" customFormat="false" ht="12.75" hidden="false" customHeight="false" outlineLevel="0" collapsed="false">
      <c r="B5" s="47" t="s">
        <v>424</v>
      </c>
      <c r="C5" s="64" t="s">
        <v>428</v>
      </c>
      <c r="D5" s="65" t="s">
        <v>429</v>
      </c>
      <c r="E5" s="21" t="s">
        <v>10</v>
      </c>
      <c r="F5" s="66"/>
      <c r="J5" s="47" t="s">
        <v>427</v>
      </c>
    </row>
    <row r="6" customFormat="false" ht="12.75" hidden="false" customHeight="false" outlineLevel="0" collapsed="false">
      <c r="B6" s="47" t="s">
        <v>424</v>
      </c>
      <c r="C6" s="64" t="s">
        <v>430</v>
      </c>
      <c r="D6" s="65" t="s">
        <v>431</v>
      </c>
      <c r="E6" s="21" t="s">
        <v>432</v>
      </c>
      <c r="F6" s="66" t="n">
        <v>4</v>
      </c>
    </row>
    <row r="7" customFormat="false" ht="12.75" hidden="false" customHeight="false" outlineLevel="0" collapsed="false">
      <c r="B7" s="47" t="s">
        <v>424</v>
      </c>
      <c r="C7" s="64" t="s">
        <v>433</v>
      </c>
      <c r="D7" s="65" t="s">
        <v>434</v>
      </c>
      <c r="E7" s="21" t="s">
        <v>432</v>
      </c>
      <c r="F7" s="66" t="n">
        <v>6.5</v>
      </c>
    </row>
    <row r="8" customFormat="false" ht="12.75" hidden="false" customHeight="false" outlineLevel="0" collapsed="false">
      <c r="B8" s="47" t="s">
        <v>424</v>
      </c>
      <c r="C8" s="64" t="s">
        <v>435</v>
      </c>
      <c r="D8" s="65" t="s">
        <v>436</v>
      </c>
      <c r="E8" s="21" t="s">
        <v>432</v>
      </c>
      <c r="F8" s="66" t="n">
        <v>8</v>
      </c>
    </row>
    <row r="9" customFormat="false" ht="12.75" hidden="false" customHeight="false" outlineLevel="0" collapsed="false">
      <c r="B9" s="47" t="s">
        <v>424</v>
      </c>
      <c r="C9" s="64" t="s">
        <v>437</v>
      </c>
      <c r="D9" s="65" t="s">
        <v>438</v>
      </c>
      <c r="E9" s="21" t="s">
        <v>432</v>
      </c>
      <c r="F9" s="66" t="n">
        <v>8.5</v>
      </c>
    </row>
    <row r="10" customFormat="false" ht="12.75" hidden="false" customHeight="false" outlineLevel="0" collapsed="false">
      <c r="B10" s="47" t="s">
        <v>424</v>
      </c>
      <c r="C10" s="64" t="s">
        <v>439</v>
      </c>
      <c r="D10" s="65" t="s">
        <v>440</v>
      </c>
      <c r="E10" s="21" t="s">
        <v>14</v>
      </c>
      <c r="F10" s="66" t="n">
        <f aca="false">7/9</f>
        <v>0.777777777777778</v>
      </c>
    </row>
    <row r="11" customFormat="false" ht="12.75" hidden="false" customHeight="false" outlineLevel="0" collapsed="false">
      <c r="B11" s="47" t="s">
        <v>424</v>
      </c>
      <c r="C11" s="64" t="s">
        <v>441</v>
      </c>
      <c r="D11" s="65" t="s">
        <v>442</v>
      </c>
      <c r="E11" s="21" t="s">
        <v>14</v>
      </c>
      <c r="F11" s="66" t="n">
        <v>8.5</v>
      </c>
      <c r="J11" s="47" t="s">
        <v>427</v>
      </c>
    </row>
    <row r="12" customFormat="false" ht="12.75" hidden="false" customHeight="false" outlineLevel="0" collapsed="false">
      <c r="B12" s="47" t="s">
        <v>424</v>
      </c>
      <c r="C12" s="64" t="s">
        <v>443</v>
      </c>
      <c r="D12" s="65" t="s">
        <v>444</v>
      </c>
      <c r="E12" s="21" t="s">
        <v>14</v>
      </c>
      <c r="F12" s="66"/>
      <c r="J12" s="47" t="s">
        <v>445</v>
      </c>
    </row>
    <row r="13" customFormat="false" ht="12.75" hidden="false" customHeight="false" outlineLevel="0" collapsed="false">
      <c r="B13" s="47" t="s">
        <v>424</v>
      </c>
      <c r="C13" s="64" t="s">
        <v>446</v>
      </c>
      <c r="D13" s="65" t="s">
        <v>447</v>
      </c>
      <c r="E13" s="21" t="s">
        <v>14</v>
      </c>
      <c r="F13" s="66" t="n">
        <v>60</v>
      </c>
      <c r="J13" s="47" t="s">
        <v>427</v>
      </c>
    </row>
    <row r="14" customFormat="false" ht="12.75" hidden="false" customHeight="false" outlineLevel="0" collapsed="false">
      <c r="B14" s="47" t="s">
        <v>424</v>
      </c>
      <c r="C14" s="64" t="s">
        <v>448</v>
      </c>
      <c r="D14" s="65" t="s">
        <v>449</v>
      </c>
      <c r="E14" s="21" t="s">
        <v>10</v>
      </c>
      <c r="F14" s="66" t="n">
        <v>120</v>
      </c>
      <c r="J14" s="47" t="s">
        <v>427</v>
      </c>
    </row>
    <row r="15" customFormat="false" ht="12.75" hidden="false" customHeight="false" outlineLevel="0" collapsed="false">
      <c r="B15" s="47" t="s">
        <v>424</v>
      </c>
      <c r="C15" s="64" t="s">
        <v>450</v>
      </c>
      <c r="D15" s="65" t="s">
        <v>451</v>
      </c>
      <c r="E15" s="21" t="s">
        <v>10</v>
      </c>
      <c r="F15" s="66" t="n">
        <v>100</v>
      </c>
    </row>
    <row r="16" customFormat="false" ht="12.75" hidden="false" customHeight="false" outlineLevel="0" collapsed="false">
      <c r="B16" s="47" t="s">
        <v>424</v>
      </c>
      <c r="C16" s="64" t="s">
        <v>452</v>
      </c>
      <c r="D16" s="65" t="s">
        <v>453</v>
      </c>
      <c r="E16" s="21" t="s">
        <v>10</v>
      </c>
      <c r="F16" s="66" t="n">
        <f aca="false">10/2</f>
        <v>5</v>
      </c>
      <c r="J16" s="47" t="s">
        <v>427</v>
      </c>
    </row>
    <row r="17" customFormat="false" ht="12.75" hidden="false" customHeight="false" outlineLevel="0" collapsed="false">
      <c r="B17" s="47" t="s">
        <v>424</v>
      </c>
      <c r="C17" s="64" t="s">
        <v>454</v>
      </c>
      <c r="D17" s="65" t="s">
        <v>455</v>
      </c>
      <c r="E17" s="21" t="s">
        <v>456</v>
      </c>
      <c r="F17" s="66"/>
    </row>
    <row r="18" customFormat="false" ht="12.75" hidden="false" customHeight="false" outlineLevel="0" collapsed="false">
      <c r="B18" s="47" t="s">
        <v>424</v>
      </c>
      <c r="C18" s="64" t="s">
        <v>457</v>
      </c>
      <c r="D18" s="65" t="s">
        <v>458</v>
      </c>
      <c r="E18" s="21" t="s">
        <v>456</v>
      </c>
      <c r="F18" s="66"/>
    </row>
    <row r="19" customFormat="false" ht="12.75" hidden="false" customHeight="false" outlineLevel="0" collapsed="false">
      <c r="B19" s="47" t="s">
        <v>424</v>
      </c>
      <c r="C19" s="64" t="s">
        <v>459</v>
      </c>
      <c r="D19" s="65" t="s">
        <v>460</v>
      </c>
      <c r="E19" s="21" t="s">
        <v>456</v>
      </c>
      <c r="F19" s="66" t="n">
        <v>55</v>
      </c>
    </row>
    <row r="20" customFormat="false" ht="12.75" hidden="false" customHeight="false" outlineLevel="0" collapsed="false">
      <c r="B20" s="47" t="s">
        <v>424</v>
      </c>
      <c r="C20" s="64" t="s">
        <v>461</v>
      </c>
      <c r="D20" s="65" t="s">
        <v>462</v>
      </c>
      <c r="E20" s="21" t="s">
        <v>10</v>
      </c>
      <c r="F20" s="66"/>
    </row>
    <row r="21" customFormat="false" ht="12.75" hidden="false" customHeight="false" outlineLevel="0" collapsed="false">
      <c r="B21" s="47" t="s">
        <v>424</v>
      </c>
      <c r="C21" s="64" t="s">
        <v>463</v>
      </c>
      <c r="D21" s="65" t="s">
        <v>464</v>
      </c>
      <c r="E21" s="21" t="s">
        <v>10</v>
      </c>
      <c r="F21" s="66" t="n">
        <v>10</v>
      </c>
      <c r="J21" s="47" t="s">
        <v>427</v>
      </c>
    </row>
    <row r="22" customFormat="false" ht="12.75" hidden="false" customHeight="false" outlineLevel="0" collapsed="false">
      <c r="B22" s="47" t="s">
        <v>424</v>
      </c>
      <c r="C22" s="64" t="s">
        <v>465</v>
      </c>
      <c r="D22" s="65" t="s">
        <v>466</v>
      </c>
      <c r="E22" s="21" t="s">
        <v>10</v>
      </c>
      <c r="F22" s="66"/>
      <c r="J22" s="47" t="s">
        <v>427</v>
      </c>
    </row>
    <row r="23" customFormat="false" ht="12.75" hidden="false" customHeight="false" outlineLevel="0" collapsed="false">
      <c r="B23" s="47" t="s">
        <v>424</v>
      </c>
      <c r="C23" s="64" t="s">
        <v>467</v>
      </c>
      <c r="D23" s="65" t="s">
        <v>468</v>
      </c>
      <c r="E23" s="21" t="s">
        <v>10</v>
      </c>
      <c r="F23" s="66"/>
      <c r="J23" s="47" t="s">
        <v>427</v>
      </c>
    </row>
    <row r="24" customFormat="false" ht="12.75" hidden="false" customHeight="false" outlineLevel="0" collapsed="false">
      <c r="B24" s="47" t="s">
        <v>424</v>
      </c>
      <c r="C24" s="64" t="s">
        <v>469</v>
      </c>
      <c r="D24" s="65" t="s">
        <v>470</v>
      </c>
      <c r="E24" s="21" t="s">
        <v>10</v>
      </c>
      <c r="F24" s="66"/>
      <c r="J24" s="47" t="s">
        <v>427</v>
      </c>
    </row>
    <row r="25" customFormat="false" ht="12.75" hidden="false" customHeight="false" outlineLevel="0" collapsed="false">
      <c r="B25" s="47" t="s">
        <v>424</v>
      </c>
      <c r="C25" s="64" t="s">
        <v>471</v>
      </c>
      <c r="D25" s="65" t="s">
        <v>472</v>
      </c>
      <c r="E25" s="21" t="s">
        <v>10</v>
      </c>
      <c r="F25" s="66"/>
      <c r="J25" s="47" t="s">
        <v>427</v>
      </c>
    </row>
    <row r="26" customFormat="false" ht="12" hidden="false" customHeight="true" outlineLevel="0" collapsed="false">
      <c r="A26" s="49" t="s">
        <v>473</v>
      </c>
      <c r="B26" s="47" t="s">
        <v>474</v>
      </c>
      <c r="C26" s="64" t="s">
        <v>475</v>
      </c>
      <c r="D26" s="65" t="s">
        <v>476</v>
      </c>
      <c r="E26" s="21" t="s">
        <v>10</v>
      </c>
      <c r="F26" s="66"/>
      <c r="J26" s="47" t="s">
        <v>427</v>
      </c>
    </row>
    <row r="27" customFormat="false" ht="12.75" hidden="false" customHeight="false" outlineLevel="0" collapsed="false">
      <c r="B27" s="47" t="s">
        <v>474</v>
      </c>
      <c r="C27" s="64" t="s">
        <v>477</v>
      </c>
      <c r="D27" s="65" t="s">
        <v>478</v>
      </c>
      <c r="E27" s="21" t="s">
        <v>456</v>
      </c>
      <c r="F27" s="66"/>
    </row>
    <row r="28" customFormat="false" ht="12.75" hidden="false" customHeight="false" outlineLevel="0" collapsed="false">
      <c r="B28" s="47" t="s">
        <v>474</v>
      </c>
      <c r="C28" s="64" t="s">
        <v>479</v>
      </c>
      <c r="D28" s="65" t="s">
        <v>480</v>
      </c>
      <c r="E28" s="21" t="s">
        <v>10</v>
      </c>
      <c r="F28" s="66"/>
    </row>
    <row r="29" customFormat="false" ht="12.75" hidden="false" customHeight="false" outlineLevel="0" collapsed="false">
      <c r="B29" s="47" t="s">
        <v>474</v>
      </c>
      <c r="C29" s="64" t="s">
        <v>481</v>
      </c>
      <c r="D29" s="65" t="s">
        <v>482</v>
      </c>
      <c r="E29" s="21" t="s">
        <v>456</v>
      </c>
      <c r="F29" s="66" t="n">
        <v>65</v>
      </c>
    </row>
    <row r="30" customFormat="false" ht="12.75" hidden="false" customHeight="false" outlineLevel="0" collapsed="false">
      <c r="B30" s="47" t="s">
        <v>474</v>
      </c>
      <c r="C30" s="64" t="s">
        <v>483</v>
      </c>
      <c r="D30" s="65" t="s">
        <v>484</v>
      </c>
      <c r="E30" s="21" t="s">
        <v>10</v>
      </c>
      <c r="F30" s="66"/>
    </row>
    <row r="31" customFormat="false" ht="12.75" hidden="false" customHeight="false" outlineLevel="0" collapsed="false">
      <c r="B31" s="47" t="s">
        <v>474</v>
      </c>
      <c r="C31" s="64" t="s">
        <v>485</v>
      </c>
      <c r="D31" s="65" t="s">
        <v>486</v>
      </c>
      <c r="E31" s="21" t="s">
        <v>456</v>
      </c>
      <c r="F31" s="66"/>
    </row>
    <row r="32" customFormat="false" ht="12.75" hidden="false" customHeight="false" outlineLevel="0" collapsed="false">
      <c r="B32" s="47" t="s">
        <v>474</v>
      </c>
      <c r="C32" s="64" t="s">
        <v>487</v>
      </c>
      <c r="D32" s="65" t="s">
        <v>488</v>
      </c>
      <c r="E32" s="21" t="s">
        <v>10</v>
      </c>
      <c r="F32" s="66"/>
    </row>
    <row r="33" customFormat="false" ht="12.75" hidden="false" customHeight="false" outlineLevel="0" collapsed="false">
      <c r="B33" s="47" t="s">
        <v>474</v>
      </c>
      <c r="C33" s="64" t="s">
        <v>489</v>
      </c>
      <c r="D33" s="65" t="s">
        <v>490</v>
      </c>
      <c r="E33" s="21" t="s">
        <v>10</v>
      </c>
      <c r="F33" s="66"/>
      <c r="J33" s="47" t="s">
        <v>427</v>
      </c>
    </row>
    <row r="34" customFormat="false" ht="12.75" hidden="false" customHeight="false" outlineLevel="0" collapsed="false">
      <c r="A34" s="49" t="s">
        <v>491</v>
      </c>
      <c r="B34" s="47" t="s">
        <v>492</v>
      </c>
      <c r="C34" s="64" t="s">
        <v>493</v>
      </c>
      <c r="D34" s="65" t="s">
        <v>494</v>
      </c>
      <c r="E34" s="21" t="s">
        <v>456</v>
      </c>
      <c r="F34" s="66"/>
      <c r="J34" s="47" t="s">
        <v>495</v>
      </c>
    </row>
    <row r="35" customFormat="false" ht="12.75" hidden="false" customHeight="false" outlineLevel="0" collapsed="false">
      <c r="B35" s="47" t="s">
        <v>492</v>
      </c>
      <c r="C35" s="64" t="s">
        <v>496</v>
      </c>
      <c r="D35" s="65" t="s">
        <v>497</v>
      </c>
      <c r="E35" s="21" t="s">
        <v>456</v>
      </c>
      <c r="F35" s="66"/>
      <c r="J35" s="47" t="s">
        <v>495</v>
      </c>
    </row>
    <row r="36" customFormat="false" ht="12.75" hidden="false" customHeight="false" outlineLevel="0" collapsed="false">
      <c r="B36" s="47" t="s">
        <v>492</v>
      </c>
      <c r="C36" s="64" t="s">
        <v>498</v>
      </c>
      <c r="D36" s="65" t="s">
        <v>499</v>
      </c>
      <c r="E36" s="21" t="s">
        <v>456</v>
      </c>
      <c r="F36" s="66"/>
      <c r="J36" s="47" t="s">
        <v>495</v>
      </c>
    </row>
    <row r="37" customFormat="false" ht="12.75" hidden="false" customHeight="false" outlineLevel="0" collapsed="false">
      <c r="A37" s="49" t="s">
        <v>500</v>
      </c>
      <c r="B37" s="47" t="s">
        <v>501</v>
      </c>
      <c r="C37" s="64" t="s">
        <v>502</v>
      </c>
      <c r="D37" s="65" t="s">
        <v>503</v>
      </c>
      <c r="E37" s="21" t="s">
        <v>504</v>
      </c>
      <c r="F37" s="66" t="n">
        <v>130</v>
      </c>
    </row>
    <row r="38" customFormat="false" ht="12.75" hidden="false" customHeight="false" outlineLevel="0" collapsed="false">
      <c r="B38" s="47" t="s">
        <v>501</v>
      </c>
      <c r="C38" s="64" t="s">
        <v>505</v>
      </c>
      <c r="D38" s="65" t="s">
        <v>506</v>
      </c>
      <c r="E38" s="21" t="s">
        <v>504</v>
      </c>
      <c r="F38" s="66" t="n">
        <v>120</v>
      </c>
    </row>
    <row r="39" customFormat="false" ht="12.75" hidden="false" customHeight="false" outlineLevel="0" collapsed="false">
      <c r="B39" s="47" t="s">
        <v>501</v>
      </c>
      <c r="C39" s="64" t="s">
        <v>507</v>
      </c>
      <c r="D39" s="65" t="s">
        <v>508</v>
      </c>
      <c r="E39" s="21" t="s">
        <v>504</v>
      </c>
      <c r="F39" s="66" t="n">
        <v>110</v>
      </c>
    </row>
    <row r="40" customFormat="false" ht="12.75" hidden="false" customHeight="false" outlineLevel="0" collapsed="false">
      <c r="B40" s="47" t="s">
        <v>501</v>
      </c>
      <c r="C40" s="64" t="s">
        <v>509</v>
      </c>
      <c r="D40" s="65" t="s">
        <v>510</v>
      </c>
      <c r="E40" s="21" t="s">
        <v>504</v>
      </c>
      <c r="F40" s="66"/>
    </row>
    <row r="41" customFormat="false" ht="12.75" hidden="false" customHeight="false" outlineLevel="0" collapsed="false">
      <c r="B41" s="47" t="s">
        <v>501</v>
      </c>
      <c r="C41" s="64" t="s">
        <v>511</v>
      </c>
      <c r="D41" s="65" t="s">
        <v>512</v>
      </c>
      <c r="E41" s="21" t="s">
        <v>504</v>
      </c>
      <c r="F41" s="66"/>
    </row>
    <row r="42" customFormat="false" ht="12.75" hidden="false" customHeight="false" outlineLevel="0" collapsed="false">
      <c r="B42" s="47" t="s">
        <v>501</v>
      </c>
      <c r="C42" s="64" t="s">
        <v>513</v>
      </c>
      <c r="D42" s="65" t="s">
        <v>514</v>
      </c>
      <c r="E42" s="21" t="s">
        <v>504</v>
      </c>
      <c r="F42" s="66"/>
    </row>
    <row r="43" customFormat="false" ht="12.75" hidden="false" customHeight="false" outlineLevel="0" collapsed="false">
      <c r="B43" s="47" t="s">
        <v>501</v>
      </c>
      <c r="C43" s="64" t="s">
        <v>515</v>
      </c>
      <c r="D43" s="65" t="s">
        <v>516</v>
      </c>
      <c r="E43" s="21" t="s">
        <v>504</v>
      </c>
      <c r="F43" s="66"/>
    </row>
    <row r="44" customFormat="false" ht="12.75" hidden="false" customHeight="false" outlineLevel="0" collapsed="false">
      <c r="A44" s="49" t="s">
        <v>517</v>
      </c>
      <c r="B44" s="47" t="s">
        <v>518</v>
      </c>
      <c r="C44" s="64" t="s">
        <v>519</v>
      </c>
      <c r="D44" s="65" t="s">
        <v>520</v>
      </c>
      <c r="E44" s="21" t="s">
        <v>10</v>
      </c>
      <c r="F44" s="66" t="n">
        <v>79</v>
      </c>
      <c r="J44" s="47" t="s">
        <v>427</v>
      </c>
    </row>
    <row r="45" customFormat="false" ht="12.75" hidden="false" customHeight="false" outlineLevel="0" collapsed="false">
      <c r="A45" s="49"/>
      <c r="B45" s="47" t="s">
        <v>518</v>
      </c>
      <c r="C45" s="64" t="s">
        <v>521</v>
      </c>
      <c r="D45" s="65" t="s">
        <v>522</v>
      </c>
      <c r="E45" s="21" t="s">
        <v>10</v>
      </c>
      <c r="F45" s="66" t="n">
        <v>82</v>
      </c>
      <c r="J45" s="47" t="s">
        <v>427</v>
      </c>
    </row>
    <row r="46" customFormat="false" ht="12.75" hidden="false" customHeight="false" outlineLevel="0" collapsed="false">
      <c r="A46" s="49"/>
      <c r="B46" s="47" t="s">
        <v>518</v>
      </c>
      <c r="C46" s="64" t="s">
        <v>523</v>
      </c>
      <c r="D46" s="65" t="s">
        <v>524</v>
      </c>
      <c r="E46" s="21" t="s">
        <v>10</v>
      </c>
      <c r="F46" s="66" t="n">
        <v>85</v>
      </c>
      <c r="J46" s="47" t="s">
        <v>427</v>
      </c>
    </row>
    <row r="47" customFormat="false" ht="12.75" hidden="false" customHeight="false" outlineLevel="0" collapsed="false">
      <c r="A47" s="49"/>
      <c r="B47" s="47" t="s">
        <v>518</v>
      </c>
      <c r="C47" s="64" t="s">
        <v>525</v>
      </c>
      <c r="D47" s="65" t="s">
        <v>526</v>
      </c>
      <c r="E47" s="21" t="s">
        <v>10</v>
      </c>
      <c r="F47" s="66" t="n">
        <v>91</v>
      </c>
      <c r="J47" s="47" t="s">
        <v>427</v>
      </c>
    </row>
    <row r="48" customFormat="false" ht="12.75" hidden="false" customHeight="false" outlineLevel="0" collapsed="false">
      <c r="A48" s="49" t="s">
        <v>527</v>
      </c>
      <c r="B48" s="47" t="s">
        <v>528</v>
      </c>
      <c r="C48" s="64" t="s">
        <v>529</v>
      </c>
      <c r="D48" s="65" t="s">
        <v>530</v>
      </c>
      <c r="E48" s="21" t="s">
        <v>10</v>
      </c>
      <c r="F48" s="66" t="n">
        <v>4</v>
      </c>
    </row>
    <row r="49" customFormat="false" ht="12.75" hidden="false" customHeight="false" outlineLevel="0" collapsed="false">
      <c r="B49" s="47" t="s">
        <v>528</v>
      </c>
      <c r="C49" s="64" t="s">
        <v>531</v>
      </c>
      <c r="D49" s="65" t="s">
        <v>532</v>
      </c>
      <c r="E49" s="21" t="s">
        <v>10</v>
      </c>
      <c r="F49" s="66" t="n">
        <v>5</v>
      </c>
    </row>
    <row r="50" customFormat="false" ht="12.75" hidden="false" customHeight="false" outlineLevel="0" collapsed="false">
      <c r="B50" s="47" t="s">
        <v>528</v>
      </c>
      <c r="C50" s="64" t="s">
        <v>533</v>
      </c>
      <c r="D50" s="65" t="s">
        <v>534</v>
      </c>
      <c r="E50" s="21" t="s">
        <v>10</v>
      </c>
      <c r="F50" s="66" t="n">
        <v>7</v>
      </c>
    </row>
    <row r="51" customFormat="false" ht="12.75" hidden="false" customHeight="false" outlineLevel="0" collapsed="false">
      <c r="B51" s="47" t="s">
        <v>528</v>
      </c>
      <c r="C51" s="64" t="s">
        <v>535</v>
      </c>
      <c r="D51" s="65" t="s">
        <v>536</v>
      </c>
      <c r="E51" s="21" t="s">
        <v>10</v>
      </c>
      <c r="F51" s="66"/>
    </row>
    <row r="52" customFormat="false" ht="12" hidden="false" customHeight="true" outlineLevel="0" collapsed="false">
      <c r="B52" s="47" t="s">
        <v>528</v>
      </c>
      <c r="C52" s="64" t="s">
        <v>537</v>
      </c>
      <c r="D52" s="65" t="s">
        <v>538</v>
      </c>
      <c r="E52" s="21" t="s">
        <v>10</v>
      </c>
      <c r="F52" s="66"/>
    </row>
    <row r="53" customFormat="false" ht="12" hidden="false" customHeight="true" outlineLevel="0" collapsed="false">
      <c r="B53" s="47" t="s">
        <v>528</v>
      </c>
      <c r="C53" s="64" t="s">
        <v>539</v>
      </c>
      <c r="D53" s="65" t="s">
        <v>540</v>
      </c>
      <c r="E53" s="21" t="s">
        <v>10</v>
      </c>
      <c r="F53" s="66"/>
    </row>
    <row r="54" customFormat="false" ht="12.75" hidden="false" customHeight="false" outlineLevel="0" collapsed="false">
      <c r="A54" s="49" t="s">
        <v>541</v>
      </c>
      <c r="B54" s="47" t="s">
        <v>542</v>
      </c>
      <c r="C54" s="64" t="s">
        <v>543</v>
      </c>
      <c r="D54" s="65" t="s">
        <v>544</v>
      </c>
      <c r="E54" s="21" t="s">
        <v>545</v>
      </c>
      <c r="F54" s="66" t="n">
        <v>4.5</v>
      </c>
      <c r="J54" s="47" t="s">
        <v>546</v>
      </c>
    </row>
    <row r="55" customFormat="false" ht="12.75" hidden="false" customHeight="false" outlineLevel="0" collapsed="false">
      <c r="B55" s="47" t="s">
        <v>547</v>
      </c>
      <c r="C55" s="64" t="s">
        <v>548</v>
      </c>
      <c r="D55" s="65" t="s">
        <v>549</v>
      </c>
      <c r="E55" s="21" t="s">
        <v>432</v>
      </c>
      <c r="F55" s="66" t="n">
        <v>7</v>
      </c>
      <c r="J55" s="47" t="s">
        <v>550</v>
      </c>
    </row>
    <row r="56" customFormat="false" ht="12.75" hidden="false" customHeight="false" outlineLevel="0" collapsed="false">
      <c r="B56" s="47" t="s">
        <v>551</v>
      </c>
      <c r="C56" s="64" t="s">
        <v>552</v>
      </c>
      <c r="D56" s="65" t="s">
        <v>553</v>
      </c>
      <c r="E56" s="21" t="s">
        <v>14</v>
      </c>
      <c r="F56" s="66" t="n">
        <f aca="false">6/9</f>
        <v>0.666666666666667</v>
      </c>
    </row>
    <row r="57" customFormat="false" ht="12.75" hidden="false" customHeight="false" outlineLevel="0" collapsed="false">
      <c r="B57" s="47" t="s">
        <v>551</v>
      </c>
      <c r="C57" s="64" t="s">
        <v>554</v>
      </c>
      <c r="D57" s="65" t="s">
        <v>555</v>
      </c>
      <c r="E57" s="21" t="s">
        <v>14</v>
      </c>
      <c r="F57" s="66"/>
    </row>
    <row r="58" customFormat="false" ht="12.75" hidden="false" customHeight="false" outlineLevel="0" collapsed="false">
      <c r="B58" s="47" t="s">
        <v>556</v>
      </c>
      <c r="C58" s="64" t="s">
        <v>557</v>
      </c>
      <c r="D58" s="65" t="s">
        <v>558</v>
      </c>
      <c r="E58" s="21" t="s">
        <v>10</v>
      </c>
      <c r="F58" s="66"/>
    </row>
    <row r="59" customFormat="false" ht="12.75" hidden="false" customHeight="false" outlineLevel="0" collapsed="false">
      <c r="B59" s="47" t="s">
        <v>556</v>
      </c>
      <c r="C59" s="64" t="s">
        <v>559</v>
      </c>
      <c r="D59" s="65" t="s">
        <v>560</v>
      </c>
      <c r="E59" s="21" t="s">
        <v>10</v>
      </c>
      <c r="F59" s="66"/>
    </row>
  </sheetData>
  <mergeCells count="1">
    <mergeCell ref="G1: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561</v>
      </c>
    </row>
    <row r="3" s="67" customFormat="true" ht="28.35" hidden="false" customHeight="false" outlineLevel="0" collapsed="false">
      <c r="A3" s="67" t="s">
        <v>53</v>
      </c>
      <c r="B3" s="67" t="s">
        <v>562</v>
      </c>
      <c r="C3" s="67" t="s">
        <v>19</v>
      </c>
      <c r="D3" s="67" t="s">
        <v>563</v>
      </c>
    </row>
    <row r="4" customFormat="false" ht="15" hidden="false" customHeight="false" outlineLevel="0" collapsed="false">
      <c r="A4" s="0" t="s">
        <v>564</v>
      </c>
      <c r="B4" s="0" t="s">
        <v>565</v>
      </c>
      <c r="C4" s="0" t="s">
        <v>566</v>
      </c>
      <c r="D4" s="0" t="s">
        <v>567</v>
      </c>
    </row>
    <row r="5" customFormat="false" ht="15" hidden="false" customHeight="false" outlineLevel="0" collapsed="false">
      <c r="A5" s="0" t="s">
        <v>568</v>
      </c>
      <c r="B5" s="0" t="s">
        <v>569</v>
      </c>
      <c r="C5" s="0" t="s">
        <v>7</v>
      </c>
      <c r="D5" s="0" t="s">
        <v>570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8:E8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G27" activeCellId="0" sqref="G27"/>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8" customFormat="false" ht="12.75" hidden="false" customHeight="false" outlineLevel="0" collapsed="false">
      <c r="B8" s="49" t="s">
        <v>571</v>
      </c>
    </row>
    <row r="9" customFormat="false" ht="23.85" hidden="false" customHeight="false" outlineLevel="0" collapsed="false">
      <c r="B9" s="68" t="s">
        <v>572</v>
      </c>
      <c r="C9" s="69" t="s">
        <v>573</v>
      </c>
      <c r="D9" s="69" t="s">
        <v>574</v>
      </c>
      <c r="E9" s="69" t="s">
        <v>31</v>
      </c>
    </row>
    <row r="10" customFormat="false" ht="12.75" hidden="false" customHeight="true" outlineLevel="0" collapsed="false">
      <c r="B10" s="70" t="s">
        <v>4</v>
      </c>
      <c r="C10" s="71" t="s">
        <v>575</v>
      </c>
      <c r="D10" s="72" t="n">
        <v>1</v>
      </c>
      <c r="E10" s="73" t="n">
        <v>4</v>
      </c>
    </row>
    <row r="11" customFormat="false" ht="12.75" hidden="false" customHeight="true" outlineLevel="0" collapsed="false">
      <c r="B11" s="74"/>
      <c r="C11" s="75" t="s">
        <v>576</v>
      </c>
      <c r="D11" s="76" t="n">
        <v>1</v>
      </c>
      <c r="E11" s="77"/>
    </row>
    <row r="12" customFormat="false" ht="12" hidden="false" customHeight="true" outlineLevel="0" collapsed="false">
      <c r="B12" s="78" t="s">
        <v>577</v>
      </c>
      <c r="C12" s="71" t="s">
        <v>575</v>
      </c>
      <c r="D12" s="72" t="n">
        <v>1</v>
      </c>
      <c r="E12" s="79" t="n">
        <v>8</v>
      </c>
    </row>
    <row r="13" customFormat="false" ht="12.75" hidden="false" customHeight="true" outlineLevel="0" collapsed="false">
      <c r="B13" s="74"/>
      <c r="C13" s="75" t="s">
        <v>576</v>
      </c>
      <c r="D13" s="76" t="n">
        <v>1</v>
      </c>
      <c r="E13" s="77"/>
    </row>
    <row r="14" customFormat="false" ht="12" hidden="false" customHeight="true" outlineLevel="0" collapsed="false">
      <c r="B14" s="78" t="s">
        <v>578</v>
      </c>
      <c r="C14" s="71" t="s">
        <v>579</v>
      </c>
      <c r="D14" s="72" t="n">
        <v>0.0075</v>
      </c>
      <c r="E14" s="79" t="n">
        <v>12</v>
      </c>
    </row>
    <row r="15" customFormat="false" ht="12" hidden="false" customHeight="true" outlineLevel="0" collapsed="false">
      <c r="B15" s="80"/>
      <c r="C15" s="71" t="s">
        <v>580</v>
      </c>
      <c r="D15" s="72" t="n">
        <v>0.0325</v>
      </c>
      <c r="E15" s="81"/>
    </row>
    <row r="16" customFormat="false" ht="12" hidden="false" customHeight="true" outlineLevel="0" collapsed="false">
      <c r="B16" s="80"/>
      <c r="C16" s="71" t="s">
        <v>581</v>
      </c>
      <c r="D16" s="72" t="n">
        <v>1</v>
      </c>
      <c r="E16" s="81"/>
    </row>
    <row r="17" customFormat="false" ht="12.75" hidden="false" customHeight="true" outlineLevel="0" collapsed="false">
      <c r="B17" s="74"/>
      <c r="C17" s="75" t="s">
        <v>582</v>
      </c>
      <c r="D17" s="76" t="n">
        <v>1</v>
      </c>
      <c r="E17" s="77"/>
    </row>
    <row r="18" customFormat="false" ht="12" hidden="false" customHeight="true" outlineLevel="0" collapsed="false">
      <c r="B18" s="78" t="s">
        <v>583</v>
      </c>
      <c r="C18" s="71" t="s">
        <v>584</v>
      </c>
      <c r="D18" s="72" t="n">
        <v>0.01</v>
      </c>
      <c r="E18" s="79" t="n">
        <v>16</v>
      </c>
    </row>
    <row r="19" customFormat="false" ht="12" hidden="false" customHeight="true" outlineLevel="0" collapsed="false">
      <c r="B19" s="80"/>
      <c r="C19" s="71" t="s">
        <v>585</v>
      </c>
      <c r="D19" s="72" t="n">
        <v>0.035</v>
      </c>
      <c r="E19" s="81"/>
    </row>
    <row r="20" customFormat="false" ht="12" hidden="false" customHeight="true" outlineLevel="0" collapsed="false">
      <c r="B20" s="80"/>
      <c r="C20" s="71" t="s">
        <v>581</v>
      </c>
      <c r="D20" s="72" t="n">
        <v>1</v>
      </c>
      <c r="E20" s="81"/>
    </row>
    <row r="21" customFormat="false" ht="12.75" hidden="false" customHeight="true" outlineLevel="0" collapsed="false">
      <c r="B21" s="74"/>
      <c r="C21" s="75" t="s">
        <v>582</v>
      </c>
      <c r="D21" s="76" t="n">
        <v>1</v>
      </c>
      <c r="E21" s="77"/>
    </row>
    <row r="22" customFormat="false" ht="12" hidden="false" customHeight="true" outlineLevel="0" collapsed="false">
      <c r="B22" s="78" t="s">
        <v>5</v>
      </c>
      <c r="C22" s="71" t="s">
        <v>586</v>
      </c>
      <c r="D22" s="72" t="n">
        <v>1</v>
      </c>
      <c r="E22" s="79" t="n">
        <v>20</v>
      </c>
    </row>
    <row r="23" customFormat="false" ht="12" hidden="false" customHeight="true" outlineLevel="0" collapsed="false">
      <c r="B23" s="80"/>
      <c r="C23" s="71" t="s">
        <v>587</v>
      </c>
      <c r="D23" s="72" t="n">
        <v>0.015</v>
      </c>
      <c r="E23" s="81"/>
    </row>
    <row r="24" customFormat="false" ht="12" hidden="false" customHeight="true" outlineLevel="0" collapsed="false">
      <c r="B24" s="80"/>
      <c r="C24" s="71" t="s">
        <v>588</v>
      </c>
      <c r="D24" s="72" t="n">
        <v>0.005</v>
      </c>
      <c r="E24" s="81"/>
    </row>
    <row r="25" customFormat="false" ht="12.75" hidden="false" customHeight="true" outlineLevel="0" collapsed="false">
      <c r="B25" s="74"/>
      <c r="C25" s="75" t="s">
        <v>582</v>
      </c>
      <c r="D25" s="76" t="n">
        <v>1</v>
      </c>
      <c r="E25" s="77"/>
    </row>
    <row r="26" customFormat="false" ht="12" hidden="false" customHeight="true" outlineLevel="0" collapsed="false">
      <c r="B26" s="78" t="s">
        <v>589</v>
      </c>
      <c r="C26" s="71" t="s">
        <v>581</v>
      </c>
      <c r="D26" s="72" t="n">
        <v>1</v>
      </c>
      <c r="E26" s="79" t="n">
        <v>24</v>
      </c>
    </row>
    <row r="27" customFormat="false" ht="12.75" hidden="false" customHeight="true" outlineLevel="0" collapsed="false">
      <c r="B27" s="74"/>
      <c r="C27" s="75" t="s">
        <v>582</v>
      </c>
      <c r="D27" s="76" t="n">
        <v>1</v>
      </c>
      <c r="E27" s="77"/>
    </row>
    <row r="28" customFormat="false" ht="12" hidden="false" customHeight="true" outlineLevel="0" collapsed="false">
      <c r="B28" s="78" t="s">
        <v>590</v>
      </c>
      <c r="C28" s="71" t="s">
        <v>591</v>
      </c>
      <c r="D28" s="72" t="n">
        <v>0.0125</v>
      </c>
      <c r="E28" s="79" t="n">
        <v>28</v>
      </c>
    </row>
    <row r="29" customFormat="false" ht="12" hidden="false" customHeight="true" outlineLevel="0" collapsed="false">
      <c r="B29" s="80"/>
      <c r="C29" s="71" t="s">
        <v>592</v>
      </c>
      <c r="D29" s="72" t="n">
        <v>0.04</v>
      </c>
      <c r="E29" s="81"/>
    </row>
    <row r="30" customFormat="false" ht="12" hidden="false" customHeight="true" outlineLevel="0" collapsed="false">
      <c r="B30" s="80"/>
      <c r="C30" s="71" t="s">
        <v>581</v>
      </c>
      <c r="D30" s="72" t="n">
        <v>1</v>
      </c>
      <c r="E30" s="81"/>
    </row>
    <row r="31" customFormat="false" ht="12.75" hidden="false" customHeight="true" outlineLevel="0" collapsed="false">
      <c r="B31" s="74"/>
      <c r="C31" s="75" t="s">
        <v>582</v>
      </c>
      <c r="D31" s="76" t="n">
        <v>1</v>
      </c>
      <c r="E31" s="77"/>
    </row>
    <row r="32" customFormat="false" ht="12.75" hidden="false" customHeight="false" outlineLevel="0" collapsed="false">
      <c r="B32" s="82" t="s">
        <v>41</v>
      </c>
      <c r="C32" s="83" t="s">
        <v>593</v>
      </c>
      <c r="D32" s="84" t="n">
        <v>0.125</v>
      </c>
      <c r="E32" s="85" t="n">
        <v>30</v>
      </c>
    </row>
    <row r="35" customFormat="false" ht="12.75" hidden="false" customHeight="false" outlineLevel="0" collapsed="false">
      <c r="B35" s="49" t="s">
        <v>594</v>
      </c>
    </row>
    <row r="36" customFormat="false" ht="23.85" hidden="false" customHeight="false" outlineLevel="0" collapsed="false">
      <c r="B36" s="86" t="s">
        <v>595</v>
      </c>
      <c r="C36" s="87" t="s">
        <v>573</v>
      </c>
      <c r="D36" s="87" t="s">
        <v>574</v>
      </c>
      <c r="E36" s="87" t="s">
        <v>31</v>
      </c>
    </row>
    <row r="37" customFormat="false" ht="12.75" hidden="false" customHeight="true" outlineLevel="0" collapsed="false">
      <c r="B37" s="88" t="s">
        <v>4</v>
      </c>
      <c r="C37" s="89" t="s">
        <v>596</v>
      </c>
      <c r="D37" s="90" t="n">
        <v>1</v>
      </c>
      <c r="E37" s="91" t="n">
        <v>19</v>
      </c>
    </row>
    <row r="38" customFormat="false" ht="12" hidden="false" customHeight="true" outlineLevel="0" collapsed="false">
      <c r="B38" s="92"/>
      <c r="C38" s="89" t="s">
        <v>597</v>
      </c>
      <c r="D38" s="90" t="n">
        <v>0.0025</v>
      </c>
      <c r="E38" s="93"/>
    </row>
    <row r="39" customFormat="false" ht="12" hidden="false" customHeight="true" outlineLevel="0" collapsed="false">
      <c r="B39" s="92"/>
      <c r="C39" s="89" t="s">
        <v>598</v>
      </c>
      <c r="D39" s="90" t="n">
        <v>0.0013</v>
      </c>
      <c r="E39" s="93"/>
    </row>
    <row r="40" customFormat="false" ht="12.75" hidden="false" customHeight="true" outlineLevel="0" collapsed="false">
      <c r="B40" s="94"/>
      <c r="C40" s="95" t="s">
        <v>599</v>
      </c>
      <c r="D40" s="96" t="n">
        <v>0.003</v>
      </c>
      <c r="E40" s="97"/>
    </row>
    <row r="41" customFormat="false" ht="12" hidden="false" customHeight="true" outlineLevel="0" collapsed="false">
      <c r="B41" s="98" t="s">
        <v>5</v>
      </c>
      <c r="C41" s="89" t="s">
        <v>600</v>
      </c>
      <c r="D41" s="90" t="n">
        <v>0.02</v>
      </c>
      <c r="E41" s="99" t="n">
        <v>27</v>
      </c>
    </row>
    <row r="42" customFormat="false" ht="12" hidden="false" customHeight="true" outlineLevel="0" collapsed="false">
      <c r="B42" s="92"/>
      <c r="C42" s="89" t="s">
        <v>599</v>
      </c>
      <c r="D42" s="90" t="n">
        <v>0.003</v>
      </c>
      <c r="E42" s="93"/>
    </row>
    <row r="43" customFormat="false" ht="12" hidden="false" customHeight="true" outlineLevel="0" collapsed="false">
      <c r="B43" s="92"/>
      <c r="C43" s="89" t="s">
        <v>598</v>
      </c>
      <c r="D43" s="90" t="n">
        <v>0.0013</v>
      </c>
      <c r="E43" s="93"/>
    </row>
    <row r="44" customFormat="false" ht="12" hidden="false" customHeight="true" outlineLevel="0" collapsed="false">
      <c r="B44" s="92"/>
      <c r="C44" s="89" t="s">
        <v>601</v>
      </c>
      <c r="D44" s="90" t="n">
        <v>0.003</v>
      </c>
      <c r="E44" s="93"/>
    </row>
    <row r="45" customFormat="false" ht="12.75" hidden="false" customHeight="true" outlineLevel="0" collapsed="false">
      <c r="B45" s="94"/>
      <c r="C45" s="95" t="s">
        <v>602</v>
      </c>
      <c r="D45" s="96" t="n">
        <v>1</v>
      </c>
      <c r="E45" s="97"/>
    </row>
    <row r="46" customFormat="false" ht="12.75" hidden="false" customHeight="false" outlineLevel="0" collapsed="false">
      <c r="B46" s="100" t="s">
        <v>41</v>
      </c>
      <c r="C46" s="101" t="s">
        <v>603</v>
      </c>
      <c r="D46" s="102" t="n">
        <v>0.25</v>
      </c>
      <c r="E46" s="103" t="n">
        <v>30</v>
      </c>
    </row>
    <row r="49" customFormat="false" ht="12.75" hidden="false" customHeight="false" outlineLevel="0" collapsed="false">
      <c r="B49" s="49" t="s">
        <v>604</v>
      </c>
    </row>
    <row r="50" customFormat="false" ht="23.85" hidden="false" customHeight="false" outlineLevel="0" collapsed="false">
      <c r="B50" s="68" t="s">
        <v>572</v>
      </c>
      <c r="C50" s="69" t="s">
        <v>573</v>
      </c>
      <c r="D50" s="69" t="s">
        <v>574</v>
      </c>
      <c r="E50" s="69" t="s">
        <v>31</v>
      </c>
    </row>
    <row r="51" customFormat="false" ht="12.75" hidden="false" customHeight="false" outlineLevel="0" collapsed="false">
      <c r="B51" s="78" t="s">
        <v>4</v>
      </c>
      <c r="C51" s="71" t="s">
        <v>581</v>
      </c>
      <c r="D51" s="72" t="n">
        <v>1</v>
      </c>
      <c r="E51" s="79" t="n">
        <v>4</v>
      </c>
    </row>
    <row r="52" customFormat="false" ht="12.75" hidden="false" customHeight="false" outlineLevel="0" collapsed="false">
      <c r="B52" s="74"/>
      <c r="C52" s="75" t="s">
        <v>582</v>
      </c>
      <c r="D52" s="76" t="n">
        <v>1</v>
      </c>
      <c r="E52" s="77"/>
    </row>
    <row r="53" customFormat="false" ht="12.75" hidden="false" customHeight="false" outlineLevel="0" collapsed="false">
      <c r="B53" s="78" t="s">
        <v>577</v>
      </c>
      <c r="C53" s="71" t="s">
        <v>591</v>
      </c>
      <c r="D53" s="72" t="n">
        <v>0.0125</v>
      </c>
      <c r="E53" s="79" t="n">
        <v>8</v>
      </c>
    </row>
    <row r="54" customFormat="false" ht="12.75" hidden="false" customHeight="false" outlineLevel="0" collapsed="false">
      <c r="B54" s="80"/>
      <c r="C54" s="71" t="s">
        <v>592</v>
      </c>
      <c r="D54" s="72" t="n">
        <v>0.04</v>
      </c>
      <c r="E54" s="81"/>
    </row>
    <row r="55" customFormat="false" ht="12.75" hidden="false" customHeight="false" outlineLevel="0" collapsed="false">
      <c r="B55" s="80"/>
      <c r="C55" s="71" t="s">
        <v>581</v>
      </c>
      <c r="D55" s="72" t="n">
        <v>1</v>
      </c>
      <c r="E55" s="81"/>
    </row>
    <row r="56" customFormat="false" ht="12.75" hidden="false" customHeight="false" outlineLevel="0" collapsed="false">
      <c r="B56" s="74"/>
      <c r="C56" s="75" t="s">
        <v>582</v>
      </c>
      <c r="D56" s="76" t="n">
        <v>1</v>
      </c>
      <c r="E56" s="77"/>
    </row>
    <row r="57" customFormat="false" ht="12.75" hidden="false" customHeight="false" outlineLevel="0" collapsed="false">
      <c r="B57" s="78" t="s">
        <v>578</v>
      </c>
      <c r="C57" s="71" t="s">
        <v>575</v>
      </c>
      <c r="D57" s="72" t="n">
        <v>1</v>
      </c>
      <c r="E57" s="104" t="n">
        <v>12</v>
      </c>
    </row>
    <row r="58" customFormat="false" ht="12.75" hidden="false" customHeight="false" outlineLevel="0" collapsed="false">
      <c r="B58" s="74"/>
      <c r="C58" s="75" t="s">
        <v>576</v>
      </c>
      <c r="D58" s="76" t="n">
        <v>1</v>
      </c>
      <c r="E58" s="77"/>
    </row>
    <row r="59" customFormat="false" ht="12.75" hidden="false" customHeight="false" outlineLevel="0" collapsed="false">
      <c r="B59" s="78" t="s">
        <v>605</v>
      </c>
      <c r="C59" s="71" t="s">
        <v>586</v>
      </c>
      <c r="D59" s="72" t="n">
        <v>1</v>
      </c>
      <c r="E59" s="79" t="n">
        <v>16</v>
      </c>
    </row>
    <row r="60" customFormat="false" ht="12.75" hidden="false" customHeight="false" outlineLevel="0" collapsed="false">
      <c r="B60" s="80"/>
      <c r="C60" s="71" t="s">
        <v>606</v>
      </c>
      <c r="D60" s="72" t="n">
        <v>0.015</v>
      </c>
      <c r="E60" s="81"/>
    </row>
    <row r="61" customFormat="false" ht="12.75" hidden="false" customHeight="false" outlineLevel="0" collapsed="false">
      <c r="B61" s="80"/>
      <c r="C61" s="71" t="s">
        <v>607</v>
      </c>
      <c r="D61" s="72" t="n">
        <v>0.005</v>
      </c>
      <c r="E61" s="81"/>
    </row>
    <row r="62" customFormat="false" ht="12.75" hidden="false" customHeight="false" outlineLevel="0" collapsed="false">
      <c r="B62" s="74"/>
      <c r="C62" s="75" t="s">
        <v>582</v>
      </c>
      <c r="D62" s="76" t="n">
        <v>1</v>
      </c>
      <c r="E62" s="77"/>
    </row>
    <row r="63" customFormat="false" ht="12.75" hidden="false" customHeight="false" outlineLevel="0" collapsed="false">
      <c r="B63" s="78" t="s">
        <v>583</v>
      </c>
      <c r="C63" s="71" t="s">
        <v>581</v>
      </c>
      <c r="D63" s="72" t="n">
        <v>1</v>
      </c>
      <c r="E63" s="79" t="n">
        <v>20</v>
      </c>
    </row>
    <row r="64" customFormat="false" ht="12.75" hidden="false" customHeight="false" outlineLevel="0" collapsed="false">
      <c r="B64" s="74"/>
      <c r="C64" s="75" t="s">
        <v>582</v>
      </c>
      <c r="D64" s="76" t="n">
        <v>1</v>
      </c>
      <c r="E64" s="77"/>
    </row>
    <row r="65" customFormat="false" ht="12.75" hidden="false" customHeight="false" outlineLevel="0" collapsed="false">
      <c r="B65" s="78" t="s">
        <v>589</v>
      </c>
      <c r="C65" s="71" t="s">
        <v>591</v>
      </c>
      <c r="D65" s="72" t="n">
        <v>0.0125</v>
      </c>
      <c r="E65" s="79" t="n">
        <v>24</v>
      </c>
    </row>
    <row r="66" customFormat="false" ht="12.75" hidden="false" customHeight="false" outlineLevel="0" collapsed="false">
      <c r="B66" s="80"/>
      <c r="C66" s="71" t="s">
        <v>592</v>
      </c>
      <c r="D66" s="72" t="n">
        <v>0.04</v>
      </c>
      <c r="E66" s="81"/>
    </row>
    <row r="67" customFormat="false" ht="12.75" hidden="false" customHeight="false" outlineLevel="0" collapsed="false">
      <c r="B67" s="80"/>
      <c r="C67" s="71" t="s">
        <v>581</v>
      </c>
      <c r="D67" s="72" t="n">
        <v>1</v>
      </c>
      <c r="E67" s="81"/>
    </row>
    <row r="68" customFormat="false" ht="12.75" hidden="false" customHeight="false" outlineLevel="0" collapsed="false">
      <c r="B68" s="74"/>
      <c r="C68" s="75" t="s">
        <v>582</v>
      </c>
      <c r="D68" s="76" t="n">
        <v>1</v>
      </c>
      <c r="E68" s="77"/>
    </row>
    <row r="69" customFormat="false" ht="12.75" hidden="false" customHeight="false" outlineLevel="0" collapsed="false">
      <c r="B69" s="78" t="s">
        <v>590</v>
      </c>
      <c r="C69" s="71" t="s">
        <v>581</v>
      </c>
      <c r="D69" s="72" t="n">
        <v>1</v>
      </c>
      <c r="E69" s="79" t="n">
        <v>28</v>
      </c>
    </row>
    <row r="70" customFormat="false" ht="12.75" hidden="false" customHeight="false" outlineLevel="0" collapsed="false">
      <c r="B70" s="74"/>
      <c r="C70" s="75" t="s">
        <v>582</v>
      </c>
      <c r="D70" s="76" t="n">
        <v>1</v>
      </c>
      <c r="E70" s="77"/>
    </row>
    <row r="71" customFormat="false" ht="12.75" hidden="false" customHeight="false" outlineLevel="0" collapsed="false">
      <c r="B71" s="82" t="s">
        <v>41</v>
      </c>
      <c r="C71" s="83" t="s">
        <v>608</v>
      </c>
      <c r="D71" s="84" t="n">
        <v>0</v>
      </c>
      <c r="E71" s="85" t="n">
        <v>30</v>
      </c>
    </row>
    <row r="74" customFormat="false" ht="12.75" hidden="false" customHeight="false" outlineLevel="0" collapsed="false">
      <c r="B74" s="49" t="s">
        <v>609</v>
      </c>
    </row>
    <row r="75" customFormat="false" ht="23.85" hidden="false" customHeight="false" outlineLevel="0" collapsed="false">
      <c r="B75" s="86" t="s">
        <v>595</v>
      </c>
      <c r="C75" s="87" t="s">
        <v>573</v>
      </c>
      <c r="D75" s="87" t="s">
        <v>574</v>
      </c>
      <c r="E75" s="87" t="s">
        <v>31</v>
      </c>
    </row>
    <row r="76" customFormat="false" ht="12.75" hidden="false" customHeight="false" outlineLevel="0" collapsed="false">
      <c r="B76" s="88" t="s">
        <v>4</v>
      </c>
      <c r="C76" s="89" t="s">
        <v>596</v>
      </c>
      <c r="D76" s="90" t="n">
        <v>1</v>
      </c>
      <c r="E76" s="91" t="n">
        <v>15</v>
      </c>
    </row>
    <row r="77" customFormat="false" ht="12.75" hidden="false" customHeight="false" outlineLevel="0" collapsed="false">
      <c r="B77" s="92"/>
      <c r="C77" s="89" t="s">
        <v>610</v>
      </c>
      <c r="D77" s="90" t="n">
        <v>0.0035</v>
      </c>
      <c r="E77" s="93"/>
    </row>
    <row r="78" customFormat="false" ht="12.75" hidden="false" customHeight="false" outlineLevel="0" collapsed="false">
      <c r="B78" s="92"/>
      <c r="C78" s="89" t="s">
        <v>611</v>
      </c>
      <c r="D78" s="90" t="n">
        <v>0.002</v>
      </c>
      <c r="E78" s="93"/>
    </row>
    <row r="79" customFormat="false" ht="12.75" hidden="false" customHeight="false" outlineLevel="0" collapsed="false">
      <c r="B79" s="94"/>
      <c r="C79" s="95" t="s">
        <v>599</v>
      </c>
      <c r="D79" s="96" t="n">
        <v>0.003</v>
      </c>
      <c r="E79" s="97"/>
    </row>
    <row r="80" customFormat="false" ht="12.75" hidden="false" customHeight="false" outlineLevel="0" collapsed="false">
      <c r="B80" s="98" t="s">
        <v>5</v>
      </c>
      <c r="C80" s="89" t="s">
        <v>612</v>
      </c>
      <c r="D80" s="90" t="n">
        <v>0.05</v>
      </c>
      <c r="E80" s="99" t="n">
        <v>25</v>
      </c>
    </row>
    <row r="81" customFormat="false" ht="12.75" hidden="false" customHeight="false" outlineLevel="0" collapsed="false">
      <c r="B81" s="92"/>
      <c r="C81" s="89" t="s">
        <v>599</v>
      </c>
      <c r="D81" s="90" t="n">
        <v>0.003</v>
      </c>
      <c r="E81" s="93"/>
    </row>
    <row r="82" customFormat="false" ht="12.75" hidden="false" customHeight="false" outlineLevel="0" collapsed="false">
      <c r="B82" s="92"/>
      <c r="C82" s="89" t="s">
        <v>613</v>
      </c>
      <c r="D82" s="90" t="n">
        <v>0.0015</v>
      </c>
      <c r="E82" s="93"/>
    </row>
    <row r="83" customFormat="false" ht="12.75" hidden="false" customHeight="false" outlineLevel="0" collapsed="false">
      <c r="B83" s="92"/>
      <c r="C83" s="89" t="s">
        <v>601</v>
      </c>
      <c r="D83" s="90" t="n">
        <v>0.003</v>
      </c>
      <c r="E83" s="93"/>
    </row>
    <row r="84" customFormat="false" ht="12.75" hidden="false" customHeight="false" outlineLevel="0" collapsed="false">
      <c r="B84" s="94"/>
      <c r="C84" s="95" t="s">
        <v>602</v>
      </c>
      <c r="D84" s="96" t="n">
        <v>1</v>
      </c>
      <c r="E84" s="97"/>
    </row>
    <row r="85" customFormat="false" ht="12.75" hidden="false" customHeight="false" outlineLevel="0" collapsed="false">
      <c r="B85" s="100" t="s">
        <v>41</v>
      </c>
      <c r="C85" s="101" t="s">
        <v>608</v>
      </c>
      <c r="D85" s="102" t="n">
        <v>0</v>
      </c>
      <c r="E85" s="103"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614</v>
      </c>
      <c r="I1" s="6" t="s">
        <v>1</v>
      </c>
    </row>
    <row r="2" customFormat="false" ht="15" hidden="false" customHeight="false" outlineLevel="0" collapsed="false">
      <c r="A2" s="7" t="s">
        <v>2</v>
      </c>
      <c r="E2" s="8" t="s">
        <v>615</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10" t="s">
        <v>4</v>
      </c>
      <c r="R2" s="7" t="s">
        <v>577</v>
      </c>
      <c r="Z2" s="10" t="s">
        <v>578</v>
      </c>
      <c r="AH2" s="7" t="s">
        <v>583</v>
      </c>
      <c r="AP2" s="10" t="s">
        <v>5</v>
      </c>
      <c r="AX2" s="7" t="s">
        <v>589</v>
      </c>
      <c r="BF2" s="10" t="s">
        <v>590</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7</v>
      </c>
    </row>
    <row r="5" customFormat="false" ht="15" hidden="false" customHeight="false" outlineLevel="0" collapsed="false">
      <c r="A5" s="0" t="s">
        <v>9</v>
      </c>
      <c r="C5" s="0" t="n">
        <f aca="false">'General Information'!D26</f>
        <v>66667</v>
      </c>
      <c r="D5" s="0" t="s">
        <v>10</v>
      </c>
      <c r="E5" s="11" t="s">
        <v>616</v>
      </c>
      <c r="F5" s="14" t="n">
        <f aca="false">ROUNDUP((C5/15000),0)+ROUNDUP((C8/20000),0)+ROUNDUP((C8/50000),0)</f>
        <v>7</v>
      </c>
    </row>
    <row r="6" customFormat="false" ht="15" hidden="false" customHeight="false" outlineLevel="0" collapsed="false">
      <c r="A6" s="0" t="s">
        <v>12</v>
      </c>
      <c r="C6" s="0" t="n">
        <f aca="false">'General Information'!D25</f>
        <v>2028</v>
      </c>
      <c r="E6" s="11" t="s">
        <v>617</v>
      </c>
      <c r="F6" s="14" t="n">
        <f aca="false">ROUNDUP((C5/15000),0)+ROUNDUP((C8/20000),0)+ROUNDUP((C8/50000),0)+ROUNDUP((C5*'Maintenance Policies'!D15/10000),0)+ROUNDUP((C5*'Maintenance Policies'!D14/5000),0)</f>
        <v>9</v>
      </c>
      <c r="AP6" s="1" t="s">
        <v>618</v>
      </c>
      <c r="AQ6" s="1" t="n">
        <v>2</v>
      </c>
      <c r="AR6" s="1" t="s">
        <v>619</v>
      </c>
    </row>
    <row r="7" customFormat="false" ht="15" hidden="false" customHeight="false" outlineLevel="0" collapsed="false">
      <c r="A7" s="0" t="s">
        <v>620</v>
      </c>
      <c r="C7" s="105" t="s">
        <v>530</v>
      </c>
      <c r="D7" s="6" t="s">
        <v>621</v>
      </c>
      <c r="E7" s="11" t="s">
        <v>622</v>
      </c>
      <c r="F7" s="14" t="n">
        <f aca="false">ROUNDUP((C5/15000),0)+ROUNDUP((C8/20000),0)+ROUNDUP((C8/50000),0)+ROUNDUP((C5*'Maintenance Policies'!D18/10000),0)+ROUNDUP((C5*'Maintenance Policies'!D19/5000),0)</f>
        <v>9</v>
      </c>
      <c r="AP7" s="1" t="s">
        <v>623</v>
      </c>
      <c r="AQ7" s="1" t="n">
        <v>120</v>
      </c>
      <c r="AR7" s="1" t="s">
        <v>624</v>
      </c>
    </row>
    <row r="8" customFormat="false" ht="15" hidden="false" customHeight="false" outlineLevel="0" collapsed="false">
      <c r="A8" s="0" t="s">
        <v>13</v>
      </c>
      <c r="C8" s="0" t="n">
        <f aca="false">'General Information'!D28</f>
        <v>15000</v>
      </c>
      <c r="D8" s="0" t="s">
        <v>14</v>
      </c>
      <c r="E8" s="11" t="s">
        <v>11</v>
      </c>
      <c r="F8" s="14" t="n">
        <f aca="false">ROUNDUP((C5/3800),0)+ROUNDUP((C8/50000),0)</f>
        <v>19</v>
      </c>
    </row>
    <row r="9" customFormat="false" ht="15" hidden="false" customHeight="false" outlineLevel="0" collapsed="false">
      <c r="C9" s="13"/>
      <c r="E9" s="11" t="s">
        <v>625</v>
      </c>
      <c r="F9" s="14" t="n">
        <f aca="false">ROUNDUP((C5/15000),0)+ROUNDUP((C8/20000),0)+ROUNDUP((C8/50000),0)</f>
        <v>7</v>
      </c>
      <c r="AP9" s="1" t="s">
        <v>626</v>
      </c>
      <c r="AQ9" s="1" t="n">
        <v>0.1</v>
      </c>
      <c r="AR9" s="1" t="s">
        <v>627</v>
      </c>
    </row>
    <row r="10" customFormat="false" ht="15" hidden="false" customHeight="false" outlineLevel="0" collapsed="false">
      <c r="D10" s="18"/>
      <c r="E10" s="15" t="s">
        <v>628</v>
      </c>
      <c r="F10" s="16" t="n">
        <f aca="false">ROUNDUP((C5/15000),0)+ROUNDUP((C8/20000),0)+ROUNDUP((C8/50000),0)+ROUNDUP((C5*'Maintenance Policies'!D28/10000),0)+ROUNDUP((C5*'Maintenance Policies'!D29/5000),0)</f>
        <v>9</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66667</v>
      </c>
      <c r="O13" s="110" t="n">
        <f aca="false">IF(L13="","N/A",VLOOKUP(L13,CHOOSE({1,2},Table2[Pay Item Description],Table2[Unit Cost]),2,0))</f>
        <v>4</v>
      </c>
      <c r="P13" s="27" t="n">
        <f aca="false">O13*N13</f>
        <v>266668</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66667</v>
      </c>
      <c r="W13" s="66" t="n">
        <f aca="false">IF(T13="","N/A",VLOOKUP(T13,CHOOSE({1,2},Table2[Pay Item Description],Table2[Unit Cost]),2,0))</f>
        <v>4</v>
      </c>
      <c r="X13" s="30" t="n">
        <f aca="false">W13*V13</f>
        <v>266668</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4500.0225</v>
      </c>
      <c r="AE13" s="113" t="n">
        <f aca="false">IF(AB13="","N/A",VLOOKUP(AB13,CHOOSE({1,2},Table2[Pay Item Description],Table2[Unit Cost]),2,0))</f>
        <v>8.5</v>
      </c>
      <c r="AF13" s="27" t="n">
        <f aca="false">AE13*AD13</f>
        <v>38250.19125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6000.03</v>
      </c>
      <c r="AM13" s="115" t="n">
        <f aca="false">IF(AJ13="","N/A",VLOOKUP(AJ13,CHOOSE({1,2},Table2[Pay Item Description],Table2[Unit Cost]),2,0))</f>
        <v>8.5</v>
      </c>
      <c r="AN13" s="30" t="n">
        <f aca="false">AM13*AL13</f>
        <v>51000.255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66667</v>
      </c>
      <c r="AU13" s="113" t="n">
        <f aca="false">IF(AR13="","N/A",VLOOKUP(AR13,CHOOSE({1,2},Table2[Pay Item Description],Table2[Unit Cost]),2,0))</f>
        <v>5</v>
      </c>
      <c r="AV13" s="27" t="n">
        <f aca="false">AU13*AT13</f>
        <v>333335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66667</v>
      </c>
      <c r="BC13" s="66" t="n">
        <f aca="false">IF(AZ13="","N/A",VLOOKUP(AZ13,CHOOSE({1,2},Table2[Pay Item Description],Table2[Unit Cost]),2,0))</f>
        <v>4</v>
      </c>
      <c r="BD13" s="30" t="n">
        <f aca="false">BC13*BB13</f>
        <v>266668</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7500.0375</v>
      </c>
      <c r="BK13" s="113" t="n">
        <f aca="false">IF(BH13="","N/A",VLOOKUP(BH13,CHOOSE({1,2},Table2[Pay Item Description],Table2[Unit Cost]),2,0))</f>
        <v>8.5</v>
      </c>
      <c r="BL13" s="27" t="n">
        <f aca="false">BK13*BJ13</f>
        <v>63750.31875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15000</v>
      </c>
      <c r="O14" s="113" t="n">
        <f aca="false">IF(L14="","N/A",VLOOKUP(L14,CHOOSE({1,2},Table2[Pay Item Description],Table2[Unit Cost]),2,0))</f>
        <v>0.777777777777778</v>
      </c>
      <c r="P14" s="27" t="n">
        <f aca="false">O14*N14</f>
        <v>11666.6666666667</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15000</v>
      </c>
      <c r="W14" s="115" t="n">
        <f aca="false">IF(T14="","N/A",VLOOKUP(T14,CHOOSE({1,2},Table2[Pay Item Description],Table2[Unit Cost]),2,0))</f>
        <v>0.777777777777778</v>
      </c>
      <c r="X14" s="30" t="n">
        <f aca="false">W14*V14</f>
        <v>11666.6666666667</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19500.0975</v>
      </c>
      <c r="AE14" s="113" t="n">
        <f aca="false">IF(AB14="","N/A",VLOOKUP(AB14,CHOOSE({1,2},Table2[Pay Item Description],Table2[Unit Cost]),2,0))</f>
        <v>4</v>
      </c>
      <c r="AF14" s="27" t="n">
        <f aca="false">AE14*AD14</f>
        <v>78000.39</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21000.105</v>
      </c>
      <c r="AM14" s="115" t="n">
        <f aca="false">IF(AJ14="","N/A",VLOOKUP(AJ14,CHOOSE({1,2},Table2[Pay Item Description],Table2[Unit Cost]),2,0))</f>
        <v>4</v>
      </c>
      <c r="AN14" s="30" t="n">
        <f aca="false">AM14*AL14</f>
        <v>84000.42</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6666.7</v>
      </c>
      <c r="AU14" s="113" t="n">
        <f aca="false">IF(AR14="","N/A",VLOOKUP(AR14,CHOOSE({1,2},Table2[Pay Item Description],Table2[Unit Cost]),2,0))</f>
        <v>4.5</v>
      </c>
      <c r="AV14" s="27" t="n">
        <f aca="false">AU14*AT14</f>
        <v>30000.15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15000</v>
      </c>
      <c r="BC14" s="115" t="n">
        <f aca="false">IF(AZ14="","N/A",VLOOKUP(AZ14,CHOOSE({1,2},Table2[Pay Item Description],Table2[Unit Cost]),2,0))</f>
        <v>0.777777777777778</v>
      </c>
      <c r="BD14" s="30" t="n">
        <f aca="false">BC14*BB14</f>
        <v>11666.6666666667</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24000.12</v>
      </c>
      <c r="BK14" s="113" t="n">
        <f aca="false">IF(BH14="","N/A",VLOOKUP(BH14,CHOOSE({1,2},Table2[Pay Item Description],Table2[Unit Cost]),2,0))</f>
        <v>4</v>
      </c>
      <c r="BL14" s="27" t="n">
        <f aca="false">BK14*BJ14</f>
        <v>96000.48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15000</v>
      </c>
      <c r="O15" s="113" t="n">
        <f aca="false">IF(L15="","N/A",VLOOKUP(L15,CHOOSE({1,2},Table2[Pay Item Description],Table2[Unit Cost]),2,0))</f>
        <v>0.666666666666667</v>
      </c>
      <c r="P15" s="27" t="n">
        <f aca="false">O15*N15</f>
        <v>10000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15000</v>
      </c>
      <c r="W15" s="115" t="n">
        <f aca="false">IF(T15="","N/A",VLOOKUP(T15,CHOOSE({1,2},Table2[Pay Item Description],Table2[Unit Cost]),2,0))</f>
        <v>0.666666666666667</v>
      </c>
      <c r="X15" s="30" t="n">
        <f aca="false">W15*V15</f>
        <v>10000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66667</v>
      </c>
      <c r="AE15" s="110" t="n">
        <f aca="false">IF(AB15="","N/A",VLOOKUP(AB15,CHOOSE({1,2},Table2[Pay Item Description],Table2[Unit Cost]),2,0))</f>
        <v>4</v>
      </c>
      <c r="AF15" s="27" t="n">
        <f aca="false">AE15*AD15</f>
        <v>266668</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66667</v>
      </c>
      <c r="AM15" s="66" t="n">
        <f aca="false">IF(AJ15="","N/A",VLOOKUP(AJ15,CHOOSE({1,2},Table2[Pay Item Description],Table2[Unit Cost]),2,0))</f>
        <v>4</v>
      </c>
      <c r="AN15" s="30" t="n">
        <f aca="false">AM15*AL15</f>
        <v>266668</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8000.04</v>
      </c>
      <c r="AU15" s="113" t="n">
        <f aca="false">IF(AR15="","N/A",VLOOKUP(AR15,CHOOSE({1,2},Table2[Pay Item Description],Table2[Unit Cost]),2,0))</f>
        <v>130</v>
      </c>
      <c r="AV15" s="27" t="n">
        <f aca="false">AU15*AT15</f>
        <v>1040005.2</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15000</v>
      </c>
      <c r="BC15" s="115" t="n">
        <f aca="false">IF(AZ15="","N/A",VLOOKUP(AZ15,CHOOSE({1,2},Table2[Pay Item Description],Table2[Unit Cost]),2,0))</f>
        <v>0.666666666666667</v>
      </c>
      <c r="BD15" s="30" t="n">
        <f aca="false">BC15*BB15</f>
        <v>10000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66667</v>
      </c>
      <c r="BK15" s="110" t="n">
        <f aca="false">IF(BH15="","N/A",VLOOKUP(BH15,CHOOSE({1,2},Table2[Pay Item Description],Table2[Unit Cost]),2,0))</f>
        <v>4</v>
      </c>
      <c r="BL15" s="27" t="n">
        <f aca="false">BK15*BJ15</f>
        <v>266668</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288334.666666667</v>
      </c>
      <c r="W16" s="6" t="s">
        <v>24</v>
      </c>
      <c r="X16" s="30" t="n">
        <f aca="false">SUM(X13:X15)</f>
        <v>288334.666666667</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15000</v>
      </c>
      <c r="AE16" s="113" t="n">
        <f aca="false">IF(AB16="","N/A",VLOOKUP(AB16,CHOOSE({1,2},Table2[Pay Item Description],Table2[Unit Cost]),2,0))</f>
        <v>0.777777777777778</v>
      </c>
      <c r="AF16" s="27" t="n">
        <f aca="false">AE16*AD16</f>
        <v>11666.6666666667</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15000</v>
      </c>
      <c r="AM16" s="115" t="n">
        <f aca="false">IF(AJ16="","N/A",VLOOKUP(AJ16,CHOOSE({1,2},Table2[Pay Item Description],Table2[Unit Cost]),2,0))</f>
        <v>0.777777777777778</v>
      </c>
      <c r="AN16" s="30" t="n">
        <f aca="false">AM16*AL16</f>
        <v>11666.6666666667</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9000.045</v>
      </c>
      <c r="AU16" s="113" t="n">
        <f aca="false">IF(AR16="","N/A",VLOOKUP(AR16,CHOOSE({1,2},Table2[Pay Item Description],Table2[Unit Cost]),2,0))</f>
        <v>4</v>
      </c>
      <c r="AV16" s="27" t="n">
        <f aca="false">AU16*AT16</f>
        <v>36000.18</v>
      </c>
      <c r="BC16" s="6" t="s">
        <v>24</v>
      </c>
      <c r="BD16" s="30" t="n">
        <f aca="false">SUM(BD13:BD15)</f>
        <v>288334.666666667</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15000</v>
      </c>
      <c r="BK16" s="113" t="n">
        <f aca="false">IF(BH16="","N/A",VLOOKUP(BH16,CHOOSE({1,2},Table2[Pay Item Description],Table2[Unit Cost]),2,0))</f>
        <v>0.777777777777778</v>
      </c>
      <c r="BL16" s="27" t="n">
        <f aca="false">BK16*BJ16</f>
        <v>11666.6666666667</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28833.4666666667</v>
      </c>
      <c r="T17" s="6" t="s">
        <v>25</v>
      </c>
      <c r="X17" s="30"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15000</v>
      </c>
      <c r="AE17" s="113" t="n">
        <f aca="false">IF(AB17="","N/A",VLOOKUP(AB17,CHOOSE({1,2},Table2[Pay Item Description],Table2[Unit Cost]),2,0))</f>
        <v>0.666666666666667</v>
      </c>
      <c r="AF17" s="27" t="n">
        <f aca="false">AE17*AD17</f>
        <v>10000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15000</v>
      </c>
      <c r="AM17" s="115" t="n">
        <f aca="false">IF(AJ17="","N/A",VLOOKUP(AJ17,CHOOSE({1,2},Table2[Pay Item Description],Table2[Unit Cost]),2,0))</f>
        <v>0.666666666666667</v>
      </c>
      <c r="AN17" s="30" t="n">
        <f aca="false">AM17*AL17</f>
        <v>10000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3000.015</v>
      </c>
      <c r="AU17" s="113" t="n">
        <f aca="false">IF(AR17="","N/A",VLOOKUP(AR17,CHOOSE({1,2},Table2[Pay Item Description],Table2[Unit Cost]),2,0))</f>
        <v>8.5</v>
      </c>
      <c r="AV17" s="27" t="n">
        <f aca="false">AU17*AT17</f>
        <v>25500.1275</v>
      </c>
      <c r="AZ17" s="6" t="s">
        <v>25</v>
      </c>
      <c r="BD17" s="30"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15000</v>
      </c>
      <c r="BK17" s="113" t="n">
        <f aca="false">IF(BH17="","N/A",VLOOKUP(BH17,CHOOSE({1,2},Table2[Pay Item Description],Table2[Unit Cost]),2,0))</f>
        <v>0.666666666666667</v>
      </c>
      <c r="BL17" s="27" t="n">
        <f aca="false">BK17*BJ17</f>
        <v>10000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14416.7333333333</v>
      </c>
      <c r="T18" s="6" t="s">
        <v>26</v>
      </c>
      <c r="X18" s="30" t="n">
        <f aca="false">('General Information'!$D$37/100)*X16</f>
        <v>14416.7333333333</v>
      </c>
      <c r="AE18" s="1" t="s">
        <v>24</v>
      </c>
      <c r="AF18" s="27" t="n">
        <f aca="false">SUM(AF13:AF17)</f>
        <v>404585.247916667</v>
      </c>
      <c r="AM18" s="6" t="s">
        <v>24</v>
      </c>
      <c r="AN18" s="30" t="n">
        <f aca="false">SUM(AN13:AN17)</f>
        <v>423335.341666667</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15000</v>
      </c>
      <c r="AU18" s="113" t="n">
        <f aca="false">IF(AR18="","N/A",VLOOKUP(AR18,CHOOSE({1,2},Table2[Pay Item Description],Table2[Unit Cost]),2,0))</f>
        <v>0.666666666666667</v>
      </c>
      <c r="AV18" s="27" t="n">
        <f aca="false">AU18*AT18</f>
        <v>10000</v>
      </c>
      <c r="AZ18" s="6" t="s">
        <v>26</v>
      </c>
      <c r="BD18" s="30" t="n">
        <f aca="false">('General Information'!$D$37/100)*BD16</f>
        <v>14416.7333333333</v>
      </c>
      <c r="BK18" s="1" t="s">
        <v>24</v>
      </c>
      <c r="BL18" s="27" t="n">
        <f aca="false">SUM(BL13:BL17)</f>
        <v>448085.465416667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331584.866666667</v>
      </c>
      <c r="W19" s="6" t="s">
        <v>27</v>
      </c>
      <c r="X19" s="30" t="n">
        <f aca="false">SUM(X16:X18)</f>
        <v>331584.866666667</v>
      </c>
      <c r="AB19" s="1" t="s">
        <v>25</v>
      </c>
      <c r="AF19" s="27" t="n">
        <f aca="false">('General Information'!$D$36/100)*AF18</f>
        <v>40458.5247916667</v>
      </c>
      <c r="AJ19" s="6" t="s">
        <v>25</v>
      </c>
      <c r="AN19" s="30" t="n">
        <f aca="false">('General Information'!$D$36/100)*AN18</f>
        <v>42333.5341666667</v>
      </c>
      <c r="AU19" s="1" t="s">
        <v>24</v>
      </c>
      <c r="AV19" s="27" t="n">
        <f aca="false">SUM(AV13:AV18)</f>
        <v>1474840.6575</v>
      </c>
      <c r="BC19" s="6" t="s">
        <v>27</v>
      </c>
      <c r="BD19" s="30" t="n">
        <f aca="false">SUM(BD16:BD18)</f>
        <v>331584.866666667</v>
      </c>
      <c r="BH19" s="1" t="s">
        <v>25</v>
      </c>
      <c r="BL19" s="27" t="n">
        <f aca="false">('General Information'!$D$36/100)*BL18</f>
        <v>44808.5465416667</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20229.2623958333</v>
      </c>
      <c r="AJ20" s="6" t="s">
        <v>26</v>
      </c>
      <c r="AN20" s="30" t="n">
        <f aca="false">('General Information'!$D$37/100)*AN18</f>
        <v>21166.7670833333</v>
      </c>
      <c r="AR20" s="1" t="s">
        <v>25</v>
      </c>
      <c r="AV20" s="27" t="n">
        <f aca="false">('General Information'!$D$36/100)*AV19</f>
        <v>147484.06575</v>
      </c>
      <c r="BH20" s="1" t="s">
        <v>26</v>
      </c>
      <c r="BL20" s="27" t="n">
        <f aca="false">('General Information'!$D$37/100)*BL18</f>
        <v>22404.2732708333</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465273.035104167</v>
      </c>
      <c r="AM21" s="6" t="s">
        <v>27</v>
      </c>
      <c r="AN21" s="30" t="n">
        <f aca="false">SUM(AN18:AN20)</f>
        <v>486835.642916667</v>
      </c>
      <c r="AR21" s="1" t="s">
        <v>26</v>
      </c>
      <c r="AV21" s="27" t="n">
        <f aca="false">('General Information'!$D$37/100)*AV19</f>
        <v>73742.032875</v>
      </c>
      <c r="BK21" s="1" t="s">
        <v>27</v>
      </c>
      <c r="BL21" s="27" t="n">
        <f aca="false">SUM(BL18:BL20)</f>
        <v>515298.285229167</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1696066.756125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629</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331584.866666667</v>
      </c>
      <c r="E37" s="43" t="n">
        <f aca="false">IF(C37&gt;'General Information'!$D$33,0,D37/(1+('General Information'!$D$34/100))^C37)</f>
        <v>294608.859318184</v>
      </c>
      <c r="K37" s="1" t="n">
        <f aca="false">C6</f>
        <v>2028</v>
      </c>
      <c r="L37" s="118" t="n">
        <f aca="false">IF(K37-$C$6&gt;'General Information'!$D$33,0,IF(K37=$C$6,$D$36,0)+SUMIFS($D$37:$D$51,$C$37:$C$51,K37-$C$6,$B$37:$B$51,"&lt;&gt;*Indirect*"))</f>
        <v>0</v>
      </c>
      <c r="M37" s="118" t="n">
        <f aca="false">IF(K37-$C$6&gt;'General Information'!$D$33,0,SUMIFS($D$37:$D$51,$C$37:$C$51,K37-$C$6,$B$37:$B$51,"*Indirect*"))</f>
        <v>0</v>
      </c>
      <c r="N37" s="118"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22675.73</v>
      </c>
      <c r="E38" s="43" t="n">
        <f aca="false">IF(C38&gt;'General Information'!$D$33,0,D38/(1+('General Information'!$D$34/100))^C38)</f>
        <v>20147.0924070332</v>
      </c>
      <c r="K38" s="1" t="n">
        <f aca="false">K37+1</f>
        <v>2029</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577</v>
      </c>
      <c r="C39" s="41" t="n">
        <f aca="false">'Maintenance Policies'!E12</f>
        <v>8</v>
      </c>
      <c r="D39" s="42" t="n">
        <f aca="false">X19</f>
        <v>331584.866666667</v>
      </c>
      <c r="E39" s="43" t="n">
        <f aca="false">IF(C39&gt;'General Information'!$D$33,0,D39/(1+('General Information'!$D$34/100))^C39)</f>
        <v>261756.155705422</v>
      </c>
      <c r="K39" s="1" t="n">
        <f aca="false">K38+1</f>
        <v>2030</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630</v>
      </c>
      <c r="C40" s="41" t="n">
        <f aca="false">'Maintenance Policies'!E12</f>
        <v>8</v>
      </c>
      <c r="D40" s="42" t="n">
        <f aca="false">F2*F5</f>
        <v>22675.73</v>
      </c>
      <c r="E40" s="43" t="n">
        <f aca="false">IF(C40&gt;'General Information'!$D$33,0,D40/(1+('General Information'!$D$34/100))^C40)</f>
        <v>17900.4306568095</v>
      </c>
      <c r="K40" s="1" t="n">
        <f aca="false">K39+1</f>
        <v>2031</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578</v>
      </c>
      <c r="C41" s="41" t="n">
        <f aca="false">'Maintenance Policies'!E14</f>
        <v>12</v>
      </c>
      <c r="D41" s="42" t="n">
        <f aca="false">AF21</f>
        <v>465273.035104167</v>
      </c>
      <c r="E41" s="43" t="n">
        <f aca="false">IF(C41&gt;'General Information'!$D$33,0,D41/(1+('General Information'!$D$34/100))^C41)</f>
        <v>326333.145618381</v>
      </c>
      <c r="K41" s="1" t="n">
        <f aca="false">K40+1</f>
        <v>2032</v>
      </c>
      <c r="L41" s="118" t="n">
        <f aca="false">IF(K41-$C$6&gt;'General Information'!$D$33,0,IF(K41=$C$6,$D$36,0)+SUMIFS($D$37:$D$51,$C$37:$C$51,K41-$C$6,$B$37:$B$51,"&lt;&gt;*Indirect*"))</f>
        <v>331584.866666667</v>
      </c>
      <c r="M41" s="118" t="n">
        <f aca="false">IF(K41-$C$6&gt;'General Information'!$D$33,0,SUMIFS($D$37:$D$51,$C$37:$C$51,K41-$C$6,$B$37:$B$51,"*Indirect*"))</f>
        <v>22675.73</v>
      </c>
      <c r="N41" s="118" t="n">
        <f aca="false">IF(K41-$C$6&gt;'General Information'!$D$33,0,IF(K41=$C$6,$E$36,0)+SUMIF($C$37:$C$51,K41-$C$6,$E$37:$E$51))</f>
        <v>314755.951725217</v>
      </c>
    </row>
    <row r="42" customFormat="false" ht="15" hidden="false" customHeight="false" outlineLevel="0" collapsed="false">
      <c r="B42" s="40" t="s">
        <v>631</v>
      </c>
      <c r="C42" s="41" t="n">
        <f aca="false">'Maintenance Policies'!E14</f>
        <v>12</v>
      </c>
      <c r="D42" s="42" t="n">
        <f aca="false">F2*F6</f>
        <v>29154.51</v>
      </c>
      <c r="E42" s="43" t="n">
        <f aca="false">IF(C42&gt;'General Information'!$D$33,0,D42/(1+('General Information'!$D$34/100))^C42)</f>
        <v>20448.3867308848</v>
      </c>
      <c r="K42" s="1" t="n">
        <f aca="false">K41+1</f>
        <v>2033</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583</v>
      </c>
      <c r="C43" s="41" t="n">
        <f aca="false">'Maintenance Policies'!E18</f>
        <v>16</v>
      </c>
      <c r="D43" s="42" t="n">
        <f aca="false">AN21</f>
        <v>486835.642916667</v>
      </c>
      <c r="E43" s="43" t="n">
        <f aca="false">IF(C43&gt;'General Information'!$D$33,0,D43/(1+('General Information'!$D$34/100))^C43)</f>
        <v>303379.877499636</v>
      </c>
      <c r="K43" s="1" t="n">
        <f aca="false">K42+1</f>
        <v>2034</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632</v>
      </c>
      <c r="C44" s="41" t="n">
        <f aca="false">'Maintenance Policies'!E18</f>
        <v>16</v>
      </c>
      <c r="D44" s="42" t="n">
        <f aca="false">F2*F7</f>
        <v>29154.51</v>
      </c>
      <c r="E44" s="43" t="n">
        <f aca="false">IF(C44&gt;'General Information'!$D$33,0,D44/(1+('General Information'!$D$34/100))^C44)</f>
        <v>18168.1267611622</v>
      </c>
      <c r="K44" s="1" t="n">
        <f aca="false">K43+1</f>
        <v>2035</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1696066.756125</v>
      </c>
      <c r="E45" s="43" t="n">
        <f aca="false">IF(C45&gt;'General Information'!$D$33,0,D45/(1+('General Information'!$D$34/100))^C45)</f>
        <v>939071.040347879</v>
      </c>
      <c r="K45" s="1" t="n">
        <f aca="false">K44+1</f>
        <v>2036</v>
      </c>
      <c r="L45" s="118" t="n">
        <f aca="false">IF(K45-$C$6&gt;'General Information'!$D$33,0,IF(K45=$C$6,$D$36,0)+SUMIFS($D$37:$D$51,$C$37:$C$51,K45-$C$6,$B$37:$B$51,"&lt;&gt;*Indirect*"))</f>
        <v>331584.866666667</v>
      </c>
      <c r="M45" s="118" t="n">
        <f aca="false">IF(K45-$C$6&gt;'General Information'!$D$33,0,SUMIFS($D$37:$D$51,$C$37:$C$51,K45-$C$6,$B$37:$B$51,"*Indirect*"))</f>
        <v>22675.73</v>
      </c>
      <c r="N45" s="118" t="n">
        <f aca="false">IF(K45-$C$6&gt;'General Information'!$D$33,0,IF(K45=$C$6,$E$36,0)+SUMIF($C$37:$C$51,K45-$C$6,$E$37:$E$51))</f>
        <v>279656.586362231</v>
      </c>
    </row>
    <row r="46" customFormat="false" ht="15" hidden="false" customHeight="false" outlineLevel="0" collapsed="false">
      <c r="B46" s="40" t="s">
        <v>40</v>
      </c>
      <c r="C46" s="41" t="n">
        <f aca="false">'Maintenance Policies'!E22</f>
        <v>20</v>
      </c>
      <c r="D46" s="42" t="n">
        <f aca="false">F2*F8</f>
        <v>61548.41</v>
      </c>
      <c r="E46" s="43" t="n">
        <f aca="false">IF(C46&gt;'General Information'!$D$33,0,D46/(1+('General Information'!$D$34/100))^C46)</f>
        <v>34077.8623257197</v>
      </c>
      <c r="K46" s="1" t="n">
        <f aca="false">K45+1</f>
        <v>2037</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589</v>
      </c>
      <c r="C47" s="41" t="n">
        <f aca="false">'Maintenance Policies'!E26</f>
        <v>24</v>
      </c>
      <c r="D47" s="42" t="n">
        <f aca="false">BD19</f>
        <v>331584.866666667</v>
      </c>
      <c r="E47" s="43" t="n">
        <f aca="false">IF(C47&gt;'General Information'!$D$33,0,D47/(1+('General Information'!$D$34/100))^C47)</f>
        <v>163117.782372971</v>
      </c>
      <c r="K47" s="1" t="n">
        <f aca="false">K46+1</f>
        <v>2038</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633</v>
      </c>
      <c r="C48" s="41" t="n">
        <f aca="false">'Maintenance Policies'!E26</f>
        <v>24</v>
      </c>
      <c r="D48" s="42" t="n">
        <f aca="false">F2*F9</f>
        <v>22675.73</v>
      </c>
      <c r="E48" s="43" t="n">
        <f aca="false">IF(C48&gt;'General Information'!$D$33,0,D48/(1+('General Information'!$D$34/100))^C48)</f>
        <v>11154.9565831259</v>
      </c>
      <c r="K48" s="1" t="n">
        <f aca="false">K47+1</f>
        <v>2039</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590</v>
      </c>
      <c r="C49" s="41" t="n">
        <f aca="false">'Maintenance Policies'!E28</f>
        <v>28</v>
      </c>
      <c r="D49" s="42" t="n">
        <f aca="false">BL21</f>
        <v>515298.285229167</v>
      </c>
      <c r="E49" s="43" t="n">
        <f aca="false">IF(C49&gt;'General Information'!$D$33,0,D49/(1+('General Information'!$D$34/100))^C49)</f>
        <v>225224.901422252</v>
      </c>
      <c r="K49" s="1" t="n">
        <f aca="false">K48+1</f>
        <v>2040</v>
      </c>
      <c r="L49" s="118" t="n">
        <f aca="false">IF(K49-$C$6&gt;'General Information'!$D$33,0,IF(K49=$C$6,$D$36,0)+SUMIFS($D$37:$D$51,$C$37:$C$51,K49-$C$6,$B$37:$B$51,"&lt;&gt;*Indirect*"))</f>
        <v>465273.035104167</v>
      </c>
      <c r="M49" s="118" t="n">
        <f aca="false">IF(K49-$C$6&gt;'General Information'!$D$33,0,SUMIFS($D$37:$D$51,$C$37:$C$51,K49-$C$6,$B$37:$B$51,"*Indirect*"))</f>
        <v>29154.51</v>
      </c>
      <c r="N49" s="118" t="n">
        <f aca="false">IF(K49-$C$6&gt;'General Information'!$D$33,0,IF(K49=$C$6,$E$36,0)+SUMIF($C$37:$C$51,K49-$C$6,$E$37:$E$51))</f>
        <v>346781.532349266</v>
      </c>
    </row>
    <row r="50" customFormat="false" ht="15" hidden="false" customHeight="false" outlineLevel="0" collapsed="false">
      <c r="B50" s="40" t="s">
        <v>634</v>
      </c>
      <c r="C50" s="41" t="n">
        <f aca="false">'Maintenance Policies'!E28</f>
        <v>28</v>
      </c>
      <c r="D50" s="42" t="n">
        <f aca="false">F2*F10</f>
        <v>29154.51</v>
      </c>
      <c r="E50" s="43" t="n">
        <f aca="false">IF(C50&gt;'General Information'!$D$33,0,D50/(1+('General Information'!$D$34/100))^C50)</f>
        <v>12742.7585710747</v>
      </c>
      <c r="K50" s="1" t="n">
        <f aca="false">K49+1</f>
        <v>2041</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-212008.344515625</v>
      </c>
      <c r="E51" s="43" t="n">
        <f aca="false">IF(C51&gt;'General Information'!$D$33,0,D51/(1+('General Information'!$D$34/100))^C51)</f>
        <v>-87344.6308473242</v>
      </c>
      <c r="K51" s="1" t="n">
        <f aca="false">K50+1</f>
        <v>2042</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2560786.74547321</v>
      </c>
      <c r="K52" s="1" t="n">
        <f aca="false">K51+1</f>
        <v>2043</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2044</v>
      </c>
      <c r="L53" s="118" t="n">
        <f aca="false">IF(K53-$C$6&gt;'General Information'!$D$33,0,IF(K53=$C$6,$D$36,0)+SUMIFS($D$37:$D$51,$C$37:$C$51,K53-$C$6,$B$37:$B$51,"&lt;&gt;*Indirect*"))</f>
        <v>486835.642916667</v>
      </c>
      <c r="M53" s="118" t="n">
        <f aca="false">IF(K53-$C$6&gt;'General Information'!$D$33,0,SUMIFS($D$37:$D$51,$C$37:$C$51,K53-$C$6,$B$37:$B$51,"*Indirect*"))</f>
        <v>29154.51</v>
      </c>
      <c r="N53" s="118" t="n">
        <f aca="false">IF(K53-$C$6&gt;'General Information'!$D$33,0,IF(K53=$C$6,$E$36,0)+SUMIF($C$37:$C$51,K53-$C$6,$E$37:$E$51))</f>
        <v>321548.004260798</v>
      </c>
    </row>
    <row r="54" customFormat="false" ht="15" hidden="false" customHeight="false" outlineLevel="0" collapsed="false">
      <c r="K54" s="1" t="n">
        <f aca="false">K53+1</f>
        <v>2045</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2046</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2047</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2048</v>
      </c>
      <c r="L57" s="118" t="n">
        <f aca="false">IF(K57-$C$6&gt;'General Information'!$D$33,0,IF(K57=$C$6,$D$36,0)+SUMIFS($D$37:$D$51,$C$37:$C$51,K57-$C$6,$B$37:$B$51,"&lt;&gt;*Indirect*"))</f>
        <v>1696066.756125</v>
      </c>
      <c r="M57" s="118" t="n">
        <f aca="false">IF(K57-$C$6&gt;'General Information'!$D$33,0,SUMIFS($D$37:$D$51,$C$37:$C$51,K57-$C$6,$B$37:$B$51,"*Indirect*"))</f>
        <v>61548.41</v>
      </c>
      <c r="N57" s="118" t="n">
        <f aca="false">IF(K57-$C$6&gt;'General Information'!$D$33,0,IF(K57=$C$6,$E$36,0)+SUMIF($C$37:$C$51,K57-$C$6,$E$37:$E$51))</f>
        <v>973148.902673599</v>
      </c>
    </row>
    <row r="58" customFormat="false" ht="15" hidden="false" customHeight="false" outlineLevel="0" collapsed="false">
      <c r="K58" s="1" t="n">
        <f aca="false">K57+1</f>
        <v>2049</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2050</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2051</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2052</v>
      </c>
      <c r="L61" s="118" t="n">
        <f aca="false">IF(K61-$C$6&gt;'General Information'!$D$33,0,IF(K61=$C$6,$D$36,0)+SUMIFS($D$37:$D$51,$C$37:$C$51,K61-$C$6,$B$37:$B$51,"&lt;&gt;*Indirect*"))</f>
        <v>331584.866666667</v>
      </c>
      <c r="M61" s="118" t="n">
        <f aca="false">IF(K61-$C$6&gt;'General Information'!$D$33,0,SUMIFS($D$37:$D$51,$C$37:$C$51,K61-$C$6,$B$37:$B$51,"*Indirect*"))</f>
        <v>22675.73</v>
      </c>
      <c r="N61" s="118" t="n">
        <f aca="false">IF(K61-$C$6&gt;'General Information'!$D$33,0,IF(K61=$C$6,$E$36,0)+SUMIF($C$37:$C$51,K61-$C$6,$E$37:$E$51))</f>
        <v>174272.738956097</v>
      </c>
    </row>
    <row r="62" customFormat="false" ht="15" hidden="false" customHeight="false" outlineLevel="0" collapsed="false">
      <c r="K62" s="1" t="n">
        <f aca="false">K61+1</f>
        <v>2053</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2054</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2055</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2056</v>
      </c>
      <c r="L65" s="118" t="n">
        <f aca="false">IF(K65-$C$6&gt;'General Information'!$D$33,0,IF(K65=$C$6,$D$36,0)+SUMIFS($D$37:$D$51,$C$37:$C$51,K65-$C$6,$B$37:$B$51,"&lt;&gt;*Indirect*"))</f>
        <v>515298.285229167</v>
      </c>
      <c r="M65" s="118" t="n">
        <f aca="false">IF(K65-$C$6&gt;'General Information'!$D$33,0,SUMIFS($D$37:$D$51,$C$37:$C$51,K65-$C$6,$B$37:$B$51,"*Indirect*"))</f>
        <v>29154.51</v>
      </c>
      <c r="N65" s="118" t="n">
        <f aca="false">IF(K65-$C$6&gt;'General Information'!$D$33,0,IF(K65=$C$6,$E$36,0)+SUMIF($C$37:$C$51,K65-$C$6,$E$37:$E$51))</f>
        <v>237967.659993326</v>
      </c>
    </row>
    <row r="66" customFormat="false" ht="15" hidden="false" customHeight="false" outlineLevel="0" collapsed="false">
      <c r="K66" s="1" t="n">
        <f aca="false">K65+1</f>
        <v>2057</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2058</v>
      </c>
      <c r="L67" s="118" t="n">
        <f aca="false">IF(K67-$C$6&gt;'General Information'!$D$33,0,IF(K67=$C$6,$D$36,0)+SUMIFS($D$37:$D$51,$C$37:$C$51,K67-$C$6,$B$37:$B$51,"&lt;&gt;*Indirect*"))</f>
        <v>-212008.344515625</v>
      </c>
      <c r="M67" s="118" t="n">
        <f aca="false">IF(K67-$C$6&gt;'General Information'!$D$33,0,SUMIFS($D$37:$D$51,$C$37:$C$51,K67-$C$6,$B$37:$B$51,"*Indirect*"))</f>
        <v>0</v>
      </c>
      <c r="N67" s="118" t="n">
        <f aca="false">IF(K67-$C$6&gt;'General Information'!$D$33,0,IF(K67=$C$6,$E$36,0)+SUMIF($C$37:$C$51,K67-$C$6,$E$37:$E$51))</f>
        <v>-87344.6308473242</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19" t="s">
        <v>635</v>
      </c>
      <c r="B1" s="120" t="s">
        <v>636</v>
      </c>
      <c r="C1" s="121" t="s">
        <v>637</v>
      </c>
      <c r="D1" s="120" t="s">
        <v>638</v>
      </c>
      <c r="E1" s="120" t="s">
        <v>639</v>
      </c>
      <c r="F1" s="120" t="s">
        <v>640</v>
      </c>
      <c r="G1" s="120" t="s">
        <v>641</v>
      </c>
      <c r="H1" s="120" t="s">
        <v>642</v>
      </c>
    </row>
    <row r="2" customFormat="false" ht="15" hidden="false" customHeight="false" outlineLevel="0" collapsed="false">
      <c r="A2" s="122" t="s">
        <v>318</v>
      </c>
      <c r="B2" s="123" t="n">
        <v>946.42</v>
      </c>
      <c r="C2" s="123" t="n">
        <v>7293.08</v>
      </c>
      <c r="D2" s="123" t="n">
        <v>60.53</v>
      </c>
      <c r="E2" s="123" t="n">
        <v>3</v>
      </c>
      <c r="F2" s="123" t="n">
        <v>94.64</v>
      </c>
      <c r="G2" s="123" t="n">
        <v>108.27</v>
      </c>
      <c r="H2" s="123" t="s">
        <v>643</v>
      </c>
    </row>
    <row r="3" customFormat="false" ht="15" hidden="false" customHeight="false" outlineLevel="0" collapsed="false">
      <c r="A3" s="122" t="s">
        <v>399</v>
      </c>
      <c r="B3" s="123" t="n">
        <v>794.52</v>
      </c>
      <c r="C3" s="123" t="n">
        <v>2153.43</v>
      </c>
      <c r="D3" s="123" t="n">
        <v>13.7</v>
      </c>
      <c r="E3" s="123" t="n">
        <v>1101.37</v>
      </c>
      <c r="F3" s="123" t="n">
        <v>26.3</v>
      </c>
      <c r="G3" s="123" t="n">
        <v>254.8</v>
      </c>
      <c r="H3" s="123" t="s">
        <v>644</v>
      </c>
    </row>
    <row r="4" customFormat="false" ht="15" hidden="false" customHeight="false" outlineLevel="0" collapsed="false">
      <c r="A4" s="122" t="s">
        <v>337</v>
      </c>
      <c r="B4" s="123" t="n">
        <v>4939.57</v>
      </c>
      <c r="C4" s="123" t="n">
        <v>1517.81</v>
      </c>
      <c r="D4" s="123" t="n">
        <v>30</v>
      </c>
      <c r="E4" s="123" t="n">
        <v>10</v>
      </c>
      <c r="F4" s="123" t="s">
        <v>644</v>
      </c>
      <c r="G4" s="123" t="n">
        <v>2344</v>
      </c>
      <c r="H4" s="123" t="s">
        <v>644</v>
      </c>
    </row>
    <row r="5" customFormat="false" ht="15" hidden="false" customHeight="false" outlineLevel="0" collapsed="false">
      <c r="A5" s="122" t="s">
        <v>327</v>
      </c>
      <c r="B5" s="123" t="n">
        <v>592</v>
      </c>
      <c r="C5" s="123" t="n">
        <v>1410</v>
      </c>
      <c r="D5" s="123" t="n">
        <v>1</v>
      </c>
      <c r="E5" s="123" t="n">
        <v>7</v>
      </c>
      <c r="F5" s="123" t="s">
        <v>644</v>
      </c>
      <c r="G5" s="123" t="n">
        <v>2250</v>
      </c>
      <c r="H5" s="123" t="n">
        <v>2031</v>
      </c>
    </row>
    <row r="6" customFormat="false" ht="15" hidden="false" customHeight="false" outlineLevel="0" collapsed="false">
      <c r="A6" s="122" t="s">
        <v>278</v>
      </c>
      <c r="B6" s="123" t="n">
        <v>2630</v>
      </c>
      <c r="C6" s="123" t="n">
        <v>1044</v>
      </c>
      <c r="D6" s="123" t="n">
        <v>42</v>
      </c>
      <c r="E6" s="123" t="n">
        <v>15</v>
      </c>
      <c r="F6" s="123" t="s">
        <v>644</v>
      </c>
      <c r="G6" s="123" t="n">
        <v>110</v>
      </c>
      <c r="H6" s="123" t="n">
        <v>2862</v>
      </c>
    </row>
    <row r="7" customFormat="false" ht="15" hidden="false" customHeight="false" outlineLevel="0" collapsed="false">
      <c r="A7" s="122" t="s">
        <v>91</v>
      </c>
      <c r="B7" s="123" t="n">
        <v>1924.14</v>
      </c>
      <c r="C7" s="123" t="n">
        <v>923.66</v>
      </c>
      <c r="D7" s="123" t="s">
        <v>644</v>
      </c>
      <c r="E7" s="123" t="s">
        <v>644</v>
      </c>
      <c r="F7" s="123" t="s">
        <v>644</v>
      </c>
      <c r="G7" s="123" t="n">
        <v>27397.26</v>
      </c>
      <c r="H7" s="123" t="n">
        <v>571.58</v>
      </c>
    </row>
    <row r="8" customFormat="false" ht="15" hidden="false" customHeight="false" outlineLevel="0" collapsed="false">
      <c r="A8" s="122" t="s">
        <v>214</v>
      </c>
      <c r="B8" s="123" t="n">
        <v>1000</v>
      </c>
      <c r="C8" s="123" t="n">
        <v>725</v>
      </c>
      <c r="D8" s="123" t="n">
        <v>10</v>
      </c>
      <c r="E8" s="123" t="n">
        <v>5</v>
      </c>
      <c r="F8" s="123" t="n">
        <v>40</v>
      </c>
      <c r="G8" s="123" t="s">
        <v>645</v>
      </c>
      <c r="H8" s="123" t="n">
        <v>20</v>
      </c>
    </row>
    <row r="9" customFormat="false" ht="15" hidden="false" customHeight="false" outlineLevel="0" collapsed="false">
      <c r="A9" s="122" t="s">
        <v>395</v>
      </c>
      <c r="B9" s="123" t="n">
        <v>635.26</v>
      </c>
      <c r="C9" s="123" t="n">
        <v>279</v>
      </c>
      <c r="D9" s="123" t="s">
        <v>644</v>
      </c>
      <c r="E9" s="123" t="s">
        <v>644</v>
      </c>
      <c r="F9" s="123" t="s">
        <v>644</v>
      </c>
      <c r="G9" s="123" t="s">
        <v>644</v>
      </c>
      <c r="H9" s="123" t="n">
        <v>25</v>
      </c>
    </row>
    <row r="10" customFormat="false" ht="15" hidden="false" customHeight="true" outlineLevel="0" collapsed="false">
      <c r="A10" s="122" t="s">
        <v>197</v>
      </c>
      <c r="B10" s="123" t="n">
        <v>1660.27</v>
      </c>
      <c r="C10" s="123" t="n">
        <v>3427.4</v>
      </c>
      <c r="D10" s="123" t="n">
        <v>3.5</v>
      </c>
      <c r="E10" s="123" t="n">
        <v>350</v>
      </c>
      <c r="F10" s="123" t="s">
        <v>644</v>
      </c>
      <c r="G10" s="123" t="s">
        <v>644</v>
      </c>
      <c r="H10" s="123" t="s">
        <v>644</v>
      </c>
    </row>
    <row r="11" customFormat="false" ht="15" hidden="false" customHeight="true" outlineLevel="0" collapsed="false">
      <c r="A11" s="122" t="s">
        <v>266</v>
      </c>
      <c r="B11" s="123" t="n">
        <v>8400</v>
      </c>
      <c r="C11" s="123" t="n">
        <v>70000</v>
      </c>
      <c r="D11" s="123" t="n">
        <v>1000</v>
      </c>
      <c r="E11" s="123" t="s">
        <v>644</v>
      </c>
      <c r="F11" s="123" t="n">
        <v>625</v>
      </c>
      <c r="G11" s="123" t="s">
        <v>644</v>
      </c>
      <c r="H11" s="123" t="n">
        <v>9215</v>
      </c>
    </row>
    <row r="12" customFormat="false" ht="15" hidden="false" customHeight="true" outlineLevel="0" collapsed="false">
      <c r="A12" s="122" t="s">
        <v>333</v>
      </c>
      <c r="B12" s="123" t="n">
        <v>4604</v>
      </c>
      <c r="C12" s="123" t="n">
        <v>4057</v>
      </c>
      <c r="D12" s="123" t="s">
        <v>644</v>
      </c>
      <c r="E12" s="123" t="s">
        <v>644</v>
      </c>
      <c r="F12" s="123" t="n">
        <v>140.4</v>
      </c>
      <c r="G12" s="123" t="s">
        <v>644</v>
      </c>
      <c r="H12" s="123" t="s">
        <v>644</v>
      </c>
    </row>
    <row r="13" customFormat="false" ht="15" hidden="false" customHeight="true" outlineLevel="0" collapsed="false">
      <c r="A13" s="122" t="s">
        <v>384</v>
      </c>
      <c r="B13" s="123" t="n">
        <v>4939.57</v>
      </c>
      <c r="C13" s="123" t="n">
        <v>1517.81</v>
      </c>
      <c r="D13" s="123" t="n">
        <v>30</v>
      </c>
      <c r="E13" s="123" t="n">
        <v>10</v>
      </c>
      <c r="F13" s="123" t="s">
        <v>644</v>
      </c>
      <c r="G13" s="123" t="n">
        <v>2344</v>
      </c>
      <c r="H13" s="123" t="s">
        <v>644</v>
      </c>
    </row>
    <row r="14" customFormat="false" ht="15" hidden="false" customHeight="false" outlineLevel="0" collapsed="false">
      <c r="A14" s="122" t="s">
        <v>119</v>
      </c>
      <c r="B14" s="124" t="n">
        <v>794</v>
      </c>
      <c r="C14" s="124" t="n">
        <v>2431</v>
      </c>
      <c r="D14" s="123" t="n">
        <v>300</v>
      </c>
      <c r="E14" s="123" t="n">
        <v>150</v>
      </c>
      <c r="F14" s="123" t="n">
        <v>100</v>
      </c>
      <c r="G14" s="123" t="n">
        <v>300</v>
      </c>
      <c r="H14" s="123" t="n">
        <v>25</v>
      </c>
    </row>
    <row r="15" customFormat="false" ht="15" hidden="false" customHeight="false" outlineLevel="0" collapsed="false">
      <c r="A15" s="122" t="s">
        <v>341</v>
      </c>
      <c r="B15" s="123" t="n">
        <v>5.26</v>
      </c>
      <c r="C15" s="123" t="n">
        <v>76.71</v>
      </c>
      <c r="D15" s="123" t="s">
        <v>646</v>
      </c>
      <c r="E15" s="123" t="s">
        <v>647</v>
      </c>
      <c r="F15" s="123" t="s">
        <v>648</v>
      </c>
      <c r="G15" s="123" t="s">
        <v>649</v>
      </c>
      <c r="H15" s="123" t="s">
        <v>650</v>
      </c>
    </row>
    <row r="16" customFormat="false" ht="15" hidden="false" customHeight="false" outlineLevel="0" collapsed="false">
      <c r="A16" s="122" t="s">
        <v>387</v>
      </c>
      <c r="B16" s="124" t="n">
        <v>727</v>
      </c>
      <c r="C16" s="124" t="n">
        <v>388</v>
      </c>
      <c r="D16" s="123" t="n">
        <v>6</v>
      </c>
      <c r="E16" s="123" t="s">
        <v>644</v>
      </c>
      <c r="F16" s="123" t="s">
        <v>644</v>
      </c>
      <c r="G16" s="123" t="n">
        <v>368</v>
      </c>
      <c r="H16" s="123" t="n">
        <v>569</v>
      </c>
    </row>
    <row r="17" customFormat="false" ht="15" hidden="false" customHeight="false" outlineLevel="0" collapsed="false">
      <c r="A17" s="122" t="s">
        <v>350</v>
      </c>
      <c r="B17" s="123" t="n">
        <v>1184.59</v>
      </c>
      <c r="C17" s="123" t="n">
        <v>1267.07</v>
      </c>
      <c r="D17" s="123" t="n">
        <v>120</v>
      </c>
      <c r="E17" s="123" t="n">
        <v>667.73</v>
      </c>
      <c r="F17" s="123" t="s">
        <v>644</v>
      </c>
      <c r="G17" s="123" t="s">
        <v>644</v>
      </c>
      <c r="H17" s="123" t="s">
        <v>644</v>
      </c>
    </row>
    <row r="18" customFormat="false" ht="15" hidden="false" customHeight="false" outlineLevel="0" collapsed="false">
      <c r="A18" s="122" t="s">
        <v>290</v>
      </c>
      <c r="B18" s="125" t="s">
        <v>651</v>
      </c>
      <c r="C18" s="125"/>
      <c r="D18" s="123" t="s">
        <v>644</v>
      </c>
      <c r="E18" s="123" t="s">
        <v>644</v>
      </c>
      <c r="F18" s="123" t="n">
        <v>71.88</v>
      </c>
      <c r="G18" s="123" t="n">
        <v>915.33</v>
      </c>
      <c r="H18" s="123" t="n">
        <v>40.6</v>
      </c>
    </row>
  </sheetData>
  <mergeCells count="1">
    <mergeCell ref="B18:C18"/>
  </mergeCells>
  <conditionalFormatting sqref="A1:A18">
    <cfRule type="duplicateValues" priority="2"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614</v>
      </c>
      <c r="I1" s="6" t="s">
        <v>1</v>
      </c>
    </row>
    <row r="2" customFormat="false" ht="15" hidden="false" customHeight="false" outlineLevel="0" collapsed="false">
      <c r="A2" s="7" t="s">
        <v>2</v>
      </c>
      <c r="J2" s="10" t="s">
        <v>4</v>
      </c>
      <c r="R2" s="7" t="s">
        <v>577</v>
      </c>
      <c r="Z2" s="10" t="s">
        <v>578</v>
      </c>
      <c r="AH2" s="7" t="s">
        <v>583</v>
      </c>
      <c r="AP2" s="10" t="s">
        <v>5</v>
      </c>
      <c r="AX2" s="7" t="s">
        <v>589</v>
      </c>
      <c r="BF2" s="10" t="s">
        <v>590</v>
      </c>
    </row>
    <row r="4" customFormat="false" ht="15" hidden="false" customHeight="false" outlineLevel="0" collapsed="false">
      <c r="A4" s="0" t="s">
        <v>6</v>
      </c>
      <c r="C4" s="13" t="s">
        <v>566</v>
      </c>
    </row>
    <row r="5" customFormat="false" ht="15" hidden="false" customHeight="false" outlineLevel="0" collapsed="false">
      <c r="A5" s="0" t="s">
        <v>9</v>
      </c>
      <c r="C5" s="0" t="n">
        <f aca="false">'General Information'!D26</f>
        <v>66667</v>
      </c>
      <c r="D5" s="0" t="s">
        <v>10</v>
      </c>
    </row>
    <row r="6" customFormat="false" ht="15" hidden="false" customHeight="false" outlineLevel="0" collapsed="false">
      <c r="A6" s="0" t="s">
        <v>12</v>
      </c>
      <c r="C6" s="0" t="n">
        <f aca="false">'General Information'!D25</f>
        <v>2028</v>
      </c>
      <c r="AP6" s="1" t="s">
        <v>618</v>
      </c>
      <c r="AQ6" s="1" t="n">
        <v>2</v>
      </c>
      <c r="AR6" s="1" t="s">
        <v>619</v>
      </c>
    </row>
    <row r="7" customFormat="false" ht="15" hidden="false" customHeight="false" outlineLevel="0" collapsed="false">
      <c r="A7" s="0" t="s">
        <v>620</v>
      </c>
      <c r="C7" s="105" t="s">
        <v>530</v>
      </c>
      <c r="D7" s="6" t="s">
        <v>621</v>
      </c>
      <c r="AP7" s="1" t="s">
        <v>623</v>
      </c>
      <c r="AQ7" s="1" t="n">
        <v>120</v>
      </c>
      <c r="AR7" s="1" t="s">
        <v>624</v>
      </c>
    </row>
    <row r="8" customFormat="false" ht="15" hidden="false" customHeight="false" outlineLevel="0" collapsed="false">
      <c r="A8" s="0" t="s">
        <v>13</v>
      </c>
      <c r="C8" s="0" t="n">
        <f aca="false">'General Information'!D28</f>
        <v>15000</v>
      </c>
      <c r="D8" s="0" t="s">
        <v>14</v>
      </c>
    </row>
    <row r="9" customFormat="false" ht="15" hidden="false" customHeight="false" outlineLevel="0" collapsed="false">
      <c r="C9" s="13"/>
      <c r="AP9" s="1" t="s">
        <v>626</v>
      </c>
      <c r="AQ9" s="1" t="n">
        <v>0.1</v>
      </c>
      <c r="AR9" s="1" t="s">
        <v>627</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66667</v>
      </c>
      <c r="O13" s="110" t="n">
        <f aca="false">IF(L13="","N/A",VLOOKUP(L13,CHOOSE({1,2},Table2[Pay Item Description],Table2[Unit Cost]),2,0))</f>
        <v>4</v>
      </c>
      <c r="P13" s="27" t="n">
        <f aca="false">O13*N13</f>
        <v>266668</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66667</v>
      </c>
      <c r="W13" s="66" t="n">
        <f aca="false">IF(T13="","N/A",VLOOKUP(T13,CHOOSE({1,2},Table2[Pay Item Description],Table2[Unit Cost]),2,0))</f>
        <v>4</v>
      </c>
      <c r="X13" s="30" t="n">
        <f aca="false">W13*V13</f>
        <v>266668</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4500.0225</v>
      </c>
      <c r="AE13" s="113" t="n">
        <f aca="false">IF(AB13="","N/A",VLOOKUP(AB13,CHOOSE({1,2},Table2[Pay Item Description],Table2[Unit Cost]),2,0))</f>
        <v>8.5</v>
      </c>
      <c r="AF13" s="27" t="n">
        <f aca="false">AE13*AD13</f>
        <v>38250.19125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6000.03</v>
      </c>
      <c r="AM13" s="115" t="n">
        <f aca="false">IF(AJ13="","N/A",VLOOKUP(AJ13,CHOOSE({1,2},Table2[Pay Item Description],Table2[Unit Cost]),2,0))</f>
        <v>8.5</v>
      </c>
      <c r="AN13" s="30" t="n">
        <f aca="false">AM13*AL13</f>
        <v>51000.255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66667</v>
      </c>
      <c r="AU13" s="113" t="n">
        <f aca="false">IF(AR13="","N/A",VLOOKUP(AR13,CHOOSE({1,2},Table2[Pay Item Description],Table2[Unit Cost]),2,0))</f>
        <v>5</v>
      </c>
      <c r="AV13" s="27" t="n">
        <f aca="false">AU13*AT13</f>
        <v>333335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66667</v>
      </c>
      <c r="BC13" s="66" t="n">
        <f aca="false">IF(AZ13="","N/A",VLOOKUP(AZ13,CHOOSE({1,2},Table2[Pay Item Description],Table2[Unit Cost]),2,0))</f>
        <v>4</v>
      </c>
      <c r="BD13" s="30" t="n">
        <f aca="false">BC13*BB13</f>
        <v>266668</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7500.0375</v>
      </c>
      <c r="BK13" s="113" t="n">
        <f aca="false">IF(BH13="","N/A",VLOOKUP(BH13,CHOOSE({1,2},Table2[Pay Item Description],Table2[Unit Cost]),2,0))</f>
        <v>8.5</v>
      </c>
      <c r="BL13" s="27" t="n">
        <f aca="false">BK13*BJ13</f>
        <v>63750.31875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15000</v>
      </c>
      <c r="O14" s="113" t="n">
        <f aca="false">IF(L14="","N/A",VLOOKUP(L14,CHOOSE({1,2},Table2[Pay Item Description],Table2[Unit Cost]),2,0))</f>
        <v>0.777777777777778</v>
      </c>
      <c r="P14" s="27" t="n">
        <f aca="false">O14*N14</f>
        <v>11666.6666666667</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15000</v>
      </c>
      <c r="W14" s="115" t="n">
        <f aca="false">IF(T14="","N/A",VLOOKUP(T14,CHOOSE({1,2},Table2[Pay Item Description],Table2[Unit Cost]),2,0))</f>
        <v>0.777777777777778</v>
      </c>
      <c r="X14" s="30" t="n">
        <f aca="false">W14*V14</f>
        <v>11666.6666666667</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19500.0975</v>
      </c>
      <c r="AE14" s="113" t="n">
        <f aca="false">IF(AB14="","N/A",VLOOKUP(AB14,CHOOSE({1,2},Table2[Pay Item Description],Table2[Unit Cost]),2,0))</f>
        <v>4</v>
      </c>
      <c r="AF14" s="27" t="n">
        <f aca="false">AE14*AD14</f>
        <v>78000.39</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21000.105</v>
      </c>
      <c r="AM14" s="115" t="n">
        <f aca="false">IF(AJ14="","N/A",VLOOKUP(AJ14,CHOOSE({1,2},Table2[Pay Item Description],Table2[Unit Cost]),2,0))</f>
        <v>4</v>
      </c>
      <c r="AN14" s="30" t="n">
        <f aca="false">AM14*AL14</f>
        <v>84000.42</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6666.7</v>
      </c>
      <c r="AU14" s="113" t="n">
        <f aca="false">IF(AR14="","N/A",VLOOKUP(AR14,CHOOSE({1,2},Table2[Pay Item Description],Table2[Unit Cost]),2,0))</f>
        <v>4.5</v>
      </c>
      <c r="AV14" s="27" t="n">
        <f aca="false">AU14*AT14</f>
        <v>30000.15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15000</v>
      </c>
      <c r="BC14" s="115" t="n">
        <f aca="false">IF(AZ14="","N/A",VLOOKUP(AZ14,CHOOSE({1,2},Table2[Pay Item Description],Table2[Unit Cost]),2,0))</f>
        <v>0.777777777777778</v>
      </c>
      <c r="BD14" s="30" t="n">
        <f aca="false">BC14*BB14</f>
        <v>11666.6666666667</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24000.12</v>
      </c>
      <c r="BK14" s="113" t="n">
        <f aca="false">IF(BH14="","N/A",VLOOKUP(BH14,CHOOSE({1,2},Table2[Pay Item Description],Table2[Unit Cost]),2,0))</f>
        <v>4</v>
      </c>
      <c r="BL14" s="27" t="n">
        <f aca="false">BK14*BJ14</f>
        <v>96000.48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15000</v>
      </c>
      <c r="O15" s="113" t="n">
        <f aca="false">IF(L15="","N/A",VLOOKUP(L15,CHOOSE({1,2},Table2[Pay Item Description],Table2[Unit Cost]),2,0))</f>
        <v>0.666666666666667</v>
      </c>
      <c r="P15" s="27" t="n">
        <f aca="false">O15*N15</f>
        <v>10000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15000</v>
      </c>
      <c r="W15" s="115" t="n">
        <f aca="false">IF(T15="","N/A",VLOOKUP(T15,CHOOSE({1,2},Table2[Pay Item Description],Table2[Unit Cost]),2,0))</f>
        <v>0.666666666666667</v>
      </c>
      <c r="X15" s="30" t="n">
        <f aca="false">W15*V15</f>
        <v>10000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66667</v>
      </c>
      <c r="AE15" s="110" t="n">
        <f aca="false">IF(AB15="","N/A",VLOOKUP(AB15,CHOOSE({1,2},Table2[Pay Item Description],Table2[Unit Cost]),2,0))</f>
        <v>4</v>
      </c>
      <c r="AF15" s="27" t="n">
        <f aca="false">AE15*AD15</f>
        <v>266668</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66667</v>
      </c>
      <c r="AM15" s="66" t="n">
        <f aca="false">IF(AJ15="","N/A",VLOOKUP(AJ15,CHOOSE({1,2},Table2[Pay Item Description],Table2[Unit Cost]),2,0))</f>
        <v>4</v>
      </c>
      <c r="AN15" s="30" t="n">
        <f aca="false">AM15*AL15</f>
        <v>266668</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8000.04</v>
      </c>
      <c r="AU15" s="113" t="n">
        <f aca="false">IF(AR15="","N/A",VLOOKUP(AR15,CHOOSE({1,2},Table2[Pay Item Description],Table2[Unit Cost]),2,0))</f>
        <v>130</v>
      </c>
      <c r="AV15" s="27" t="n">
        <f aca="false">AU15*AT15</f>
        <v>1040005.2</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15000</v>
      </c>
      <c r="BC15" s="115" t="n">
        <f aca="false">IF(AZ15="","N/A",VLOOKUP(AZ15,CHOOSE({1,2},Table2[Pay Item Description],Table2[Unit Cost]),2,0))</f>
        <v>0.666666666666667</v>
      </c>
      <c r="BD15" s="30" t="n">
        <f aca="false">BC15*BB15</f>
        <v>10000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66667</v>
      </c>
      <c r="BK15" s="110" t="n">
        <f aca="false">IF(BH15="","N/A",VLOOKUP(BH15,CHOOSE({1,2},Table2[Pay Item Description],Table2[Unit Cost]),2,0))</f>
        <v>4</v>
      </c>
      <c r="BL15" s="27" t="n">
        <f aca="false">BK15*BJ15</f>
        <v>266668</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288334.666666667</v>
      </c>
      <c r="W16" s="6" t="s">
        <v>24</v>
      </c>
      <c r="X16" s="30" t="n">
        <f aca="false">SUM(X13:X15)</f>
        <v>288334.666666667</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15000</v>
      </c>
      <c r="AE16" s="113" t="n">
        <f aca="false">IF(AB16="","N/A",VLOOKUP(AB16,CHOOSE({1,2},Table2[Pay Item Description],Table2[Unit Cost]),2,0))</f>
        <v>0.777777777777778</v>
      </c>
      <c r="AF16" s="27" t="n">
        <f aca="false">AE16*AD16</f>
        <v>11666.6666666667</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15000</v>
      </c>
      <c r="AM16" s="115" t="n">
        <f aca="false">IF(AJ16="","N/A",VLOOKUP(AJ16,CHOOSE({1,2},Table2[Pay Item Description],Table2[Unit Cost]),2,0))</f>
        <v>0.777777777777778</v>
      </c>
      <c r="AN16" s="30" t="n">
        <f aca="false">AM16*AL16</f>
        <v>11666.6666666667</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9000.045</v>
      </c>
      <c r="AU16" s="113" t="n">
        <f aca="false">IF(AR16="","N/A",VLOOKUP(AR16,CHOOSE({1,2},Table2[Pay Item Description],Table2[Unit Cost]),2,0))</f>
        <v>4</v>
      </c>
      <c r="AV16" s="27" t="n">
        <f aca="false">AU16*AT16</f>
        <v>36000.18</v>
      </c>
      <c r="BC16" s="6" t="s">
        <v>24</v>
      </c>
      <c r="BD16" s="30" t="n">
        <f aca="false">SUM(BD13:BD15)</f>
        <v>288334.666666667</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15000</v>
      </c>
      <c r="BK16" s="113" t="n">
        <f aca="false">IF(BH16="","N/A",VLOOKUP(BH16,CHOOSE({1,2},Table2[Pay Item Description],Table2[Unit Cost]),2,0))</f>
        <v>0.777777777777778</v>
      </c>
      <c r="BL16" s="27" t="n">
        <f aca="false">BK16*BJ16</f>
        <v>11666.6666666667</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28833.4666666667</v>
      </c>
      <c r="T17" s="6" t="s">
        <v>25</v>
      </c>
      <c r="X17" s="30"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15000</v>
      </c>
      <c r="AE17" s="113" t="n">
        <f aca="false">IF(AB17="","N/A",VLOOKUP(AB17,CHOOSE({1,2},Table2[Pay Item Description],Table2[Unit Cost]),2,0))</f>
        <v>0.666666666666667</v>
      </c>
      <c r="AF17" s="27" t="n">
        <f aca="false">AE17*AD17</f>
        <v>10000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15000</v>
      </c>
      <c r="AM17" s="115" t="n">
        <f aca="false">IF(AJ17="","N/A",VLOOKUP(AJ17,CHOOSE({1,2},Table2[Pay Item Description],Table2[Unit Cost]),2,0))</f>
        <v>0.666666666666667</v>
      </c>
      <c r="AN17" s="30" t="n">
        <f aca="false">AM17*AL17</f>
        <v>10000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3000.015</v>
      </c>
      <c r="AU17" s="113" t="n">
        <f aca="false">IF(AR17="","N/A",VLOOKUP(AR17,CHOOSE({1,2},Table2[Pay Item Description],Table2[Unit Cost]),2,0))</f>
        <v>8.5</v>
      </c>
      <c r="AV17" s="27" t="n">
        <f aca="false">AU17*AT17</f>
        <v>25500.1275</v>
      </c>
      <c r="AZ17" s="6" t="s">
        <v>25</v>
      </c>
      <c r="BD17" s="30"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15000</v>
      </c>
      <c r="BK17" s="113" t="n">
        <f aca="false">IF(BH17="","N/A",VLOOKUP(BH17,CHOOSE({1,2},Table2[Pay Item Description],Table2[Unit Cost]),2,0))</f>
        <v>0.666666666666667</v>
      </c>
      <c r="BL17" s="27" t="n">
        <f aca="false">BK17*BJ17</f>
        <v>10000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14416.7333333333</v>
      </c>
      <c r="T18" s="6" t="s">
        <v>26</v>
      </c>
      <c r="X18" s="30" t="n">
        <f aca="false">('General Information'!$D$37/100)*X16</f>
        <v>14416.7333333333</v>
      </c>
      <c r="AE18" s="1" t="s">
        <v>24</v>
      </c>
      <c r="AF18" s="27" t="n">
        <f aca="false">SUM(AF13:AF17)</f>
        <v>404585.247916667</v>
      </c>
      <c r="AM18" s="6" t="s">
        <v>24</v>
      </c>
      <c r="AN18" s="30" t="n">
        <f aca="false">SUM(AN13:AN17)</f>
        <v>423335.341666667</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15000</v>
      </c>
      <c r="AU18" s="113" t="n">
        <f aca="false">IF(AR18="","N/A",VLOOKUP(AR18,CHOOSE({1,2},Table2[Pay Item Description],Table2[Unit Cost]),2,0))</f>
        <v>0.666666666666667</v>
      </c>
      <c r="AV18" s="27" t="n">
        <f aca="false">AU18*AT18</f>
        <v>10000</v>
      </c>
      <c r="AZ18" s="6" t="s">
        <v>26</v>
      </c>
      <c r="BD18" s="30" t="n">
        <f aca="false">('General Information'!$D$37/100)*BD16</f>
        <v>14416.7333333333</v>
      </c>
      <c r="BK18" s="1" t="s">
        <v>24</v>
      </c>
      <c r="BL18" s="27" t="n">
        <f aca="false">SUM(BL13:BL17)</f>
        <v>448085.465416667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331584.866666667</v>
      </c>
      <c r="W19" s="6" t="s">
        <v>27</v>
      </c>
      <c r="X19" s="30" t="n">
        <f aca="false">SUM(X16:X18)</f>
        <v>331584.866666667</v>
      </c>
      <c r="AB19" s="1" t="s">
        <v>25</v>
      </c>
      <c r="AF19" s="27" t="n">
        <f aca="false">('General Information'!$D$36/100)*AF18</f>
        <v>40458.5247916667</v>
      </c>
      <c r="AJ19" s="6" t="s">
        <v>25</v>
      </c>
      <c r="AN19" s="30" t="n">
        <f aca="false">('General Information'!$D$36/100)*AN18</f>
        <v>42333.5341666667</v>
      </c>
      <c r="AU19" s="1" t="s">
        <v>24</v>
      </c>
      <c r="AV19" s="27" t="n">
        <f aca="false">SUM(AV13:AV18)</f>
        <v>1474840.6575</v>
      </c>
      <c r="BC19" s="6" t="s">
        <v>27</v>
      </c>
      <c r="BD19" s="30" t="n">
        <f aca="false">SUM(BD16:BD18)</f>
        <v>331584.866666667</v>
      </c>
      <c r="BH19" s="1" t="s">
        <v>25</v>
      </c>
      <c r="BL19" s="27" t="n">
        <f aca="false">('General Information'!$D$36/100)*BL18</f>
        <v>44808.5465416667</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20229.2623958333</v>
      </c>
      <c r="AJ20" s="6" t="s">
        <v>26</v>
      </c>
      <c r="AN20" s="30" t="n">
        <f aca="false">('General Information'!$D$37/100)*AN18</f>
        <v>21166.7670833333</v>
      </c>
      <c r="AR20" s="1" t="s">
        <v>25</v>
      </c>
      <c r="AV20" s="27" t="n">
        <f aca="false">('General Information'!$D$36/100)*AV19</f>
        <v>147484.06575</v>
      </c>
      <c r="BH20" s="1" t="s">
        <v>26</v>
      </c>
      <c r="BL20" s="27" t="n">
        <f aca="false">('General Information'!$D$37/100)*BL18</f>
        <v>22404.2732708333</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465273.035104167</v>
      </c>
      <c r="AM21" s="6" t="s">
        <v>27</v>
      </c>
      <c r="AN21" s="30" t="n">
        <f aca="false">SUM(AN18:AN20)</f>
        <v>486835.642916667</v>
      </c>
      <c r="AR21" s="1" t="s">
        <v>26</v>
      </c>
      <c r="AV21" s="27" t="n">
        <f aca="false">('General Information'!$D$37/100)*AV19</f>
        <v>73742.032875</v>
      </c>
      <c r="BK21" s="1" t="s">
        <v>27</v>
      </c>
      <c r="BL21" s="27" t="n">
        <f aca="false">SUM(BL18:BL20)</f>
        <v>515298.285229167</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1696066.756125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629</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652</v>
      </c>
      <c r="M36" s="1" t="s">
        <v>653</v>
      </c>
    </row>
    <row r="37" customFormat="false" ht="15" hidden="false" customHeight="false" outlineLevel="0" collapsed="false">
      <c r="B37" s="40" t="s">
        <v>4</v>
      </c>
      <c r="C37" s="41" t="n">
        <f aca="false">'Maintenance Policies'!E10</f>
        <v>4</v>
      </c>
      <c r="D37" s="42" t="n">
        <f aca="false">P19</f>
        <v>331584.866666667</v>
      </c>
      <c r="E37" s="43" t="n">
        <f aca="false">IF(C37&gt;'General Information'!$D$33,0,D37/(1+('General Information'!$D$34/100))^C37)</f>
        <v>294608.859318184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577</v>
      </c>
      <c r="C38" s="41" t="n">
        <f aca="false">'Maintenance Policies'!E12</f>
        <v>8</v>
      </c>
      <c r="D38" s="42" t="n">
        <f aca="false">X19</f>
        <v>331584.866666667</v>
      </c>
      <c r="E38" s="43" t="n">
        <f aca="false">IF(C38&gt;'General Information'!$D$33,0,D38/(1+('General Information'!$D$34/100))^C38)</f>
        <v>261756.155705422</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578</v>
      </c>
      <c r="C39" s="41" t="n">
        <f aca="false">'Maintenance Policies'!E14</f>
        <v>12</v>
      </c>
      <c r="D39" s="42" t="n">
        <f aca="false">AF21</f>
        <v>465273.035104167</v>
      </c>
      <c r="E39" s="43" t="n">
        <f aca="false">IF(C39&gt;'General Information'!$D$33,0,D39/(1+('General Information'!$D$34/100))^C39)</f>
        <v>326333.145618381</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583</v>
      </c>
      <c r="C40" s="41" t="n">
        <f aca="false">'Maintenance Policies'!E18</f>
        <v>16</v>
      </c>
      <c r="D40" s="42" t="n">
        <f aca="false">AN21</f>
        <v>486835.642916667</v>
      </c>
      <c r="E40" s="43" t="n">
        <f aca="false">IF(C40&gt;'General Information'!$D$33,0,D40/(1+('General Information'!$D$34/100))^C40)</f>
        <v>303379.877499636</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1696066.756125</v>
      </c>
      <c r="E41" s="43" t="n">
        <f aca="false">IF(C41&gt;'General Information'!$D$33,0,D41/(1+('General Information'!$D$34/100))^C41)</f>
        <v>939071.040347879</v>
      </c>
      <c r="K41" s="1" t="n">
        <f aca="false">K40+1</f>
        <v>2032</v>
      </c>
      <c r="L41" s="27" t="n">
        <f aca="false">IF(K41-$C$6&gt;'General Information'!$D$33,0,IF(K41=$C$6,$D$36,0)+SUMIF($C$37:$C$44,K41-$C$6,$D$37:$D$44))</f>
        <v>331584.866666667</v>
      </c>
      <c r="M41" s="27" t="n">
        <f aca="false">IF(K41-$C$6&gt;'General Information'!$D$33,0,IF(K41=$C$6,$E$36,0)+SUMIF($C$37:$C$44,K41-$C$6,$E$37:$E$44))</f>
        <v>294608.859318184</v>
      </c>
    </row>
    <row r="42" customFormat="false" ht="15" hidden="false" customHeight="false" outlineLevel="0" collapsed="false">
      <c r="B42" s="40" t="s">
        <v>589</v>
      </c>
      <c r="C42" s="41" t="n">
        <f aca="false">'Maintenance Policies'!E26</f>
        <v>24</v>
      </c>
      <c r="D42" s="42" t="n">
        <f aca="false">BD19</f>
        <v>331584.866666667</v>
      </c>
      <c r="E42" s="43" t="n">
        <f aca="false">IF(C42&gt;'General Information'!$D$33,0,D42/(1+('General Information'!$D$34/100))^C42)</f>
        <v>163117.782372971</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590</v>
      </c>
      <c r="C43" s="41" t="n">
        <f aca="false">'Maintenance Policies'!E28</f>
        <v>28</v>
      </c>
      <c r="D43" s="42" t="n">
        <f aca="false">BL21</f>
        <v>515298.285229167</v>
      </c>
      <c r="E43" s="43" t="n">
        <f aca="false">IF(C43&gt;'General Information'!$D$33,0,D43/(1+('General Information'!$D$34/100))^C43)</f>
        <v>225224.901422252</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-212008.344515625</v>
      </c>
      <c r="E44" s="43" t="n">
        <f aca="false">IF(C44&gt;'General Information'!$D$33,0,D44/(1+('General Information'!$D$34/100))^C44)</f>
        <v>-87344.6308473242</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2426147.1314374</v>
      </c>
      <c r="K45" s="1" t="n">
        <f aca="false">K44+1</f>
        <v>2036</v>
      </c>
      <c r="L45" s="27" t="n">
        <f aca="false">IF(K45-$C$6&gt;'General Information'!$D$33,0,IF(K45=$C$6,$D$36,0)+SUMIF($C$37:$C$44,K45-$C$6,$D$37:$D$44))</f>
        <v>331584.866666667</v>
      </c>
      <c r="M45" s="27" t="n">
        <f aca="false">IF(K45-$C$6&gt;'General Information'!$D$33,0,IF(K45=$C$6,$E$36,0)+SUMIF($C$37:$C$44,K45-$C$6,$E$37:$E$44))</f>
        <v>261756.155705422</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465273.035104167</v>
      </c>
      <c r="M49" s="27" t="n">
        <f aca="false">IF(K49-$C$6&gt;'General Information'!$D$33,0,IF(K49=$C$6,$E$36,0)+SUMIF($C$37:$C$44,K49-$C$6,$E$37:$E$44))</f>
        <v>326333.145618381</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486835.642916667</v>
      </c>
      <c r="M53" s="27" t="n">
        <f aca="false">IF(K53-$C$6&gt;'General Information'!$D$33,0,IF(K53=$C$6,$E$36,0)+SUMIF($C$37:$C$44,K53-$C$6,$E$37:$E$44))</f>
        <v>303379.877499636</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1696066.756125</v>
      </c>
      <c r="M57" s="27" t="n">
        <f aca="false">IF(K57-$C$6&gt;'General Information'!$D$33,0,IF(K57=$C$6,$E$36,0)+SUMIF($C$37:$C$44,K57-$C$6,$E$37:$E$44))</f>
        <v>939071.040347879</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331584.866666667</v>
      </c>
      <c r="M61" s="27" t="n">
        <f aca="false">IF(K61-$C$6&gt;'General Information'!$D$33,0,IF(K61=$C$6,$E$36,0)+SUMIF($C$37:$C$44,K61-$C$6,$E$37:$E$44))</f>
        <v>163117.782372971</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515298.285229167</v>
      </c>
      <c r="M65" s="27" t="n">
        <f aca="false">IF(K65-$C$6&gt;'General Information'!$D$33,0,IF(K65=$C$6,$E$36,0)+SUMIF($C$37:$C$44,K65-$C$6,$E$37:$E$44))</f>
        <v>225224.901422252</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-212008.344515625</v>
      </c>
      <c r="M67" s="27" t="n">
        <f aca="false">IF(K67-$C$6&gt;'General Information'!$D$33,0,IF(K67=$C$6,$E$36,0)+SUMIF($C$37:$C$44,K67-$C$6,$E$37:$E$44))</f>
        <v>-87344.6308473242</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66667</v>
      </c>
      <c r="D5" s="0" t="s">
        <v>10</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15000</v>
      </c>
      <c r="D7" s="0" t="s">
        <v>14</v>
      </c>
      <c r="J7" s="1" t="s">
        <v>15</v>
      </c>
      <c r="K7" s="17" t="n">
        <f aca="false">C5/((12.5*12.5)/9)</f>
        <v>3840.0192</v>
      </c>
    </row>
    <row r="8" customFormat="false" ht="15" hidden="false" customHeight="false" outlineLevel="0" collapsed="false">
      <c r="C8" s="18"/>
      <c r="J8" s="1" t="s">
        <v>16</v>
      </c>
      <c r="K8" s="1" t="n">
        <f aca="false">K7*25+((K7/8)*12.5)</f>
        <v>102000.51</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102000.51</v>
      </c>
      <c r="O13" s="26" t="n">
        <f aca="false">IF(L13="","N/A",VLOOKUP(L13,CHOOSE({1,2},Table2[Pay Item Description],Table2[Unit Cost]),2,0))</f>
        <v>7</v>
      </c>
      <c r="P13" s="27"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1333.34</v>
      </c>
      <c r="W13" s="29" t="n">
        <f aca="false">IF(T13="","N/A",VLOOKUP(T13,CHOOSE({1,2},Table2[Pay Item Description],Table2[Unit Cost]),2,0))</f>
        <v>100</v>
      </c>
      <c r="X13" s="30" t="n">
        <f aca="false">W13*V13</f>
        <v>133334</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1500.0075</v>
      </c>
      <c r="O14" s="26" t="n">
        <f aca="false">IF(L14="","N/A",VLOOKUP(L14,CHOOSE({1,2},Table2[Pay Item Description],Table2[Unit Cost]),2,0))</f>
        <v>8</v>
      </c>
      <c r="P14" s="27"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200.001</v>
      </c>
      <c r="W14" s="29" t="n">
        <f aca="false">IF(T14="","N/A",VLOOKUP(T14,CHOOSE({1,2},Table2[Pay Item Description],Table2[Unit Cost]),2,0))</f>
        <v>120</v>
      </c>
      <c r="X14" s="30" t="n">
        <f aca="false">W14*V14</f>
        <v>24000.12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780.0039</v>
      </c>
      <c r="O15" s="26" t="n">
        <f aca="false">IF(L15="","N/A",VLOOKUP(L15,CHOOSE({1,2},Table2[Pay Item Description],Table2[Unit Cost]),2,0))</f>
        <v>60</v>
      </c>
      <c r="P15" s="27"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780.0039</v>
      </c>
      <c r="W15" s="29" t="n">
        <f aca="false">IF(T15="","N/A",VLOOKUP(T15,CHOOSE({1,2},Table2[Pay Item Description],Table2[Unit Cost]),2,0))</f>
        <v>60</v>
      </c>
      <c r="X15" s="30" t="n">
        <f aca="false">W15*V15</f>
        <v>46800.234</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200.001</v>
      </c>
      <c r="O16" s="26" t="n">
        <f aca="false">IF(L16="","N/A",VLOOKUP(L16,CHOOSE({1,2},Table2[Pay Item Description],Table2[Unit Cost]),2,0))</f>
        <v>120</v>
      </c>
      <c r="P16" s="27"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1800.009</v>
      </c>
      <c r="W16" s="29" t="n">
        <f aca="false">IF(T16="","N/A",VLOOKUP(T16,CHOOSE({1,2},Table2[Pay Item Description],Table2[Unit Cost]),2,0))</f>
        <v>8</v>
      </c>
      <c r="X16" s="30" t="n">
        <f aca="false">W16*V16</f>
        <v>14400.072</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102000.51</v>
      </c>
      <c r="W17" s="29" t="n">
        <f aca="false">IF(T17="","N/A",VLOOKUP(T17,CHOOSE({1,2},Table2[Pay Item Description],Table2[Unit Cost]),2,0))</f>
        <v>7</v>
      </c>
      <c r="X17" s="30" t="n">
        <f aca="false">W17*V17</f>
        <v>714003.57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79680.3984</v>
      </c>
      <c r="W18" s="6" t="s">
        <v>24</v>
      </c>
      <c r="X18" s="30" t="n">
        <f aca="false">SUM(X13:X17)</f>
        <v>932537.996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39840.1992</v>
      </c>
      <c r="T19" s="6" t="s">
        <v>25</v>
      </c>
      <c r="X19" s="30" t="n">
        <f aca="false">('General Information'!$D$36/100)*X18</f>
        <v>93253.7996</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916324.5816</v>
      </c>
      <c r="T20" s="6" t="s">
        <v>26</v>
      </c>
      <c r="X20" s="30" t="n">
        <f aca="false">('General Information'!$D$37/100)*X18</f>
        <v>46626.8998</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1072418.6954</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1" t="s">
        <v>652</v>
      </c>
      <c r="M37" s="1" t="s">
        <v>653</v>
      </c>
    </row>
    <row r="38" customFormat="false" ht="15" hidden="false" customHeight="false" outlineLevel="0" collapsed="false">
      <c r="B38" s="40" t="s">
        <v>4</v>
      </c>
      <c r="C38" s="41" t="n">
        <f aca="false">'Maintenance Policies'!E37</f>
        <v>19</v>
      </c>
      <c r="D38" s="42" t="n">
        <f aca="false">P20</f>
        <v>916324.5816</v>
      </c>
      <c r="E38" s="43" t="n">
        <f aca="false">IF(C38&gt;'General Information'!$D$33,0,D38/(1+('General Information'!$D$34/100))^C38)</f>
        <v>522567.104910763</v>
      </c>
      <c r="K38" s="1" t="n">
        <f aca="false">C6</f>
        <v>2028</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1072418.6954</v>
      </c>
      <c r="E39" s="43" t="n">
        <f aca="false">IF(C39&gt;'General Information'!$D$33,0,D39/(1+('General Information'!$D$34/100))^C39)</f>
        <v>482791.159867436</v>
      </c>
      <c r="K39" s="1" t="n">
        <f aca="false">K38+1</f>
        <v>2029</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2030</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1005358.2647782</v>
      </c>
      <c r="K41" s="1" t="n">
        <f aca="false">K40+1</f>
        <v>2031</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2032</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2033</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2034</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2035</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2036</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2037</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2038</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2039</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2040</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2041</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2042</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2043</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2044</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2045</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2046</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2047</v>
      </c>
      <c r="L57" s="27" t="n">
        <f aca="false">IF(K57-$C$6&gt;'General Information'!$D$33,0,IF(K57=$C$6,$D$37,0)+SUMIF($C$38:$C$40,K57-$C$6,$D$38:$D$40))</f>
        <v>916324.5816</v>
      </c>
      <c r="M57" s="27" t="n">
        <f aca="false">IF(K57-$C$6&gt;'General Information'!$D$33,0,IF(K57=$C$6,$E$37,0)+SUMIF($C$38:$C$40,K57-$C$6,$E$38:$E$40))</f>
        <v>522567.104910763</v>
      </c>
    </row>
    <row r="58" customFormat="false" ht="15" hidden="false" customHeight="false" outlineLevel="0" collapsed="false">
      <c r="K58" s="1" t="n">
        <f aca="false">K57+1</f>
        <v>2048</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2049</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2050</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2051</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2052</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2053</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2054</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2055</v>
      </c>
      <c r="L65" s="27" t="n">
        <f aca="false">IF(K65-$C$6&gt;'General Information'!$D$33,0,IF(K65=$C$6,$D$37,0)+SUMIF($C$38:$C$40,K65-$C$6,$D$38:$D$40))</f>
        <v>1072418.6954</v>
      </c>
      <c r="M65" s="27" t="n">
        <f aca="false">IF(K65-$C$6&gt;'General Information'!$D$33,0,IF(K65=$C$6,$E$37,0)+SUMIF($C$38:$C$40,K65-$C$6,$E$38:$E$40))</f>
        <v>482791.159867436</v>
      </c>
    </row>
    <row r="66" customFormat="false" ht="15" hidden="false" customHeight="false" outlineLevel="0" collapsed="false">
      <c r="K66" s="1" t="n">
        <f aca="false">K65+1</f>
        <v>2056</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2057</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2058</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614</v>
      </c>
      <c r="I1" s="6" t="s">
        <v>1</v>
      </c>
    </row>
    <row r="2" customFormat="false" ht="15" hidden="false" customHeight="false" outlineLevel="0" collapsed="false">
      <c r="A2" s="7" t="s">
        <v>2</v>
      </c>
      <c r="J2" s="10" t="s">
        <v>4</v>
      </c>
      <c r="R2" s="7" t="s">
        <v>577</v>
      </c>
      <c r="Z2" s="10" t="s">
        <v>578</v>
      </c>
      <c r="AH2" s="7" t="s">
        <v>5</v>
      </c>
      <c r="AP2" s="10" t="s">
        <v>583</v>
      </c>
      <c r="AX2" s="7" t="s">
        <v>589</v>
      </c>
      <c r="BF2" s="10" t="s">
        <v>590</v>
      </c>
    </row>
    <row r="4" customFormat="false" ht="15" hidden="false" customHeight="false" outlineLevel="0" collapsed="false">
      <c r="A4" s="0" t="s">
        <v>6</v>
      </c>
      <c r="C4" s="13" t="s">
        <v>654</v>
      </c>
    </row>
    <row r="5" customFormat="false" ht="15" hidden="false" customHeight="false" outlineLevel="0" collapsed="false">
      <c r="A5" s="0" t="s">
        <v>9</v>
      </c>
      <c r="C5" s="0" t="n">
        <f aca="false">'General Information'!D26</f>
        <v>66667</v>
      </c>
      <c r="D5" s="0" t="s">
        <v>10</v>
      </c>
    </row>
    <row r="6" customFormat="false" ht="15" hidden="false" customHeight="false" outlineLevel="0" collapsed="false">
      <c r="A6" s="0" t="s">
        <v>12</v>
      </c>
      <c r="C6" s="0" t="n">
        <f aca="false">'General Information'!D25</f>
        <v>2028</v>
      </c>
      <c r="AH6" s="6" t="s">
        <v>618</v>
      </c>
      <c r="AI6" s="0" t="n">
        <v>2</v>
      </c>
      <c r="AJ6" s="6" t="s">
        <v>619</v>
      </c>
    </row>
    <row r="7" customFormat="false" ht="15" hidden="false" customHeight="false" outlineLevel="0" collapsed="false">
      <c r="A7" s="0" t="s">
        <v>620</v>
      </c>
      <c r="C7" s="105" t="s">
        <v>530</v>
      </c>
      <c r="D7" s="6" t="s">
        <v>621</v>
      </c>
      <c r="AH7" s="6" t="s">
        <v>623</v>
      </c>
      <c r="AI7" s="0" t="n">
        <v>120</v>
      </c>
      <c r="AJ7" s="6" t="s">
        <v>624</v>
      </c>
    </row>
    <row r="8" customFormat="false" ht="15" hidden="false" customHeight="false" outlineLevel="0" collapsed="false">
      <c r="A8" s="0" t="s">
        <v>13</v>
      </c>
      <c r="C8" s="0" t="n">
        <f aca="false">'General Information'!D28</f>
        <v>15000</v>
      </c>
      <c r="D8" s="0" t="s">
        <v>14</v>
      </c>
    </row>
    <row r="9" customFormat="false" ht="15" hidden="false" customHeight="false" outlineLevel="0" collapsed="false">
      <c r="C9" s="13"/>
      <c r="AH9" s="6" t="s">
        <v>626</v>
      </c>
      <c r="AI9" s="0" t="n">
        <v>0.07</v>
      </c>
      <c r="AJ9" s="6" t="s">
        <v>627</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t="n">
        <v>0</v>
      </c>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IF(L13="","N/A",VLOOKUP(L13,CHOOSE({1,2},Table2[Pay Item Description],Table2[Units]),2,0))</f>
        <v>S.Y.</v>
      </c>
      <c r="N13" s="109" t="n">
        <f aca="false">'Maintenance Policies'!D51*$C$5</f>
        <v>66667</v>
      </c>
      <c r="O13" s="110" t="n">
        <f aca="false">IF(L13="","N/A",VLOOKUP(L13,CHOOSE({1,2},Table2[Pay Item Description],Table2[Unit Cost]),2,0))</f>
        <v>4</v>
      </c>
      <c r="P13" s="27" t="n">
        <f aca="false">O13*N13</f>
        <v>266668</v>
      </c>
      <c r="R13" s="0" t="n">
        <v>1</v>
      </c>
      <c r="S13" s="0" t="str">
        <f aca="false">IF(T13="",0,VLOOKUP(T13,CHOOSE({1,2},Table2[Pay Item Description],Table2[Pay Item No.]),2,0))</f>
        <v>P-101-5.4a</v>
      </c>
      <c r="T13" s="0" t="str">
        <f aca="false">Pay_Items!D11</f>
        <v>Spall Repair, Asphalt</v>
      </c>
      <c r="U13" s="114" t="str">
        <f aca="false">IF(T13="","N/A",VLOOKUP(T13,CHOOSE({1,2},Table2[Pay Item Description],Table2[Units]),2,0))</f>
        <v>S.F.</v>
      </c>
      <c r="V13" s="111" t="n">
        <f aca="false">'Maintenance Policies'!D53*($C$5*9)</f>
        <v>7500.0375</v>
      </c>
      <c r="W13" s="115" t="n">
        <f aca="false">IF(T13="","N/A",VLOOKUP(T13,CHOOSE({1,2},Table2[Pay Item Description],Table2[Unit Cost]),2,0))</f>
        <v>8.5</v>
      </c>
      <c r="X13" s="30" t="n">
        <f aca="false">W13*V13</f>
        <v>63750.31875</v>
      </c>
      <c r="Z13" s="1" t="n">
        <v>1</v>
      </c>
      <c r="AA13" s="107" t="str">
        <f aca="false">IF(AB13="",0,VLOOKUP(AB13,CHOOSE({1,2},Table2[Pay Item Description],Table2[Pay Item No.]),2,0))</f>
        <v>P-608-8.1</v>
      </c>
      <c r="AB13" s="1" t="str">
        <f aca="false">C7</f>
        <v>Emulsified Asphalt Surface Treatment</v>
      </c>
      <c r="AC13" s="108" t="str">
        <f aca="false">IF(AB13="","N/A",VLOOKUP(AB13,CHOOSE({1,2},Table2[Pay Item Description],Table2[Units]),2,0))</f>
        <v>S.Y.</v>
      </c>
      <c r="AD13" s="109" t="n">
        <f aca="false">'Maintenance Policies'!D57*$C$5</f>
        <v>66667</v>
      </c>
      <c r="AE13" s="110" t="n">
        <f aca="false">IF(AB13="","N/A",VLOOKUP(AB13,CHOOSE({1,2},Table2[Pay Item Description],Table2[Unit Cost]),2,0))</f>
        <v>4</v>
      </c>
      <c r="AF13" s="27" t="n">
        <f aca="false">AE13*AD13</f>
        <v>266668</v>
      </c>
      <c r="AH13" s="0" t="n">
        <v>1</v>
      </c>
      <c r="AI13" s="19" t="str">
        <f aca="false">IF(AJ13="",0,VLOOKUP(AJ13,CHOOSE({1,2},Table2[Pay Item Description],Table2[Pay Item No.]),2,0))</f>
        <v>P-101-5.6</v>
      </c>
      <c r="AJ13" s="6" t="s">
        <v>453</v>
      </c>
      <c r="AK13" s="21" t="str">
        <f aca="false">IF(AJ13="","N/A",VLOOKUP(AJ13,CHOOSE({1,2},Table2[Pay Item Description],Table2[Units]),2,0))</f>
        <v>S.Y.</v>
      </c>
      <c r="AL13" s="111" t="n">
        <f aca="false">'Maintenance Policies'!D59*$C$5</f>
        <v>66667</v>
      </c>
      <c r="AM13" s="66" t="n">
        <f aca="false">IF(AJ13="","N/A",VLOOKUP(AJ13,CHOOSE({1,2},Table2[Pay Item Description],Table2[Unit Cost]),2,0))</f>
        <v>5</v>
      </c>
      <c r="AN13" s="30" t="n">
        <f aca="false">AM13*AL13</f>
        <v>333335</v>
      </c>
      <c r="AP13" s="1" t="n">
        <v>1</v>
      </c>
      <c r="AQ13" s="107" t="str">
        <f aca="false">IF(AR13="",0,VLOOKUP(AR13,CHOOSE({1,2},Table2[Pay Item Description],Table2[Pay Item No.]),2,0))</f>
        <v>P-608-8.1</v>
      </c>
      <c r="AR13" s="1" t="str">
        <f aca="false">C7</f>
        <v>Emulsified Asphalt Surface Treatment</v>
      </c>
      <c r="AS13" s="108" t="str">
        <f aca="false">IF(AR13="","N/A",VLOOKUP(AR13,CHOOSE({1,2},Table2[Pay Item Description],Table2[Units]),2,0))</f>
        <v>S.Y.</v>
      </c>
      <c r="AT13" s="109" t="n">
        <f aca="false">'Maintenance Policies'!D63*$C$5</f>
        <v>66667</v>
      </c>
      <c r="AU13" s="110" t="n">
        <f aca="false">IF(AR13="","N/A",VLOOKUP(AR13,CHOOSE({1,2},Table2[Pay Item Description],Table2[Unit Cost]),2,0))</f>
        <v>4</v>
      </c>
      <c r="AV13" s="27" t="n">
        <f aca="false">AU13*AT13</f>
        <v>266668</v>
      </c>
      <c r="AX13" s="0" t="n">
        <v>1</v>
      </c>
      <c r="AY13" s="19" t="str">
        <f aca="false">IF(AZ13="",0,VLOOKUP(AZ13,CHOOSE({1,2},Table2[Pay Item Description],Table2[Pay Item No.]),2,0))</f>
        <v>P-101-5.4a</v>
      </c>
      <c r="AZ13" s="6" t="s">
        <v>442</v>
      </c>
      <c r="BA13" s="21" t="str">
        <f aca="false">IF(AZ13="","N/A",VLOOKUP(AZ13,CHOOSE({1,2},Table2[Pay Item Description],Table2[Units]),2,0))</f>
        <v>S.F.</v>
      </c>
      <c r="BB13" s="111" t="n">
        <f aca="false">'Maintenance Policies'!D65*($C$5*9)</f>
        <v>7500.0375</v>
      </c>
      <c r="BC13" s="66" t="n">
        <f aca="false">IF(AZ13="","N/A",VLOOKUP(AZ13,CHOOSE({1,2},Table2[Pay Item Description],Table2[Unit Cost]),2,0))</f>
        <v>8.5</v>
      </c>
      <c r="BD13" s="30" t="n">
        <f aca="false">BC13*BB13</f>
        <v>63750.31875</v>
      </c>
      <c r="BF13" s="1" t="n">
        <v>1</v>
      </c>
      <c r="BG13" s="107" t="str">
        <f aca="false">IF(BH13="",0,VLOOKUP(BH13,CHOOSE({1,2},Table2[Pay Item Description],Table2[Pay Item No.]),2,0))</f>
        <v>P-608-8.1</v>
      </c>
      <c r="BH13" s="1" t="str">
        <f aca="false">C7</f>
        <v>Emulsified Asphalt Surface Treatment</v>
      </c>
      <c r="BI13" s="108" t="str">
        <f aca="false">IF(BH13="","N/A",VLOOKUP(BH13,CHOOSE({1,2},Table2[Pay Item Description],Table2[Units]),2,0))</f>
        <v>S.Y.</v>
      </c>
      <c r="BJ13" s="109" t="n">
        <f aca="false">'Maintenance Policies'!D69*$C$5</f>
        <v>66667</v>
      </c>
      <c r="BK13" s="110" t="n">
        <f aca="false">IF(BH13="","N/A",VLOOKUP(BH13,CHOOSE({1,2},Table2[Pay Item Description],Table2[Unit Cost]),2,0))</f>
        <v>4</v>
      </c>
      <c r="BL13" s="27" t="n">
        <f aca="false">BK13*BJ13</f>
        <v>266668</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440</v>
      </c>
      <c r="M14" s="112" t="str">
        <f aca="false">IF(L14="","N/A",VLOOKUP(L14,CHOOSE({1,2},Table2[Pay Item Description],Table2[Units]),2,0))</f>
        <v>S.F.</v>
      </c>
      <c r="N14" s="109" t="n">
        <f aca="false">'Maintenance Policies'!D52*$C$8</f>
        <v>15000</v>
      </c>
      <c r="O14" s="113" t="n">
        <f aca="false">IF(L14="","N/A",VLOOKUP(L14,CHOOSE({1,2},Table2[Pay Item Description],Table2[Unit Cost]),2,0))</f>
        <v>0.777777777777778</v>
      </c>
      <c r="P14" s="27" t="n">
        <f aca="false">O14*N14</f>
        <v>11666.6666666667</v>
      </c>
      <c r="R14" s="0" t="n">
        <v>2</v>
      </c>
      <c r="S14" s="0" t="str">
        <f aca="false">IF(T14="",0,VLOOKUP(T14,CHOOSE({1,2},Table2[Pay Item Description],Table2[Pay Item No.]),2,0))</f>
        <v>P-101-5.2a</v>
      </c>
      <c r="T14" s="0" t="str">
        <f aca="false">Pay_Items!D6</f>
        <v>Crack Repair (Type I), Asphalt</v>
      </c>
      <c r="U14" s="114" t="str">
        <f aca="false">IF(T14="","N/A",VLOOKUP(T14,CHOOSE({1,2},Table2[Pay Item Description],Table2[Units]),2,0))</f>
        <v>L.F.</v>
      </c>
      <c r="V14" s="111" t="n">
        <f aca="false">'Maintenance Policies'!D54*($C$5*9)</f>
        <v>24000.12</v>
      </c>
      <c r="W14" s="115" t="n">
        <f aca="false">IF(T14="","N/A",VLOOKUP(T14,CHOOSE({1,2},Table2[Pay Item Description],Table2[Unit Cost]),2,0))</f>
        <v>4</v>
      </c>
      <c r="X14" s="30" t="n">
        <f aca="false">W14*V14</f>
        <v>96000.48</v>
      </c>
      <c r="Z14" s="1" t="n">
        <v>2</v>
      </c>
      <c r="AA14" s="107" t="str">
        <f aca="false">IF(AB14="",0,VLOOKUP(AB14,CHOOSE({1,2},Table2[Pay Item Description],Table2[Pay Item No.]),2,0))</f>
        <v>P-101-5.3</v>
      </c>
      <c r="AB14" s="1" t="s">
        <v>440</v>
      </c>
      <c r="AC14" s="108" t="str">
        <f aca="false">IF(AB14="","N/A",VLOOKUP(AB14,CHOOSE({1,2},Table2[Pay Item Description],Table2[Units]),2,0))</f>
        <v>S.F.</v>
      </c>
      <c r="AD14" s="109" t="n">
        <f aca="false">'Maintenance Policies'!D58*$C$8</f>
        <v>15000</v>
      </c>
      <c r="AE14" s="110" t="n">
        <f aca="false">IF(AB14="","N/A",VLOOKUP(AB14,CHOOSE({1,2},Table2[Pay Item Description],Table2[Unit Cost]),2,0))</f>
        <v>0.777777777777778</v>
      </c>
      <c r="AF14" s="27" t="n">
        <f aca="false">AE14*AD14</f>
        <v>11666.6666666667</v>
      </c>
      <c r="AH14" s="0" t="n">
        <v>2</v>
      </c>
      <c r="AI14" s="19" t="str">
        <f aca="false">IF(AJ14="",0,VLOOKUP(AJ14,CHOOSE({1,2},Table2[Pay Item Description],Table2[Pay Item No.]),2,0))</f>
        <v>P-603-5.1</v>
      </c>
      <c r="AJ14" s="6" t="s">
        <v>544</v>
      </c>
      <c r="AK14" s="21" t="str">
        <f aca="false">IF(AJ14="","N/A",VLOOKUP(AJ14,CHOOSE({1,2},Table2[Pay Item Description],Table2[Units]),2,0))</f>
        <v>GAL</v>
      </c>
      <c r="AL14" s="111" t="n">
        <f aca="false">'Maintenance Policies'!D59*$C$5*AI9</f>
        <v>4666.69</v>
      </c>
      <c r="AM14" s="66" t="n">
        <f aca="false">IF(AJ14="","N/A",VLOOKUP(AJ14,CHOOSE({1,2},Table2[Pay Item Description],Table2[Unit Cost]),2,0))</f>
        <v>4.5</v>
      </c>
      <c r="AN14" s="30" t="n">
        <f aca="false">AM14*AL14</f>
        <v>21000.105</v>
      </c>
      <c r="AP14" s="1" t="n">
        <v>2</v>
      </c>
      <c r="AQ14" s="107" t="str">
        <f aca="false">IF(AR14="",0,VLOOKUP(AR14,CHOOSE({1,2},Table2[Pay Item Description],Table2[Pay Item No.]),2,0))</f>
        <v>P-101-5.3</v>
      </c>
      <c r="AR14" s="1" t="s">
        <v>440</v>
      </c>
      <c r="AS14" s="108" t="str">
        <f aca="false">IF(AR14="","N/A",VLOOKUP(AR14,CHOOSE({1,2},Table2[Pay Item Description],Table2[Units]),2,0))</f>
        <v>S.F.</v>
      </c>
      <c r="AT14" s="109" t="n">
        <f aca="false">'Maintenance Policies'!D64*$C$8</f>
        <v>15000</v>
      </c>
      <c r="AU14" s="110" t="n">
        <f aca="false">IF(AR14="","N/A",VLOOKUP(AR14,CHOOSE({1,2},Table2[Pay Item Description],Table2[Unit Cost]),2,0))</f>
        <v>0.777777777777778</v>
      </c>
      <c r="AV14" s="27" t="n">
        <f aca="false">AU14*AT14</f>
        <v>11666.6666666667</v>
      </c>
      <c r="AX14" s="0" t="n">
        <v>2</v>
      </c>
      <c r="AY14" s="19" t="str">
        <f aca="false">IF(AZ14="",0,VLOOKUP(AZ14,CHOOSE({1,2},Table2[Pay Item Description],Table2[Pay Item No.]),2,0))</f>
        <v>P-101-5.2a</v>
      </c>
      <c r="AZ14" s="6" t="s">
        <v>431</v>
      </c>
      <c r="BA14" s="21" t="str">
        <f aca="false">IF(AZ14="","N/A",VLOOKUP(AZ14,CHOOSE({1,2},Table2[Pay Item Description],Table2[Units]),2,0))</f>
        <v>L.F.</v>
      </c>
      <c r="BB14" s="111" t="n">
        <f aca="false">'Maintenance Policies'!D66*($C$5*9)</f>
        <v>24000.12</v>
      </c>
      <c r="BC14" s="66" t="n">
        <f aca="false">IF(AZ14="","N/A",VLOOKUP(AZ14,CHOOSE({1,2},Table2[Pay Item Description],Table2[Unit Cost]),2,0))</f>
        <v>4</v>
      </c>
      <c r="BD14" s="30" t="n">
        <f aca="false">BC14*BB14</f>
        <v>96000.48</v>
      </c>
      <c r="BF14" s="1" t="n">
        <v>2</v>
      </c>
      <c r="BG14" s="107" t="str">
        <f aca="false">IF(BH14="",0,VLOOKUP(BH14,CHOOSE({1,2},Table2[Pay Item Description],Table2[Pay Item No.]),2,0))</f>
        <v>P-101-5.3</v>
      </c>
      <c r="BH14" s="1" t="s">
        <v>440</v>
      </c>
      <c r="BI14" s="108" t="str">
        <f aca="false">IF(BH14="","N/A",VLOOKUP(BH14,CHOOSE({1,2},Table2[Pay Item Description],Table2[Units]),2,0))</f>
        <v>S.F.</v>
      </c>
      <c r="BJ14" s="109" t="n">
        <f aca="false">'Maintenance Policies'!D70*$C$8</f>
        <v>15000</v>
      </c>
      <c r="BK14" s="110" t="n">
        <f aca="false">IF(BH14="","N/A",VLOOKUP(BH14,CHOOSE({1,2},Table2[Pay Item Description],Table2[Unit Cost]),2,0))</f>
        <v>0.777777777777778</v>
      </c>
      <c r="BL14" s="27" t="n">
        <f aca="false">BK14*BJ14</f>
        <v>11666.6666666667</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553</v>
      </c>
      <c r="M15" s="112" t="str">
        <f aca="false">IF(L15="","N/A",VLOOKUP(L15,CHOOSE({1,2},Table2[Pay Item Description],Table2[Units]),2,0))</f>
        <v>S.F.</v>
      </c>
      <c r="N15" s="109" t="n">
        <f aca="false">'Maintenance Policies'!D52*$C$8</f>
        <v>15000</v>
      </c>
      <c r="O15" s="113" t="n">
        <f aca="false">IF(L15="","N/A",VLOOKUP(L15,CHOOSE({1,2},Table2[Pay Item Description],Table2[Unit Cost]),2,0))</f>
        <v>0.666666666666667</v>
      </c>
      <c r="P15" s="27" t="n">
        <f aca="false">O15*N15</f>
        <v>10000</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1" t="n">
        <f aca="false">'Maintenance Policies'!D55*$C$5</f>
        <v>66667</v>
      </c>
      <c r="W15" s="66" t="n">
        <f aca="false">IF(T15="","N/A",VLOOKUP(T15,CHOOSE({1,2},Table2[Pay Item Description],Table2[Unit Cost]),2,0))</f>
        <v>4</v>
      </c>
      <c r="X15" s="30" t="n">
        <f aca="false">W15*V15</f>
        <v>266668</v>
      </c>
      <c r="Z15" s="1" t="n">
        <v>3</v>
      </c>
      <c r="AA15" s="107" t="str">
        <f aca="false">IF(AB15="",0,VLOOKUP(AB15,CHOOSE({1,2},Table2[Pay Item Description],Table2[Pay Item No.]),2,0))</f>
        <v>P-620-5.1a</v>
      </c>
      <c r="AB15" s="1" t="s">
        <v>553</v>
      </c>
      <c r="AC15" s="108" t="str">
        <f aca="false">IF(AB15="","N/A",VLOOKUP(AB15,CHOOSE({1,2},Table2[Pay Item Description],Table2[Units]),2,0))</f>
        <v>S.F.</v>
      </c>
      <c r="AD15" s="109" t="n">
        <f aca="false">'Maintenance Policies'!D58*$C$8</f>
        <v>15000</v>
      </c>
      <c r="AE15" s="110" t="n">
        <f aca="false">IF(AB15="","N/A",VLOOKUP(AB15,CHOOSE({1,2},Table2[Pay Item Description],Table2[Unit Cost]),2,0))</f>
        <v>0.666666666666667</v>
      </c>
      <c r="AF15" s="27" t="n">
        <f aca="false">AE15*AD15</f>
        <v>10000</v>
      </c>
      <c r="AH15" s="0" t="n">
        <v>3</v>
      </c>
      <c r="AI15" s="19" t="str">
        <f aca="false">IF(AJ15="",0,VLOOKUP(AJ15,CHOOSE({1,2},Table2[Pay Item Description],Table2[Pay Item No.]),2,0))</f>
        <v>P-401-8.1a</v>
      </c>
      <c r="AJ15" s="6" t="s">
        <v>503</v>
      </c>
      <c r="AK15" s="21" t="str">
        <f aca="false">IF(AJ15="","N/A",VLOOKUP(AJ15,CHOOSE({1,2},Table2[Pay Item Description],Table2[Units]),2,0))</f>
        <v>TON</v>
      </c>
      <c r="AL15" s="111" t="n">
        <f aca="false">'Maintenance Policies'!D59*$C$5*AI6*AI7/2000</f>
        <v>8000.04</v>
      </c>
      <c r="AM15" s="66" t="n">
        <f aca="false">IF(AJ15="","N/A",VLOOKUP(AJ15,CHOOSE({1,2},Table2[Pay Item Description],Table2[Unit Cost]),2,0))</f>
        <v>130</v>
      </c>
      <c r="AN15" s="30" t="n">
        <f aca="false">AM15*AL15</f>
        <v>1040005.2</v>
      </c>
      <c r="AP15" s="1" t="n">
        <v>3</v>
      </c>
      <c r="AQ15" s="107" t="str">
        <f aca="false">IF(AR15="",0,VLOOKUP(AR15,CHOOSE({1,2},Table2[Pay Item Description],Table2[Pay Item No.]),2,0))</f>
        <v>P-620-5.1a</v>
      </c>
      <c r="AR15" s="1" t="s">
        <v>553</v>
      </c>
      <c r="AS15" s="108" t="str">
        <f aca="false">IF(AR15="","N/A",VLOOKUP(AR15,CHOOSE({1,2},Table2[Pay Item Description],Table2[Units]),2,0))</f>
        <v>S.F.</v>
      </c>
      <c r="AT15" s="109" t="n">
        <f aca="false">'Maintenance Policies'!D64*$C$8</f>
        <v>15000</v>
      </c>
      <c r="AU15" s="110" t="n">
        <f aca="false">IF(AR15="","N/A",VLOOKUP(AR15,CHOOSE({1,2},Table2[Pay Item Description],Table2[Unit Cost]),2,0))</f>
        <v>0.666666666666667</v>
      </c>
      <c r="AV15" s="27" t="n">
        <f aca="false">AU15*AT15</f>
        <v>10000</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1" t="n">
        <f aca="false">'Maintenance Policies'!D67*$C$5</f>
        <v>66667</v>
      </c>
      <c r="BC15" s="66" t="n">
        <f aca="false">IF(AZ15="","N/A",VLOOKUP(AZ15,CHOOSE({1,2},Table2[Pay Item Description],Table2[Unit Cost]),2,0))</f>
        <v>4</v>
      </c>
      <c r="BD15" s="30" t="n">
        <f aca="false">BC15*BB15</f>
        <v>266668</v>
      </c>
      <c r="BF15" s="1" t="n">
        <v>3</v>
      </c>
      <c r="BG15" s="107" t="str">
        <f aca="false">IF(BH15="",0,VLOOKUP(BH15,CHOOSE({1,2},Table2[Pay Item Description],Table2[Pay Item No.]),2,0))</f>
        <v>P-620-5.1a</v>
      </c>
      <c r="BH15" s="1" t="s">
        <v>553</v>
      </c>
      <c r="BI15" s="108" t="str">
        <f aca="false">IF(BH15="","N/A",VLOOKUP(BH15,CHOOSE({1,2},Table2[Pay Item Description],Table2[Units]),2,0))</f>
        <v>S.F.</v>
      </c>
      <c r="BJ15" s="109" t="n">
        <f aca="false">'Maintenance Policies'!D70*$C$8</f>
        <v>15000</v>
      </c>
      <c r="BK15" s="110" t="n">
        <f aca="false">IF(BH15="","N/A",VLOOKUP(BH15,CHOOSE({1,2},Table2[Pay Item Description],Table2[Unit Cost]),2,0))</f>
        <v>0.666666666666667</v>
      </c>
      <c r="BL15" s="27" t="n">
        <f aca="false">BK15*BJ15</f>
        <v>10000</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t="n">
        <v>0</v>
      </c>
      <c r="F16" s="23" t="str">
        <f aca="false">IF(C16="","N/A",VLOOKUP(C16,CHOOSE({1,2},Table2[Pay Item Description],Table2[Unit Cost]),2,0))</f>
        <v>N/A</v>
      </c>
      <c r="G16" s="24" t="n">
        <f aca="false">IF(B16&lt;&gt;0,F16*E16,0)</f>
        <v>0</v>
      </c>
      <c r="O16" s="1" t="s">
        <v>24</v>
      </c>
      <c r="P16" s="27" t="n">
        <f aca="false">SUM(P13:P15)</f>
        <v>288334.666666667</v>
      </c>
      <c r="R16" s="0" t="n">
        <v>4</v>
      </c>
      <c r="S16" s="0" t="str">
        <f aca="false">IF(T16="",0,VLOOKUP(T16,CHOOSE({1,2},Table2[Pay Item Description],Table2[Pay Item No.]),2,0))</f>
        <v>P-101-5.3</v>
      </c>
      <c r="T16" s="0" t="str">
        <f aca="false">Pay_Items!D10</f>
        <v>Markings Removal</v>
      </c>
      <c r="U16" s="114" t="str">
        <f aca="false">IF(T16="","N/A",VLOOKUP(T16,CHOOSE({1,2},Table2[Pay Item Description],Table2[Units]),2,0))</f>
        <v>S.F.</v>
      </c>
      <c r="V16" s="111" t="n">
        <f aca="false">'Maintenance Policies'!D56*$C$8</f>
        <v>15000</v>
      </c>
      <c r="W16" s="115" t="n">
        <f aca="false">IF(T16="","N/A",VLOOKUP(T16,CHOOSE({1,2},Table2[Pay Item Description],Table2[Unit Cost]),2,0))</f>
        <v>0.777777777777778</v>
      </c>
      <c r="X16" s="30" t="n">
        <f aca="false">W16*V16</f>
        <v>11666.6666666667</v>
      </c>
      <c r="AE16" s="1" t="s">
        <v>24</v>
      </c>
      <c r="AF16" s="27" t="n">
        <f aca="false">SUM(AF13:AF15)</f>
        <v>288334.666666667</v>
      </c>
      <c r="AH16" s="0" t="n">
        <v>4</v>
      </c>
      <c r="AI16" s="19" t="str">
        <f aca="false">IF(AJ16="",0,VLOOKUP(AJ16,CHOOSE({1,2},Table2[Pay Item Description],Table2[Pay Item No.]),2,0))</f>
        <v>P-101-5.2a</v>
      </c>
      <c r="AJ16" s="6" t="s">
        <v>431</v>
      </c>
      <c r="AK16" s="21" t="str">
        <f aca="false">IF(AJ16="","N/A",VLOOKUP(AJ16,CHOOSE({1,2},Table2[Pay Item Description],Table2[Units]),2,0))</f>
        <v>L.F.</v>
      </c>
      <c r="AL16" s="111" t="n">
        <f aca="false">'Maintenance Policies'!D60*($C$5*9)</f>
        <v>9000.045</v>
      </c>
      <c r="AM16" s="66" t="n">
        <f aca="false">IF(AJ16="","N/A",VLOOKUP(AJ16,CHOOSE({1,2},Table2[Pay Item Description],Table2[Unit Cost]),2,0))</f>
        <v>4</v>
      </c>
      <c r="AN16" s="30" t="n">
        <f aca="false">AM16*AL16</f>
        <v>36000.18</v>
      </c>
      <c r="AU16" s="1" t="s">
        <v>24</v>
      </c>
      <c r="AV16" s="27" t="n">
        <f aca="false">SUM(AV13:AV15)</f>
        <v>288334.666666667</v>
      </c>
      <c r="AX16" s="0" t="n">
        <v>4</v>
      </c>
      <c r="AY16" s="19" t="str">
        <f aca="false">IF(AZ16="",0,VLOOKUP(AZ16,CHOOSE({1,2},Table2[Pay Item Description],Table2[Pay Item No.]),2,0))</f>
        <v>P-101-5.3</v>
      </c>
      <c r="AZ16" s="6" t="s">
        <v>440</v>
      </c>
      <c r="BA16" s="21" t="str">
        <f aca="false">IF(AZ16="","N/A",VLOOKUP(AZ16,CHOOSE({1,2},Table2[Pay Item Description],Table2[Units]),2,0))</f>
        <v>S.F.</v>
      </c>
      <c r="BB16" s="111" t="n">
        <f aca="false">'Maintenance Policies'!D68*$C$8</f>
        <v>15000</v>
      </c>
      <c r="BC16" s="66" t="n">
        <f aca="false">IF(AZ16="","N/A",VLOOKUP(AZ16,CHOOSE({1,2},Table2[Pay Item Description],Table2[Unit Cost]),2,0))</f>
        <v>0.777777777777778</v>
      </c>
      <c r="BD16" s="30" t="n">
        <f aca="false">BC16*BB16</f>
        <v>11666.6666666667</v>
      </c>
      <c r="BK16" s="1" t="s">
        <v>24</v>
      </c>
      <c r="BL16" s="27" t="n">
        <f aca="false">SUM(BL13:BL15)</f>
        <v>288334.666666667</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t="n">
        <v>0</v>
      </c>
      <c r="F17" s="23" t="str">
        <f aca="false">IF(C17="","N/A",VLOOKUP(C17,CHOOSE({1,2},Table2[Pay Item Description],Table2[Unit Cost]),2,0))</f>
        <v>N/A</v>
      </c>
      <c r="G17" s="24" t="n">
        <f aca="false">IF(B17&lt;&gt;0,F17*E17,0)</f>
        <v>0</v>
      </c>
      <c r="L17" s="1" t="s">
        <v>25</v>
      </c>
      <c r="P17" s="27" t="n">
        <f aca="false">('General Information'!$D$36/100)*P16</f>
        <v>28833.4666666667</v>
      </c>
      <c r="R17" s="0" t="n">
        <v>5</v>
      </c>
      <c r="S17" s="0" t="str">
        <f aca="false">IF(T17="",0,VLOOKUP(T17,CHOOSE({1,2},Table2[Pay Item Description],Table2[Pay Item No.]),2,0))</f>
        <v>P-620-5.1a</v>
      </c>
      <c r="T17" s="0" t="str">
        <f aca="false">Pay_Items!D56</f>
        <v>Markings (prep, markings, reflective media)</v>
      </c>
      <c r="U17" s="114" t="str">
        <f aca="false">IF(T17="","N/A",VLOOKUP(T17,CHOOSE({1,2},Table2[Pay Item Description],Table2[Units]),2,0))</f>
        <v>S.F.</v>
      </c>
      <c r="V17" s="111" t="n">
        <f aca="false">'Maintenance Policies'!D56*$C$8</f>
        <v>15000</v>
      </c>
      <c r="W17" s="115" t="n">
        <f aca="false">IF(T17="","N/A",VLOOKUP(T17,CHOOSE({1,2},Table2[Pay Item Description],Table2[Unit Cost]),2,0))</f>
        <v>0.666666666666667</v>
      </c>
      <c r="X17" s="30" t="n">
        <f aca="false">W17*V17</f>
        <v>10000</v>
      </c>
      <c r="AB17" s="1" t="s">
        <v>25</v>
      </c>
      <c r="AF17" s="27" t="n">
        <f aca="false">('General Information'!$D$36/100)*AF16</f>
        <v>28833.4666666667</v>
      </c>
      <c r="AH17" s="0" t="n">
        <v>5</v>
      </c>
      <c r="AI17" s="19" t="str">
        <f aca="false">IF(AJ17="",0,VLOOKUP(AJ17,CHOOSE({1,2},Table2[Pay Item Description],Table2[Pay Item No.]),2,0))</f>
        <v>P-101-5.4a</v>
      </c>
      <c r="AJ17" s="6" t="s">
        <v>442</v>
      </c>
      <c r="AK17" s="21" t="str">
        <f aca="false">IF(AJ17="","N/A",VLOOKUP(AJ17,CHOOSE({1,2},Table2[Pay Item Description],Table2[Units]),2,0))</f>
        <v>S.F.</v>
      </c>
      <c r="AL17" s="111" t="n">
        <f aca="false">'Maintenance Policies'!D61*($C$5*9)</f>
        <v>3000.015</v>
      </c>
      <c r="AM17" s="66" t="n">
        <f aca="false">IF(AJ17="","N/A",VLOOKUP(AJ17,CHOOSE({1,2},Table2[Pay Item Description],Table2[Unit Cost]),2,0))</f>
        <v>8.5</v>
      </c>
      <c r="AN17" s="30" t="n">
        <f aca="false">AM17*AL17</f>
        <v>25500.1275</v>
      </c>
      <c r="AR17" s="1" t="s">
        <v>25</v>
      </c>
      <c r="AV17" s="27" t="n">
        <f aca="false">('General Information'!$D$36/100)*AV16</f>
        <v>28833.4666666667</v>
      </c>
      <c r="AX17" s="0" t="n">
        <v>5</v>
      </c>
      <c r="AY17" s="19" t="str">
        <f aca="false">IF(AZ17="",0,VLOOKUP(AZ17,CHOOSE({1,2},Table2[Pay Item Description],Table2[Pay Item No.]),2,0))</f>
        <v>P-620-5.1a</v>
      </c>
      <c r="AZ17" s="6" t="s">
        <v>553</v>
      </c>
      <c r="BA17" s="21" t="str">
        <f aca="false">IF(AZ17="","N/A",VLOOKUP(AZ17,CHOOSE({1,2},Table2[Pay Item Description],Table2[Units]),2,0))</f>
        <v>S.F.</v>
      </c>
      <c r="BB17" s="111" t="n">
        <f aca="false">'Maintenance Policies'!D68*$C$8</f>
        <v>15000</v>
      </c>
      <c r="BC17" s="66" t="n">
        <f aca="false">IF(AZ17="","N/A",VLOOKUP(AZ17,CHOOSE({1,2},Table2[Pay Item Description],Table2[Unit Cost]),2,0))</f>
        <v>0.666666666666667</v>
      </c>
      <c r="BD17" s="30" t="n">
        <f aca="false">BC17*BB17</f>
        <v>10000</v>
      </c>
      <c r="BH17" s="1" t="s">
        <v>25</v>
      </c>
      <c r="BL17" s="27" t="n">
        <f aca="false">('General Information'!$D$36/100)*BL16</f>
        <v>28833.4666666667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t="n">
        <v>0</v>
      </c>
      <c r="F18" s="23" t="str">
        <f aca="false">IF(C18="","N/A",VLOOKUP(C18,CHOOSE({1,2},Table2[Pay Item Description],Table2[Unit Cost]),2,0))</f>
        <v>N/A</v>
      </c>
      <c r="G18" s="24" t="n">
        <f aca="false">IF(B18&lt;&gt;0,F18*E18,0)</f>
        <v>0</v>
      </c>
      <c r="L18" s="1" t="s">
        <v>26</v>
      </c>
      <c r="P18" s="27" t="n">
        <f aca="false">('General Information'!$D$37/100)*P16</f>
        <v>14416.7333333333</v>
      </c>
      <c r="W18" s="6" t="s">
        <v>24</v>
      </c>
      <c r="X18" s="30" t="n">
        <f aca="false">SUM(X13:X17)</f>
        <v>448085.465416667</v>
      </c>
      <c r="AB18" s="1" t="s">
        <v>26</v>
      </c>
      <c r="AF18" s="27" t="n">
        <f aca="false">('General Information'!$D$37/100)*AF16</f>
        <v>14416.7333333333</v>
      </c>
      <c r="AH18" s="0" t="n">
        <v>6</v>
      </c>
      <c r="AI18" s="19" t="str">
        <f aca="false">IF(AJ18="",0,VLOOKUP(AJ18,CHOOSE({1,2},Table2[Pay Item Description],Table2[Pay Item No.]),2,0))</f>
        <v>P-620-5.1a</v>
      </c>
      <c r="AJ18" s="6" t="s">
        <v>553</v>
      </c>
      <c r="AK18" s="21" t="str">
        <f aca="false">IF(AJ18="","N/A",VLOOKUP(AJ18,CHOOSE({1,2},Table2[Pay Item Description],Table2[Units]),2,0))</f>
        <v>S.F.</v>
      </c>
      <c r="AL18" s="111" t="n">
        <f aca="false">'Maintenance Policies'!D62*$C$8</f>
        <v>15000</v>
      </c>
      <c r="AM18" s="66" t="n">
        <f aca="false">IF(AJ18="","N/A",VLOOKUP(AJ18,CHOOSE({1,2},Table2[Pay Item Description],Table2[Unit Cost]),2,0))</f>
        <v>0.666666666666667</v>
      </c>
      <c r="AN18" s="30" t="n">
        <f aca="false">AM18*AL18</f>
        <v>10000</v>
      </c>
      <c r="AR18" s="1" t="s">
        <v>26</v>
      </c>
      <c r="AV18" s="27" t="n">
        <f aca="false">('General Information'!$D$37/100)*AV16</f>
        <v>14416.7333333333</v>
      </c>
      <c r="BC18" s="6" t="s">
        <v>24</v>
      </c>
      <c r="BD18" s="30" t="n">
        <f aca="false">SUM(BD13:BD17)</f>
        <v>448085.465416667</v>
      </c>
      <c r="BH18" s="1" t="s">
        <v>26</v>
      </c>
      <c r="BL18" s="27" t="n">
        <f aca="false">('General Information'!$D$37/100)*BL16</f>
        <v>14416.7333333333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t="n">
        <v>0</v>
      </c>
      <c r="F19" s="23" t="str">
        <f aca="false">IF(C19="","N/A",VLOOKUP(C19,CHOOSE({1,2},Table2[Pay Item Description],Table2[Unit Cost]),2,0))</f>
        <v>N/A</v>
      </c>
      <c r="G19" s="24" t="n">
        <f aca="false">IF(B19&lt;&gt;0,F19*E19,0)</f>
        <v>0</v>
      </c>
      <c r="O19" s="1" t="s">
        <v>27</v>
      </c>
      <c r="P19" s="27" t="n">
        <f aca="false">SUM(P16:P18)</f>
        <v>331584.866666667</v>
      </c>
      <c r="T19" s="6" t="s">
        <v>25</v>
      </c>
      <c r="X19" s="30" t="n">
        <f aca="false">('General Information'!$D$36/100)*X18</f>
        <v>44808.5465416667</v>
      </c>
      <c r="AE19" s="1" t="s">
        <v>27</v>
      </c>
      <c r="AF19" s="27" t="n">
        <f aca="false">SUM(AF16:AF18)</f>
        <v>331584.866666667</v>
      </c>
      <c r="AM19" s="6" t="s">
        <v>24</v>
      </c>
      <c r="AN19" s="30" t="n">
        <f aca="false">SUM(AN13:AN18)</f>
        <v>1465840.6125</v>
      </c>
      <c r="AU19" s="1" t="s">
        <v>27</v>
      </c>
      <c r="AV19" s="27" t="n">
        <f aca="false">SUM(AV16:AV18)</f>
        <v>331584.866666667</v>
      </c>
      <c r="AZ19" s="6" t="s">
        <v>25</v>
      </c>
      <c r="BD19" s="30" t="n">
        <f aca="false">('General Information'!$D$36/100)*BD18</f>
        <v>44808.5465416667</v>
      </c>
      <c r="BK19" s="1" t="s">
        <v>27</v>
      </c>
      <c r="BL19" s="27" t="n">
        <f aca="false">SUM(BL16:BL18)</f>
        <v>331584.866666667</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t="n">
        <v>0</v>
      </c>
      <c r="F20" s="23" t="str">
        <f aca="false">IF(C20="","N/A",VLOOKUP(C20,CHOOSE({1,2},Table2[Pay Item Description],Table2[Unit Cost]),2,0))</f>
        <v>N/A</v>
      </c>
      <c r="G20" s="24" t="n">
        <f aca="false">IF(B20&lt;&gt;0,F20*E20,0)</f>
        <v>0</v>
      </c>
      <c r="T20" s="6" t="s">
        <v>26</v>
      </c>
      <c r="X20" s="30" t="n">
        <f aca="false">('General Information'!$D$37/100)*X18</f>
        <v>22404.2732708333</v>
      </c>
      <c r="AJ20" s="6" t="s">
        <v>25</v>
      </c>
      <c r="AN20" s="30" t="n">
        <f aca="false">('General Information'!$D$36/100)*AN19</f>
        <v>146584.06125</v>
      </c>
      <c r="AZ20" s="6" t="s">
        <v>26</v>
      </c>
      <c r="BD20" s="30" t="n">
        <f aca="false">('General Information'!$D$37/100)*BD18</f>
        <v>22404.2732708333</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t="n">
        <v>0</v>
      </c>
      <c r="F21" s="23" t="str">
        <f aca="false">IF(C21="","N/A",VLOOKUP(C21,CHOOSE({1,2},Table2[Pay Item Description],Table2[Unit Cost]),2,0))</f>
        <v>N/A</v>
      </c>
      <c r="G21" s="24" t="n">
        <f aca="false">IF(B21&lt;&gt;0,F21*E21,0)</f>
        <v>0</v>
      </c>
      <c r="W21" s="6" t="s">
        <v>27</v>
      </c>
      <c r="X21" s="30" t="n">
        <f aca="false">SUM(X18:X20)</f>
        <v>515298.285229167</v>
      </c>
      <c r="AJ21" s="6" t="s">
        <v>26</v>
      </c>
      <c r="AN21" s="30" t="n">
        <f aca="false">('General Information'!$D$37/100)*AN19</f>
        <v>73292.030625</v>
      </c>
      <c r="BC21" s="6" t="s">
        <v>27</v>
      </c>
      <c r="BD21" s="30" t="n">
        <f aca="false">SUM(BD18:BD20)</f>
        <v>515298.285229167</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t="n">
        <v>0</v>
      </c>
      <c r="F22" s="23" t="str">
        <f aca="false">IF(C22="","N/A",VLOOKUP(C22,CHOOSE({1,2},Table2[Pay Item Description],Table2[Unit Cost]),2,0))</f>
        <v>N/A</v>
      </c>
      <c r="G22" s="24" t="n">
        <f aca="false">IF(B22&lt;&gt;0,F22*E22,0)</f>
        <v>0</v>
      </c>
      <c r="AM22" s="6" t="s">
        <v>27</v>
      </c>
      <c r="AN22" s="30" t="n">
        <f aca="false">SUM(AN19:AN21)</f>
        <v>1685716.704375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6"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655</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652</v>
      </c>
      <c r="M36" s="1" t="s">
        <v>653</v>
      </c>
    </row>
    <row r="37" customFormat="false" ht="15" hidden="false" customHeight="false" outlineLevel="0" collapsed="false">
      <c r="B37" s="40" t="s">
        <v>4</v>
      </c>
      <c r="C37" s="41" t="n">
        <f aca="false">'Maintenance Policies'!E51</f>
        <v>4</v>
      </c>
      <c r="D37" s="42" t="n">
        <f aca="false">P19</f>
        <v>331584.866666667</v>
      </c>
      <c r="E37" s="43" t="n">
        <f aca="false">IF(C37&gt;'General Information'!$D$33,0,D37/(1+('General Information'!$D$34/100))^C37)</f>
        <v>294608.859318184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577</v>
      </c>
      <c r="C38" s="41" t="n">
        <f aca="false">'Maintenance Policies'!E53</f>
        <v>8</v>
      </c>
      <c r="D38" s="42" t="n">
        <f aca="false">X21</f>
        <v>515298.285229167</v>
      </c>
      <c r="E38" s="43" t="n">
        <f aca="false">IF(C38&gt;'General Information'!$D$33,0,D38/(1+('General Information'!$D$34/100))^C38)</f>
        <v>406781.22478604</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578</v>
      </c>
      <c r="C39" s="41" t="n">
        <f aca="false">'Maintenance Policies'!E57</f>
        <v>12</v>
      </c>
      <c r="D39" s="42" t="n">
        <f aca="false">AF19</f>
        <v>331584.866666667</v>
      </c>
      <c r="E39" s="43" t="n">
        <f aca="false">IF(C39&gt;'General Information'!$D$33,0,D39/(1+('General Information'!$D$34/100))^C39)</f>
        <v>232566.95405647</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1685716.704375</v>
      </c>
      <c r="E40" s="43" t="n">
        <f aca="false">IF(C40&gt;'General Information'!$D$33,0,D40/(1+('General Information'!$D$34/100))^C40)</f>
        <v>1050482.91905759</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583</v>
      </c>
      <c r="C41" s="41" t="n">
        <f aca="false">'Maintenance Policies'!E63</f>
        <v>20</v>
      </c>
      <c r="D41" s="42" t="n">
        <f aca="false">AV19</f>
        <v>331584.866666667</v>
      </c>
      <c r="E41" s="43" t="n">
        <f aca="false">IF(C41&gt;'General Information'!$D$33,0,D41/(1+('General Information'!$D$34/100))^C41)</f>
        <v>183590.501128442</v>
      </c>
      <c r="K41" s="1" t="n">
        <f aca="false">K40+1</f>
        <v>2032</v>
      </c>
      <c r="L41" s="27" t="n">
        <f aca="false">IF(K41-$C$6&gt;'General Information'!$D$33,0,IF(K41=$C$6,$D$36,0)+SUMIF($C$37:$C$44,K41-$C$6,$D$37:$D$44))</f>
        <v>331584.866666667</v>
      </c>
      <c r="M41" s="27" t="n">
        <f aca="false">IF(K41-$C$6&gt;'General Information'!$D$33,0,IF(K41=$C$6,$E$36,0)+SUMIF($C$37:$C$44,K41-$C$6,$E$37:$E$44))</f>
        <v>294608.859318184</v>
      </c>
    </row>
    <row r="42" customFormat="false" ht="15" hidden="false" customHeight="false" outlineLevel="0" collapsed="false">
      <c r="B42" s="40" t="s">
        <v>589</v>
      </c>
      <c r="C42" s="41" t="n">
        <f aca="false">'Maintenance Policies'!E65</f>
        <v>24</v>
      </c>
      <c r="D42" s="42" t="n">
        <f aca="false">BD21</f>
        <v>515298.285229167</v>
      </c>
      <c r="E42" s="43" t="n">
        <f aca="false">IF(C42&gt;'General Information'!$D$33,0,D42/(1+('General Information'!$D$34/100))^C42)</f>
        <v>253492.610782126</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590</v>
      </c>
      <c r="C43" s="41" t="n">
        <f aca="false">'Maintenance Policies'!E69</f>
        <v>28</v>
      </c>
      <c r="D43" s="42" t="n">
        <f aca="false">BL19</f>
        <v>331584.866666667</v>
      </c>
      <c r="E43" s="43" t="n">
        <f aca="false">IF(C43&gt;'General Information'!$D$33,0,D43/(1+('General Information'!$D$34/100))^C43)</f>
        <v>144928.036923115</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2566451.10605196</v>
      </c>
      <c r="K45" s="1" t="n">
        <f aca="false">K44+1</f>
        <v>2036</v>
      </c>
      <c r="L45" s="27" t="n">
        <f aca="false">IF(K45-$C$6&gt;'General Information'!$D$33,0,IF(K45=$C$6,$D$36,0)+SUMIF($C$37:$C$44,K45-$C$6,$D$37:$D$44))</f>
        <v>515298.285229167</v>
      </c>
      <c r="M45" s="27" t="n">
        <f aca="false">IF(K45-$C$6&gt;'General Information'!$D$33,0,IF(K45=$C$6,$E$36,0)+SUMIF($C$37:$C$44,K45-$C$6,$E$37:$E$44))</f>
        <v>406781.22478604</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331584.866666667</v>
      </c>
      <c r="M49" s="27" t="n">
        <f aca="false">IF(K49-$C$6&gt;'General Information'!$D$33,0,IF(K49=$C$6,$E$36,0)+SUMIF($C$37:$C$44,K49-$C$6,$E$37:$E$44))</f>
        <v>232566.95405647</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1685716.704375</v>
      </c>
      <c r="M53" s="27" t="n">
        <f aca="false">IF(K53-$C$6&gt;'General Information'!$D$33,0,IF(K53=$C$6,$E$36,0)+SUMIF($C$37:$C$44,K53-$C$6,$E$37:$E$44))</f>
        <v>1050482.91905759</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331584.866666667</v>
      </c>
      <c r="M57" s="27" t="n">
        <f aca="false">IF(K57-$C$6&gt;'General Information'!$D$33,0,IF(K57=$C$6,$E$36,0)+SUMIF($C$37:$C$44,K57-$C$6,$E$37:$E$44))</f>
        <v>183590.501128442</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515298.285229167</v>
      </c>
      <c r="M61" s="27" t="n">
        <f aca="false">IF(K61-$C$6&gt;'General Information'!$D$33,0,IF(K61=$C$6,$E$36,0)+SUMIF($C$37:$C$44,K61-$C$6,$E$37:$E$44))</f>
        <v>253492.610782126</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331584.866666667</v>
      </c>
      <c r="M65" s="27" t="n">
        <f aca="false">IF(K65-$C$6&gt;'General Information'!$D$33,0,IF(K65=$C$6,$E$36,0)+SUMIF($C$37:$C$44,K65-$C$6,$E$37:$E$44))</f>
        <v>144928.036923115</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656</v>
      </c>
    </row>
    <row r="45" customFormat="false" ht="15" hidden="false" customHeight="false" outlineLevel="0" collapsed="false">
      <c r="E45" s="0" t="s">
        <v>657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2"/>
    <col collapsed="false" customWidth="true" hidden="false" outlineLevel="0" max="4" min="3" style="0" width="17"/>
    <col collapsed="false" customWidth="true" hidden="false" outlineLevel="0" max="5" min="5" style="0" width="34"/>
    <col collapsed="false" customWidth="true" hidden="false" outlineLevel="0" max="6" min="6" style="0" width="3"/>
    <col collapsed="false" customWidth="true" hidden="false" outlineLevel="0" max="7" min="7" style="0" width="20"/>
    <col collapsed="false" customWidth="true" hidden="false" outlineLevel="0" max="8" min="8" style="0" width="24"/>
    <col collapsed="false" customWidth="true" hidden="false" outlineLevel="0" max="22" min="9"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A1" s="3" t="str">
        <f aca="false">HYPERLINK("#'General Information'!D9","◄ General Information")</f>
        <v>◄ General Information</v>
      </c>
      <c r="B1" s="4" t="str">
        <f aca="false">HYPERLINK("#Instructions!B9","Instructions")</f>
        <v>Instructions</v>
      </c>
      <c r="G1" s="126" t="s">
        <v>658</v>
      </c>
      <c r="W1" s="127" t="s">
        <v>659</v>
      </c>
    </row>
    <row r="2" customFormat="false" ht="15" hidden="false" customHeight="false" outlineLevel="0" collapsed="false">
      <c r="G2" s="59" t="s">
        <v>660</v>
      </c>
    </row>
    <row r="3" customFormat="false" ht="23.85" hidden="false" customHeight="false" outlineLevel="0" collapsed="false">
      <c r="A3" s="128" t="s">
        <v>661</v>
      </c>
      <c r="B3" s="128" t="s">
        <v>53</v>
      </c>
      <c r="C3" s="128" t="s">
        <v>34</v>
      </c>
      <c r="D3" s="128" t="s">
        <v>662</v>
      </c>
      <c r="E3" s="128" t="s">
        <v>663</v>
      </c>
      <c r="G3" s="128" t="s">
        <v>664</v>
      </c>
      <c r="H3" s="128" t="s">
        <v>661</v>
      </c>
      <c r="I3" s="128" t="s">
        <v>562</v>
      </c>
      <c r="J3" s="128" t="s">
        <v>665</v>
      </c>
      <c r="K3" s="128" t="s">
        <v>666</v>
      </c>
      <c r="L3" s="128" t="s">
        <v>667</v>
      </c>
      <c r="M3" s="128" t="s">
        <v>668</v>
      </c>
      <c r="N3" s="128" t="s">
        <v>669</v>
      </c>
      <c r="O3" s="128" t="s">
        <v>670</v>
      </c>
      <c r="P3" s="128" t="s">
        <v>671</v>
      </c>
      <c r="Q3" s="128" t="s">
        <v>672</v>
      </c>
      <c r="R3" s="128" t="s">
        <v>673</v>
      </c>
      <c r="W3" s="127" t="s">
        <v>674</v>
      </c>
    </row>
    <row r="4" customFormat="false" ht="15" hidden="false" customHeight="false" outlineLevel="0" collapsed="false">
      <c r="A4" s="0" t="s">
        <v>675</v>
      </c>
      <c r="B4" s="0" t="s">
        <v>564</v>
      </c>
      <c r="C4" s="30" t="n">
        <f aca="false">'Alt 1 (New HMA)'!G27</f>
        <v>7268437</v>
      </c>
      <c r="D4" s="30" t="n">
        <f aca="false">'Alt 1 (New HMA)'!E52</f>
        <v>9829223.74547321</v>
      </c>
      <c r="E4" s="6" t="s">
        <v>566</v>
      </c>
      <c r="G4" s="129" t="str">
        <f aca="false">IF(INDEX(Database!$D:$D,4)="","",INDEX(Database!$D:$D,4))</f>
        <v>Alt 1 (New HMA)</v>
      </c>
      <c r="H4" s="129" t="str">
        <f aca="false">IF($G4="","",INDEX(Database!$A:$A,4))</f>
        <v>Alternative 1</v>
      </c>
      <c r="I4" s="129" t="str">
        <f aca="false">IF($G4="","",INDEX(Database!$B:$B,4))</f>
        <v>HMA-New</v>
      </c>
      <c r="J4" s="130" t="n">
        <f aca="true">IF($G4="","",IFERROR(INDEX(INDIRECT("'"&amp;$G4&amp;"'!$G$1:$G$70"),MATCH("Total",INDIRECT("'"&amp;$G4&amp;"'!$A$1:$A$70"),0)),0))</f>
        <v>7268437</v>
      </c>
      <c r="K4" s="130" t="n">
        <f aca="true">IF($G4="","",IFERROR(SUMIFS(INDIRECT("'"&amp;$G4&amp;"'!$E$37:$E$52"),INDIRECT("'"&amp;$G4&amp;"'!$B$37:$B$52"),"Maintenance*",INDIRECT("'"&amp;$G4&amp;"'!$B$37:$B$52"),"&lt;&gt;*Indirect*"),0))</f>
        <v>1574420.72193685</v>
      </c>
      <c r="L4" s="130" t="n">
        <f aca="true">IF($G4="","",IFERROR(SUMIFS(INDIRECT("'"&amp;$G4&amp;"'!$E$37:$E$52"),INDIRECT("'"&amp;$G4&amp;"'!$B$37:$B$52"),"Rehabilitation*",INDIRECT("'"&amp;$G4&amp;"'!$B$37:$B$52"),"&lt;&gt;*Indirect*"),0))</f>
        <v>939071.040347879</v>
      </c>
      <c r="M4" s="130" t="n">
        <f aca="true">IF($G4="","",IFERROR(SUMIFS(INDIRECT("'"&amp;$G4&amp;"'!$E$37:$E$52"),INDIRECT("'"&amp;$G4&amp;"'!$B$37:$B$52"),"*Indirect*"),0))</f>
        <v>134639.61403581</v>
      </c>
      <c r="N4" s="130" t="n">
        <f aca="true">IF($G4="","",IFERROR(SUMIFS(INDIRECT("'"&amp;$G4&amp;"'!$E$37:$E$52"),INDIRECT("'"&amp;$G4&amp;"'!$B$37:$B$52"),"Salvage*"),0))</f>
        <v>-87344.6308473242</v>
      </c>
      <c r="O4" s="130" t="n">
        <f aca="true">IF($G4="","",IFERROR(INDEX(INDIRECT("'"&amp;$G4&amp;"'!$E$1:$E$70"),MATCH("Net Present Worth",INDIRECT("'"&amp;$G4&amp;"'!$B$1:$B$70"),0)),0))</f>
        <v>9829223.74547321</v>
      </c>
      <c r="P4" s="130" t="n">
        <f aca="false">IF($G4="","",O4-MIN($O$4:$O$7))</f>
        <v>648621.495980896</v>
      </c>
      <c r="Q4" s="131" t="n">
        <f aca="true">IF($G4="","",IF(IFERROR(INDIRECT("'"&amp;$G4&amp;"'!$F$2"),0)&gt;0,SUM($AG$41:$AG$71),IFERROR(SUM(INDIRECT("'"&amp;$G4&amp;"'!$F$4:$F$10")),0)))</f>
        <v>67</v>
      </c>
      <c r="R4" s="132" t="n">
        <f aca="false">IF($G4="","",1-Q4/('General Information'!$D$33*365))</f>
        <v>0.993881278538813</v>
      </c>
      <c r="W4" s="128" t="s">
        <v>676</v>
      </c>
      <c r="X4" s="128" t="str">
        <f aca="false">IF($H$4="","Alt "&amp;1,$H$4)</f>
        <v>Alternative 1</v>
      </c>
      <c r="Y4" s="128" t="str">
        <f aca="false">IF($H$5="","Alt "&amp;2,$H$5)</f>
        <v>Alternative 2</v>
      </c>
      <c r="Z4" s="128" t="str">
        <f aca="false">IF($H$6="","Alt "&amp;3,$H$6)</f>
        <v>Alt 3</v>
      </c>
      <c r="AA4" s="128" t="str">
        <f aca="false">IF($H$7="","Alt "&amp;4,$H$7)</f>
        <v>Alt 4</v>
      </c>
    </row>
    <row r="5" customFormat="false" ht="15" hidden="false" customHeight="false" outlineLevel="0" collapsed="false">
      <c r="A5" s="0" t="s">
        <v>677</v>
      </c>
      <c r="B5" s="0" t="s">
        <v>568</v>
      </c>
      <c r="C5" s="30" t="n">
        <f aca="false">'Alt 2 (New PCC)'!G27</f>
        <v>9062465.75</v>
      </c>
      <c r="D5" s="30" t="n">
        <f aca="false">'Alt 2 (New PCC)'!E43</f>
        <v>9180602.24949232</v>
      </c>
      <c r="E5" s="6" t="s">
        <v>7</v>
      </c>
      <c r="G5" s="129" t="str">
        <f aca="false">IF(INDEX(Database!$D:$D,5)="","",INDEX(Database!$D:$D,5))</f>
        <v>Alt 2 (New PCC)</v>
      </c>
      <c r="H5" s="129" t="str">
        <f aca="false">IF($G5="","",INDEX(Database!$A:$A,5))</f>
        <v>Alternative 2</v>
      </c>
      <c r="I5" s="129" t="str">
        <f aca="false">IF($G5="","",INDEX(Database!$B:$B,5))</f>
        <v>PCC-New</v>
      </c>
      <c r="J5" s="130" t="n">
        <f aca="true">IF($G5="","",IFERROR(INDEX(INDIRECT("'"&amp;$G5&amp;"'!$G$1:$G$70"),MATCH("Total",INDIRECT("'"&amp;$G5&amp;"'!$A$1:$A$70"),0)),0))</f>
        <v>9062465.75</v>
      </c>
      <c r="K5" s="130" t="n">
        <f aca="true">IF($G5="","",IFERROR(SUMIFS(INDIRECT("'"&amp;$G5&amp;"'!$E$37:$E$52"),INDIRECT("'"&amp;$G5&amp;"'!$B$37:$B$52"),"Maintenance*",INDIRECT("'"&amp;$G5&amp;"'!$B$37:$B$52"),"&lt;&gt;*Indirect*"),0))</f>
        <v>522567.104910763</v>
      </c>
      <c r="L5" s="130" t="n">
        <f aca="true">IF($G5="","",IFERROR(SUMIFS(INDIRECT("'"&amp;$G5&amp;"'!$E$37:$E$52"),INDIRECT("'"&amp;$G5&amp;"'!$B$37:$B$52"),"Rehabilitation*",INDIRECT("'"&amp;$G5&amp;"'!$B$37:$B$52"),"&lt;&gt;*Indirect*"),0))</f>
        <v>482791.159867436</v>
      </c>
      <c r="M5" s="130" t="n">
        <f aca="true">IF($G5="","",IFERROR(SUMIFS(INDIRECT("'"&amp;$G5&amp;"'!$E$37:$E$52"),INDIRECT("'"&amp;$G5&amp;"'!$B$37:$B$52"),"*Indirect*"),0))</f>
        <v>46182.209105713</v>
      </c>
      <c r="N5" s="130" t="n">
        <f aca="true">IF($G5="","",IFERROR(SUMIFS(INDIRECT("'"&amp;$G5&amp;"'!$E$37:$E$52"),INDIRECT("'"&amp;$G5&amp;"'!$B$37:$B$52"),"Salvage*"),0))</f>
        <v>-933403.974391597</v>
      </c>
      <c r="O5" s="130" t="n">
        <f aca="true">IF($G5="","",IFERROR(INDEX(INDIRECT("'"&amp;$G5&amp;"'!$E$1:$E$70"),MATCH("Net Present Worth",INDIRECT("'"&amp;$G5&amp;"'!$B$1:$B$70"),0)),0))</f>
        <v>9180602.24949232</v>
      </c>
      <c r="P5" s="130" t="n">
        <f aca="false">IF($G5="","",O5-MIN($O$4:$O$7))</f>
        <v>0</v>
      </c>
      <c r="Q5" s="131" t="n">
        <f aca="true">IF($G5="","",IF(IFERROR(INDIRECT("'"&amp;$G5&amp;"'!$F$2"),0)&gt;0,SUM($AH$41:$AH$71),IFERROR(SUM(INDIRECT("'"&amp;$G5&amp;"'!$F$4:$F$10")),0)))</f>
        <v>29</v>
      </c>
      <c r="R5" s="132" t="n">
        <f aca="false">IF($G5="","",1-Q5/('General Information'!$D$33*365))</f>
        <v>0.997351598173516</v>
      </c>
      <c r="W5" s="133" t="s">
        <v>665</v>
      </c>
      <c r="X5" s="134" t="n">
        <f aca="false">IF(J4="",0,J4)</f>
        <v>7268437</v>
      </c>
      <c r="Y5" s="134" t="n">
        <f aca="false">IF(J5="",0,J5)</f>
        <v>9062465.75</v>
      </c>
      <c r="Z5" s="134" t="n">
        <f aca="false">IF(J6="",0,J6)</f>
        <v>0</v>
      </c>
      <c r="AA5" s="134" t="n">
        <f aca="false">IF(J7="",0,J7)</f>
        <v>0</v>
      </c>
    </row>
    <row r="6" customFormat="false" ht="15" hidden="false" customHeight="false" outlineLevel="0" collapsed="false">
      <c r="G6" s="129" t="str">
        <f aca="false">IF(INDEX(Database!$D:$D,6)="","",INDEX(Database!$D:$D,6))</f>
        <v/>
      </c>
      <c r="H6" s="129" t="str">
        <f aca="false">IF($G6="","",INDEX(Database!$A:$A,6))</f>
        <v/>
      </c>
      <c r="I6" s="129" t="str">
        <f aca="false">IF($G6="","",INDEX(Database!$B:$B,6))</f>
        <v/>
      </c>
      <c r="J6" s="130" t="str">
        <f aca="true">IF($G6="","",IFERROR(INDEX(INDIRECT("'"&amp;$G6&amp;"'!$G$1:$G$70"),MATCH("Total",INDIRECT("'"&amp;$G6&amp;"'!$A$1:$A$70"),0)),0))</f>
        <v/>
      </c>
      <c r="K6" s="130" t="str">
        <f aca="true">IF($G6="","",IFERROR(SUMIFS(INDIRECT("'"&amp;$G6&amp;"'!$E$37:$E$52"),INDIRECT("'"&amp;$G6&amp;"'!$B$37:$B$52"),"Maintenance*",INDIRECT("'"&amp;$G6&amp;"'!$B$37:$B$52"),"&lt;&gt;*Indirect*"),0))</f>
        <v/>
      </c>
      <c r="L6" s="130" t="str">
        <f aca="true">IF($G6="","",IFERROR(SUMIFS(INDIRECT("'"&amp;$G6&amp;"'!$E$37:$E$52"),INDIRECT("'"&amp;$G6&amp;"'!$B$37:$B$52"),"Rehabilitation*",INDIRECT("'"&amp;$G6&amp;"'!$B$37:$B$52"),"&lt;&gt;*Indirect*"),0))</f>
        <v/>
      </c>
      <c r="M6" s="130" t="str">
        <f aca="true">IF($G6="","",IFERROR(SUMIFS(INDIRECT("'"&amp;$G6&amp;"'!$E$37:$E$52"),INDIRECT("'"&amp;$G6&amp;"'!$B$37:$B$52"),"*Indirect*"),0))</f>
        <v/>
      </c>
      <c r="N6" s="130" t="str">
        <f aca="true">IF($G6="","",IFERROR(SUMIFS(INDIRECT("'"&amp;$G6&amp;"'!$E$37:$E$52"),INDIRECT("'"&amp;$G6&amp;"'!$B$37:$B$52"),"Salvage*"),0))</f>
        <v/>
      </c>
      <c r="O6" s="130" t="str">
        <f aca="true">IF($G6="","",IFERROR(INDEX(INDIRECT("'"&amp;$G6&amp;"'!$E$1:$E$70"),MATCH("Net Present Worth",INDIRECT("'"&amp;$G6&amp;"'!$B$1:$B$70"),0)),0))</f>
        <v/>
      </c>
      <c r="P6" s="130" t="str">
        <f aca="false">IF($G6="","",O6-MIN($O$4:$O$7))</f>
        <v/>
      </c>
      <c r="Q6" s="129" t="str">
        <f aca="true">IF($G6="","",IF(IFERROR(INDIRECT("'"&amp;$G6&amp;"'!$F$2"),0)&gt;0,SUM($AI$41:$AI$71),IFERROR(SUM(INDIRECT("'"&amp;$G6&amp;"'!$F$4:$F$10")),0)))</f>
        <v/>
      </c>
      <c r="R6" s="132" t="str">
        <f aca="false">IF($G6="","",1-Q6/('General Information'!$D$33*365))</f>
        <v/>
      </c>
      <c r="W6" s="133" t="s">
        <v>678</v>
      </c>
      <c r="X6" s="134" t="n">
        <f aca="false">IF(K4="",0,K4)</f>
        <v>1574420.72193685</v>
      </c>
      <c r="Y6" s="134" t="n">
        <f aca="false">IF(K5="",0,K5)</f>
        <v>522567.104910763</v>
      </c>
      <c r="Z6" s="134" t="n">
        <f aca="false">IF(K6="",0,K6)</f>
        <v>0</v>
      </c>
      <c r="AA6" s="134" t="n">
        <f aca="false">IF(K7="",0,K7)</f>
        <v>0</v>
      </c>
    </row>
    <row r="7" customFormat="false" ht="15" hidden="false" customHeight="false" outlineLevel="0" collapsed="false">
      <c r="G7" s="129" t="str">
        <f aca="false">IF(INDEX(Database!$D:$D,7)="","",INDEX(Database!$D:$D,7))</f>
        <v/>
      </c>
      <c r="H7" s="129" t="str">
        <f aca="false">IF($G7="","",INDEX(Database!$A:$A,7))</f>
        <v/>
      </c>
      <c r="I7" s="129" t="str">
        <f aca="false">IF($G7="","",INDEX(Database!$B:$B,7))</f>
        <v/>
      </c>
      <c r="J7" s="130" t="str">
        <f aca="true">IF($G7="","",IFERROR(INDEX(INDIRECT("'"&amp;$G7&amp;"'!$G$1:$G$70"),MATCH("Total",INDIRECT("'"&amp;$G7&amp;"'!$A$1:$A$70"),0)),0))</f>
        <v/>
      </c>
      <c r="K7" s="130" t="str">
        <f aca="true">IF($G7="","",IFERROR(SUMIFS(INDIRECT("'"&amp;$G7&amp;"'!$E$37:$E$52"),INDIRECT("'"&amp;$G7&amp;"'!$B$37:$B$52"),"Maintenance*",INDIRECT("'"&amp;$G7&amp;"'!$B$37:$B$52"),"&lt;&gt;*Indirect*"),0))</f>
        <v/>
      </c>
      <c r="L7" s="130" t="str">
        <f aca="true">IF($G7="","",IFERROR(SUMIFS(INDIRECT("'"&amp;$G7&amp;"'!$E$37:$E$52"),INDIRECT("'"&amp;$G7&amp;"'!$B$37:$B$52"),"Rehabilitation*",INDIRECT("'"&amp;$G7&amp;"'!$B$37:$B$52"),"&lt;&gt;*Indirect*"),0))</f>
        <v/>
      </c>
      <c r="M7" s="130" t="str">
        <f aca="true">IF($G7="","",IFERROR(SUMIFS(INDIRECT("'"&amp;$G7&amp;"'!$E$37:$E$52"),INDIRECT("'"&amp;$G7&amp;"'!$B$37:$B$52"),"*Indirect*"),0))</f>
        <v/>
      </c>
      <c r="N7" s="130" t="str">
        <f aca="true">IF($G7="","",IFERROR(SUMIFS(INDIRECT("'"&amp;$G7&amp;"'!$E$37:$E$52"),INDIRECT("'"&amp;$G7&amp;"'!$B$37:$B$52"),"Salvage*"),0))</f>
        <v/>
      </c>
      <c r="O7" s="130" t="str">
        <f aca="true">IF($G7="","",IFERROR(INDEX(INDIRECT("'"&amp;$G7&amp;"'!$E$1:$E$70"),MATCH("Net Present Worth",INDIRECT("'"&amp;$G7&amp;"'!$B$1:$B$70"),0)),0))</f>
        <v/>
      </c>
      <c r="P7" s="130" t="str">
        <f aca="false">IF($G7="","",O7-MIN($O$4:$O$7))</f>
        <v/>
      </c>
      <c r="Q7" s="129" t="str">
        <f aca="true">IF($G7="","",IF(IFERROR(INDIRECT("'"&amp;$G7&amp;"'!$F$2"),0)&gt;0,SUM($AJ$41:$AJ$71),IFERROR(SUM(INDIRECT("'"&amp;$G7&amp;"'!$F$4:$F$10")),0)))</f>
        <v/>
      </c>
      <c r="R7" s="132" t="str">
        <f aca="false">IF($G7="","",1-Q7/('General Information'!$D$33*365))</f>
        <v/>
      </c>
      <c r="W7" s="133" t="s">
        <v>679</v>
      </c>
      <c r="X7" s="134" t="n">
        <f aca="false">IF(L4="",0,L4)</f>
        <v>939071.040347879</v>
      </c>
      <c r="Y7" s="134" t="n">
        <f aca="false">IF(L5="",0,L5)</f>
        <v>482791.159867436</v>
      </c>
      <c r="Z7" s="134" t="n">
        <f aca="false">IF(L6="",0,L6)</f>
        <v>0</v>
      </c>
      <c r="AA7" s="134" t="n">
        <f aca="false">IF(L7="",0,L7)</f>
        <v>0</v>
      </c>
    </row>
    <row r="8" customFormat="false" ht="15" hidden="false" customHeight="false" outlineLevel="0" collapsed="false">
      <c r="W8" s="133" t="s">
        <v>680</v>
      </c>
      <c r="X8" s="134" t="n">
        <f aca="false">IF(M4="",0,M4)</f>
        <v>134639.61403581</v>
      </c>
      <c r="Y8" s="134" t="n">
        <f aca="false">IF(M5="",0,M5)</f>
        <v>46182.209105713</v>
      </c>
      <c r="Z8" s="134" t="n">
        <f aca="false">IF(M6="",0,M6)</f>
        <v>0</v>
      </c>
      <c r="AA8" s="134" t="n">
        <f aca="false">IF(M7="",0,M7)</f>
        <v>0</v>
      </c>
    </row>
    <row r="9" customFormat="false" ht="15" hidden="false" customHeight="false" outlineLevel="0" collapsed="false">
      <c r="G9" s="135" t="str">
        <f aca="false">IF(COUNT($O$4:$O$7)=0,"No alternatives yet. Go to General Information and click Alternative Setup.","Lowest present worth: "&amp;INDEX($H$4:$H$7,MATCH(MIN($O$4:$O$7),$O$4:$O$7,0))&amp;IF(COUNT($O$4:$O$7)&lt;2,"   |   only one alternative so far",IF(SMALL($O$4:$O$7,2)=MIN($O$4:$O$7),"   |   tied with the next alternative","   |   margin to next: "&amp;TEXT(SMALL($O$4:$O$7,2)-MIN($O$4:$O$7),"$#,##0")))&amp;"   |   "&amp;'General Information'!$D$34&amp;"% over "&amp;'General Information'!$D$33&amp;" years   |   lost revenue: "&amp;'General Information'!$D$38)</f>
        <v>Lowest present worth: Alternative 2   |   margin to next: $648,621   |   3% over 30 years   |   lost revenue: Yes</v>
      </c>
      <c r="H9" s="136"/>
      <c r="I9" s="136"/>
      <c r="J9" s="136"/>
      <c r="K9" s="136"/>
      <c r="L9" s="136"/>
      <c r="M9" s="136"/>
      <c r="N9" s="136"/>
      <c r="O9" s="136"/>
      <c r="P9" s="136"/>
      <c r="Q9" s="136"/>
      <c r="R9" s="136"/>
      <c r="W9" s="133" t="s">
        <v>41</v>
      </c>
      <c r="X9" s="134" t="n">
        <f aca="false">IF(N4="",0,N4)</f>
        <v>-87344.6308473242</v>
      </c>
      <c r="Y9" s="134" t="n">
        <f aca="false">IF(N5="",0,N5)</f>
        <v>-933403.974391597</v>
      </c>
      <c r="Z9" s="134" t="n">
        <f aca="false">IF(N6="",0,N6)</f>
        <v>0</v>
      </c>
      <c r="AA9" s="134" t="n">
        <f aca="false">IF(N7="",0,N7)</f>
        <v>0</v>
      </c>
    </row>
    <row r="10" customFormat="false" ht="15" hidden="false" customHeight="false" outlineLevel="0" collapsed="false">
      <c r="G10" s="59" t="str">
        <f aca="false">IF(COUNT($O$4:$O$7)&lt;2,"",IF(INDEX($H$4:$H$7,MATCH(MIN($O$4:$O$7),$O$4:$O$7,0))=INDEX($H$4:$H$7,MATCH(SMALL($X$12:$AA$12,COUNTIF($X$12:$AA$12,0)+1),$X$12:$AA$12,0)),"Same lowest-cost alternative at 2% (OMB A-94 real rate, FAA PGL 22-01)","At 2% (OMB A-94 real rate, FAA PGL 22-01) the lowest-cost alternative changes")&amp;"   |   "&amp;IF(INDEX($H$4:$H$7,MATCH(MIN($O$4:$O$7),$O$4:$O$7,0))=INDEX($H$4:$H$7,MATCH(SMALL($X$32:$AA$32,COUNTIF($X$32:$AA$32,0)+1),$X$32:$AA$32,0)),"same at 7% (pre-2022 AIP rule)","changes at 7% (pre-2022 AIP rule): see chart 2"))</f>
        <v>Same lowest-cost alternative at 2% (OMB A-94 real rate, FAA PGL 22-01)   |   changes at 7% (pre-2022 AIP rule): see chart 2</v>
      </c>
      <c r="W10" s="127" t="s">
        <v>681</v>
      </c>
    </row>
    <row r="11" customFormat="false" ht="15" hidden="false" customHeight="false" outlineLevel="0" collapsed="false">
      <c r="W11" s="128" t="s">
        <v>682</v>
      </c>
      <c r="X11" s="128" t="str">
        <f aca="false">X$4</f>
        <v>Alternative 1</v>
      </c>
      <c r="Y11" s="128" t="str">
        <f aca="false">Y$4</f>
        <v>Alternative 2</v>
      </c>
      <c r="Z11" s="128" t="str">
        <f aca="false">Z$4</f>
        <v>Alt 3</v>
      </c>
      <c r="AA11" s="128" t="str">
        <f aca="false">AA$4</f>
        <v>Alt 4</v>
      </c>
    </row>
    <row r="12" customFormat="false" ht="15" hidden="false" customHeight="false" outlineLevel="0" collapsed="false">
      <c r="G12" s="126" t="s">
        <v>683</v>
      </c>
      <c r="W12" s="137" t="n">
        <v>2</v>
      </c>
      <c r="X12" s="134" t="n">
        <f aca="true">IF($G$4="",0,IFERROR($J$4+SUMPRODUCT((INDIRECT("'"&amp;$G$4&amp;"'!$C$37:$C$52")&lt;='General Information'!$D$33)*INDIRECT("'"&amp;$G$4&amp;"'!$D$37:$D$52")/(1+$W12/100)^INDIRECT("'"&amp;$G$4&amp;"'!$C$37:$C$52")),0))</f>
        <v>10262552.894263</v>
      </c>
      <c r="Y12" s="134" t="n">
        <f aca="true">IF($G$5="",0,IFERROR($J$5+SUMPRODUCT((INDIRECT("'"&amp;$G$5&amp;"'!$C$37:$C$52")&lt;='General Information'!$D$33)*INDIRECT("'"&amp;$G$5&amp;"'!$D$37:$D$52")/(1+$W12/100)^INDIRECT("'"&amp;$G$5&amp;"'!$C$37:$C$52")),0))</f>
        <v>9127262.70353926</v>
      </c>
      <c r="Z12" s="134" t="n">
        <f aca="true">IF($G$6="",0,IFERROR($J$6+SUMPRODUCT((INDIRECT("'"&amp;$G$6&amp;"'!$C$37:$C$52")&lt;='General Information'!$D$33)*INDIRECT("'"&amp;$G$6&amp;"'!$D$37:$D$52")/(1+$W12/100)^INDIRECT("'"&amp;$G$6&amp;"'!$C$37:$C$52")),0))</f>
        <v>0</v>
      </c>
      <c r="AA12" s="134" t="n">
        <f aca="true">IF($G$7="",0,IFERROR($J$7+SUMPRODUCT((INDIRECT("'"&amp;$G$7&amp;"'!$C$37:$C$52")&lt;='General Information'!$D$33)*INDIRECT("'"&amp;$G$7&amp;"'!$D$37:$D$52")/(1+$W12/100)^INDIRECT("'"&amp;$G$7&amp;"'!$C$37:$C$52")),0))</f>
        <v>0</v>
      </c>
    </row>
    <row r="13" customFormat="false" ht="27" hidden="false" customHeight="true" outlineLevel="0" collapsed="false">
      <c r="G13" s="128" t="s">
        <v>661</v>
      </c>
      <c r="H13" s="128" t="s">
        <v>684</v>
      </c>
      <c r="I13" s="128" t="s">
        <v>685</v>
      </c>
      <c r="J13" s="128" t="s">
        <v>686</v>
      </c>
      <c r="K13" s="128" t="s">
        <v>687</v>
      </c>
      <c r="L13" s="128" t="s">
        <v>688</v>
      </c>
      <c r="M13" s="128" t="s">
        <v>689</v>
      </c>
      <c r="N13" s="128" t="s">
        <v>690</v>
      </c>
      <c r="O13" s="128" t="s">
        <v>691</v>
      </c>
      <c r="P13" s="128" t="s">
        <v>692</v>
      </c>
      <c r="W13" s="137" t="n">
        <v>2.25</v>
      </c>
      <c r="X13" s="134" t="n">
        <f aca="true">IF($G$4="",0,IFERROR($J$4+SUMPRODUCT((INDIRECT("'"&amp;$G$4&amp;"'!$C$37:$C$52")&lt;='General Information'!$D$33)*INDIRECT("'"&amp;$G$4&amp;"'!$D$37:$D$52")/(1+$W13/100)^INDIRECT("'"&amp;$G$4&amp;"'!$C$37:$C$52")),0))</f>
        <v>10146264.598081</v>
      </c>
      <c r="Y13" s="134" t="n">
        <f aca="true">IF($G$5="",0,IFERROR($J$5+SUMPRODUCT((INDIRECT("'"&amp;$G$5&amp;"'!$C$37:$C$52")&lt;='General Information'!$D$33)*INDIRECT("'"&amp;$G$5&amp;"'!$D$37:$D$52")/(1+$W13/100)^INDIRECT("'"&amp;$G$5&amp;"'!$C$37:$C$52")),0))</f>
        <v>9143740.59930613</v>
      </c>
      <c r="Z13" s="134" t="n">
        <f aca="true">IF($G$6="",0,IFERROR($J$6+SUMPRODUCT((INDIRECT("'"&amp;$G$6&amp;"'!$C$37:$C$52")&lt;='General Information'!$D$33)*INDIRECT("'"&amp;$G$6&amp;"'!$D$37:$D$52")/(1+$W13/100)^INDIRECT("'"&amp;$G$6&amp;"'!$C$37:$C$52")),0))</f>
        <v>0</v>
      </c>
      <c r="AA13" s="134" t="n">
        <f aca="true">IF($G$7="",0,IFERROR($J$7+SUMPRODUCT((INDIRECT("'"&amp;$G$7&amp;"'!$C$37:$C$52")&lt;='General Information'!$D$33)*INDIRECT("'"&amp;$G$7&amp;"'!$D$37:$D$52")/(1+$W13/100)^INDIRECT("'"&amp;$G$7&amp;"'!$C$37:$C$52")),0))</f>
        <v>0</v>
      </c>
    </row>
    <row r="14" customFormat="false" ht="15" hidden="false" customHeight="false" outlineLevel="0" collapsed="false">
      <c r="G14" s="129" t="str">
        <f aca="false">IF($G$4="","",$H$4)</f>
        <v>Alternative 1</v>
      </c>
      <c r="H14" s="130" t="n">
        <f aca="false">IF($G$4="","",$J$4+$K$4+$L$4+$N$4)</f>
        <v>9694584.1314374</v>
      </c>
      <c r="I14" s="130" t="n">
        <f aca="false">IF($G$4="","",H14*(('General Information'!$D$34/100)*(1+'General Information'!$D$34/100)^'General Information'!$D$33/((1+'General Information'!$D$34/100)^'General Information'!$D$33-1)))</f>
        <v>494610.50180381</v>
      </c>
      <c r="J14" s="130" t="n">
        <f aca="false">IF($G$4="","",$M$4)</f>
        <v>134639.61403581</v>
      </c>
      <c r="K14" s="130" t="n">
        <f aca="false">IF($G$4="","",J14*(('General Information'!$D$34/100)*(1+'General Information'!$D$34/100)^'General Information'!$D$33/((1+'General Information'!$D$34/100)^'General Information'!$D$33-1)))</f>
        <v>6869.21338327171</v>
      </c>
      <c r="L14" s="130" t="n">
        <f aca="false">IF($G$4="","",$O$4)</f>
        <v>9829223.74547321</v>
      </c>
      <c r="M14" s="130" t="n">
        <f aca="false">IF($G$4="","",L14*(('General Information'!$D$34/100)*(1+'General Information'!$D$34/100)^'General Information'!$D$33/((1+'General Information'!$D$34/100)^'General Information'!$D$33-1)))</f>
        <v>501479.715187082</v>
      </c>
      <c r="N14" s="130" t="n">
        <f aca="false">IF($G$4="","",$P$4)</f>
        <v>648621.495980896</v>
      </c>
      <c r="O14" s="138" t="n">
        <f aca="false">IF($G$4="","",IFERROR($P$4/MIN($O$4:$O$7),0))</f>
        <v>0.0706513013366596</v>
      </c>
      <c r="P14" s="129" t="str">
        <f aca="false">IF($G$4="","",IF($O$4=MIN($O$4:$O$7),"lowest",""))</f>
        <v/>
      </c>
      <c r="W14" s="137" t="n">
        <v>2.5</v>
      </c>
      <c r="X14" s="134" t="n">
        <f aca="true">IF($G$4="",0,IFERROR($J$4+SUMPRODUCT((INDIRECT("'"&amp;$G$4&amp;"'!$C$37:$C$52")&lt;='General Information'!$D$33)*INDIRECT("'"&amp;$G$4&amp;"'!$D$37:$D$52")/(1+$W14/100)^INDIRECT("'"&amp;$G$4&amp;"'!$C$37:$C$52")),0))</f>
        <v>10035470.4285864</v>
      </c>
      <c r="Y14" s="134" t="n">
        <f aca="true">IF($G$5="",0,IFERROR($J$5+SUMPRODUCT((INDIRECT("'"&amp;$G$5&amp;"'!$C$37:$C$52")&lt;='General Information'!$D$33)*INDIRECT("'"&amp;$G$5&amp;"'!$D$37:$D$52")/(1+$W14/100)^INDIRECT("'"&amp;$G$5&amp;"'!$C$37:$C$52")),0))</f>
        <v>9157977.79503656</v>
      </c>
      <c r="Z14" s="134" t="n">
        <f aca="true">IF($G$6="",0,IFERROR($J$6+SUMPRODUCT((INDIRECT("'"&amp;$G$6&amp;"'!$C$37:$C$52")&lt;='General Information'!$D$33)*INDIRECT("'"&amp;$G$6&amp;"'!$D$37:$D$52")/(1+$W14/100)^INDIRECT("'"&amp;$G$6&amp;"'!$C$37:$C$52")),0))</f>
        <v>0</v>
      </c>
      <c r="AA14" s="134" t="n">
        <f aca="true">IF($G$7="",0,IFERROR($J$7+SUMPRODUCT((INDIRECT("'"&amp;$G$7&amp;"'!$C$37:$C$52")&lt;='General Information'!$D$33)*INDIRECT("'"&amp;$G$7&amp;"'!$D$37:$D$52")/(1+$W14/100)^INDIRECT("'"&amp;$G$7&amp;"'!$C$37:$C$52")),0))</f>
        <v>0</v>
      </c>
    </row>
    <row r="15" customFormat="false" ht="15" hidden="false" customHeight="false" outlineLevel="0" collapsed="false">
      <c r="G15" s="129" t="str">
        <f aca="false">IF($G$5="","",$H$5)</f>
        <v>Alternative 2</v>
      </c>
      <c r="H15" s="130" t="n">
        <f aca="false">IF($G$5="","",$J$5+$K$5+$L$5+$N$5)</f>
        <v>9134420.0403866</v>
      </c>
      <c r="I15" s="130" t="n">
        <f aca="false">IF($G$5="","",H15*(('General Information'!$D$34/100)*(1+'General Information'!$D$34/100)^'General Information'!$D$33/((1+'General Information'!$D$34/100)^'General Information'!$D$33-1)))</f>
        <v>466031.344780596</v>
      </c>
      <c r="J15" s="130" t="n">
        <f aca="false">IF($G$5="","",$M$5)</f>
        <v>46182.209105713</v>
      </c>
      <c r="K15" s="130" t="n">
        <f aca="false">IF($G$5="","",J15*(('General Information'!$D$34/100)*(1+'General Information'!$D$34/100)^'General Information'!$D$33/((1+'General Information'!$D$34/100)^'General Information'!$D$33-1)))</f>
        <v>2356.1821023465</v>
      </c>
      <c r="L15" s="130" t="n">
        <f aca="false">IF($G$5="","",$O$5)</f>
        <v>9180602.24949232</v>
      </c>
      <c r="M15" s="130" t="n">
        <f aca="false">IF($G$5="","",L15*(('General Information'!$D$34/100)*(1+'General Information'!$D$34/100)^'General Information'!$D$33/((1+'General Information'!$D$34/100)^'General Information'!$D$33-1)))</f>
        <v>468387.526882942</v>
      </c>
      <c r="N15" s="130" t="n">
        <f aca="false">IF($G$5="","",$P$5)</f>
        <v>0</v>
      </c>
      <c r="O15" s="138" t="n">
        <f aca="false">IF($G$5="","",IFERROR($P$5/MIN($O$4:$O$7),0))</f>
        <v>0</v>
      </c>
      <c r="P15" s="129" t="str">
        <f aca="false">IF($G$5="","",IF($O$5=MIN($O$4:$O$7),"lowest",""))</f>
        <v>lowest</v>
      </c>
      <c r="W15" s="137" t="n">
        <v>2.75</v>
      </c>
      <c r="X15" s="134" t="n">
        <f aca="true">IF($G$4="",0,IFERROR($J$4+SUMPRODUCT((INDIRECT("'"&amp;$G$4&amp;"'!$C$37:$C$52")&lt;='General Information'!$D$33)*INDIRECT("'"&amp;$G$4&amp;"'!$D$37:$D$52")/(1+$W15/100)^INDIRECT("'"&amp;$G$4&amp;"'!$C$37:$C$52")),0))</f>
        <v>9929881.09618256</v>
      </c>
      <c r="Y15" s="134" t="n">
        <f aca="true">IF($G$5="",0,IFERROR($J$5+SUMPRODUCT((INDIRECT("'"&amp;$G$5&amp;"'!$C$37:$C$52")&lt;='General Information'!$D$33)*INDIRECT("'"&amp;$G$5&amp;"'!$D$37:$D$52")/(1+$W15/100)^INDIRECT("'"&amp;$G$5&amp;"'!$C$37:$C$52")),0))</f>
        <v>9170197.41405273</v>
      </c>
      <c r="Z15" s="134" t="n">
        <f aca="true">IF($G$6="",0,IFERROR($J$6+SUMPRODUCT((INDIRECT("'"&amp;$G$6&amp;"'!$C$37:$C$52")&lt;='General Information'!$D$33)*INDIRECT("'"&amp;$G$6&amp;"'!$D$37:$D$52")/(1+$W15/100)^INDIRECT("'"&amp;$G$6&amp;"'!$C$37:$C$52")),0))</f>
        <v>0</v>
      </c>
      <c r="AA15" s="134" t="n">
        <f aca="true">IF($G$7="",0,IFERROR($J$7+SUMPRODUCT((INDIRECT("'"&amp;$G$7&amp;"'!$C$37:$C$52")&lt;='General Information'!$D$33)*INDIRECT("'"&amp;$G$7&amp;"'!$D$37:$D$52")/(1+$W15/100)^INDIRECT("'"&amp;$G$7&amp;"'!$C$37:$C$52")),0))</f>
        <v>0</v>
      </c>
    </row>
    <row r="16" customFormat="false" ht="15" hidden="false" customHeight="false" outlineLevel="0" collapsed="false">
      <c r="G16" s="129" t="str">
        <f aca="false">IF($G$6="","",$H$6)</f>
        <v/>
      </c>
      <c r="H16" s="130" t="str">
        <f aca="false">IF($G$6="","",$J$6+$K$6+$L$6+$N$6)</f>
        <v/>
      </c>
      <c r="I16" s="130" t="str">
        <f aca="false">IF($G$6="","",H16*(('General Information'!$D$34/100)*(1+'General Information'!$D$34/100)^'General Information'!$D$33/((1+'General Information'!$D$34/100)^'General Information'!$D$33-1)))</f>
        <v/>
      </c>
      <c r="J16" s="130" t="str">
        <f aca="false">IF($G$6="","",$M$6)</f>
        <v/>
      </c>
      <c r="K16" s="130" t="str">
        <f aca="false">IF($G$6="","",J16*(('General Information'!$D$34/100)*(1+'General Information'!$D$34/100)^'General Information'!$D$33/((1+'General Information'!$D$34/100)^'General Information'!$D$33-1)))</f>
        <v/>
      </c>
      <c r="L16" s="130" t="str">
        <f aca="false">IF($G$6="","",$O$6)</f>
        <v/>
      </c>
      <c r="M16" s="130" t="str">
        <f aca="false">IF($G$6="","",L16*(('General Information'!$D$34/100)*(1+'General Information'!$D$34/100)^'General Information'!$D$33/((1+'General Information'!$D$34/100)^'General Information'!$D$33-1)))</f>
        <v/>
      </c>
      <c r="N16" s="130" t="str">
        <f aca="false">IF($G$6="","",$P$6)</f>
        <v/>
      </c>
      <c r="O16" s="138" t="str">
        <f aca="false">IF($G$6="","",IFERROR($P$6/MIN($O$4:$O$7),0))</f>
        <v/>
      </c>
      <c r="P16" s="129" t="str">
        <f aca="false">IF($G$6="","",IF($O$6=MIN($O$4:$O$7),"lowest",""))</f>
        <v/>
      </c>
      <c r="W16" s="137" t="n">
        <v>3</v>
      </c>
      <c r="X16" s="134" t="n">
        <f aca="true">IF($G$4="",0,IFERROR($J$4+SUMPRODUCT((INDIRECT("'"&amp;$G$4&amp;"'!$C$37:$C$52")&lt;='General Information'!$D$33)*INDIRECT("'"&amp;$G$4&amp;"'!$D$37:$D$52")/(1+$W16/100)^INDIRECT("'"&amp;$G$4&amp;"'!$C$37:$C$52")),0))</f>
        <v>9829223.74547321</v>
      </c>
      <c r="Y16" s="134" t="n">
        <f aca="true">IF($G$5="",0,IFERROR($J$5+SUMPRODUCT((INDIRECT("'"&amp;$G$5&amp;"'!$C$37:$C$52")&lt;='General Information'!$D$33)*INDIRECT("'"&amp;$G$5&amp;"'!$D$37:$D$52")/(1+$W16/100)^INDIRECT("'"&amp;$G$5&amp;"'!$C$37:$C$52")),0))</f>
        <v>9180602.24949232</v>
      </c>
      <c r="Z16" s="134" t="n">
        <f aca="true">IF($G$6="",0,IFERROR($J$6+SUMPRODUCT((INDIRECT("'"&amp;$G$6&amp;"'!$C$37:$C$52")&lt;='General Information'!$D$33)*INDIRECT("'"&amp;$G$6&amp;"'!$D$37:$D$52")/(1+$W16/100)^INDIRECT("'"&amp;$G$6&amp;"'!$C$37:$C$52")),0))</f>
        <v>0</v>
      </c>
      <c r="AA16" s="134" t="n">
        <f aca="true">IF($G$7="",0,IFERROR($J$7+SUMPRODUCT((INDIRECT("'"&amp;$G$7&amp;"'!$C$37:$C$52")&lt;='General Information'!$D$33)*INDIRECT("'"&amp;$G$7&amp;"'!$D$37:$D$52")/(1+$W16/100)^INDIRECT("'"&amp;$G$7&amp;"'!$C$37:$C$52")),0))</f>
        <v>0</v>
      </c>
    </row>
    <row r="17" customFormat="false" ht="15" hidden="false" customHeight="false" outlineLevel="0" collapsed="false">
      <c r="G17" s="129" t="str">
        <f aca="false">IF($G$7="","",$H$7)</f>
        <v/>
      </c>
      <c r="H17" s="130" t="str">
        <f aca="false">IF($G$7="","",$J$7+$K$7+$L$7+$N$7)</f>
        <v/>
      </c>
      <c r="I17" s="130" t="str">
        <f aca="false">IF($G$7="","",H17*(('General Information'!$D$34/100)*(1+'General Information'!$D$34/100)^'General Information'!$D$33/((1+'General Information'!$D$34/100)^'General Information'!$D$33-1)))</f>
        <v/>
      </c>
      <c r="J17" s="130" t="str">
        <f aca="false">IF($G$7="","",$M$7)</f>
        <v/>
      </c>
      <c r="K17" s="130" t="str">
        <f aca="false">IF($G$7="","",J17*(('General Information'!$D$34/100)*(1+'General Information'!$D$34/100)^'General Information'!$D$33/((1+'General Information'!$D$34/100)^'General Information'!$D$33-1)))</f>
        <v/>
      </c>
      <c r="L17" s="130" t="str">
        <f aca="false">IF($G$7="","",$O$7)</f>
        <v/>
      </c>
      <c r="M17" s="130" t="str">
        <f aca="false">IF($G$7="","",L17*(('General Information'!$D$34/100)*(1+'General Information'!$D$34/100)^'General Information'!$D$33/((1+'General Information'!$D$34/100)^'General Information'!$D$33-1)))</f>
        <v/>
      </c>
      <c r="N17" s="130" t="str">
        <f aca="false">IF($G$7="","",$P$7)</f>
        <v/>
      </c>
      <c r="O17" s="138" t="str">
        <f aca="false">IF($G$7="","",IFERROR($P$7/MIN($O$4:$O$7),0))</f>
        <v/>
      </c>
      <c r="P17" s="129" t="str">
        <f aca="false">IF($G$7="","",IF($O$7=MIN($O$4:$O$7),"lowest",""))</f>
        <v/>
      </c>
      <c r="W17" s="137" t="n">
        <v>3.25</v>
      </c>
      <c r="X17" s="134" t="n">
        <f aca="true">IF($G$4="",0,IFERROR($J$4+SUMPRODUCT((INDIRECT("'"&amp;$G$4&amp;"'!$C$37:$C$52")&lt;='General Information'!$D$33)*INDIRECT("'"&amp;$G$4&amp;"'!$D$37:$D$52")/(1+$W17/100)^INDIRECT("'"&amp;$G$4&amp;"'!$C$37:$C$52")),0))</f>
        <v>9733240.96335756</v>
      </c>
      <c r="Y17" s="134" t="n">
        <f aca="true">IF($G$5="",0,IFERROR($J$5+SUMPRODUCT((INDIRECT("'"&amp;$G$5&amp;"'!$C$37:$C$52")&lt;='General Information'!$D$33)*INDIRECT("'"&amp;$G$5&amp;"'!$D$37:$D$52")/(1+$W17/100)^INDIRECT("'"&amp;$G$5&amp;"'!$C$37:$C$52")),0))</f>
        <v>9189376.56426341</v>
      </c>
      <c r="Z17" s="134" t="n">
        <f aca="true">IF($G$6="",0,IFERROR($J$6+SUMPRODUCT((INDIRECT("'"&amp;$G$6&amp;"'!$C$37:$C$52")&lt;='General Information'!$D$33)*INDIRECT("'"&amp;$G$6&amp;"'!$D$37:$D$52")/(1+$W17/100)^INDIRECT("'"&amp;$G$6&amp;"'!$C$37:$C$52")),0))</f>
        <v>0</v>
      </c>
      <c r="AA17" s="134" t="n">
        <f aca="true">IF($G$7="",0,IFERROR($J$7+SUMPRODUCT((INDIRECT("'"&amp;$G$7&amp;"'!$C$37:$C$52")&lt;='General Information'!$D$33)*INDIRECT("'"&amp;$G$7&amp;"'!$D$37:$D$52")/(1+$W17/100)^INDIRECT("'"&amp;$G$7&amp;"'!$C$37:$C$52")),0))</f>
        <v>0</v>
      </c>
    </row>
    <row r="18" customFormat="false" ht="15" hidden="false" customHeight="false" outlineLevel="0" collapsed="false">
      <c r="G18" s="59" t="s">
        <v>693</v>
      </c>
      <c r="W18" s="137" t="n">
        <v>3.5</v>
      </c>
      <c r="X18" s="134" t="n">
        <f aca="true">IF($G$4="",0,IFERROR($J$4+SUMPRODUCT((INDIRECT("'"&amp;$G$4&amp;"'!$C$37:$C$52")&lt;='General Information'!$D$33)*INDIRECT("'"&amp;$G$4&amp;"'!$D$37:$D$52")/(1+$W18/100)^INDIRECT("'"&amp;$G$4&amp;"'!$C$37:$C$52")),0))</f>
        <v>9641689.85014773</v>
      </c>
      <c r="Y18" s="134" t="n">
        <f aca="true">IF($G$5="",0,IFERROR($J$5+SUMPRODUCT((INDIRECT("'"&amp;$G$5&amp;"'!$C$37:$C$52")&lt;='General Information'!$D$33)*INDIRECT("'"&amp;$G$5&amp;"'!$D$37:$D$52")/(1+$W18/100)^INDIRECT("'"&amp;$G$5&amp;"'!$C$37:$C$52")),0))</f>
        <v>9196687.73240377</v>
      </c>
      <c r="Z18" s="134" t="n">
        <f aca="true">IF($G$6="",0,IFERROR($J$6+SUMPRODUCT((INDIRECT("'"&amp;$G$6&amp;"'!$C$37:$C$52")&lt;='General Information'!$D$33)*INDIRECT("'"&amp;$G$6&amp;"'!$D$37:$D$52")/(1+$W18/100)^INDIRECT("'"&amp;$G$6&amp;"'!$C$37:$C$52")),0))</f>
        <v>0</v>
      </c>
      <c r="AA18" s="134" t="n">
        <f aca="true">IF($G$7="",0,IFERROR($J$7+SUMPRODUCT((INDIRECT("'"&amp;$G$7&amp;"'!$C$37:$C$52")&lt;='General Information'!$D$33)*INDIRECT("'"&amp;$G$7&amp;"'!$D$37:$D$52")/(1+$W18/100)^INDIRECT("'"&amp;$G$7&amp;"'!$C$37:$C$52")),0))</f>
        <v>0</v>
      </c>
    </row>
    <row r="19" customFormat="false" ht="15" hidden="false" customHeight="false" outlineLevel="0" collapsed="false">
      <c r="W19" s="137" t="n">
        <v>3.75</v>
      </c>
      <c r="X19" s="134" t="n">
        <f aca="true">IF($G$4="",0,IFERROR($J$4+SUMPRODUCT((INDIRECT("'"&amp;$G$4&amp;"'!$C$37:$C$52")&lt;='General Information'!$D$33)*INDIRECT("'"&amp;$G$4&amp;"'!$D$37:$D$52")/(1+$W19/100)^INDIRECT("'"&amp;$G$4&amp;"'!$C$37:$C$52")),0))</f>
        <v>9554341.14952141</v>
      </c>
      <c r="Y19" s="134" t="n">
        <f aca="true">IF($G$5="",0,IFERROR($J$5+SUMPRODUCT((INDIRECT("'"&amp;$G$5&amp;"'!$C$37:$C$52")&lt;='General Information'!$D$33)*INDIRECT("'"&amp;$G$5&amp;"'!$D$37:$D$52")/(1+$W19/100)^INDIRECT("'"&amp;$G$5&amp;"'!$C$37:$C$52")),0))</f>
        <v>9202687.7359094</v>
      </c>
      <c r="Z19" s="134" t="n">
        <f aca="true">IF($G$6="",0,IFERROR($J$6+SUMPRODUCT((INDIRECT("'"&amp;$G$6&amp;"'!$C$37:$C$52")&lt;='General Information'!$D$33)*INDIRECT("'"&amp;$G$6&amp;"'!$D$37:$D$52")/(1+$W19/100)^INDIRECT("'"&amp;$G$6&amp;"'!$C$37:$C$52")),0))</f>
        <v>0</v>
      </c>
      <c r="AA19" s="134" t="n">
        <f aca="true">IF($G$7="",0,IFERROR($J$7+SUMPRODUCT((INDIRECT("'"&amp;$G$7&amp;"'!$C$37:$C$52")&lt;='General Information'!$D$33)*INDIRECT("'"&amp;$G$7&amp;"'!$D$37:$D$52")/(1+$W19/100)^INDIRECT("'"&amp;$G$7&amp;"'!$C$37:$C$52")),0))</f>
        <v>0</v>
      </c>
    </row>
    <row r="20" customFormat="false" ht="15" hidden="false" customHeight="false" outlineLevel="0" collapsed="false">
      <c r="G20" s="126" t="s">
        <v>694</v>
      </c>
      <c r="W20" s="137" t="n">
        <v>4</v>
      </c>
      <c r="X20" s="134" t="n">
        <f aca="true">IF($G$4="",0,IFERROR($J$4+SUMPRODUCT((INDIRECT("'"&amp;$G$4&amp;"'!$C$37:$C$52")&lt;='General Information'!$D$33)*INDIRECT("'"&amp;$G$4&amp;"'!$D$37:$D$52")/(1+$W20/100)^INDIRECT("'"&amp;$G$4&amp;"'!$C$37:$C$52")),0))</f>
        <v>9470978.43341119</v>
      </c>
      <c r="Y20" s="134" t="n">
        <f aca="true">IF($G$5="",0,IFERROR($J$5+SUMPRODUCT((INDIRECT("'"&amp;$G$5&amp;"'!$C$37:$C$52")&lt;='General Information'!$D$33)*INDIRECT("'"&amp;$G$5&amp;"'!$D$37:$D$52")/(1+$W20/100)^INDIRECT("'"&amp;$G$5&amp;"'!$C$37:$C$52")),0))</f>
        <v>9207514.52983484</v>
      </c>
      <c r="Z20" s="134" t="n">
        <f aca="true">IF($G$6="",0,IFERROR($J$6+SUMPRODUCT((INDIRECT("'"&amp;$G$6&amp;"'!$C$37:$C$52")&lt;='General Information'!$D$33)*INDIRECT("'"&amp;$G$6&amp;"'!$D$37:$D$52")/(1+$W20/100)^INDIRECT("'"&amp;$G$6&amp;"'!$C$37:$C$52")),0))</f>
        <v>0</v>
      </c>
      <c r="AA20" s="134" t="n">
        <f aca="true">IF($G$7="",0,IFERROR($J$7+SUMPRODUCT((INDIRECT("'"&amp;$G$7&amp;"'!$C$37:$C$52")&lt;='General Information'!$D$33)*INDIRECT("'"&amp;$G$7&amp;"'!$D$37:$D$52")/(1+$W20/100)^INDIRECT("'"&amp;$G$7&amp;"'!$C$37:$C$52")),0))</f>
        <v>0</v>
      </c>
    </row>
    <row r="21" customFormat="false" ht="15" hidden="false" customHeight="false" outlineLevel="0" collapsed="false">
      <c r="W21" s="137" t="n">
        <v>4.25</v>
      </c>
      <c r="X21" s="134" t="n">
        <f aca="true">IF($G$4="",0,IFERROR($J$4+SUMPRODUCT((INDIRECT("'"&amp;$G$4&amp;"'!$C$37:$C$52")&lt;='General Information'!$D$33)*INDIRECT("'"&amp;$G$4&amp;"'!$D$37:$D$52")/(1+$W21/100)^INDIRECT("'"&amp;$G$4&amp;"'!$C$37:$C$52")),0))</f>
        <v>9391397.33820115</v>
      </c>
      <c r="Y21" s="134" t="n">
        <f aca="true">IF($G$5="",0,IFERROR($J$5+SUMPRODUCT((INDIRECT("'"&amp;$G$5&amp;"'!$C$37:$C$52")&lt;='General Information'!$D$33)*INDIRECT("'"&amp;$G$5&amp;"'!$D$37:$D$52")/(1+$W21/100)^INDIRECT("'"&amp;$G$5&amp;"'!$C$37:$C$52")),0))</f>
        <v>9211293.28731988</v>
      </c>
      <c r="Z21" s="134" t="n">
        <f aca="true">IF($G$6="",0,IFERROR($J$6+SUMPRODUCT((INDIRECT("'"&amp;$G$6&amp;"'!$C$37:$C$52")&lt;='General Information'!$D$33)*INDIRECT("'"&amp;$G$6&amp;"'!$D$37:$D$52")/(1+$W21/100)^INDIRECT("'"&amp;$G$6&amp;"'!$C$37:$C$52")),0))</f>
        <v>0</v>
      </c>
      <c r="AA21" s="134" t="n">
        <f aca="true">IF($G$7="",0,IFERROR($J$7+SUMPRODUCT((INDIRECT("'"&amp;$G$7&amp;"'!$C$37:$C$52")&lt;='General Information'!$D$33)*INDIRECT("'"&amp;$G$7&amp;"'!$D$37:$D$52")/(1+$W21/100)^INDIRECT("'"&amp;$G$7&amp;"'!$C$37:$C$52")),0))</f>
        <v>0</v>
      </c>
    </row>
    <row r="22" customFormat="false" ht="15" hidden="false" customHeight="false" outlineLevel="0" collapsed="false">
      <c r="W22" s="137" t="n">
        <v>4.5</v>
      </c>
      <c r="X22" s="134" t="n">
        <f aca="true">IF($G$4="",0,IFERROR($J$4+SUMPRODUCT((INDIRECT("'"&amp;$G$4&amp;"'!$C$37:$C$52")&lt;='General Information'!$D$33)*INDIRECT("'"&amp;$G$4&amp;"'!$D$37:$D$52")/(1+$W22/100)^INDIRECT("'"&amp;$G$4&amp;"'!$C$37:$C$52")),0))</f>
        <v>9315404.84885081</v>
      </c>
      <c r="Y22" s="134" t="n">
        <f aca="true">IF($G$5="",0,IFERROR($J$5+SUMPRODUCT((INDIRECT("'"&amp;$G$5&amp;"'!$C$37:$C$52")&lt;='General Information'!$D$33)*INDIRECT("'"&amp;$G$5&amp;"'!$D$37:$D$52")/(1+$W22/100)^INDIRECT("'"&amp;$G$5&amp;"'!$C$37:$C$52")),0))</f>
        <v>9214137.53515365</v>
      </c>
      <c r="Z22" s="134" t="n">
        <f aca="true">IF($G$6="",0,IFERROR($J$6+SUMPRODUCT((INDIRECT("'"&amp;$G$6&amp;"'!$C$37:$C$52")&lt;='General Information'!$D$33)*INDIRECT("'"&amp;$G$6&amp;"'!$D$37:$D$52")/(1+$W22/100)^INDIRECT("'"&amp;$G$6&amp;"'!$C$37:$C$52")),0))</f>
        <v>0</v>
      </c>
      <c r="AA22" s="134" t="n">
        <f aca="true">IF($G$7="",0,IFERROR($J$7+SUMPRODUCT((INDIRECT("'"&amp;$G$7&amp;"'!$C$37:$C$52")&lt;='General Information'!$D$33)*INDIRECT("'"&amp;$G$7&amp;"'!$D$37:$D$52")/(1+$W22/100)^INDIRECT("'"&amp;$G$7&amp;"'!$C$37:$C$52")),0))</f>
        <v>0</v>
      </c>
    </row>
    <row r="23" customFormat="false" ht="15" hidden="false" customHeight="false" outlineLevel="0" collapsed="false">
      <c r="W23" s="137" t="n">
        <v>4.75</v>
      </c>
      <c r="X23" s="134" t="n">
        <f aca="true">IF($G$4="",0,IFERROR($J$4+SUMPRODUCT((INDIRECT("'"&amp;$G$4&amp;"'!$C$37:$C$52")&lt;='General Information'!$D$33)*INDIRECT("'"&amp;$G$4&amp;"'!$D$37:$D$52")/(1+$W23/100)^INDIRECT("'"&amp;$G$4&amp;"'!$C$37:$C$52")),0))</f>
        <v>9242818.62779832</v>
      </c>
      <c r="Y23" s="134" t="n">
        <f aca="true">IF($G$5="",0,IFERROR($J$5+SUMPRODUCT((INDIRECT("'"&amp;$G$5&amp;"'!$C$37:$C$52")&lt;='General Information'!$D$33)*INDIRECT("'"&amp;$G$5&amp;"'!$D$37:$D$52")/(1+$W23/100)^INDIRECT("'"&amp;$G$5&amp;"'!$C$37:$C$52")),0))</f>
        <v>9216150.18953936</v>
      </c>
      <c r="Z23" s="134" t="n">
        <f aca="true">IF($G$6="",0,IFERROR($J$6+SUMPRODUCT((INDIRECT("'"&amp;$G$6&amp;"'!$C$37:$C$52")&lt;='General Information'!$D$33)*INDIRECT("'"&amp;$G$6&amp;"'!$D$37:$D$52")/(1+$W23/100)^INDIRECT("'"&amp;$G$6&amp;"'!$C$37:$C$52")),0))</f>
        <v>0</v>
      </c>
      <c r="AA23" s="134" t="n">
        <f aca="true">IF($G$7="",0,IFERROR($J$7+SUMPRODUCT((INDIRECT("'"&amp;$G$7&amp;"'!$C$37:$C$52")&lt;='General Information'!$D$33)*INDIRECT("'"&amp;$G$7&amp;"'!$D$37:$D$52")/(1+$W23/100)^INDIRECT("'"&amp;$G$7&amp;"'!$C$37:$C$52")),0))</f>
        <v>0</v>
      </c>
    </row>
    <row r="24" customFormat="false" ht="15" hidden="false" customHeight="false" outlineLevel="0" collapsed="false">
      <c r="W24" s="137" t="n">
        <v>5</v>
      </c>
      <c r="X24" s="134" t="n">
        <f aca="true">IF($G$4="",0,IFERROR($J$4+SUMPRODUCT((INDIRECT("'"&amp;$G$4&amp;"'!$C$37:$C$52")&lt;='General Information'!$D$33)*INDIRECT("'"&amp;$G$4&amp;"'!$D$37:$D$52")/(1+$W24/100)^INDIRECT("'"&amp;$G$4&amp;"'!$C$37:$C$52")),0))</f>
        <v>9173466.38571005</v>
      </c>
      <c r="Y24" s="134" t="n">
        <f aca="true">IF($G$5="",0,IFERROR($J$5+SUMPRODUCT((INDIRECT("'"&amp;$G$5&amp;"'!$C$37:$C$52")&lt;='General Information'!$D$33)*INDIRECT("'"&amp;$G$5&amp;"'!$D$37:$D$52")/(1+$W24/100)^INDIRECT("'"&amp;$G$5&amp;"'!$C$37:$C$52")),0))</f>
        <v>9217424.50085983</v>
      </c>
      <c r="Z24" s="134" t="n">
        <f aca="true">IF($G$6="",0,IFERROR($J$6+SUMPRODUCT((INDIRECT("'"&amp;$G$6&amp;"'!$C$37:$C$52")&lt;='General Information'!$D$33)*INDIRECT("'"&amp;$G$6&amp;"'!$D$37:$D$52")/(1+$W24/100)^INDIRECT("'"&amp;$G$6&amp;"'!$C$37:$C$52")),0))</f>
        <v>0</v>
      </c>
      <c r="AA24" s="134" t="n">
        <f aca="true">IF($G$7="",0,IFERROR($J$7+SUMPRODUCT((INDIRECT("'"&amp;$G$7&amp;"'!$C$37:$C$52")&lt;='General Information'!$D$33)*INDIRECT("'"&amp;$G$7&amp;"'!$D$37:$D$52")/(1+$W24/100)^INDIRECT("'"&amp;$G$7&amp;"'!$C$37:$C$52")),0))</f>
        <v>0</v>
      </c>
    </row>
    <row r="25" customFormat="false" ht="15" hidden="false" customHeight="false" outlineLevel="0" collapsed="false">
      <c r="W25" s="137" t="n">
        <v>5.25</v>
      </c>
      <c r="X25" s="134" t="n">
        <f aca="true">IF($G$4="",0,IFERROR($J$4+SUMPRODUCT((INDIRECT("'"&amp;$G$4&amp;"'!$C$37:$C$52")&lt;='General Information'!$D$33)*INDIRECT("'"&amp;$G$4&amp;"'!$D$37:$D$52")/(1+$W25/100)^INDIRECT("'"&amp;$G$4&amp;"'!$C$37:$C$52")),0))</f>
        <v>9107185.29134381</v>
      </c>
      <c r="Y25" s="134" t="n">
        <f aca="true">IF($G$5="",0,IFERROR($J$5+SUMPRODUCT((INDIRECT("'"&amp;$G$5&amp;"'!$C$37:$C$52")&lt;='General Information'!$D$33)*INDIRECT("'"&amp;$G$5&amp;"'!$D$37:$D$52")/(1+$W25/100)^INDIRECT("'"&amp;$G$5&amp;"'!$C$37:$C$52")),0))</f>
        <v>9218044.91546017</v>
      </c>
      <c r="Z25" s="134" t="n">
        <f aca="true">IF($G$6="",0,IFERROR($J$6+SUMPRODUCT((INDIRECT("'"&amp;$G$6&amp;"'!$C$37:$C$52")&lt;='General Information'!$D$33)*INDIRECT("'"&amp;$G$6&amp;"'!$D$37:$D$52")/(1+$W25/100)^INDIRECT("'"&amp;$G$6&amp;"'!$C$37:$C$52")),0))</f>
        <v>0</v>
      </c>
      <c r="AA25" s="134" t="n">
        <f aca="true">IF($G$7="",0,IFERROR($J$7+SUMPRODUCT((INDIRECT("'"&amp;$G$7&amp;"'!$C$37:$C$52")&lt;='General Information'!$D$33)*INDIRECT("'"&amp;$G$7&amp;"'!$D$37:$D$52")/(1+$W25/100)^INDIRECT("'"&amp;$G$7&amp;"'!$C$37:$C$52")),0))</f>
        <v>0</v>
      </c>
    </row>
    <row r="26" customFormat="false" ht="15" hidden="false" customHeight="false" outlineLevel="0" collapsed="false">
      <c r="W26" s="137" t="n">
        <v>5.5</v>
      </c>
      <c r="X26" s="134" t="n">
        <f aca="true">IF($G$4="",0,IFERROR($J$4+SUMPRODUCT((INDIRECT("'"&amp;$G$4&amp;"'!$C$37:$C$52")&lt;='General Information'!$D$33)*INDIRECT("'"&amp;$G$4&amp;"'!$D$37:$D$52")/(1+$W26/100)^INDIRECT("'"&amp;$G$4&amp;"'!$C$37:$C$52")),0))</f>
        <v>9043821.41797902</v>
      </c>
      <c r="Y26" s="134" t="n">
        <f aca="true">IF($G$5="",0,IFERROR($J$5+SUMPRODUCT((INDIRECT("'"&amp;$G$5&amp;"'!$C$37:$C$52")&lt;='General Information'!$D$33)*INDIRECT("'"&amp;$G$5&amp;"'!$D$37:$D$52")/(1+$W26/100)^INDIRECT("'"&amp;$G$5&amp;"'!$C$37:$C$52")),0))</f>
        <v>9218087.86175034</v>
      </c>
      <c r="Z26" s="134" t="n">
        <f aca="true">IF($G$6="",0,IFERROR($J$6+SUMPRODUCT((INDIRECT("'"&amp;$G$6&amp;"'!$C$37:$C$52")&lt;='General Information'!$D$33)*INDIRECT("'"&amp;$G$6&amp;"'!$D$37:$D$52")/(1+$W26/100)^INDIRECT("'"&amp;$G$6&amp;"'!$C$37:$C$52")),0))</f>
        <v>0</v>
      </c>
      <c r="AA26" s="134" t="n">
        <f aca="true">IF($G$7="",0,IFERROR($J$7+SUMPRODUCT((INDIRECT("'"&amp;$G$7&amp;"'!$C$37:$C$52")&lt;='General Information'!$D$33)*INDIRECT("'"&amp;$G$7&amp;"'!$D$37:$D$52")/(1+$W26/100)^INDIRECT("'"&amp;$G$7&amp;"'!$C$37:$C$52")),0))</f>
        <v>0</v>
      </c>
    </row>
    <row r="27" customFormat="false" ht="15" hidden="false" customHeight="false" outlineLevel="0" collapsed="false">
      <c r="W27" s="137" t="n">
        <v>5.75</v>
      </c>
      <c r="X27" s="134" t="n">
        <f aca="true">IF($G$4="",0,IFERROR($J$4+SUMPRODUCT((INDIRECT("'"&amp;$G$4&amp;"'!$C$37:$C$52")&lt;='General Information'!$D$33)*INDIRECT("'"&amp;$G$4&amp;"'!$D$37:$D$52")/(1+$W27/100)^INDIRECT("'"&amp;$G$4&amp;"'!$C$37:$C$52")),0))</f>
        <v>8983229.22403956</v>
      </c>
      <c r="Y27" s="134" t="n">
        <f aca="true">IF($G$5="",0,IFERROR($J$5+SUMPRODUCT((INDIRECT("'"&amp;$G$5&amp;"'!$C$37:$C$52")&lt;='General Information'!$D$33)*INDIRECT("'"&amp;$G$5&amp;"'!$D$37:$D$52")/(1+$W27/100)^INDIRECT("'"&amp;$G$5&amp;"'!$C$37:$C$52")),0))</f>
        <v>9217622.46728144</v>
      </c>
      <c r="Z27" s="134" t="n">
        <f aca="true">IF($G$6="",0,IFERROR($J$6+SUMPRODUCT((INDIRECT("'"&amp;$G$6&amp;"'!$C$37:$C$52")&lt;='General Information'!$D$33)*INDIRECT("'"&amp;$G$6&amp;"'!$D$37:$D$52")/(1+$W27/100)^INDIRECT("'"&amp;$G$6&amp;"'!$C$37:$C$52")),0))</f>
        <v>0</v>
      </c>
      <c r="AA27" s="134" t="n">
        <f aca="true">IF($G$7="",0,IFERROR($J$7+SUMPRODUCT((INDIRECT("'"&amp;$G$7&amp;"'!$C$37:$C$52")&lt;='General Information'!$D$33)*INDIRECT("'"&amp;$G$7&amp;"'!$D$37:$D$52")/(1+$W27/100)^INDIRECT("'"&amp;$G$7&amp;"'!$C$37:$C$52")),0))</f>
        <v>0</v>
      </c>
    </row>
    <row r="28" customFormat="false" ht="15" hidden="false" customHeight="false" outlineLevel="0" collapsed="false">
      <c r="W28" s="137" t="n">
        <v>6</v>
      </c>
      <c r="X28" s="134" t="n">
        <f aca="true">IF($G$4="",0,IFERROR($J$4+SUMPRODUCT((INDIRECT("'"&amp;$G$4&amp;"'!$C$37:$C$52")&lt;='General Information'!$D$33)*INDIRECT("'"&amp;$G$4&amp;"'!$D$37:$D$52")/(1+$W28/100)^INDIRECT("'"&amp;$G$4&amp;"'!$C$37:$C$52")),0))</f>
        <v>8925271.06569606</v>
      </c>
      <c r="Y28" s="134" t="n">
        <f aca="true">IF($G$5="",0,IFERROR($J$5+SUMPRODUCT((INDIRECT("'"&amp;$G$5&amp;"'!$C$37:$C$52")&lt;='General Information'!$D$33)*INDIRECT("'"&amp;$G$5&amp;"'!$D$37:$D$52")/(1+$W28/100)^INDIRECT("'"&amp;$G$5&amp;"'!$C$37:$C$52")),0))</f>
        <v>9216711.21285899</v>
      </c>
      <c r="Z28" s="134" t="n">
        <f aca="true">IF($G$6="",0,IFERROR($J$6+SUMPRODUCT((INDIRECT("'"&amp;$G$6&amp;"'!$C$37:$C$52")&lt;='General Information'!$D$33)*INDIRECT("'"&amp;$G$6&amp;"'!$D$37:$D$52")/(1+$W28/100)^INDIRECT("'"&amp;$G$6&amp;"'!$C$37:$C$52")),0))</f>
        <v>0</v>
      </c>
      <c r="AA28" s="134" t="n">
        <f aca="true">IF($G$7="",0,IFERROR($J$7+SUMPRODUCT((INDIRECT("'"&amp;$G$7&amp;"'!$C$37:$C$52")&lt;='General Information'!$D$33)*INDIRECT("'"&amp;$G$7&amp;"'!$D$37:$D$52")/(1+$W28/100)^INDIRECT("'"&amp;$G$7&amp;"'!$C$37:$C$52")),0))</f>
        <v>0</v>
      </c>
    </row>
    <row r="29" customFormat="false" ht="15" hidden="false" customHeight="false" outlineLevel="0" collapsed="false">
      <c r="W29" s="137" t="n">
        <v>6.25</v>
      </c>
      <c r="X29" s="134" t="n">
        <f aca="true">IF($G$4="",0,IFERROR($J$4+SUMPRODUCT((INDIRECT("'"&amp;$G$4&amp;"'!$C$37:$C$52")&lt;='General Information'!$D$33)*INDIRECT("'"&amp;$G$4&amp;"'!$D$37:$D$52")/(1+$W29/100)^INDIRECT("'"&amp;$G$4&amp;"'!$C$37:$C$52")),0))</f>
        <v>8869816.73938347</v>
      </c>
      <c r="Y29" s="134" t="n">
        <f aca="true">IF($G$5="",0,IFERROR($J$5+SUMPRODUCT((INDIRECT("'"&amp;$G$5&amp;"'!$C$37:$C$52")&lt;='General Information'!$D$33)*INDIRECT("'"&amp;$G$5&amp;"'!$D$37:$D$52")/(1+$W29/100)^INDIRECT("'"&amp;$G$5&amp;"'!$C$37:$C$52")),0))</f>
        <v>9215410.52921935</v>
      </c>
      <c r="Z29" s="134" t="n">
        <f aca="true">IF($G$6="",0,IFERROR($J$6+SUMPRODUCT((INDIRECT("'"&amp;$G$6&amp;"'!$C$37:$C$52")&lt;='General Information'!$D$33)*INDIRECT("'"&amp;$G$6&amp;"'!$D$37:$D$52")/(1+$W29/100)^INDIRECT("'"&amp;$G$6&amp;"'!$C$37:$C$52")),0))</f>
        <v>0</v>
      </c>
      <c r="AA29" s="134" t="n">
        <f aca="true">IF($G$7="",0,IFERROR($J$7+SUMPRODUCT((INDIRECT("'"&amp;$G$7&amp;"'!$C$37:$C$52")&lt;='General Information'!$D$33)*INDIRECT("'"&amp;$G$7&amp;"'!$D$37:$D$52")/(1+$W29/100)^INDIRECT("'"&amp;$G$7&amp;"'!$C$37:$C$52")),0))</f>
        <v>0</v>
      </c>
    </row>
    <row r="30" customFormat="false" ht="15" hidden="false" customHeight="false" outlineLevel="0" collapsed="false">
      <c r="W30" s="137" t="n">
        <v>6.5</v>
      </c>
      <c r="X30" s="134" t="n">
        <f aca="true">IF($G$4="",0,IFERROR($J$4+SUMPRODUCT((INDIRECT("'"&amp;$G$4&amp;"'!$C$37:$C$52")&lt;='General Information'!$D$33)*INDIRECT("'"&amp;$G$4&amp;"'!$D$37:$D$52")/(1+$W30/100)^INDIRECT("'"&amp;$G$4&amp;"'!$C$37:$C$52")),0))</f>
        <v>8816743.0523088</v>
      </c>
      <c r="Y30" s="134" t="n">
        <f aca="true">IF($G$5="",0,IFERROR($J$5+SUMPRODUCT((INDIRECT("'"&amp;$G$5&amp;"'!$C$37:$C$52")&lt;='General Information'!$D$33)*INDIRECT("'"&amp;$G$5&amp;"'!$D$37:$D$52")/(1+$W30/100)^INDIRECT("'"&amp;$G$5&amp;"'!$C$37:$C$52")),0))</f>
        <v>9213771.34130587</v>
      </c>
      <c r="Z30" s="134" t="n">
        <f aca="true">IF($G$6="",0,IFERROR($J$6+SUMPRODUCT((INDIRECT("'"&amp;$G$6&amp;"'!$C$37:$C$52")&lt;='General Information'!$D$33)*INDIRECT("'"&amp;$G$6&amp;"'!$D$37:$D$52")/(1+$W30/100)^INDIRECT("'"&amp;$G$6&amp;"'!$C$37:$C$52")),0))</f>
        <v>0</v>
      </c>
      <c r="AA30" s="134" t="n">
        <f aca="true">IF($G$7="",0,IFERROR($J$7+SUMPRODUCT((INDIRECT("'"&amp;$G$7&amp;"'!$C$37:$C$52")&lt;='General Information'!$D$33)*INDIRECT("'"&amp;$G$7&amp;"'!$D$37:$D$52")/(1+$W30/100)^INDIRECT("'"&amp;$G$7&amp;"'!$C$37:$C$52")),0))</f>
        <v>0</v>
      </c>
    </row>
    <row r="31" customFormat="false" ht="15" hidden="false" customHeight="false" outlineLevel="0" collapsed="false">
      <c r="W31" s="137" t="n">
        <v>6.75</v>
      </c>
      <c r="X31" s="134" t="n">
        <f aca="true">IF($G$4="",0,IFERROR($J$4+SUMPRODUCT((INDIRECT("'"&amp;$G$4&amp;"'!$C$37:$C$52")&lt;='General Information'!$D$33)*INDIRECT("'"&amp;$G$4&amp;"'!$D$37:$D$52")/(1+$W31/100)^INDIRECT("'"&amp;$G$4&amp;"'!$C$37:$C$52")),0))</f>
        <v>8765933.419153</v>
      </c>
      <c r="Y31" s="134" t="n">
        <f aca="true">IF($G$5="",0,IFERROR($J$5+SUMPRODUCT((INDIRECT("'"&amp;$G$5&amp;"'!$C$37:$C$52")&lt;='General Information'!$D$33)*INDIRECT("'"&amp;$G$5&amp;"'!$D$37:$D$52")/(1+$W31/100)^INDIRECT("'"&amp;$G$5&amp;"'!$C$37:$C$52")),0))</f>
        <v>9211839.56473663</v>
      </c>
      <c r="Z31" s="134" t="n">
        <f aca="true">IF($G$6="",0,IFERROR($J$6+SUMPRODUCT((INDIRECT("'"&amp;$G$6&amp;"'!$C$37:$C$52")&lt;='General Information'!$D$33)*INDIRECT("'"&amp;$G$6&amp;"'!$D$37:$D$52")/(1+$W31/100)^INDIRECT("'"&amp;$G$6&amp;"'!$C$37:$C$52")),0))</f>
        <v>0</v>
      </c>
      <c r="AA31" s="134" t="n">
        <f aca="true">IF($G$7="",0,IFERROR($J$7+SUMPRODUCT((INDIRECT("'"&amp;$G$7&amp;"'!$C$37:$C$52")&lt;='General Information'!$D$33)*INDIRECT("'"&amp;$G$7&amp;"'!$D$37:$D$52")/(1+$W31/100)^INDIRECT("'"&amp;$G$7&amp;"'!$C$37:$C$52")),0))</f>
        <v>0</v>
      </c>
    </row>
    <row r="32" customFormat="false" ht="15" hidden="false" customHeight="false" outlineLevel="0" collapsed="false">
      <c r="W32" s="137" t="n">
        <v>7</v>
      </c>
      <c r="X32" s="134" t="n">
        <f aca="true">IF($G$4="",0,IFERROR($J$4+SUMPRODUCT((INDIRECT("'"&amp;$G$4&amp;"'!$C$37:$C$52")&lt;='General Information'!$D$33)*INDIRECT("'"&amp;$G$4&amp;"'!$D$37:$D$52")/(1+$W32/100)^INDIRECT("'"&amp;$G$4&amp;"'!$C$37:$C$52")),0))</f>
        <v>8717277.48329128</v>
      </c>
      <c r="Y32" s="134" t="n">
        <f aca="true">IF($G$5="",0,IFERROR($J$5+SUMPRODUCT((INDIRECT("'"&amp;$G$5&amp;"'!$C$37:$C$52")&lt;='General Information'!$D$33)*INDIRECT("'"&amp;$G$5&amp;"'!$D$37:$D$52")/(1+$W32/100)^INDIRECT("'"&amp;$G$5&amp;"'!$C$37:$C$52")),0))</f>
        <v>9209656.55864997</v>
      </c>
      <c r="Z32" s="134" t="n">
        <f aca="true">IF($G$6="",0,IFERROR($J$6+SUMPRODUCT((INDIRECT("'"&amp;$G$6&amp;"'!$C$37:$C$52")&lt;='General Information'!$D$33)*INDIRECT("'"&amp;$G$6&amp;"'!$D$37:$D$52")/(1+$W32/100)^INDIRECT("'"&amp;$G$6&amp;"'!$C$37:$C$52")),0))</f>
        <v>0</v>
      </c>
      <c r="AA32" s="134" t="n">
        <f aca="true">IF($G$7="",0,IFERROR($J$7+SUMPRODUCT((INDIRECT("'"&amp;$G$7&amp;"'!$C$37:$C$52")&lt;='General Information'!$D$33)*INDIRECT("'"&amp;$G$7&amp;"'!$D$37:$D$52")/(1+$W32/100)^INDIRECT("'"&amp;$G$7&amp;"'!$C$37:$C$52")),0))</f>
        <v>0</v>
      </c>
    </row>
    <row r="33" customFormat="false" ht="15" hidden="false" customHeight="false" outlineLevel="0" collapsed="false">
      <c r="W33" s="137" t="n">
        <v>7.25</v>
      </c>
      <c r="X33" s="134" t="n">
        <f aca="true">IF($G$4="",0,IFERROR($J$4+SUMPRODUCT((INDIRECT("'"&amp;$G$4&amp;"'!$C$37:$C$52")&lt;='General Information'!$D$33)*INDIRECT("'"&amp;$G$4&amp;"'!$D$37:$D$52")/(1+$W33/100)^INDIRECT("'"&amp;$G$4&amp;"'!$C$37:$C$52")),0))</f>
        <v>8670670.76096791</v>
      </c>
      <c r="Y33" s="134" t="n">
        <f aca="true">IF($G$5="",0,IFERROR($J$5+SUMPRODUCT((INDIRECT("'"&amp;$G$5&amp;"'!$C$37:$C$52")&lt;='General Information'!$D$33)*INDIRECT("'"&amp;$G$5&amp;"'!$D$37:$D$52")/(1+$W33/100)^INDIRECT("'"&amp;$G$5&amp;"'!$C$37:$C$52")),0))</f>
        <v>9207259.53874488</v>
      </c>
      <c r="Z33" s="134" t="n">
        <f aca="true">IF($G$6="",0,IFERROR($J$6+SUMPRODUCT((INDIRECT("'"&amp;$G$6&amp;"'!$C$37:$C$52")&lt;='General Information'!$D$33)*INDIRECT("'"&amp;$G$6&amp;"'!$D$37:$D$52")/(1+$W33/100)^INDIRECT("'"&amp;$G$6&amp;"'!$C$37:$C$52")),0))</f>
        <v>0</v>
      </c>
      <c r="AA33" s="134" t="n">
        <f aca="true">IF($G$7="",0,IFERROR($J$7+SUMPRODUCT((INDIRECT("'"&amp;$G$7&amp;"'!$C$37:$C$52")&lt;='General Information'!$D$33)*INDIRECT("'"&amp;$G$7&amp;"'!$D$37:$D$52")/(1+$W33/100)^INDIRECT("'"&amp;$G$7&amp;"'!$C$37:$C$52")),0))</f>
        <v>0</v>
      </c>
    </row>
    <row r="34" customFormat="false" ht="15" hidden="false" customHeight="false" outlineLevel="0" collapsed="false">
      <c r="W34" s="137" t="n">
        <v>7.5</v>
      </c>
      <c r="X34" s="134" t="n">
        <f aca="true">IF($G$4="",0,IFERROR($J$4+SUMPRODUCT((INDIRECT("'"&amp;$G$4&amp;"'!$C$37:$C$52")&lt;='General Information'!$D$33)*INDIRECT("'"&amp;$G$4&amp;"'!$D$37:$D$52")/(1+$W34/100)^INDIRECT("'"&amp;$G$4&amp;"'!$C$37:$C$52")),0))</f>
        <v>8626014.30696557</v>
      </c>
      <c r="Y34" s="134" t="n">
        <f aca="true">IF($G$5="",0,IFERROR($J$5+SUMPRODUCT((INDIRECT("'"&amp;$G$5&amp;"'!$C$37:$C$52")&lt;='General Information'!$D$33)*INDIRECT("'"&amp;$G$5&amp;"'!$D$37:$D$52")/(1+$W34/100)^INDIRECT("'"&amp;$G$5&amp;"'!$C$37:$C$52")),0))</f>
        <v>9204681.95399732</v>
      </c>
      <c r="Z34" s="134" t="n">
        <f aca="true">IF($G$6="",0,IFERROR($J$6+SUMPRODUCT((INDIRECT("'"&amp;$G$6&amp;"'!$C$37:$C$52")&lt;='General Information'!$D$33)*INDIRECT("'"&amp;$G$6&amp;"'!$D$37:$D$52")/(1+$W34/100)^INDIRECT("'"&amp;$G$6&amp;"'!$C$37:$C$52")),0))</f>
        <v>0</v>
      </c>
      <c r="AA34" s="134" t="n">
        <f aca="true">IF($G$7="",0,IFERROR($J$7+SUMPRODUCT((INDIRECT("'"&amp;$G$7&amp;"'!$C$37:$C$52")&lt;='General Information'!$D$33)*INDIRECT("'"&amp;$G$7&amp;"'!$D$37:$D$52")/(1+$W34/100)^INDIRECT("'"&amp;$G$7&amp;"'!$C$37:$C$52")),0))</f>
        <v>0</v>
      </c>
    </row>
    <row r="35" customFormat="false" ht="15" hidden="false" customHeight="false" outlineLevel="0" collapsed="false">
      <c r="W35" s="137" t="n">
        <v>7.75</v>
      </c>
      <c r="X35" s="134" t="n">
        <f aca="true">IF($G$4="",0,IFERROR($J$4+SUMPRODUCT((INDIRECT("'"&amp;$G$4&amp;"'!$C$37:$C$52")&lt;='General Information'!$D$33)*INDIRECT("'"&amp;$G$4&amp;"'!$D$37:$D$52")/(1+$W35/100)^INDIRECT("'"&amp;$G$4&amp;"'!$C$37:$C$52")),0))</f>
        <v>8583214.40040654</v>
      </c>
      <c r="Y35" s="134" t="n">
        <f aca="true">IF($G$5="",0,IFERROR($J$5+SUMPRODUCT((INDIRECT("'"&amp;$G$5&amp;"'!$C$37:$C$52")&lt;='General Information'!$D$33)*INDIRECT("'"&amp;$G$5&amp;"'!$D$37:$D$52")/(1+$W35/100)^INDIRECT("'"&amp;$G$5&amp;"'!$C$37:$C$52")),0))</f>
        <v>9201953.83022717</v>
      </c>
      <c r="Z35" s="134" t="n">
        <f aca="true">IF($G$6="",0,IFERROR($J$6+SUMPRODUCT((INDIRECT("'"&amp;$G$6&amp;"'!$C$37:$C$52")&lt;='General Information'!$D$33)*INDIRECT("'"&amp;$G$6&amp;"'!$D$37:$D$52")/(1+$W35/100)^INDIRECT("'"&amp;$G$6&amp;"'!$C$37:$C$52")),0))</f>
        <v>0</v>
      </c>
      <c r="AA35" s="134" t="n">
        <f aca="true">IF($G$7="",0,IFERROR($J$7+SUMPRODUCT((INDIRECT("'"&amp;$G$7&amp;"'!$C$37:$C$52")&lt;='General Information'!$D$33)*INDIRECT("'"&amp;$G$7&amp;"'!$D$37:$D$52")/(1+$W35/100)^INDIRECT("'"&amp;$G$7&amp;"'!$C$37:$C$52")),0))</f>
        <v>0</v>
      </c>
    </row>
    <row r="36" customFormat="false" ht="15" hidden="false" customHeight="false" outlineLevel="0" collapsed="false">
      <c r="W36" s="137" t="n">
        <v>8</v>
      </c>
      <c r="X36" s="134" t="n">
        <f aca="true">IF($G$4="",0,IFERROR($J$4+SUMPRODUCT((INDIRECT("'"&amp;$G$4&amp;"'!$C$37:$C$52")&lt;='General Information'!$D$33)*INDIRECT("'"&amp;$G$4&amp;"'!$D$37:$D$52")/(1+$W36/100)^INDIRECT("'"&amp;$G$4&amp;"'!$C$37:$C$52")),0))</f>
        <v>8542182.24941267</v>
      </c>
      <c r="Y36" s="134" t="n">
        <f aca="true">IF($G$5="",0,IFERROR($J$5+SUMPRODUCT((INDIRECT("'"&amp;$G$5&amp;"'!$C$37:$C$52")&lt;='General Information'!$D$33)*INDIRECT("'"&amp;$G$5&amp;"'!$D$37:$D$52")/(1+$W36/100)^INDIRECT("'"&amp;$G$5&amp;"'!$C$37:$C$52")),0))</f>
        <v>9199102.08341167</v>
      </c>
      <c r="Z36" s="134" t="n">
        <f aca="true">IF($G$6="",0,IFERROR($J$6+SUMPRODUCT((INDIRECT("'"&amp;$G$6&amp;"'!$C$37:$C$52")&lt;='General Information'!$D$33)*INDIRECT("'"&amp;$G$6&amp;"'!$D$37:$D$52")/(1+$W36/100)^INDIRECT("'"&amp;$G$6&amp;"'!$C$37:$C$52")),0))</f>
        <v>0</v>
      </c>
      <c r="AA36" s="134" t="n">
        <f aca="true">IF($G$7="",0,IFERROR($J$7+SUMPRODUCT((INDIRECT("'"&amp;$G$7&amp;"'!$C$37:$C$52")&lt;='General Information'!$D$33)*INDIRECT("'"&amp;$G$7&amp;"'!$D$37:$D$52")/(1+$W36/100)^INDIRECT("'"&amp;$G$7&amp;"'!$C$37:$C$52")),0))</f>
        <v>0</v>
      </c>
    </row>
    <row r="39" customFormat="false" ht="15" hidden="false" customHeight="false" outlineLevel="0" collapsed="false">
      <c r="W39" s="127" t="s">
        <v>695</v>
      </c>
    </row>
    <row r="40" customFormat="false" ht="23.85" hidden="false" customHeight="false" outlineLevel="0" collapsed="false">
      <c r="W40" s="128" t="s">
        <v>35</v>
      </c>
      <c r="X40" s="128" t="s">
        <v>696</v>
      </c>
      <c r="Y40" s="128" t="str">
        <f aca="false">X$4&amp;" spend"</f>
        <v>Alternative 1 spend</v>
      </c>
      <c r="Z40" s="128" t="str">
        <f aca="false">Y$4&amp;" spend"</f>
        <v>Alternative 2 spend</v>
      </c>
      <c r="AA40" s="128" t="str">
        <f aca="false">Z$4&amp;" spend"</f>
        <v>Alt 3 spend</v>
      </c>
      <c r="AB40" s="128" t="str">
        <f aca="false">AA$4&amp;" spend"</f>
        <v>Alt 4 spend</v>
      </c>
      <c r="AC40" s="128" t="str">
        <f aca="false">X$4&amp;" cumulative PW"</f>
        <v>Alternative 1 cumulative PW</v>
      </c>
      <c r="AD40" s="128" t="str">
        <f aca="false">Y$4&amp;" cumulative PW"</f>
        <v>Alternative 2 cumulative PW</v>
      </c>
      <c r="AE40" s="128" t="str">
        <f aca="false">Z$4&amp;" cumulative PW"</f>
        <v>Alt 3 cumulative PW</v>
      </c>
      <c r="AF40" s="128" t="str">
        <f aca="false">AA$4&amp;" cumulative PW"</f>
        <v>Alt 4 cumulative PW</v>
      </c>
      <c r="AG40" s="128" t="str">
        <f aca="false">X$4&amp;" closure days"</f>
        <v>Alternative 1 closure days</v>
      </c>
      <c r="AH40" s="128" t="str">
        <f aca="false">Y$4&amp;" closure days"</f>
        <v>Alternative 2 closure days</v>
      </c>
      <c r="AI40" s="128" t="str">
        <f aca="false">Z$4&amp;" closure days"</f>
        <v>Alt 3 closure days</v>
      </c>
      <c r="AJ40" s="128" t="str">
        <f aca="false">AA$4&amp;" closure days"</f>
        <v>Alt 4 closure days</v>
      </c>
    </row>
    <row r="41" customFormat="false" ht="15" hidden="false" customHeight="false" outlineLevel="0" collapsed="false">
      <c r="W41" s="133" t="n">
        <v>0</v>
      </c>
      <c r="X41" s="133" t="n">
        <f aca="false">'General Information'!$D$25+W41</f>
        <v>2028</v>
      </c>
      <c r="Y41" s="134" t="n">
        <f aca="true">IF($G$4="",0,IF(W41&gt;'General Information'!$D$33,0,IF(W41=0,$J$4,IFERROR(SUMIF(INDIRECT("'"&amp;$G$4&amp;"'!$C$37:$C$52"),W41,INDIRECT("'"&amp;$G$4&amp;"'!$D$37:$D$52")),0))))</f>
        <v>7268437</v>
      </c>
      <c r="Z41" s="134" t="n">
        <f aca="true">IF($G$5="",0,IF(W41&gt;'General Information'!$D$33,0,IF(W41=0,$J$5,IFERROR(SUMIF(INDIRECT("'"&amp;$G$5&amp;"'!$C$37:$C$52"),W41,INDIRECT("'"&amp;$G$5&amp;"'!$D$37:$D$52")),0))))</f>
        <v>9062465.75</v>
      </c>
      <c r="AA41" s="134" t="n">
        <f aca="true">IF($G$6="",0,IF(W41&gt;'General Information'!$D$33,0,IF(W41=0,$J$6,IFERROR(SUMIF(INDIRECT("'"&amp;$G$6&amp;"'!$C$37:$C$52"),W41,INDIRECT("'"&amp;$G$6&amp;"'!$D$37:$D$52")),0))))</f>
        <v>0</v>
      </c>
      <c r="AB41" s="134" t="n">
        <f aca="true">IF($G$7="",0,IF(W41&gt;'General Information'!$D$33,0,IF(W41=0,$J$7,IFERROR(SUMIF(INDIRECT("'"&amp;$G$7&amp;"'!$C$37:$C$52"),W41,INDIRECT("'"&amp;$G$7&amp;"'!$D$37:$D$52")),0))))</f>
        <v>0</v>
      </c>
      <c r="AC41" s="134" t="n">
        <f aca="true">IF($G$4="",0,IF(W41&gt;'General Information'!$D$33,0,IF(W41=0,$J$4,IFERROR(SUMIF(INDIRECT("'"&amp;$G$4&amp;"'!$C$37:$C$52"),W41,INDIRECT("'"&amp;$G$4&amp;"'!$E$37:$E$52")),0))))</f>
        <v>7268437</v>
      </c>
      <c r="AD41" s="134" t="n">
        <f aca="true">IF($G$5="",0,IF(W41&gt;'General Information'!$D$33,0,IF(W41=0,$J$5,IFERROR(SUMIF(INDIRECT("'"&amp;$G$5&amp;"'!$C$37:$C$52"),W41,INDIRECT("'"&amp;$G$5&amp;"'!$E$37:$E$52")),0))))</f>
        <v>9062465.75</v>
      </c>
      <c r="AE41" s="134" t="n">
        <f aca="true">IF($G$6="",0,IF(W41&gt;'General Information'!$D$33,0,IF(W41=0,$J$6,IFERROR(SUMIF(INDIRECT("'"&amp;$G$6&amp;"'!$C$37:$C$52"),W41,INDIRECT("'"&amp;$G$6&amp;"'!$E$37:$E$52")),0))))</f>
        <v>0</v>
      </c>
      <c r="AF41" s="134" t="n">
        <f aca="true">IF($G$7="",0,IF(W41&gt;'General Information'!$D$33,0,IF(W41=0,$J$7,IFERROR(SUMIF(INDIRECT("'"&amp;$G$7&amp;"'!$C$37:$C$52"),W41,INDIRECT("'"&amp;$G$7&amp;"'!$E$37:$E$52")),0))))</f>
        <v>0</v>
      </c>
      <c r="AG41" s="139" t="n">
        <f aca="true">IF($G$4="",0,IF(W41&gt;'General Information'!$D$33,0,IFERROR(SUMIFS(INDIRECT("'"&amp;$G$4&amp;"'!$D$37:$D$52"),INDIRECT("'"&amp;$G$4&amp;"'!$C$37:$C$52"),W41,INDIRECT("'"&amp;$G$4&amp;"'!$B$37:$B$52"),"*Indirect*")/INDIRECT("'"&amp;$G$4&amp;"'!$F$2"),0)))</f>
        <v>0</v>
      </c>
      <c r="AH41" s="139" t="n">
        <f aca="true">IF($G$5="",0,IF(W41&gt;'General Information'!$D$33,0,IFERROR(SUMIFS(INDIRECT("'"&amp;$G$5&amp;"'!$D$37:$D$52"),INDIRECT("'"&amp;$G$5&amp;"'!$C$37:$C$52"),W41,INDIRECT("'"&amp;$G$5&amp;"'!$B$37:$B$52"),"*Indirect*")/INDIRECT("'"&amp;$G$5&amp;"'!$F$2"),0)))</f>
        <v>0</v>
      </c>
      <c r="AI41" s="139" t="n">
        <f aca="true">IF($G$6="",0,IF(W41&gt;'General Information'!$D$33,0,IFERROR(SUMIFS(INDIRECT("'"&amp;$G$6&amp;"'!$D$37:$D$52"),INDIRECT("'"&amp;$G$6&amp;"'!$C$37:$C$52"),W41,INDIRECT("'"&amp;$G$6&amp;"'!$B$37:$B$52"),"*Indirect*")/INDIRECT("'"&amp;$G$6&amp;"'!$F$2"),0)))</f>
        <v>0</v>
      </c>
      <c r="AJ41" s="139" t="n">
        <f aca="true">IF($G$7="",0,IF(W41&gt;'General Information'!$D$33,0,IFERROR(SUMIFS(INDIRECT("'"&amp;$G$7&amp;"'!$D$37:$D$52"),INDIRECT("'"&amp;$G$7&amp;"'!$C$37:$C$52"),W41,INDIRECT("'"&amp;$G$7&amp;"'!$B$37:$B$52"),"*Indirect*")/INDIRECT("'"&amp;$G$7&amp;"'!$F$2"),0)))</f>
        <v>0</v>
      </c>
    </row>
    <row r="42" customFormat="false" ht="15" hidden="false" customHeight="false" outlineLevel="0" collapsed="false">
      <c r="W42" s="133" t="n">
        <v>1</v>
      </c>
      <c r="X42" s="133" t="n">
        <f aca="false">'General Information'!$D$25+W42</f>
        <v>2029</v>
      </c>
      <c r="Y42" s="134" t="n">
        <f aca="true">IF($G$4="",0,IF(W42&gt;'General Information'!$D$33,0,IF(W42=0,$J$4,IFERROR(SUMIF(INDIRECT("'"&amp;$G$4&amp;"'!$C$37:$C$52"),W42,INDIRECT("'"&amp;$G$4&amp;"'!$D$37:$D$52")),0))))</f>
        <v>0</v>
      </c>
      <c r="Z42" s="134" t="n">
        <f aca="true">IF($G$5="",0,IF(W42&gt;'General Information'!$D$33,0,IF(W42=0,$J$5,IFERROR(SUMIF(INDIRECT("'"&amp;$G$5&amp;"'!$C$37:$C$52"),W42,INDIRECT("'"&amp;$G$5&amp;"'!$D$37:$D$52")),0))))</f>
        <v>0</v>
      </c>
      <c r="AA42" s="134" t="n">
        <f aca="true">IF($G$6="",0,IF(W42&gt;'General Information'!$D$33,0,IF(W42=0,$J$6,IFERROR(SUMIF(INDIRECT("'"&amp;$G$6&amp;"'!$C$37:$C$52"),W42,INDIRECT("'"&amp;$G$6&amp;"'!$D$37:$D$52")),0))))</f>
        <v>0</v>
      </c>
      <c r="AB42" s="134" t="n">
        <f aca="true">IF($G$7="",0,IF(W42&gt;'General Information'!$D$33,0,IF(W42=0,$J$7,IFERROR(SUMIF(INDIRECT("'"&amp;$G$7&amp;"'!$C$37:$C$52"),W42,INDIRECT("'"&amp;$G$7&amp;"'!$D$37:$D$52")),0))))</f>
        <v>0</v>
      </c>
      <c r="AC42" s="134" t="n">
        <f aca="true">IF($G$4="",0,AC41+IF(W42&gt;'General Information'!$D$33,0,IF(W42=0,$J$4,IFERROR(SUMIF(INDIRECT("'"&amp;$G$4&amp;"'!$C$37:$C$52"),W42,INDIRECT("'"&amp;$G$4&amp;"'!$E$37:$E$52")),0))))</f>
        <v>7268437</v>
      </c>
      <c r="AD42" s="134" t="n">
        <f aca="true">IF($G$5="",0,AD41+IF(W42&gt;'General Information'!$D$33,0,IF(W42=0,$J$5,IFERROR(SUMIF(INDIRECT("'"&amp;$G$5&amp;"'!$C$37:$C$52"),W42,INDIRECT("'"&amp;$G$5&amp;"'!$E$37:$E$52")),0))))</f>
        <v>9062465.75</v>
      </c>
      <c r="AE42" s="134" t="n">
        <f aca="true">IF($G$6="",0,AE41+IF(W42&gt;'General Information'!$D$33,0,IF(W42=0,$J$6,IFERROR(SUMIF(INDIRECT("'"&amp;$G$6&amp;"'!$C$37:$C$52"),W42,INDIRECT("'"&amp;$G$6&amp;"'!$E$37:$E$52")),0))))</f>
        <v>0</v>
      </c>
      <c r="AF42" s="134" t="n">
        <f aca="true">IF($G$7="",0,AF41+IF(W42&gt;'General Information'!$D$33,0,IF(W42=0,$J$7,IFERROR(SUMIF(INDIRECT("'"&amp;$G$7&amp;"'!$C$37:$C$52"),W42,INDIRECT("'"&amp;$G$7&amp;"'!$E$37:$E$52")),0))))</f>
        <v>0</v>
      </c>
      <c r="AG42" s="139" t="n">
        <f aca="true">IF($G$4="",0,IF(W42&gt;'General Information'!$D$33,0,IFERROR(SUMIFS(INDIRECT("'"&amp;$G$4&amp;"'!$D$37:$D$52"),INDIRECT("'"&amp;$G$4&amp;"'!$C$37:$C$52"),W42,INDIRECT("'"&amp;$G$4&amp;"'!$B$37:$B$52"),"*Indirect*")/INDIRECT("'"&amp;$G$4&amp;"'!$F$2"),0)))</f>
        <v>0</v>
      </c>
      <c r="AH42" s="139" t="n">
        <f aca="true">IF($G$5="",0,IF(W42&gt;'General Information'!$D$33,0,IFERROR(SUMIFS(INDIRECT("'"&amp;$G$5&amp;"'!$D$37:$D$52"),INDIRECT("'"&amp;$G$5&amp;"'!$C$37:$C$52"),W42,INDIRECT("'"&amp;$G$5&amp;"'!$B$37:$B$52"),"*Indirect*")/INDIRECT("'"&amp;$G$5&amp;"'!$F$2"),0)))</f>
        <v>0</v>
      </c>
      <c r="AI42" s="139" t="n">
        <f aca="true">IF($G$6="",0,IF(W42&gt;'General Information'!$D$33,0,IFERROR(SUMIFS(INDIRECT("'"&amp;$G$6&amp;"'!$D$37:$D$52"),INDIRECT("'"&amp;$G$6&amp;"'!$C$37:$C$52"),W42,INDIRECT("'"&amp;$G$6&amp;"'!$B$37:$B$52"),"*Indirect*")/INDIRECT("'"&amp;$G$6&amp;"'!$F$2"),0)))</f>
        <v>0</v>
      </c>
      <c r="AJ42" s="139" t="n">
        <f aca="true">IF($G$7="",0,IF(W42&gt;'General Information'!$D$33,0,IFERROR(SUMIFS(INDIRECT("'"&amp;$G$7&amp;"'!$D$37:$D$52"),INDIRECT("'"&amp;$G$7&amp;"'!$C$37:$C$52"),W42,INDIRECT("'"&amp;$G$7&amp;"'!$B$37:$B$52"),"*Indirect*")/INDIRECT("'"&amp;$G$7&amp;"'!$F$2"),0)))</f>
        <v>0</v>
      </c>
    </row>
    <row r="43" customFormat="false" ht="15" hidden="false" customHeight="false" outlineLevel="0" collapsed="false">
      <c r="W43" s="133" t="n">
        <v>2</v>
      </c>
      <c r="X43" s="133" t="n">
        <f aca="false">'General Information'!$D$25+W43</f>
        <v>2030</v>
      </c>
      <c r="Y43" s="134" t="n">
        <f aca="true">IF($G$4="",0,IF(W43&gt;'General Information'!$D$33,0,IF(W43=0,$J$4,IFERROR(SUMIF(INDIRECT("'"&amp;$G$4&amp;"'!$C$37:$C$52"),W43,INDIRECT("'"&amp;$G$4&amp;"'!$D$37:$D$52")),0))))</f>
        <v>0</v>
      </c>
      <c r="Z43" s="134" t="n">
        <f aca="true">IF($G$5="",0,IF(W43&gt;'General Information'!$D$33,0,IF(W43=0,$J$5,IFERROR(SUMIF(INDIRECT("'"&amp;$G$5&amp;"'!$C$37:$C$52"),W43,INDIRECT("'"&amp;$G$5&amp;"'!$D$37:$D$52")),0))))</f>
        <v>0</v>
      </c>
      <c r="AA43" s="134" t="n">
        <f aca="true">IF($G$6="",0,IF(W43&gt;'General Information'!$D$33,0,IF(W43=0,$J$6,IFERROR(SUMIF(INDIRECT("'"&amp;$G$6&amp;"'!$C$37:$C$52"),W43,INDIRECT("'"&amp;$G$6&amp;"'!$D$37:$D$52")),0))))</f>
        <v>0</v>
      </c>
      <c r="AB43" s="134" t="n">
        <f aca="true">IF($G$7="",0,IF(W43&gt;'General Information'!$D$33,0,IF(W43=0,$J$7,IFERROR(SUMIF(INDIRECT("'"&amp;$G$7&amp;"'!$C$37:$C$52"),W43,INDIRECT("'"&amp;$G$7&amp;"'!$D$37:$D$52")),0))))</f>
        <v>0</v>
      </c>
      <c r="AC43" s="134" t="n">
        <f aca="true">IF($G$4="",0,AC42+IF(W43&gt;'General Information'!$D$33,0,IF(W43=0,$J$4,IFERROR(SUMIF(INDIRECT("'"&amp;$G$4&amp;"'!$C$37:$C$52"),W43,INDIRECT("'"&amp;$G$4&amp;"'!$E$37:$E$52")),0))))</f>
        <v>7268437</v>
      </c>
      <c r="AD43" s="134" t="n">
        <f aca="true">IF($G$5="",0,AD42+IF(W43&gt;'General Information'!$D$33,0,IF(W43=0,$J$5,IFERROR(SUMIF(INDIRECT("'"&amp;$G$5&amp;"'!$C$37:$C$52"),W43,INDIRECT("'"&amp;$G$5&amp;"'!$E$37:$E$52")),0))))</f>
        <v>9062465.75</v>
      </c>
      <c r="AE43" s="134" t="n">
        <f aca="true">IF($G$6="",0,AE42+IF(W43&gt;'General Information'!$D$33,0,IF(W43=0,$J$6,IFERROR(SUMIF(INDIRECT("'"&amp;$G$6&amp;"'!$C$37:$C$52"),W43,INDIRECT("'"&amp;$G$6&amp;"'!$E$37:$E$52")),0))))</f>
        <v>0</v>
      </c>
      <c r="AF43" s="134" t="n">
        <f aca="true">IF($G$7="",0,AF42+IF(W43&gt;'General Information'!$D$33,0,IF(W43=0,$J$7,IFERROR(SUMIF(INDIRECT("'"&amp;$G$7&amp;"'!$C$37:$C$52"),W43,INDIRECT("'"&amp;$G$7&amp;"'!$E$37:$E$52")),0))))</f>
        <v>0</v>
      </c>
      <c r="AG43" s="139" t="n">
        <f aca="true">IF($G$4="",0,IF(W43&gt;'General Information'!$D$33,0,IFERROR(SUMIFS(INDIRECT("'"&amp;$G$4&amp;"'!$D$37:$D$52"),INDIRECT("'"&amp;$G$4&amp;"'!$C$37:$C$52"),W43,INDIRECT("'"&amp;$G$4&amp;"'!$B$37:$B$52"),"*Indirect*")/INDIRECT("'"&amp;$G$4&amp;"'!$F$2"),0)))</f>
        <v>0</v>
      </c>
      <c r="AH43" s="139" t="n">
        <f aca="true">IF($G$5="",0,IF(W43&gt;'General Information'!$D$33,0,IFERROR(SUMIFS(INDIRECT("'"&amp;$G$5&amp;"'!$D$37:$D$52"),INDIRECT("'"&amp;$G$5&amp;"'!$C$37:$C$52"),W43,INDIRECT("'"&amp;$G$5&amp;"'!$B$37:$B$52"),"*Indirect*")/INDIRECT("'"&amp;$G$5&amp;"'!$F$2"),0)))</f>
        <v>0</v>
      </c>
      <c r="AI43" s="139" t="n">
        <f aca="true">IF($G$6="",0,IF(W43&gt;'General Information'!$D$33,0,IFERROR(SUMIFS(INDIRECT("'"&amp;$G$6&amp;"'!$D$37:$D$52"),INDIRECT("'"&amp;$G$6&amp;"'!$C$37:$C$52"),W43,INDIRECT("'"&amp;$G$6&amp;"'!$B$37:$B$52"),"*Indirect*")/INDIRECT("'"&amp;$G$6&amp;"'!$F$2"),0)))</f>
        <v>0</v>
      </c>
      <c r="AJ43" s="139" t="n">
        <f aca="true">IF($G$7="",0,IF(W43&gt;'General Information'!$D$33,0,IFERROR(SUMIFS(INDIRECT("'"&amp;$G$7&amp;"'!$D$37:$D$52"),INDIRECT("'"&amp;$G$7&amp;"'!$C$37:$C$52"),W43,INDIRECT("'"&amp;$G$7&amp;"'!$B$37:$B$52"),"*Indirect*")/INDIRECT("'"&amp;$G$7&amp;"'!$F$2"),0)))</f>
        <v>0</v>
      </c>
    </row>
    <row r="44" customFormat="false" ht="15" hidden="false" customHeight="false" outlineLevel="0" collapsed="false">
      <c r="W44" s="133" t="n">
        <v>3</v>
      </c>
      <c r="X44" s="133" t="n">
        <f aca="false">'General Information'!$D$25+W44</f>
        <v>2031</v>
      </c>
      <c r="Y44" s="134" t="n">
        <f aca="true">IF($G$4="",0,IF(W44&gt;'General Information'!$D$33,0,IF(W44=0,$J$4,IFERROR(SUMIF(INDIRECT("'"&amp;$G$4&amp;"'!$C$37:$C$52"),W44,INDIRECT("'"&amp;$G$4&amp;"'!$D$37:$D$52")),0))))</f>
        <v>0</v>
      </c>
      <c r="Z44" s="134" t="n">
        <f aca="true">IF($G$5="",0,IF(W44&gt;'General Information'!$D$33,0,IF(W44=0,$J$5,IFERROR(SUMIF(INDIRECT("'"&amp;$G$5&amp;"'!$C$37:$C$52"),W44,INDIRECT("'"&amp;$G$5&amp;"'!$D$37:$D$52")),0))))</f>
        <v>0</v>
      </c>
      <c r="AA44" s="134" t="n">
        <f aca="true">IF($G$6="",0,IF(W44&gt;'General Information'!$D$33,0,IF(W44=0,$J$6,IFERROR(SUMIF(INDIRECT("'"&amp;$G$6&amp;"'!$C$37:$C$52"),W44,INDIRECT("'"&amp;$G$6&amp;"'!$D$37:$D$52")),0))))</f>
        <v>0</v>
      </c>
      <c r="AB44" s="134" t="n">
        <f aca="true">IF($G$7="",0,IF(W44&gt;'General Information'!$D$33,0,IF(W44=0,$J$7,IFERROR(SUMIF(INDIRECT("'"&amp;$G$7&amp;"'!$C$37:$C$52"),W44,INDIRECT("'"&amp;$G$7&amp;"'!$D$37:$D$52")),0))))</f>
        <v>0</v>
      </c>
      <c r="AC44" s="134" t="n">
        <f aca="true">IF($G$4="",0,AC43+IF(W44&gt;'General Information'!$D$33,0,IF(W44=0,$J$4,IFERROR(SUMIF(INDIRECT("'"&amp;$G$4&amp;"'!$C$37:$C$52"),W44,INDIRECT("'"&amp;$G$4&amp;"'!$E$37:$E$52")),0))))</f>
        <v>7268437</v>
      </c>
      <c r="AD44" s="134" t="n">
        <f aca="true">IF($G$5="",0,AD43+IF(W44&gt;'General Information'!$D$33,0,IF(W44=0,$J$5,IFERROR(SUMIF(INDIRECT("'"&amp;$G$5&amp;"'!$C$37:$C$52"),W44,INDIRECT("'"&amp;$G$5&amp;"'!$E$37:$E$52")),0))))</f>
        <v>9062465.75</v>
      </c>
      <c r="AE44" s="134" t="n">
        <f aca="true">IF($G$6="",0,AE43+IF(W44&gt;'General Information'!$D$33,0,IF(W44=0,$J$6,IFERROR(SUMIF(INDIRECT("'"&amp;$G$6&amp;"'!$C$37:$C$52"),W44,INDIRECT("'"&amp;$G$6&amp;"'!$E$37:$E$52")),0))))</f>
        <v>0</v>
      </c>
      <c r="AF44" s="134" t="n">
        <f aca="true">IF($G$7="",0,AF43+IF(W44&gt;'General Information'!$D$33,0,IF(W44=0,$J$7,IFERROR(SUMIF(INDIRECT("'"&amp;$G$7&amp;"'!$C$37:$C$52"),W44,INDIRECT("'"&amp;$G$7&amp;"'!$E$37:$E$52")),0))))</f>
        <v>0</v>
      </c>
      <c r="AG44" s="139" t="n">
        <f aca="true">IF($G$4="",0,IF(W44&gt;'General Information'!$D$33,0,IFERROR(SUMIFS(INDIRECT("'"&amp;$G$4&amp;"'!$D$37:$D$52"),INDIRECT("'"&amp;$G$4&amp;"'!$C$37:$C$52"),W44,INDIRECT("'"&amp;$G$4&amp;"'!$B$37:$B$52"),"*Indirect*")/INDIRECT("'"&amp;$G$4&amp;"'!$F$2"),0)))</f>
        <v>0</v>
      </c>
      <c r="AH44" s="139" t="n">
        <f aca="true">IF($G$5="",0,IF(W44&gt;'General Information'!$D$33,0,IFERROR(SUMIFS(INDIRECT("'"&amp;$G$5&amp;"'!$D$37:$D$52"),INDIRECT("'"&amp;$G$5&amp;"'!$C$37:$C$52"),W44,INDIRECT("'"&amp;$G$5&amp;"'!$B$37:$B$52"),"*Indirect*")/INDIRECT("'"&amp;$G$5&amp;"'!$F$2"),0)))</f>
        <v>0</v>
      </c>
      <c r="AI44" s="139" t="n">
        <f aca="true">IF($G$6="",0,IF(W44&gt;'General Information'!$D$33,0,IFERROR(SUMIFS(INDIRECT("'"&amp;$G$6&amp;"'!$D$37:$D$52"),INDIRECT("'"&amp;$G$6&amp;"'!$C$37:$C$52"),W44,INDIRECT("'"&amp;$G$6&amp;"'!$B$37:$B$52"),"*Indirect*")/INDIRECT("'"&amp;$G$6&amp;"'!$F$2"),0)))</f>
        <v>0</v>
      </c>
      <c r="AJ44" s="139" t="n">
        <f aca="true">IF($G$7="",0,IF(W44&gt;'General Information'!$D$33,0,IFERROR(SUMIFS(INDIRECT("'"&amp;$G$7&amp;"'!$D$37:$D$52"),INDIRECT("'"&amp;$G$7&amp;"'!$C$37:$C$52"),W44,INDIRECT("'"&amp;$G$7&amp;"'!$B$37:$B$52"),"*Indirect*")/INDIRECT("'"&amp;$G$7&amp;"'!$F$2"),0)))</f>
        <v>0</v>
      </c>
    </row>
    <row r="45" customFormat="false" ht="15" hidden="false" customHeight="false" outlineLevel="0" collapsed="false">
      <c r="W45" s="133" t="n">
        <v>4</v>
      </c>
      <c r="X45" s="133" t="n">
        <f aca="false">'General Information'!$D$25+W45</f>
        <v>2032</v>
      </c>
      <c r="Y45" s="134" t="n">
        <f aca="true">IF($G$4="",0,IF(W45&gt;'General Information'!$D$33,0,IF(W45=0,$J$4,IFERROR(SUMIF(INDIRECT("'"&amp;$G$4&amp;"'!$C$37:$C$52"),W45,INDIRECT("'"&amp;$G$4&amp;"'!$D$37:$D$52")),0))))</f>
        <v>354260.596666667</v>
      </c>
      <c r="Z45" s="134" t="n">
        <f aca="true">IF($G$5="",0,IF(W45&gt;'General Information'!$D$33,0,IF(W45=0,$J$5,IFERROR(SUMIF(INDIRECT("'"&amp;$G$5&amp;"'!$C$37:$C$52"),W45,INDIRECT("'"&amp;$G$5&amp;"'!$D$37:$D$52")),0))))</f>
        <v>0</v>
      </c>
      <c r="AA45" s="134" t="n">
        <f aca="true">IF($G$6="",0,IF(W45&gt;'General Information'!$D$33,0,IF(W45=0,$J$6,IFERROR(SUMIF(INDIRECT("'"&amp;$G$6&amp;"'!$C$37:$C$52"),W45,INDIRECT("'"&amp;$G$6&amp;"'!$D$37:$D$52")),0))))</f>
        <v>0</v>
      </c>
      <c r="AB45" s="134" t="n">
        <f aca="true">IF($G$7="",0,IF(W45&gt;'General Information'!$D$33,0,IF(W45=0,$J$7,IFERROR(SUMIF(INDIRECT("'"&amp;$G$7&amp;"'!$C$37:$C$52"),W45,INDIRECT("'"&amp;$G$7&amp;"'!$D$37:$D$52")),0))))</f>
        <v>0</v>
      </c>
      <c r="AC45" s="134" t="n">
        <f aca="true">IF($G$4="",0,AC44+IF(W45&gt;'General Information'!$D$33,0,IF(W45=0,$J$4,IFERROR(SUMIF(INDIRECT("'"&amp;$G$4&amp;"'!$C$37:$C$52"),W45,INDIRECT("'"&amp;$G$4&amp;"'!$E$37:$E$52")),0))))</f>
        <v>7583192.95172522</v>
      </c>
      <c r="AD45" s="134" t="n">
        <f aca="true">IF($G$5="",0,AD44+IF(W45&gt;'General Information'!$D$33,0,IF(W45=0,$J$5,IFERROR(SUMIF(INDIRECT("'"&amp;$G$5&amp;"'!$C$37:$C$52"),W45,INDIRECT("'"&amp;$G$5&amp;"'!$E$37:$E$52")),0))))</f>
        <v>9062465.75</v>
      </c>
      <c r="AE45" s="134" t="n">
        <f aca="true">IF($G$6="",0,AE44+IF(W45&gt;'General Information'!$D$33,0,IF(W45=0,$J$6,IFERROR(SUMIF(INDIRECT("'"&amp;$G$6&amp;"'!$C$37:$C$52"),W45,INDIRECT("'"&amp;$G$6&amp;"'!$E$37:$E$52")),0))))</f>
        <v>0</v>
      </c>
      <c r="AF45" s="134" t="n">
        <f aca="true">IF($G$7="",0,AF44+IF(W45&gt;'General Information'!$D$33,0,IF(W45=0,$J$7,IFERROR(SUMIF(INDIRECT("'"&amp;$G$7&amp;"'!$C$37:$C$52"),W45,INDIRECT("'"&amp;$G$7&amp;"'!$E$37:$E$52")),0))))</f>
        <v>0</v>
      </c>
      <c r="AG45" s="139" t="n">
        <f aca="true">IF($G$4="",0,IF(W45&gt;'General Information'!$D$33,0,IFERROR(SUMIFS(INDIRECT("'"&amp;$G$4&amp;"'!$D$37:$D$52"),INDIRECT("'"&amp;$G$4&amp;"'!$C$37:$C$52"),W45,INDIRECT("'"&amp;$G$4&amp;"'!$B$37:$B$52"),"*Indirect*")/INDIRECT("'"&amp;$G$4&amp;"'!$F$2"),0)))</f>
        <v>7</v>
      </c>
      <c r="AH45" s="139" t="n">
        <f aca="true">IF($G$5="",0,IF(W45&gt;'General Information'!$D$33,0,IFERROR(SUMIFS(INDIRECT("'"&amp;$G$5&amp;"'!$D$37:$D$52"),INDIRECT("'"&amp;$G$5&amp;"'!$C$37:$C$52"),W45,INDIRECT("'"&amp;$G$5&amp;"'!$B$37:$B$52"),"*Indirect*")/INDIRECT("'"&amp;$G$5&amp;"'!$F$2"),0)))</f>
        <v>0</v>
      </c>
      <c r="AI45" s="139" t="n">
        <f aca="true">IF($G$6="",0,IF(W45&gt;'General Information'!$D$33,0,IFERROR(SUMIFS(INDIRECT("'"&amp;$G$6&amp;"'!$D$37:$D$52"),INDIRECT("'"&amp;$G$6&amp;"'!$C$37:$C$52"),W45,INDIRECT("'"&amp;$G$6&amp;"'!$B$37:$B$52"),"*Indirect*")/INDIRECT("'"&amp;$G$6&amp;"'!$F$2"),0)))</f>
        <v>0</v>
      </c>
      <c r="AJ45" s="139" t="n">
        <f aca="true">IF($G$7="",0,IF(W45&gt;'General Information'!$D$33,0,IFERROR(SUMIFS(INDIRECT("'"&amp;$G$7&amp;"'!$D$37:$D$52"),INDIRECT("'"&amp;$G$7&amp;"'!$C$37:$C$52"),W45,INDIRECT("'"&amp;$G$7&amp;"'!$B$37:$B$52"),"*Indirect*")/INDIRECT("'"&amp;$G$7&amp;"'!$F$2"),0)))</f>
        <v>0</v>
      </c>
    </row>
    <row r="46" customFormat="false" ht="15" hidden="false" customHeight="false" outlineLevel="0" collapsed="false">
      <c r="W46" s="133" t="n">
        <v>5</v>
      </c>
      <c r="X46" s="133" t="n">
        <f aca="false">'General Information'!$D$25+W46</f>
        <v>2033</v>
      </c>
      <c r="Y46" s="134" t="n">
        <f aca="true">IF($G$4="",0,IF(W46&gt;'General Information'!$D$33,0,IF(W46=0,$J$4,IFERROR(SUMIF(INDIRECT("'"&amp;$G$4&amp;"'!$C$37:$C$52"),W46,INDIRECT("'"&amp;$G$4&amp;"'!$D$37:$D$52")),0))))</f>
        <v>0</v>
      </c>
      <c r="Z46" s="134" t="n">
        <f aca="true">IF($G$5="",0,IF(W46&gt;'General Information'!$D$33,0,IF(W46=0,$J$5,IFERROR(SUMIF(INDIRECT("'"&amp;$G$5&amp;"'!$C$37:$C$52"),W46,INDIRECT("'"&amp;$G$5&amp;"'!$D$37:$D$52")),0))))</f>
        <v>0</v>
      </c>
      <c r="AA46" s="134" t="n">
        <f aca="true">IF($G$6="",0,IF(W46&gt;'General Information'!$D$33,0,IF(W46=0,$J$6,IFERROR(SUMIF(INDIRECT("'"&amp;$G$6&amp;"'!$C$37:$C$52"),W46,INDIRECT("'"&amp;$G$6&amp;"'!$D$37:$D$52")),0))))</f>
        <v>0</v>
      </c>
      <c r="AB46" s="134" t="n">
        <f aca="true">IF($G$7="",0,IF(W46&gt;'General Information'!$D$33,0,IF(W46=0,$J$7,IFERROR(SUMIF(INDIRECT("'"&amp;$G$7&amp;"'!$C$37:$C$52"),W46,INDIRECT("'"&amp;$G$7&amp;"'!$D$37:$D$52")),0))))</f>
        <v>0</v>
      </c>
      <c r="AC46" s="134" t="n">
        <f aca="true">IF($G$4="",0,AC45+IF(W46&gt;'General Information'!$D$33,0,IF(W46=0,$J$4,IFERROR(SUMIF(INDIRECT("'"&amp;$G$4&amp;"'!$C$37:$C$52"),W46,INDIRECT("'"&amp;$G$4&amp;"'!$E$37:$E$52")),0))))</f>
        <v>7583192.95172522</v>
      </c>
      <c r="AD46" s="134" t="n">
        <f aca="true">IF($G$5="",0,AD45+IF(W46&gt;'General Information'!$D$33,0,IF(W46=0,$J$5,IFERROR(SUMIF(INDIRECT("'"&amp;$G$5&amp;"'!$C$37:$C$52"),W46,INDIRECT("'"&amp;$G$5&amp;"'!$E$37:$E$52")),0))))</f>
        <v>9062465.75</v>
      </c>
      <c r="AE46" s="134" t="n">
        <f aca="true">IF($G$6="",0,AE45+IF(W46&gt;'General Information'!$D$33,0,IF(W46=0,$J$6,IFERROR(SUMIF(INDIRECT("'"&amp;$G$6&amp;"'!$C$37:$C$52"),W46,INDIRECT("'"&amp;$G$6&amp;"'!$E$37:$E$52")),0))))</f>
        <v>0</v>
      </c>
      <c r="AF46" s="134" t="n">
        <f aca="true">IF($G$7="",0,AF45+IF(W46&gt;'General Information'!$D$33,0,IF(W46=0,$J$7,IFERROR(SUMIF(INDIRECT("'"&amp;$G$7&amp;"'!$C$37:$C$52"),W46,INDIRECT("'"&amp;$G$7&amp;"'!$E$37:$E$52")),0))))</f>
        <v>0</v>
      </c>
      <c r="AG46" s="139" t="n">
        <f aca="true">IF($G$4="",0,IF(W46&gt;'General Information'!$D$33,0,IFERROR(SUMIFS(INDIRECT("'"&amp;$G$4&amp;"'!$D$37:$D$52"),INDIRECT("'"&amp;$G$4&amp;"'!$C$37:$C$52"),W46,INDIRECT("'"&amp;$G$4&amp;"'!$B$37:$B$52"),"*Indirect*")/INDIRECT("'"&amp;$G$4&amp;"'!$F$2"),0)))</f>
        <v>0</v>
      </c>
      <c r="AH46" s="139" t="n">
        <f aca="true">IF($G$5="",0,IF(W46&gt;'General Information'!$D$33,0,IFERROR(SUMIFS(INDIRECT("'"&amp;$G$5&amp;"'!$D$37:$D$52"),INDIRECT("'"&amp;$G$5&amp;"'!$C$37:$C$52"),W46,INDIRECT("'"&amp;$G$5&amp;"'!$B$37:$B$52"),"*Indirect*")/INDIRECT("'"&amp;$G$5&amp;"'!$F$2"),0)))</f>
        <v>0</v>
      </c>
      <c r="AI46" s="139" t="n">
        <f aca="true">IF($G$6="",0,IF(W46&gt;'General Information'!$D$33,0,IFERROR(SUMIFS(INDIRECT("'"&amp;$G$6&amp;"'!$D$37:$D$52"),INDIRECT("'"&amp;$G$6&amp;"'!$C$37:$C$52"),W46,INDIRECT("'"&amp;$G$6&amp;"'!$B$37:$B$52"),"*Indirect*")/INDIRECT("'"&amp;$G$6&amp;"'!$F$2"),0)))</f>
        <v>0</v>
      </c>
      <c r="AJ46" s="139" t="n">
        <f aca="true">IF($G$7="",0,IF(W46&gt;'General Information'!$D$33,0,IFERROR(SUMIFS(INDIRECT("'"&amp;$G$7&amp;"'!$D$37:$D$52"),INDIRECT("'"&amp;$G$7&amp;"'!$C$37:$C$52"),W46,INDIRECT("'"&amp;$G$7&amp;"'!$B$37:$B$52"),"*Indirect*")/INDIRECT("'"&amp;$G$7&amp;"'!$F$2"),0)))</f>
        <v>0</v>
      </c>
    </row>
    <row r="47" customFormat="false" ht="15" hidden="false" customHeight="false" outlineLevel="0" collapsed="false">
      <c r="W47" s="133" t="n">
        <v>6</v>
      </c>
      <c r="X47" s="133" t="n">
        <f aca="false">'General Information'!$D$25+W47</f>
        <v>2034</v>
      </c>
      <c r="Y47" s="134" t="n">
        <f aca="true">IF($G$4="",0,IF(W47&gt;'General Information'!$D$33,0,IF(W47=0,$J$4,IFERROR(SUMIF(INDIRECT("'"&amp;$G$4&amp;"'!$C$37:$C$52"),W47,INDIRECT("'"&amp;$G$4&amp;"'!$D$37:$D$52")),0))))</f>
        <v>0</v>
      </c>
      <c r="Z47" s="134" t="n">
        <f aca="true">IF($G$5="",0,IF(W47&gt;'General Information'!$D$33,0,IF(W47=0,$J$5,IFERROR(SUMIF(INDIRECT("'"&amp;$G$5&amp;"'!$C$37:$C$52"),W47,INDIRECT("'"&amp;$G$5&amp;"'!$D$37:$D$52")),0))))</f>
        <v>0</v>
      </c>
      <c r="AA47" s="134" t="n">
        <f aca="true">IF($G$6="",0,IF(W47&gt;'General Information'!$D$33,0,IF(W47=0,$J$6,IFERROR(SUMIF(INDIRECT("'"&amp;$G$6&amp;"'!$C$37:$C$52"),W47,INDIRECT("'"&amp;$G$6&amp;"'!$D$37:$D$52")),0))))</f>
        <v>0</v>
      </c>
      <c r="AB47" s="134" t="n">
        <f aca="true">IF($G$7="",0,IF(W47&gt;'General Information'!$D$33,0,IF(W47=0,$J$7,IFERROR(SUMIF(INDIRECT("'"&amp;$G$7&amp;"'!$C$37:$C$52"),W47,INDIRECT("'"&amp;$G$7&amp;"'!$D$37:$D$52")),0))))</f>
        <v>0</v>
      </c>
      <c r="AC47" s="134" t="n">
        <f aca="true">IF($G$4="",0,AC46+IF(W47&gt;'General Information'!$D$33,0,IF(W47=0,$J$4,IFERROR(SUMIF(INDIRECT("'"&amp;$G$4&amp;"'!$C$37:$C$52"),W47,INDIRECT("'"&amp;$G$4&amp;"'!$E$37:$E$52")),0))))</f>
        <v>7583192.95172522</v>
      </c>
      <c r="AD47" s="134" t="n">
        <f aca="true">IF($G$5="",0,AD46+IF(W47&gt;'General Information'!$D$33,0,IF(W47=0,$J$5,IFERROR(SUMIF(INDIRECT("'"&amp;$G$5&amp;"'!$C$37:$C$52"),W47,INDIRECT("'"&amp;$G$5&amp;"'!$E$37:$E$52")),0))))</f>
        <v>9062465.75</v>
      </c>
      <c r="AE47" s="134" t="n">
        <f aca="true">IF($G$6="",0,AE46+IF(W47&gt;'General Information'!$D$33,0,IF(W47=0,$J$6,IFERROR(SUMIF(INDIRECT("'"&amp;$G$6&amp;"'!$C$37:$C$52"),W47,INDIRECT("'"&amp;$G$6&amp;"'!$E$37:$E$52")),0))))</f>
        <v>0</v>
      </c>
      <c r="AF47" s="134" t="n">
        <f aca="true">IF($G$7="",0,AF46+IF(W47&gt;'General Information'!$D$33,0,IF(W47=0,$J$7,IFERROR(SUMIF(INDIRECT("'"&amp;$G$7&amp;"'!$C$37:$C$52"),W47,INDIRECT("'"&amp;$G$7&amp;"'!$E$37:$E$52")),0))))</f>
        <v>0</v>
      </c>
      <c r="AG47" s="139" t="n">
        <f aca="true">IF($G$4="",0,IF(W47&gt;'General Information'!$D$33,0,IFERROR(SUMIFS(INDIRECT("'"&amp;$G$4&amp;"'!$D$37:$D$52"),INDIRECT("'"&amp;$G$4&amp;"'!$C$37:$C$52"),W47,INDIRECT("'"&amp;$G$4&amp;"'!$B$37:$B$52"),"*Indirect*")/INDIRECT("'"&amp;$G$4&amp;"'!$F$2"),0)))</f>
        <v>0</v>
      </c>
      <c r="AH47" s="139" t="n">
        <f aca="true">IF($G$5="",0,IF(W47&gt;'General Information'!$D$33,0,IFERROR(SUMIFS(INDIRECT("'"&amp;$G$5&amp;"'!$D$37:$D$52"),INDIRECT("'"&amp;$G$5&amp;"'!$C$37:$C$52"),W47,INDIRECT("'"&amp;$G$5&amp;"'!$B$37:$B$52"),"*Indirect*")/INDIRECT("'"&amp;$G$5&amp;"'!$F$2"),0)))</f>
        <v>0</v>
      </c>
      <c r="AI47" s="139" t="n">
        <f aca="true">IF($G$6="",0,IF(W47&gt;'General Information'!$D$33,0,IFERROR(SUMIFS(INDIRECT("'"&amp;$G$6&amp;"'!$D$37:$D$52"),INDIRECT("'"&amp;$G$6&amp;"'!$C$37:$C$52"),W47,INDIRECT("'"&amp;$G$6&amp;"'!$B$37:$B$52"),"*Indirect*")/INDIRECT("'"&amp;$G$6&amp;"'!$F$2"),0)))</f>
        <v>0</v>
      </c>
      <c r="AJ47" s="139" t="n">
        <f aca="true">IF($G$7="",0,IF(W47&gt;'General Information'!$D$33,0,IFERROR(SUMIFS(INDIRECT("'"&amp;$G$7&amp;"'!$D$37:$D$52"),INDIRECT("'"&amp;$G$7&amp;"'!$C$37:$C$52"),W47,INDIRECT("'"&amp;$G$7&amp;"'!$B$37:$B$52"),"*Indirect*")/INDIRECT("'"&amp;$G$7&amp;"'!$F$2"),0)))</f>
        <v>0</v>
      </c>
    </row>
    <row r="48" customFormat="false" ht="15" hidden="false" customHeight="false" outlineLevel="0" collapsed="false">
      <c r="W48" s="133" t="n">
        <v>7</v>
      </c>
      <c r="X48" s="133" t="n">
        <f aca="false">'General Information'!$D$25+W48</f>
        <v>2035</v>
      </c>
      <c r="Y48" s="134" t="n">
        <f aca="true">IF($G$4="",0,IF(W48&gt;'General Information'!$D$33,0,IF(W48=0,$J$4,IFERROR(SUMIF(INDIRECT("'"&amp;$G$4&amp;"'!$C$37:$C$52"),W48,INDIRECT("'"&amp;$G$4&amp;"'!$D$37:$D$52")),0))))</f>
        <v>0</v>
      </c>
      <c r="Z48" s="134" t="n">
        <f aca="true">IF($G$5="",0,IF(W48&gt;'General Information'!$D$33,0,IF(W48=0,$J$5,IFERROR(SUMIF(INDIRECT("'"&amp;$G$5&amp;"'!$C$37:$C$52"),W48,INDIRECT("'"&amp;$G$5&amp;"'!$D$37:$D$52")),0))))</f>
        <v>0</v>
      </c>
      <c r="AA48" s="134" t="n">
        <f aca="true">IF($G$6="",0,IF(W48&gt;'General Information'!$D$33,0,IF(W48=0,$J$6,IFERROR(SUMIF(INDIRECT("'"&amp;$G$6&amp;"'!$C$37:$C$52"),W48,INDIRECT("'"&amp;$G$6&amp;"'!$D$37:$D$52")),0))))</f>
        <v>0</v>
      </c>
      <c r="AB48" s="134" t="n">
        <f aca="true">IF($G$7="",0,IF(W48&gt;'General Information'!$D$33,0,IF(W48=0,$J$7,IFERROR(SUMIF(INDIRECT("'"&amp;$G$7&amp;"'!$C$37:$C$52"),W48,INDIRECT("'"&amp;$G$7&amp;"'!$D$37:$D$52")),0))))</f>
        <v>0</v>
      </c>
      <c r="AC48" s="134" t="n">
        <f aca="true">IF($G$4="",0,AC47+IF(W48&gt;'General Information'!$D$33,0,IF(W48=0,$J$4,IFERROR(SUMIF(INDIRECT("'"&amp;$G$4&amp;"'!$C$37:$C$52"),W48,INDIRECT("'"&amp;$G$4&amp;"'!$E$37:$E$52")),0))))</f>
        <v>7583192.95172522</v>
      </c>
      <c r="AD48" s="134" t="n">
        <f aca="true">IF($G$5="",0,AD47+IF(W48&gt;'General Information'!$D$33,0,IF(W48=0,$J$5,IFERROR(SUMIF(INDIRECT("'"&amp;$G$5&amp;"'!$C$37:$C$52"),W48,INDIRECT("'"&amp;$G$5&amp;"'!$E$37:$E$52")),0))))</f>
        <v>9062465.75</v>
      </c>
      <c r="AE48" s="134" t="n">
        <f aca="true">IF($G$6="",0,AE47+IF(W48&gt;'General Information'!$D$33,0,IF(W48=0,$J$6,IFERROR(SUMIF(INDIRECT("'"&amp;$G$6&amp;"'!$C$37:$C$52"),W48,INDIRECT("'"&amp;$G$6&amp;"'!$E$37:$E$52")),0))))</f>
        <v>0</v>
      </c>
      <c r="AF48" s="134" t="n">
        <f aca="true">IF($G$7="",0,AF47+IF(W48&gt;'General Information'!$D$33,0,IF(W48=0,$J$7,IFERROR(SUMIF(INDIRECT("'"&amp;$G$7&amp;"'!$C$37:$C$52"),W48,INDIRECT("'"&amp;$G$7&amp;"'!$E$37:$E$52")),0))))</f>
        <v>0</v>
      </c>
      <c r="AG48" s="139" t="n">
        <f aca="true">IF($G$4="",0,IF(W48&gt;'General Information'!$D$33,0,IFERROR(SUMIFS(INDIRECT("'"&amp;$G$4&amp;"'!$D$37:$D$52"),INDIRECT("'"&amp;$G$4&amp;"'!$C$37:$C$52"),W48,INDIRECT("'"&amp;$G$4&amp;"'!$B$37:$B$52"),"*Indirect*")/INDIRECT("'"&amp;$G$4&amp;"'!$F$2"),0)))</f>
        <v>0</v>
      </c>
      <c r="AH48" s="139" t="n">
        <f aca="true">IF($G$5="",0,IF(W48&gt;'General Information'!$D$33,0,IFERROR(SUMIFS(INDIRECT("'"&amp;$G$5&amp;"'!$D$37:$D$52"),INDIRECT("'"&amp;$G$5&amp;"'!$C$37:$C$52"),W48,INDIRECT("'"&amp;$G$5&amp;"'!$B$37:$B$52"),"*Indirect*")/INDIRECT("'"&amp;$G$5&amp;"'!$F$2"),0)))</f>
        <v>0</v>
      </c>
      <c r="AI48" s="139" t="n">
        <f aca="true">IF($G$6="",0,IF(W48&gt;'General Information'!$D$33,0,IFERROR(SUMIFS(INDIRECT("'"&amp;$G$6&amp;"'!$D$37:$D$52"),INDIRECT("'"&amp;$G$6&amp;"'!$C$37:$C$52"),W48,INDIRECT("'"&amp;$G$6&amp;"'!$B$37:$B$52"),"*Indirect*")/INDIRECT("'"&amp;$G$6&amp;"'!$F$2"),0)))</f>
        <v>0</v>
      </c>
      <c r="AJ48" s="139" t="n">
        <f aca="true">IF($G$7="",0,IF(W48&gt;'General Information'!$D$33,0,IFERROR(SUMIFS(INDIRECT("'"&amp;$G$7&amp;"'!$D$37:$D$52"),INDIRECT("'"&amp;$G$7&amp;"'!$C$37:$C$52"),W48,INDIRECT("'"&amp;$G$7&amp;"'!$B$37:$B$52"),"*Indirect*")/INDIRECT("'"&amp;$G$7&amp;"'!$F$2"),0)))</f>
        <v>0</v>
      </c>
    </row>
    <row r="49" customFormat="false" ht="15" hidden="false" customHeight="false" outlineLevel="0" collapsed="false">
      <c r="W49" s="133" t="n">
        <v>8</v>
      </c>
      <c r="X49" s="133" t="n">
        <f aca="false">'General Information'!$D$25+W49</f>
        <v>2036</v>
      </c>
      <c r="Y49" s="134" t="n">
        <f aca="true">IF($G$4="",0,IF(W49&gt;'General Information'!$D$33,0,IF(W49=0,$J$4,IFERROR(SUMIF(INDIRECT("'"&amp;$G$4&amp;"'!$C$37:$C$52"),W49,INDIRECT("'"&amp;$G$4&amp;"'!$D$37:$D$52")),0))))</f>
        <v>354260.596666667</v>
      </c>
      <c r="Z49" s="134" t="n">
        <f aca="true">IF($G$5="",0,IF(W49&gt;'General Information'!$D$33,0,IF(W49=0,$J$5,IFERROR(SUMIF(INDIRECT("'"&amp;$G$5&amp;"'!$C$37:$C$52"),W49,INDIRECT("'"&amp;$G$5&amp;"'!$D$37:$D$52")),0))))</f>
        <v>0</v>
      </c>
      <c r="AA49" s="134" t="n">
        <f aca="true">IF($G$6="",0,IF(W49&gt;'General Information'!$D$33,0,IF(W49=0,$J$6,IFERROR(SUMIF(INDIRECT("'"&amp;$G$6&amp;"'!$C$37:$C$52"),W49,INDIRECT("'"&amp;$G$6&amp;"'!$D$37:$D$52")),0))))</f>
        <v>0</v>
      </c>
      <c r="AB49" s="134" t="n">
        <f aca="true">IF($G$7="",0,IF(W49&gt;'General Information'!$D$33,0,IF(W49=0,$J$7,IFERROR(SUMIF(INDIRECT("'"&amp;$G$7&amp;"'!$C$37:$C$52"),W49,INDIRECT("'"&amp;$G$7&amp;"'!$D$37:$D$52")),0))))</f>
        <v>0</v>
      </c>
      <c r="AC49" s="134" t="n">
        <f aca="true">IF($G$4="",0,AC48+IF(W49&gt;'General Information'!$D$33,0,IF(W49=0,$J$4,IFERROR(SUMIF(INDIRECT("'"&amp;$G$4&amp;"'!$C$37:$C$52"),W49,INDIRECT("'"&amp;$G$4&amp;"'!$E$37:$E$52")),0))))</f>
        <v>7862849.53808745</v>
      </c>
      <c r="AD49" s="134" t="n">
        <f aca="true">IF($G$5="",0,AD48+IF(W49&gt;'General Information'!$D$33,0,IF(W49=0,$J$5,IFERROR(SUMIF(INDIRECT("'"&amp;$G$5&amp;"'!$C$37:$C$52"),W49,INDIRECT("'"&amp;$G$5&amp;"'!$E$37:$E$52")),0))))</f>
        <v>9062465.75</v>
      </c>
      <c r="AE49" s="134" t="n">
        <f aca="true">IF($G$6="",0,AE48+IF(W49&gt;'General Information'!$D$33,0,IF(W49=0,$J$6,IFERROR(SUMIF(INDIRECT("'"&amp;$G$6&amp;"'!$C$37:$C$52"),W49,INDIRECT("'"&amp;$G$6&amp;"'!$E$37:$E$52")),0))))</f>
        <v>0</v>
      </c>
      <c r="AF49" s="134" t="n">
        <f aca="true">IF($G$7="",0,AF48+IF(W49&gt;'General Information'!$D$33,0,IF(W49=0,$J$7,IFERROR(SUMIF(INDIRECT("'"&amp;$G$7&amp;"'!$C$37:$C$52"),W49,INDIRECT("'"&amp;$G$7&amp;"'!$E$37:$E$52")),0))))</f>
        <v>0</v>
      </c>
      <c r="AG49" s="139" t="n">
        <f aca="true">IF($G$4="",0,IF(W49&gt;'General Information'!$D$33,0,IFERROR(SUMIFS(INDIRECT("'"&amp;$G$4&amp;"'!$D$37:$D$52"),INDIRECT("'"&amp;$G$4&amp;"'!$C$37:$C$52"),W49,INDIRECT("'"&amp;$G$4&amp;"'!$B$37:$B$52"),"*Indirect*")/INDIRECT("'"&amp;$G$4&amp;"'!$F$2"),0)))</f>
        <v>7</v>
      </c>
      <c r="AH49" s="139" t="n">
        <f aca="true">IF($G$5="",0,IF(W49&gt;'General Information'!$D$33,0,IFERROR(SUMIFS(INDIRECT("'"&amp;$G$5&amp;"'!$D$37:$D$52"),INDIRECT("'"&amp;$G$5&amp;"'!$C$37:$C$52"),W49,INDIRECT("'"&amp;$G$5&amp;"'!$B$37:$B$52"),"*Indirect*")/INDIRECT("'"&amp;$G$5&amp;"'!$F$2"),0)))</f>
        <v>0</v>
      </c>
      <c r="AI49" s="139" t="n">
        <f aca="true">IF($G$6="",0,IF(W49&gt;'General Information'!$D$33,0,IFERROR(SUMIFS(INDIRECT("'"&amp;$G$6&amp;"'!$D$37:$D$52"),INDIRECT("'"&amp;$G$6&amp;"'!$C$37:$C$52"),W49,INDIRECT("'"&amp;$G$6&amp;"'!$B$37:$B$52"),"*Indirect*")/INDIRECT("'"&amp;$G$6&amp;"'!$F$2"),0)))</f>
        <v>0</v>
      </c>
      <c r="AJ49" s="139" t="n">
        <f aca="true">IF($G$7="",0,IF(W49&gt;'General Information'!$D$33,0,IFERROR(SUMIFS(INDIRECT("'"&amp;$G$7&amp;"'!$D$37:$D$52"),INDIRECT("'"&amp;$G$7&amp;"'!$C$37:$C$52"),W49,INDIRECT("'"&amp;$G$7&amp;"'!$B$37:$B$52"),"*Indirect*")/INDIRECT("'"&amp;$G$7&amp;"'!$F$2"),0)))</f>
        <v>0</v>
      </c>
    </row>
    <row r="50" customFormat="false" ht="15" hidden="false" customHeight="false" outlineLevel="0" collapsed="false">
      <c r="W50" s="133" t="n">
        <v>9</v>
      </c>
      <c r="X50" s="133" t="n">
        <f aca="false">'General Information'!$D$25+W50</f>
        <v>2037</v>
      </c>
      <c r="Y50" s="134" t="n">
        <f aca="true">IF($G$4="",0,IF(W50&gt;'General Information'!$D$33,0,IF(W50=0,$J$4,IFERROR(SUMIF(INDIRECT("'"&amp;$G$4&amp;"'!$C$37:$C$52"),W50,INDIRECT("'"&amp;$G$4&amp;"'!$D$37:$D$52")),0))))</f>
        <v>0</v>
      </c>
      <c r="Z50" s="134" t="n">
        <f aca="true">IF($G$5="",0,IF(W50&gt;'General Information'!$D$33,0,IF(W50=0,$J$5,IFERROR(SUMIF(INDIRECT("'"&amp;$G$5&amp;"'!$C$37:$C$52"),W50,INDIRECT("'"&amp;$G$5&amp;"'!$D$37:$D$52")),0))))</f>
        <v>0</v>
      </c>
      <c r="AA50" s="134" t="n">
        <f aca="true">IF($G$6="",0,IF(W50&gt;'General Information'!$D$33,0,IF(W50=0,$J$6,IFERROR(SUMIF(INDIRECT("'"&amp;$G$6&amp;"'!$C$37:$C$52"),W50,INDIRECT("'"&amp;$G$6&amp;"'!$D$37:$D$52")),0))))</f>
        <v>0</v>
      </c>
      <c r="AB50" s="134" t="n">
        <f aca="true">IF($G$7="",0,IF(W50&gt;'General Information'!$D$33,0,IF(W50=0,$J$7,IFERROR(SUMIF(INDIRECT("'"&amp;$G$7&amp;"'!$C$37:$C$52"),W50,INDIRECT("'"&amp;$G$7&amp;"'!$D$37:$D$52")),0))))</f>
        <v>0</v>
      </c>
      <c r="AC50" s="134" t="n">
        <f aca="true">IF($G$4="",0,AC49+IF(W50&gt;'General Information'!$D$33,0,IF(W50=0,$J$4,IFERROR(SUMIF(INDIRECT("'"&amp;$G$4&amp;"'!$C$37:$C$52"),W50,INDIRECT("'"&amp;$G$4&amp;"'!$E$37:$E$52")),0))))</f>
        <v>7862849.53808745</v>
      </c>
      <c r="AD50" s="134" t="n">
        <f aca="true">IF($G$5="",0,AD49+IF(W50&gt;'General Information'!$D$33,0,IF(W50=0,$J$5,IFERROR(SUMIF(INDIRECT("'"&amp;$G$5&amp;"'!$C$37:$C$52"),W50,INDIRECT("'"&amp;$G$5&amp;"'!$E$37:$E$52")),0))))</f>
        <v>9062465.75</v>
      </c>
      <c r="AE50" s="134" t="n">
        <f aca="true">IF($G$6="",0,AE49+IF(W50&gt;'General Information'!$D$33,0,IF(W50=0,$J$6,IFERROR(SUMIF(INDIRECT("'"&amp;$G$6&amp;"'!$C$37:$C$52"),W50,INDIRECT("'"&amp;$G$6&amp;"'!$E$37:$E$52")),0))))</f>
        <v>0</v>
      </c>
      <c r="AF50" s="134" t="n">
        <f aca="true">IF($G$7="",0,AF49+IF(W50&gt;'General Information'!$D$33,0,IF(W50=0,$J$7,IFERROR(SUMIF(INDIRECT("'"&amp;$G$7&amp;"'!$C$37:$C$52"),W50,INDIRECT("'"&amp;$G$7&amp;"'!$E$37:$E$52")),0))))</f>
        <v>0</v>
      </c>
      <c r="AG50" s="139" t="n">
        <f aca="true">IF($G$4="",0,IF(W50&gt;'General Information'!$D$33,0,IFERROR(SUMIFS(INDIRECT("'"&amp;$G$4&amp;"'!$D$37:$D$52"),INDIRECT("'"&amp;$G$4&amp;"'!$C$37:$C$52"),W50,INDIRECT("'"&amp;$G$4&amp;"'!$B$37:$B$52"),"*Indirect*")/INDIRECT("'"&amp;$G$4&amp;"'!$F$2"),0)))</f>
        <v>0</v>
      </c>
      <c r="AH50" s="139" t="n">
        <f aca="true">IF($G$5="",0,IF(W50&gt;'General Information'!$D$33,0,IFERROR(SUMIFS(INDIRECT("'"&amp;$G$5&amp;"'!$D$37:$D$52"),INDIRECT("'"&amp;$G$5&amp;"'!$C$37:$C$52"),W50,INDIRECT("'"&amp;$G$5&amp;"'!$B$37:$B$52"),"*Indirect*")/INDIRECT("'"&amp;$G$5&amp;"'!$F$2"),0)))</f>
        <v>0</v>
      </c>
      <c r="AI50" s="139" t="n">
        <f aca="true">IF($G$6="",0,IF(W50&gt;'General Information'!$D$33,0,IFERROR(SUMIFS(INDIRECT("'"&amp;$G$6&amp;"'!$D$37:$D$52"),INDIRECT("'"&amp;$G$6&amp;"'!$C$37:$C$52"),W50,INDIRECT("'"&amp;$G$6&amp;"'!$B$37:$B$52"),"*Indirect*")/INDIRECT("'"&amp;$G$6&amp;"'!$F$2"),0)))</f>
        <v>0</v>
      </c>
      <c r="AJ50" s="139" t="n">
        <f aca="true">IF($G$7="",0,IF(W50&gt;'General Information'!$D$33,0,IFERROR(SUMIFS(INDIRECT("'"&amp;$G$7&amp;"'!$D$37:$D$52"),INDIRECT("'"&amp;$G$7&amp;"'!$C$37:$C$52"),W50,INDIRECT("'"&amp;$G$7&amp;"'!$B$37:$B$52"),"*Indirect*")/INDIRECT("'"&amp;$G$7&amp;"'!$F$2"),0)))</f>
        <v>0</v>
      </c>
    </row>
    <row r="51" customFormat="false" ht="15" hidden="false" customHeight="false" outlineLevel="0" collapsed="false">
      <c r="W51" s="133" t="n">
        <v>10</v>
      </c>
      <c r="X51" s="133" t="n">
        <f aca="false">'General Information'!$D$25+W51</f>
        <v>2038</v>
      </c>
      <c r="Y51" s="134" t="n">
        <f aca="true">IF($G$4="",0,IF(W51&gt;'General Information'!$D$33,0,IF(W51=0,$J$4,IFERROR(SUMIF(INDIRECT("'"&amp;$G$4&amp;"'!$C$37:$C$52"),W51,INDIRECT("'"&amp;$G$4&amp;"'!$D$37:$D$52")),0))))</f>
        <v>0</v>
      </c>
      <c r="Z51" s="134" t="n">
        <f aca="true">IF($G$5="",0,IF(W51&gt;'General Information'!$D$33,0,IF(W51=0,$J$5,IFERROR(SUMIF(INDIRECT("'"&amp;$G$5&amp;"'!$C$37:$C$52"),W51,INDIRECT("'"&amp;$G$5&amp;"'!$D$37:$D$52")),0))))</f>
        <v>0</v>
      </c>
      <c r="AA51" s="134" t="n">
        <f aca="true">IF($G$6="",0,IF(W51&gt;'General Information'!$D$33,0,IF(W51=0,$J$6,IFERROR(SUMIF(INDIRECT("'"&amp;$G$6&amp;"'!$C$37:$C$52"),W51,INDIRECT("'"&amp;$G$6&amp;"'!$D$37:$D$52")),0))))</f>
        <v>0</v>
      </c>
      <c r="AB51" s="134" t="n">
        <f aca="true">IF($G$7="",0,IF(W51&gt;'General Information'!$D$33,0,IF(W51=0,$J$7,IFERROR(SUMIF(INDIRECT("'"&amp;$G$7&amp;"'!$C$37:$C$52"),W51,INDIRECT("'"&amp;$G$7&amp;"'!$D$37:$D$52")),0))))</f>
        <v>0</v>
      </c>
      <c r="AC51" s="134" t="n">
        <f aca="true">IF($G$4="",0,AC50+IF(W51&gt;'General Information'!$D$33,0,IF(W51=0,$J$4,IFERROR(SUMIF(INDIRECT("'"&amp;$G$4&amp;"'!$C$37:$C$52"),W51,INDIRECT("'"&amp;$G$4&amp;"'!$E$37:$E$52")),0))))</f>
        <v>7862849.53808745</v>
      </c>
      <c r="AD51" s="134" t="n">
        <f aca="true">IF($G$5="",0,AD50+IF(W51&gt;'General Information'!$D$33,0,IF(W51=0,$J$5,IFERROR(SUMIF(INDIRECT("'"&amp;$G$5&amp;"'!$C$37:$C$52"),W51,INDIRECT("'"&amp;$G$5&amp;"'!$E$37:$E$52")),0))))</f>
        <v>9062465.75</v>
      </c>
      <c r="AE51" s="134" t="n">
        <f aca="true">IF($G$6="",0,AE50+IF(W51&gt;'General Information'!$D$33,0,IF(W51=0,$J$6,IFERROR(SUMIF(INDIRECT("'"&amp;$G$6&amp;"'!$C$37:$C$52"),W51,INDIRECT("'"&amp;$G$6&amp;"'!$E$37:$E$52")),0))))</f>
        <v>0</v>
      </c>
      <c r="AF51" s="134" t="n">
        <f aca="true">IF($G$7="",0,AF50+IF(W51&gt;'General Information'!$D$33,0,IF(W51=0,$J$7,IFERROR(SUMIF(INDIRECT("'"&amp;$G$7&amp;"'!$C$37:$C$52"),W51,INDIRECT("'"&amp;$G$7&amp;"'!$E$37:$E$52")),0))))</f>
        <v>0</v>
      </c>
      <c r="AG51" s="139" t="n">
        <f aca="true">IF($G$4="",0,IF(W51&gt;'General Information'!$D$33,0,IFERROR(SUMIFS(INDIRECT("'"&amp;$G$4&amp;"'!$D$37:$D$52"),INDIRECT("'"&amp;$G$4&amp;"'!$C$37:$C$52"),W51,INDIRECT("'"&amp;$G$4&amp;"'!$B$37:$B$52"),"*Indirect*")/INDIRECT("'"&amp;$G$4&amp;"'!$F$2"),0)))</f>
        <v>0</v>
      </c>
      <c r="AH51" s="139" t="n">
        <f aca="true">IF($G$5="",0,IF(W51&gt;'General Information'!$D$33,0,IFERROR(SUMIFS(INDIRECT("'"&amp;$G$5&amp;"'!$D$37:$D$52"),INDIRECT("'"&amp;$G$5&amp;"'!$C$37:$C$52"),W51,INDIRECT("'"&amp;$G$5&amp;"'!$B$37:$B$52"),"*Indirect*")/INDIRECT("'"&amp;$G$5&amp;"'!$F$2"),0)))</f>
        <v>0</v>
      </c>
      <c r="AI51" s="139" t="n">
        <f aca="true">IF($G$6="",0,IF(W51&gt;'General Information'!$D$33,0,IFERROR(SUMIFS(INDIRECT("'"&amp;$G$6&amp;"'!$D$37:$D$52"),INDIRECT("'"&amp;$G$6&amp;"'!$C$37:$C$52"),W51,INDIRECT("'"&amp;$G$6&amp;"'!$B$37:$B$52"),"*Indirect*")/INDIRECT("'"&amp;$G$6&amp;"'!$F$2"),0)))</f>
        <v>0</v>
      </c>
      <c r="AJ51" s="139" t="n">
        <f aca="true">IF($G$7="",0,IF(W51&gt;'General Information'!$D$33,0,IFERROR(SUMIFS(INDIRECT("'"&amp;$G$7&amp;"'!$D$37:$D$52"),INDIRECT("'"&amp;$G$7&amp;"'!$C$37:$C$52"),W51,INDIRECT("'"&amp;$G$7&amp;"'!$B$37:$B$52"),"*Indirect*")/INDIRECT("'"&amp;$G$7&amp;"'!$F$2"),0)))</f>
        <v>0</v>
      </c>
    </row>
    <row r="52" customFormat="false" ht="15" hidden="false" customHeight="false" outlineLevel="0" collapsed="false">
      <c r="W52" s="133" t="n">
        <v>11</v>
      </c>
      <c r="X52" s="133" t="n">
        <f aca="false">'General Information'!$D$25+W52</f>
        <v>2039</v>
      </c>
      <c r="Y52" s="134" t="n">
        <f aca="true">IF($G$4="",0,IF(W52&gt;'General Information'!$D$33,0,IF(W52=0,$J$4,IFERROR(SUMIF(INDIRECT("'"&amp;$G$4&amp;"'!$C$37:$C$52"),W52,INDIRECT("'"&amp;$G$4&amp;"'!$D$37:$D$52")),0))))</f>
        <v>0</v>
      </c>
      <c r="Z52" s="134" t="n">
        <f aca="true">IF($G$5="",0,IF(W52&gt;'General Information'!$D$33,0,IF(W52=0,$J$5,IFERROR(SUMIF(INDIRECT("'"&amp;$G$5&amp;"'!$C$37:$C$52"),W52,INDIRECT("'"&amp;$G$5&amp;"'!$D$37:$D$52")),0))))</f>
        <v>0</v>
      </c>
      <c r="AA52" s="134" t="n">
        <f aca="true">IF($G$6="",0,IF(W52&gt;'General Information'!$D$33,0,IF(W52=0,$J$6,IFERROR(SUMIF(INDIRECT("'"&amp;$G$6&amp;"'!$C$37:$C$52"),W52,INDIRECT("'"&amp;$G$6&amp;"'!$D$37:$D$52")),0))))</f>
        <v>0</v>
      </c>
      <c r="AB52" s="134" t="n">
        <f aca="true">IF($G$7="",0,IF(W52&gt;'General Information'!$D$33,0,IF(W52=0,$J$7,IFERROR(SUMIF(INDIRECT("'"&amp;$G$7&amp;"'!$C$37:$C$52"),W52,INDIRECT("'"&amp;$G$7&amp;"'!$D$37:$D$52")),0))))</f>
        <v>0</v>
      </c>
      <c r="AC52" s="134" t="n">
        <f aca="true">IF($G$4="",0,AC51+IF(W52&gt;'General Information'!$D$33,0,IF(W52=0,$J$4,IFERROR(SUMIF(INDIRECT("'"&amp;$G$4&amp;"'!$C$37:$C$52"),W52,INDIRECT("'"&amp;$G$4&amp;"'!$E$37:$E$52")),0))))</f>
        <v>7862849.53808745</v>
      </c>
      <c r="AD52" s="134" t="n">
        <f aca="true">IF($G$5="",0,AD51+IF(W52&gt;'General Information'!$D$33,0,IF(W52=0,$J$5,IFERROR(SUMIF(INDIRECT("'"&amp;$G$5&amp;"'!$C$37:$C$52"),W52,INDIRECT("'"&amp;$G$5&amp;"'!$E$37:$E$52")),0))))</f>
        <v>9062465.75</v>
      </c>
      <c r="AE52" s="134" t="n">
        <f aca="true">IF($G$6="",0,AE51+IF(W52&gt;'General Information'!$D$33,0,IF(W52=0,$J$6,IFERROR(SUMIF(INDIRECT("'"&amp;$G$6&amp;"'!$C$37:$C$52"),W52,INDIRECT("'"&amp;$G$6&amp;"'!$E$37:$E$52")),0))))</f>
        <v>0</v>
      </c>
      <c r="AF52" s="134" t="n">
        <f aca="true">IF($G$7="",0,AF51+IF(W52&gt;'General Information'!$D$33,0,IF(W52=0,$J$7,IFERROR(SUMIF(INDIRECT("'"&amp;$G$7&amp;"'!$C$37:$C$52"),W52,INDIRECT("'"&amp;$G$7&amp;"'!$E$37:$E$52")),0))))</f>
        <v>0</v>
      </c>
      <c r="AG52" s="139" t="n">
        <f aca="true">IF($G$4="",0,IF(W52&gt;'General Information'!$D$33,0,IFERROR(SUMIFS(INDIRECT("'"&amp;$G$4&amp;"'!$D$37:$D$52"),INDIRECT("'"&amp;$G$4&amp;"'!$C$37:$C$52"),W52,INDIRECT("'"&amp;$G$4&amp;"'!$B$37:$B$52"),"*Indirect*")/INDIRECT("'"&amp;$G$4&amp;"'!$F$2"),0)))</f>
        <v>0</v>
      </c>
      <c r="AH52" s="139" t="n">
        <f aca="true">IF($G$5="",0,IF(W52&gt;'General Information'!$D$33,0,IFERROR(SUMIFS(INDIRECT("'"&amp;$G$5&amp;"'!$D$37:$D$52"),INDIRECT("'"&amp;$G$5&amp;"'!$C$37:$C$52"),W52,INDIRECT("'"&amp;$G$5&amp;"'!$B$37:$B$52"),"*Indirect*")/INDIRECT("'"&amp;$G$5&amp;"'!$F$2"),0)))</f>
        <v>0</v>
      </c>
      <c r="AI52" s="139" t="n">
        <f aca="true">IF($G$6="",0,IF(W52&gt;'General Information'!$D$33,0,IFERROR(SUMIFS(INDIRECT("'"&amp;$G$6&amp;"'!$D$37:$D$52"),INDIRECT("'"&amp;$G$6&amp;"'!$C$37:$C$52"),W52,INDIRECT("'"&amp;$G$6&amp;"'!$B$37:$B$52"),"*Indirect*")/INDIRECT("'"&amp;$G$6&amp;"'!$F$2"),0)))</f>
        <v>0</v>
      </c>
      <c r="AJ52" s="139" t="n">
        <f aca="true">IF($G$7="",0,IF(W52&gt;'General Information'!$D$33,0,IFERROR(SUMIFS(INDIRECT("'"&amp;$G$7&amp;"'!$D$37:$D$52"),INDIRECT("'"&amp;$G$7&amp;"'!$C$37:$C$52"),W52,INDIRECT("'"&amp;$G$7&amp;"'!$B$37:$B$52"),"*Indirect*")/INDIRECT("'"&amp;$G$7&amp;"'!$F$2"),0)))</f>
        <v>0</v>
      </c>
    </row>
    <row r="53" customFormat="false" ht="15" hidden="false" customHeight="false" outlineLevel="0" collapsed="false">
      <c r="W53" s="133" t="n">
        <v>12</v>
      </c>
      <c r="X53" s="133" t="n">
        <f aca="false">'General Information'!$D$25+W53</f>
        <v>2040</v>
      </c>
      <c r="Y53" s="134" t="n">
        <f aca="true">IF($G$4="",0,IF(W53&gt;'General Information'!$D$33,0,IF(W53=0,$J$4,IFERROR(SUMIF(INDIRECT("'"&amp;$G$4&amp;"'!$C$37:$C$52"),W53,INDIRECT("'"&amp;$G$4&amp;"'!$D$37:$D$52")),0))))</f>
        <v>494427.545104167</v>
      </c>
      <c r="Z53" s="134" t="n">
        <f aca="true">IF($G$5="",0,IF(W53&gt;'General Information'!$D$33,0,IF(W53=0,$J$5,IFERROR(SUMIF(INDIRECT("'"&amp;$G$5&amp;"'!$C$37:$C$52"),W53,INDIRECT("'"&amp;$G$5&amp;"'!$D$37:$D$52")),0))))</f>
        <v>0</v>
      </c>
      <c r="AA53" s="134" t="n">
        <f aca="true">IF($G$6="",0,IF(W53&gt;'General Information'!$D$33,0,IF(W53=0,$J$6,IFERROR(SUMIF(INDIRECT("'"&amp;$G$6&amp;"'!$C$37:$C$52"),W53,INDIRECT("'"&amp;$G$6&amp;"'!$D$37:$D$52")),0))))</f>
        <v>0</v>
      </c>
      <c r="AB53" s="134" t="n">
        <f aca="true">IF($G$7="",0,IF(W53&gt;'General Information'!$D$33,0,IF(W53=0,$J$7,IFERROR(SUMIF(INDIRECT("'"&amp;$G$7&amp;"'!$C$37:$C$52"),W53,INDIRECT("'"&amp;$G$7&amp;"'!$D$37:$D$52")),0))))</f>
        <v>0</v>
      </c>
      <c r="AC53" s="134" t="n">
        <f aca="true">IF($G$4="",0,AC52+IF(W53&gt;'General Information'!$D$33,0,IF(W53=0,$J$4,IFERROR(SUMIF(INDIRECT("'"&amp;$G$4&amp;"'!$C$37:$C$52"),W53,INDIRECT("'"&amp;$G$4&amp;"'!$E$37:$E$52")),0))))</f>
        <v>8209631.07043672</v>
      </c>
      <c r="AD53" s="134" t="n">
        <f aca="true">IF($G$5="",0,AD52+IF(W53&gt;'General Information'!$D$33,0,IF(W53=0,$J$5,IFERROR(SUMIF(INDIRECT("'"&amp;$G$5&amp;"'!$C$37:$C$52"),W53,INDIRECT("'"&amp;$G$5&amp;"'!$E$37:$E$52")),0))))</f>
        <v>9062465.75</v>
      </c>
      <c r="AE53" s="134" t="n">
        <f aca="true">IF($G$6="",0,AE52+IF(W53&gt;'General Information'!$D$33,0,IF(W53=0,$J$6,IFERROR(SUMIF(INDIRECT("'"&amp;$G$6&amp;"'!$C$37:$C$52"),W53,INDIRECT("'"&amp;$G$6&amp;"'!$E$37:$E$52")),0))))</f>
        <v>0</v>
      </c>
      <c r="AF53" s="134" t="n">
        <f aca="true">IF($G$7="",0,AF52+IF(W53&gt;'General Information'!$D$33,0,IF(W53=0,$J$7,IFERROR(SUMIF(INDIRECT("'"&amp;$G$7&amp;"'!$C$37:$C$52"),W53,INDIRECT("'"&amp;$G$7&amp;"'!$E$37:$E$52")),0))))</f>
        <v>0</v>
      </c>
      <c r="AG53" s="139" t="n">
        <f aca="true">IF($G$4="",0,IF(W53&gt;'General Information'!$D$33,0,IFERROR(SUMIFS(INDIRECT("'"&amp;$G$4&amp;"'!$D$37:$D$52"),INDIRECT("'"&amp;$G$4&amp;"'!$C$37:$C$52"),W53,INDIRECT("'"&amp;$G$4&amp;"'!$B$37:$B$52"),"*Indirect*")/INDIRECT("'"&amp;$G$4&amp;"'!$F$2"),0)))</f>
        <v>9</v>
      </c>
      <c r="AH53" s="139" t="n">
        <f aca="true">IF($G$5="",0,IF(W53&gt;'General Information'!$D$33,0,IFERROR(SUMIFS(INDIRECT("'"&amp;$G$5&amp;"'!$D$37:$D$52"),INDIRECT("'"&amp;$G$5&amp;"'!$C$37:$C$52"),W53,INDIRECT("'"&amp;$G$5&amp;"'!$B$37:$B$52"),"*Indirect*")/INDIRECT("'"&amp;$G$5&amp;"'!$F$2"),0)))</f>
        <v>0</v>
      </c>
      <c r="AI53" s="139" t="n">
        <f aca="true">IF($G$6="",0,IF(W53&gt;'General Information'!$D$33,0,IFERROR(SUMIFS(INDIRECT("'"&amp;$G$6&amp;"'!$D$37:$D$52"),INDIRECT("'"&amp;$G$6&amp;"'!$C$37:$C$52"),W53,INDIRECT("'"&amp;$G$6&amp;"'!$B$37:$B$52"),"*Indirect*")/INDIRECT("'"&amp;$G$6&amp;"'!$F$2"),0)))</f>
        <v>0</v>
      </c>
      <c r="AJ53" s="139" t="n">
        <f aca="true">IF($G$7="",0,IF(W53&gt;'General Information'!$D$33,0,IFERROR(SUMIFS(INDIRECT("'"&amp;$G$7&amp;"'!$D$37:$D$52"),INDIRECT("'"&amp;$G$7&amp;"'!$C$37:$C$52"),W53,INDIRECT("'"&amp;$G$7&amp;"'!$B$37:$B$52"),"*Indirect*")/INDIRECT("'"&amp;$G$7&amp;"'!$F$2"),0)))</f>
        <v>0</v>
      </c>
    </row>
    <row r="54" customFormat="false" ht="15" hidden="false" customHeight="false" outlineLevel="0" collapsed="false">
      <c r="W54" s="133" t="n">
        <v>13</v>
      </c>
      <c r="X54" s="133" t="n">
        <f aca="false">'General Information'!$D$25+W54</f>
        <v>2041</v>
      </c>
      <c r="Y54" s="134" t="n">
        <f aca="true">IF($G$4="",0,IF(W54&gt;'General Information'!$D$33,0,IF(W54=0,$J$4,IFERROR(SUMIF(INDIRECT("'"&amp;$G$4&amp;"'!$C$37:$C$52"),W54,INDIRECT("'"&amp;$G$4&amp;"'!$D$37:$D$52")),0))))</f>
        <v>0</v>
      </c>
      <c r="Z54" s="134" t="n">
        <f aca="true">IF($G$5="",0,IF(W54&gt;'General Information'!$D$33,0,IF(W54=0,$J$5,IFERROR(SUMIF(INDIRECT("'"&amp;$G$5&amp;"'!$C$37:$C$52"),W54,INDIRECT("'"&amp;$G$5&amp;"'!$D$37:$D$52")),0))))</f>
        <v>0</v>
      </c>
      <c r="AA54" s="134" t="n">
        <f aca="true">IF($G$6="",0,IF(W54&gt;'General Information'!$D$33,0,IF(W54=0,$J$6,IFERROR(SUMIF(INDIRECT("'"&amp;$G$6&amp;"'!$C$37:$C$52"),W54,INDIRECT("'"&amp;$G$6&amp;"'!$D$37:$D$52")),0))))</f>
        <v>0</v>
      </c>
      <c r="AB54" s="134" t="n">
        <f aca="true">IF($G$7="",0,IF(W54&gt;'General Information'!$D$33,0,IF(W54=0,$J$7,IFERROR(SUMIF(INDIRECT("'"&amp;$G$7&amp;"'!$C$37:$C$52"),W54,INDIRECT("'"&amp;$G$7&amp;"'!$D$37:$D$52")),0))))</f>
        <v>0</v>
      </c>
      <c r="AC54" s="134" t="n">
        <f aca="true">IF($G$4="",0,AC53+IF(W54&gt;'General Information'!$D$33,0,IF(W54=0,$J$4,IFERROR(SUMIF(INDIRECT("'"&amp;$G$4&amp;"'!$C$37:$C$52"),W54,INDIRECT("'"&amp;$G$4&amp;"'!$E$37:$E$52")),0))))</f>
        <v>8209631.07043672</v>
      </c>
      <c r="AD54" s="134" t="n">
        <f aca="true">IF($G$5="",0,AD53+IF(W54&gt;'General Information'!$D$33,0,IF(W54=0,$J$5,IFERROR(SUMIF(INDIRECT("'"&amp;$G$5&amp;"'!$C$37:$C$52"),W54,INDIRECT("'"&amp;$G$5&amp;"'!$E$37:$E$52")),0))))</f>
        <v>9062465.75</v>
      </c>
      <c r="AE54" s="134" t="n">
        <f aca="true">IF($G$6="",0,AE53+IF(W54&gt;'General Information'!$D$33,0,IF(W54=0,$J$6,IFERROR(SUMIF(INDIRECT("'"&amp;$G$6&amp;"'!$C$37:$C$52"),W54,INDIRECT("'"&amp;$G$6&amp;"'!$E$37:$E$52")),0))))</f>
        <v>0</v>
      </c>
      <c r="AF54" s="134" t="n">
        <f aca="true">IF($G$7="",0,AF53+IF(W54&gt;'General Information'!$D$33,0,IF(W54=0,$J$7,IFERROR(SUMIF(INDIRECT("'"&amp;$G$7&amp;"'!$C$37:$C$52"),W54,INDIRECT("'"&amp;$G$7&amp;"'!$E$37:$E$52")),0))))</f>
        <v>0</v>
      </c>
      <c r="AG54" s="139" t="n">
        <f aca="true">IF($G$4="",0,IF(W54&gt;'General Information'!$D$33,0,IFERROR(SUMIFS(INDIRECT("'"&amp;$G$4&amp;"'!$D$37:$D$52"),INDIRECT("'"&amp;$G$4&amp;"'!$C$37:$C$52"),W54,INDIRECT("'"&amp;$G$4&amp;"'!$B$37:$B$52"),"*Indirect*")/INDIRECT("'"&amp;$G$4&amp;"'!$F$2"),0)))</f>
        <v>0</v>
      </c>
      <c r="AH54" s="139" t="n">
        <f aca="true">IF($G$5="",0,IF(W54&gt;'General Information'!$D$33,0,IFERROR(SUMIFS(INDIRECT("'"&amp;$G$5&amp;"'!$D$37:$D$52"),INDIRECT("'"&amp;$G$5&amp;"'!$C$37:$C$52"),W54,INDIRECT("'"&amp;$G$5&amp;"'!$B$37:$B$52"),"*Indirect*")/INDIRECT("'"&amp;$G$5&amp;"'!$F$2"),0)))</f>
        <v>0</v>
      </c>
      <c r="AI54" s="139" t="n">
        <f aca="true">IF($G$6="",0,IF(W54&gt;'General Information'!$D$33,0,IFERROR(SUMIFS(INDIRECT("'"&amp;$G$6&amp;"'!$D$37:$D$52"),INDIRECT("'"&amp;$G$6&amp;"'!$C$37:$C$52"),W54,INDIRECT("'"&amp;$G$6&amp;"'!$B$37:$B$52"),"*Indirect*")/INDIRECT("'"&amp;$G$6&amp;"'!$F$2"),0)))</f>
        <v>0</v>
      </c>
      <c r="AJ54" s="139" t="n">
        <f aca="true">IF($G$7="",0,IF(W54&gt;'General Information'!$D$33,0,IFERROR(SUMIFS(INDIRECT("'"&amp;$G$7&amp;"'!$D$37:$D$52"),INDIRECT("'"&amp;$G$7&amp;"'!$C$37:$C$52"),W54,INDIRECT("'"&amp;$G$7&amp;"'!$B$37:$B$52"),"*Indirect*")/INDIRECT("'"&amp;$G$7&amp;"'!$F$2"),0)))</f>
        <v>0</v>
      </c>
    </row>
    <row r="55" customFormat="false" ht="15" hidden="false" customHeight="false" outlineLevel="0" collapsed="false">
      <c r="W55" s="133" t="n">
        <v>14</v>
      </c>
      <c r="X55" s="133" t="n">
        <f aca="false">'General Information'!$D$25+W55</f>
        <v>2042</v>
      </c>
      <c r="Y55" s="134" t="n">
        <f aca="true">IF($G$4="",0,IF(W55&gt;'General Information'!$D$33,0,IF(W55=0,$J$4,IFERROR(SUMIF(INDIRECT("'"&amp;$G$4&amp;"'!$C$37:$C$52"),W55,INDIRECT("'"&amp;$G$4&amp;"'!$D$37:$D$52")),0))))</f>
        <v>0</v>
      </c>
      <c r="Z55" s="134" t="n">
        <f aca="true">IF($G$5="",0,IF(W55&gt;'General Information'!$D$33,0,IF(W55=0,$J$5,IFERROR(SUMIF(INDIRECT("'"&amp;$G$5&amp;"'!$C$37:$C$52"),W55,INDIRECT("'"&amp;$G$5&amp;"'!$D$37:$D$52")),0))))</f>
        <v>0</v>
      </c>
      <c r="AA55" s="134" t="n">
        <f aca="true">IF($G$6="",0,IF(W55&gt;'General Information'!$D$33,0,IF(W55=0,$J$6,IFERROR(SUMIF(INDIRECT("'"&amp;$G$6&amp;"'!$C$37:$C$52"),W55,INDIRECT("'"&amp;$G$6&amp;"'!$D$37:$D$52")),0))))</f>
        <v>0</v>
      </c>
      <c r="AB55" s="134" t="n">
        <f aca="true">IF($G$7="",0,IF(W55&gt;'General Information'!$D$33,0,IF(W55=0,$J$7,IFERROR(SUMIF(INDIRECT("'"&amp;$G$7&amp;"'!$C$37:$C$52"),W55,INDIRECT("'"&amp;$G$7&amp;"'!$D$37:$D$52")),0))))</f>
        <v>0</v>
      </c>
      <c r="AC55" s="134" t="n">
        <f aca="true">IF($G$4="",0,AC54+IF(W55&gt;'General Information'!$D$33,0,IF(W55=0,$J$4,IFERROR(SUMIF(INDIRECT("'"&amp;$G$4&amp;"'!$C$37:$C$52"),W55,INDIRECT("'"&amp;$G$4&amp;"'!$E$37:$E$52")),0))))</f>
        <v>8209631.07043672</v>
      </c>
      <c r="AD55" s="134" t="n">
        <f aca="true">IF($G$5="",0,AD54+IF(W55&gt;'General Information'!$D$33,0,IF(W55=0,$J$5,IFERROR(SUMIF(INDIRECT("'"&amp;$G$5&amp;"'!$C$37:$C$52"),W55,INDIRECT("'"&amp;$G$5&amp;"'!$E$37:$E$52")),0))))</f>
        <v>9062465.75</v>
      </c>
      <c r="AE55" s="134" t="n">
        <f aca="true">IF($G$6="",0,AE54+IF(W55&gt;'General Information'!$D$33,0,IF(W55=0,$J$6,IFERROR(SUMIF(INDIRECT("'"&amp;$G$6&amp;"'!$C$37:$C$52"),W55,INDIRECT("'"&amp;$G$6&amp;"'!$E$37:$E$52")),0))))</f>
        <v>0</v>
      </c>
      <c r="AF55" s="134" t="n">
        <f aca="true">IF($G$7="",0,AF54+IF(W55&gt;'General Information'!$D$33,0,IF(W55=0,$J$7,IFERROR(SUMIF(INDIRECT("'"&amp;$G$7&amp;"'!$C$37:$C$52"),W55,INDIRECT("'"&amp;$G$7&amp;"'!$E$37:$E$52")),0))))</f>
        <v>0</v>
      </c>
      <c r="AG55" s="139" t="n">
        <f aca="true">IF($G$4="",0,IF(W55&gt;'General Information'!$D$33,0,IFERROR(SUMIFS(INDIRECT("'"&amp;$G$4&amp;"'!$D$37:$D$52"),INDIRECT("'"&amp;$G$4&amp;"'!$C$37:$C$52"),W55,INDIRECT("'"&amp;$G$4&amp;"'!$B$37:$B$52"),"*Indirect*")/INDIRECT("'"&amp;$G$4&amp;"'!$F$2"),0)))</f>
        <v>0</v>
      </c>
      <c r="AH55" s="139" t="n">
        <f aca="true">IF($G$5="",0,IF(W55&gt;'General Information'!$D$33,0,IFERROR(SUMIFS(INDIRECT("'"&amp;$G$5&amp;"'!$D$37:$D$52"),INDIRECT("'"&amp;$G$5&amp;"'!$C$37:$C$52"),W55,INDIRECT("'"&amp;$G$5&amp;"'!$B$37:$B$52"),"*Indirect*")/INDIRECT("'"&amp;$G$5&amp;"'!$F$2"),0)))</f>
        <v>0</v>
      </c>
      <c r="AI55" s="139" t="n">
        <f aca="true">IF($G$6="",0,IF(W55&gt;'General Information'!$D$33,0,IFERROR(SUMIFS(INDIRECT("'"&amp;$G$6&amp;"'!$D$37:$D$52"),INDIRECT("'"&amp;$G$6&amp;"'!$C$37:$C$52"),W55,INDIRECT("'"&amp;$G$6&amp;"'!$B$37:$B$52"),"*Indirect*")/INDIRECT("'"&amp;$G$6&amp;"'!$F$2"),0)))</f>
        <v>0</v>
      </c>
      <c r="AJ55" s="139" t="n">
        <f aca="true">IF($G$7="",0,IF(W55&gt;'General Information'!$D$33,0,IFERROR(SUMIFS(INDIRECT("'"&amp;$G$7&amp;"'!$D$37:$D$52"),INDIRECT("'"&amp;$G$7&amp;"'!$C$37:$C$52"),W55,INDIRECT("'"&amp;$G$7&amp;"'!$B$37:$B$52"),"*Indirect*")/INDIRECT("'"&amp;$G$7&amp;"'!$F$2"),0)))</f>
        <v>0</v>
      </c>
    </row>
    <row r="56" customFormat="false" ht="15" hidden="false" customHeight="false" outlineLevel="0" collapsed="false">
      <c r="W56" s="133" t="n">
        <v>15</v>
      </c>
      <c r="X56" s="133" t="n">
        <f aca="false">'General Information'!$D$25+W56</f>
        <v>2043</v>
      </c>
      <c r="Y56" s="134" t="n">
        <f aca="true">IF($G$4="",0,IF(W56&gt;'General Information'!$D$33,0,IF(W56=0,$J$4,IFERROR(SUMIF(INDIRECT("'"&amp;$G$4&amp;"'!$C$37:$C$52"),W56,INDIRECT("'"&amp;$G$4&amp;"'!$D$37:$D$52")),0))))</f>
        <v>0</v>
      </c>
      <c r="Z56" s="134" t="n">
        <f aca="true">IF($G$5="",0,IF(W56&gt;'General Information'!$D$33,0,IF(W56=0,$J$5,IFERROR(SUMIF(INDIRECT("'"&amp;$G$5&amp;"'!$C$37:$C$52"),W56,INDIRECT("'"&amp;$G$5&amp;"'!$D$37:$D$52")),0))))</f>
        <v>0</v>
      </c>
      <c r="AA56" s="134" t="n">
        <f aca="true">IF($G$6="",0,IF(W56&gt;'General Information'!$D$33,0,IF(W56=0,$J$6,IFERROR(SUMIF(INDIRECT("'"&amp;$G$6&amp;"'!$C$37:$C$52"),W56,INDIRECT("'"&amp;$G$6&amp;"'!$D$37:$D$52")),0))))</f>
        <v>0</v>
      </c>
      <c r="AB56" s="134" t="n">
        <f aca="true">IF($G$7="",0,IF(W56&gt;'General Information'!$D$33,0,IF(W56=0,$J$7,IFERROR(SUMIF(INDIRECT("'"&amp;$G$7&amp;"'!$C$37:$C$52"),W56,INDIRECT("'"&amp;$G$7&amp;"'!$D$37:$D$52")),0))))</f>
        <v>0</v>
      </c>
      <c r="AC56" s="134" t="n">
        <f aca="true">IF($G$4="",0,AC55+IF(W56&gt;'General Information'!$D$33,0,IF(W56=0,$J$4,IFERROR(SUMIF(INDIRECT("'"&amp;$G$4&amp;"'!$C$37:$C$52"),W56,INDIRECT("'"&amp;$G$4&amp;"'!$E$37:$E$52")),0))))</f>
        <v>8209631.07043672</v>
      </c>
      <c r="AD56" s="134" t="n">
        <f aca="true">IF($G$5="",0,AD55+IF(W56&gt;'General Information'!$D$33,0,IF(W56=0,$J$5,IFERROR(SUMIF(INDIRECT("'"&amp;$G$5&amp;"'!$C$37:$C$52"),W56,INDIRECT("'"&amp;$G$5&amp;"'!$E$37:$E$52")),0))))</f>
        <v>9062465.75</v>
      </c>
      <c r="AE56" s="134" t="n">
        <f aca="true">IF($G$6="",0,AE55+IF(W56&gt;'General Information'!$D$33,0,IF(W56=0,$J$6,IFERROR(SUMIF(INDIRECT("'"&amp;$G$6&amp;"'!$C$37:$C$52"),W56,INDIRECT("'"&amp;$G$6&amp;"'!$E$37:$E$52")),0))))</f>
        <v>0</v>
      </c>
      <c r="AF56" s="134" t="n">
        <f aca="true">IF($G$7="",0,AF55+IF(W56&gt;'General Information'!$D$33,0,IF(W56=0,$J$7,IFERROR(SUMIF(INDIRECT("'"&amp;$G$7&amp;"'!$C$37:$C$52"),W56,INDIRECT("'"&amp;$G$7&amp;"'!$E$37:$E$52")),0))))</f>
        <v>0</v>
      </c>
      <c r="AG56" s="139" t="n">
        <f aca="true">IF($G$4="",0,IF(W56&gt;'General Information'!$D$33,0,IFERROR(SUMIFS(INDIRECT("'"&amp;$G$4&amp;"'!$D$37:$D$52"),INDIRECT("'"&amp;$G$4&amp;"'!$C$37:$C$52"),W56,INDIRECT("'"&amp;$G$4&amp;"'!$B$37:$B$52"),"*Indirect*")/INDIRECT("'"&amp;$G$4&amp;"'!$F$2"),0)))</f>
        <v>0</v>
      </c>
      <c r="AH56" s="139" t="n">
        <f aca="true">IF($G$5="",0,IF(W56&gt;'General Information'!$D$33,0,IFERROR(SUMIFS(INDIRECT("'"&amp;$G$5&amp;"'!$D$37:$D$52"),INDIRECT("'"&amp;$G$5&amp;"'!$C$37:$C$52"),W56,INDIRECT("'"&amp;$G$5&amp;"'!$B$37:$B$52"),"*Indirect*")/INDIRECT("'"&amp;$G$5&amp;"'!$F$2"),0)))</f>
        <v>0</v>
      </c>
      <c r="AI56" s="139" t="n">
        <f aca="true">IF($G$6="",0,IF(W56&gt;'General Information'!$D$33,0,IFERROR(SUMIFS(INDIRECT("'"&amp;$G$6&amp;"'!$D$37:$D$52"),INDIRECT("'"&amp;$G$6&amp;"'!$C$37:$C$52"),W56,INDIRECT("'"&amp;$G$6&amp;"'!$B$37:$B$52"),"*Indirect*")/INDIRECT("'"&amp;$G$6&amp;"'!$F$2"),0)))</f>
        <v>0</v>
      </c>
      <c r="AJ56" s="139" t="n">
        <f aca="true">IF($G$7="",0,IF(W56&gt;'General Information'!$D$33,0,IFERROR(SUMIFS(INDIRECT("'"&amp;$G$7&amp;"'!$D$37:$D$52"),INDIRECT("'"&amp;$G$7&amp;"'!$C$37:$C$52"),W56,INDIRECT("'"&amp;$G$7&amp;"'!$B$37:$B$52"),"*Indirect*")/INDIRECT("'"&amp;$G$7&amp;"'!$F$2"),0)))</f>
        <v>0</v>
      </c>
    </row>
    <row r="57" customFormat="false" ht="15" hidden="false" customHeight="false" outlineLevel="0" collapsed="false">
      <c r="W57" s="133" t="n">
        <v>16</v>
      </c>
      <c r="X57" s="133" t="n">
        <f aca="false">'General Information'!$D$25+W57</f>
        <v>2044</v>
      </c>
      <c r="Y57" s="134" t="n">
        <f aca="true">IF($G$4="",0,IF(W57&gt;'General Information'!$D$33,0,IF(W57=0,$J$4,IFERROR(SUMIF(INDIRECT("'"&amp;$G$4&amp;"'!$C$37:$C$52"),W57,INDIRECT("'"&amp;$G$4&amp;"'!$D$37:$D$52")),0))))</f>
        <v>515990.152916667</v>
      </c>
      <c r="Z57" s="134" t="n">
        <f aca="true">IF($G$5="",0,IF(W57&gt;'General Information'!$D$33,0,IF(W57=0,$J$5,IFERROR(SUMIF(INDIRECT("'"&amp;$G$5&amp;"'!$C$37:$C$52"),W57,INDIRECT("'"&amp;$G$5&amp;"'!$D$37:$D$52")),0))))</f>
        <v>0</v>
      </c>
      <c r="AA57" s="134" t="n">
        <f aca="true">IF($G$6="",0,IF(W57&gt;'General Information'!$D$33,0,IF(W57=0,$J$6,IFERROR(SUMIF(INDIRECT("'"&amp;$G$6&amp;"'!$C$37:$C$52"),W57,INDIRECT("'"&amp;$G$6&amp;"'!$D$37:$D$52")),0))))</f>
        <v>0</v>
      </c>
      <c r="AB57" s="134" t="n">
        <f aca="true">IF($G$7="",0,IF(W57&gt;'General Information'!$D$33,0,IF(W57=0,$J$7,IFERROR(SUMIF(INDIRECT("'"&amp;$G$7&amp;"'!$C$37:$C$52"),W57,INDIRECT("'"&amp;$G$7&amp;"'!$D$37:$D$52")),0))))</f>
        <v>0</v>
      </c>
      <c r="AC57" s="134" t="n">
        <f aca="true">IF($G$4="",0,AC56+IF(W57&gt;'General Information'!$D$33,0,IF(W57=0,$J$4,IFERROR(SUMIF(INDIRECT("'"&amp;$G$4&amp;"'!$C$37:$C$52"),W57,INDIRECT("'"&amp;$G$4&amp;"'!$E$37:$E$52")),0))))</f>
        <v>8531179.07469751</v>
      </c>
      <c r="AD57" s="134" t="n">
        <f aca="true">IF($G$5="",0,AD56+IF(W57&gt;'General Information'!$D$33,0,IF(W57=0,$J$5,IFERROR(SUMIF(INDIRECT("'"&amp;$G$5&amp;"'!$C$37:$C$52"),W57,INDIRECT("'"&amp;$G$5&amp;"'!$E$37:$E$52")),0))))</f>
        <v>9062465.75</v>
      </c>
      <c r="AE57" s="134" t="n">
        <f aca="true">IF($G$6="",0,AE56+IF(W57&gt;'General Information'!$D$33,0,IF(W57=0,$J$6,IFERROR(SUMIF(INDIRECT("'"&amp;$G$6&amp;"'!$C$37:$C$52"),W57,INDIRECT("'"&amp;$G$6&amp;"'!$E$37:$E$52")),0))))</f>
        <v>0</v>
      </c>
      <c r="AF57" s="134" t="n">
        <f aca="true">IF($G$7="",0,AF56+IF(W57&gt;'General Information'!$D$33,0,IF(W57=0,$J$7,IFERROR(SUMIF(INDIRECT("'"&amp;$G$7&amp;"'!$C$37:$C$52"),W57,INDIRECT("'"&amp;$G$7&amp;"'!$E$37:$E$52")),0))))</f>
        <v>0</v>
      </c>
      <c r="AG57" s="139" t="n">
        <f aca="true">IF($G$4="",0,IF(W57&gt;'General Information'!$D$33,0,IFERROR(SUMIFS(INDIRECT("'"&amp;$G$4&amp;"'!$D$37:$D$52"),INDIRECT("'"&amp;$G$4&amp;"'!$C$37:$C$52"),W57,INDIRECT("'"&amp;$G$4&amp;"'!$B$37:$B$52"),"*Indirect*")/INDIRECT("'"&amp;$G$4&amp;"'!$F$2"),0)))</f>
        <v>9</v>
      </c>
      <c r="AH57" s="139" t="n">
        <f aca="true">IF($G$5="",0,IF(W57&gt;'General Information'!$D$33,0,IFERROR(SUMIFS(INDIRECT("'"&amp;$G$5&amp;"'!$D$37:$D$52"),INDIRECT("'"&amp;$G$5&amp;"'!$C$37:$C$52"),W57,INDIRECT("'"&amp;$G$5&amp;"'!$B$37:$B$52"),"*Indirect*")/INDIRECT("'"&amp;$G$5&amp;"'!$F$2"),0)))</f>
        <v>0</v>
      </c>
      <c r="AI57" s="139" t="n">
        <f aca="true">IF($G$6="",0,IF(W57&gt;'General Information'!$D$33,0,IFERROR(SUMIFS(INDIRECT("'"&amp;$G$6&amp;"'!$D$37:$D$52"),INDIRECT("'"&amp;$G$6&amp;"'!$C$37:$C$52"),W57,INDIRECT("'"&amp;$G$6&amp;"'!$B$37:$B$52"),"*Indirect*")/INDIRECT("'"&amp;$G$6&amp;"'!$F$2"),0)))</f>
        <v>0</v>
      </c>
      <c r="AJ57" s="139" t="n">
        <f aca="true">IF($G$7="",0,IF(W57&gt;'General Information'!$D$33,0,IFERROR(SUMIFS(INDIRECT("'"&amp;$G$7&amp;"'!$D$37:$D$52"),INDIRECT("'"&amp;$G$7&amp;"'!$C$37:$C$52"),W57,INDIRECT("'"&amp;$G$7&amp;"'!$B$37:$B$52"),"*Indirect*")/INDIRECT("'"&amp;$G$7&amp;"'!$F$2"),0)))</f>
        <v>0</v>
      </c>
    </row>
    <row r="58" customFormat="false" ht="15" hidden="false" customHeight="false" outlineLevel="0" collapsed="false">
      <c r="W58" s="133" t="n">
        <v>17</v>
      </c>
      <c r="X58" s="133" t="n">
        <f aca="false">'General Information'!$D$25+W58</f>
        <v>2045</v>
      </c>
      <c r="Y58" s="134" t="n">
        <f aca="true">IF($G$4="",0,IF(W58&gt;'General Information'!$D$33,0,IF(W58=0,$J$4,IFERROR(SUMIF(INDIRECT("'"&amp;$G$4&amp;"'!$C$37:$C$52"),W58,INDIRECT("'"&amp;$G$4&amp;"'!$D$37:$D$52")),0))))</f>
        <v>0</v>
      </c>
      <c r="Z58" s="134" t="n">
        <f aca="true">IF($G$5="",0,IF(W58&gt;'General Information'!$D$33,0,IF(W58=0,$J$5,IFERROR(SUMIF(INDIRECT("'"&amp;$G$5&amp;"'!$C$37:$C$52"),W58,INDIRECT("'"&amp;$G$5&amp;"'!$D$37:$D$52")),0))))</f>
        <v>0</v>
      </c>
      <c r="AA58" s="134" t="n">
        <f aca="true">IF($G$6="",0,IF(W58&gt;'General Information'!$D$33,0,IF(W58=0,$J$6,IFERROR(SUMIF(INDIRECT("'"&amp;$G$6&amp;"'!$C$37:$C$52"),W58,INDIRECT("'"&amp;$G$6&amp;"'!$D$37:$D$52")),0))))</f>
        <v>0</v>
      </c>
      <c r="AB58" s="134" t="n">
        <f aca="true">IF($G$7="",0,IF(W58&gt;'General Information'!$D$33,0,IF(W58=0,$J$7,IFERROR(SUMIF(INDIRECT("'"&amp;$G$7&amp;"'!$C$37:$C$52"),W58,INDIRECT("'"&amp;$G$7&amp;"'!$D$37:$D$52")),0))))</f>
        <v>0</v>
      </c>
      <c r="AC58" s="134" t="n">
        <f aca="true">IF($G$4="",0,AC57+IF(W58&gt;'General Information'!$D$33,0,IF(W58=0,$J$4,IFERROR(SUMIF(INDIRECT("'"&amp;$G$4&amp;"'!$C$37:$C$52"),W58,INDIRECT("'"&amp;$G$4&amp;"'!$E$37:$E$52")),0))))</f>
        <v>8531179.07469751</v>
      </c>
      <c r="AD58" s="134" t="n">
        <f aca="true">IF($G$5="",0,AD57+IF(W58&gt;'General Information'!$D$33,0,IF(W58=0,$J$5,IFERROR(SUMIF(INDIRECT("'"&amp;$G$5&amp;"'!$C$37:$C$52"),W58,INDIRECT("'"&amp;$G$5&amp;"'!$E$37:$E$52")),0))))</f>
        <v>9062465.75</v>
      </c>
      <c r="AE58" s="134" t="n">
        <f aca="true">IF($G$6="",0,AE57+IF(W58&gt;'General Information'!$D$33,0,IF(W58=0,$J$6,IFERROR(SUMIF(INDIRECT("'"&amp;$G$6&amp;"'!$C$37:$C$52"),W58,INDIRECT("'"&amp;$G$6&amp;"'!$E$37:$E$52")),0))))</f>
        <v>0</v>
      </c>
      <c r="AF58" s="134" t="n">
        <f aca="true">IF($G$7="",0,AF57+IF(W58&gt;'General Information'!$D$33,0,IF(W58=0,$J$7,IFERROR(SUMIF(INDIRECT("'"&amp;$G$7&amp;"'!$C$37:$C$52"),W58,INDIRECT("'"&amp;$G$7&amp;"'!$E$37:$E$52")),0))))</f>
        <v>0</v>
      </c>
      <c r="AG58" s="139" t="n">
        <f aca="true">IF($G$4="",0,IF(W58&gt;'General Information'!$D$33,0,IFERROR(SUMIFS(INDIRECT("'"&amp;$G$4&amp;"'!$D$37:$D$52"),INDIRECT("'"&amp;$G$4&amp;"'!$C$37:$C$52"),W58,INDIRECT("'"&amp;$G$4&amp;"'!$B$37:$B$52"),"*Indirect*")/INDIRECT("'"&amp;$G$4&amp;"'!$F$2"),0)))</f>
        <v>0</v>
      </c>
      <c r="AH58" s="139" t="n">
        <f aca="true">IF($G$5="",0,IF(W58&gt;'General Information'!$D$33,0,IFERROR(SUMIFS(INDIRECT("'"&amp;$G$5&amp;"'!$D$37:$D$52"),INDIRECT("'"&amp;$G$5&amp;"'!$C$37:$C$52"),W58,INDIRECT("'"&amp;$G$5&amp;"'!$B$37:$B$52"),"*Indirect*")/INDIRECT("'"&amp;$G$5&amp;"'!$F$2"),0)))</f>
        <v>0</v>
      </c>
      <c r="AI58" s="139" t="n">
        <f aca="true">IF($G$6="",0,IF(W58&gt;'General Information'!$D$33,0,IFERROR(SUMIFS(INDIRECT("'"&amp;$G$6&amp;"'!$D$37:$D$52"),INDIRECT("'"&amp;$G$6&amp;"'!$C$37:$C$52"),W58,INDIRECT("'"&amp;$G$6&amp;"'!$B$37:$B$52"),"*Indirect*")/INDIRECT("'"&amp;$G$6&amp;"'!$F$2"),0)))</f>
        <v>0</v>
      </c>
      <c r="AJ58" s="139" t="n">
        <f aca="true">IF($G$7="",0,IF(W58&gt;'General Information'!$D$33,0,IFERROR(SUMIFS(INDIRECT("'"&amp;$G$7&amp;"'!$D$37:$D$52"),INDIRECT("'"&amp;$G$7&amp;"'!$C$37:$C$52"),W58,INDIRECT("'"&amp;$G$7&amp;"'!$B$37:$B$52"),"*Indirect*")/INDIRECT("'"&amp;$G$7&amp;"'!$F$2"),0)))</f>
        <v>0</v>
      </c>
    </row>
    <row r="59" customFormat="false" ht="15" hidden="false" customHeight="false" outlineLevel="0" collapsed="false">
      <c r="W59" s="133" t="n">
        <v>18</v>
      </c>
      <c r="X59" s="133" t="n">
        <f aca="false">'General Information'!$D$25+W59</f>
        <v>2046</v>
      </c>
      <c r="Y59" s="134" t="n">
        <f aca="true">IF($G$4="",0,IF(W59&gt;'General Information'!$D$33,0,IF(W59=0,$J$4,IFERROR(SUMIF(INDIRECT("'"&amp;$G$4&amp;"'!$C$37:$C$52"),W59,INDIRECT("'"&amp;$G$4&amp;"'!$D$37:$D$52")),0))))</f>
        <v>0</v>
      </c>
      <c r="Z59" s="134" t="n">
        <f aca="true">IF($G$5="",0,IF(W59&gt;'General Information'!$D$33,0,IF(W59=0,$J$5,IFERROR(SUMIF(INDIRECT("'"&amp;$G$5&amp;"'!$C$37:$C$52"),W59,INDIRECT("'"&amp;$G$5&amp;"'!$D$37:$D$52")),0))))</f>
        <v>0</v>
      </c>
      <c r="AA59" s="134" t="n">
        <f aca="true">IF($G$6="",0,IF(W59&gt;'General Information'!$D$33,0,IF(W59=0,$J$6,IFERROR(SUMIF(INDIRECT("'"&amp;$G$6&amp;"'!$C$37:$C$52"),W59,INDIRECT("'"&amp;$G$6&amp;"'!$D$37:$D$52")),0))))</f>
        <v>0</v>
      </c>
      <c r="AB59" s="134" t="n">
        <f aca="true">IF($G$7="",0,IF(W59&gt;'General Information'!$D$33,0,IF(W59=0,$J$7,IFERROR(SUMIF(INDIRECT("'"&amp;$G$7&amp;"'!$C$37:$C$52"),W59,INDIRECT("'"&amp;$G$7&amp;"'!$D$37:$D$52")),0))))</f>
        <v>0</v>
      </c>
      <c r="AC59" s="134" t="n">
        <f aca="true">IF($G$4="",0,AC58+IF(W59&gt;'General Information'!$D$33,0,IF(W59=0,$J$4,IFERROR(SUMIF(INDIRECT("'"&amp;$G$4&amp;"'!$C$37:$C$52"),W59,INDIRECT("'"&amp;$G$4&amp;"'!$E$37:$E$52")),0))))</f>
        <v>8531179.07469751</v>
      </c>
      <c r="AD59" s="134" t="n">
        <f aca="true">IF($G$5="",0,AD58+IF(W59&gt;'General Information'!$D$33,0,IF(W59=0,$J$5,IFERROR(SUMIF(INDIRECT("'"&amp;$G$5&amp;"'!$C$37:$C$52"),W59,INDIRECT("'"&amp;$G$5&amp;"'!$E$37:$E$52")),0))))</f>
        <v>9062465.75</v>
      </c>
      <c r="AE59" s="134" t="n">
        <f aca="true">IF($G$6="",0,AE58+IF(W59&gt;'General Information'!$D$33,0,IF(W59=0,$J$6,IFERROR(SUMIF(INDIRECT("'"&amp;$G$6&amp;"'!$C$37:$C$52"),W59,INDIRECT("'"&amp;$G$6&amp;"'!$E$37:$E$52")),0))))</f>
        <v>0</v>
      </c>
      <c r="AF59" s="134" t="n">
        <f aca="true">IF($G$7="",0,AF58+IF(W59&gt;'General Information'!$D$33,0,IF(W59=0,$J$7,IFERROR(SUMIF(INDIRECT("'"&amp;$G$7&amp;"'!$C$37:$C$52"),W59,INDIRECT("'"&amp;$G$7&amp;"'!$E$37:$E$52")),0))))</f>
        <v>0</v>
      </c>
      <c r="AG59" s="139" t="n">
        <f aca="true">IF($G$4="",0,IF(W59&gt;'General Information'!$D$33,0,IFERROR(SUMIFS(INDIRECT("'"&amp;$G$4&amp;"'!$D$37:$D$52"),INDIRECT("'"&amp;$G$4&amp;"'!$C$37:$C$52"),W59,INDIRECT("'"&amp;$G$4&amp;"'!$B$37:$B$52"),"*Indirect*")/INDIRECT("'"&amp;$G$4&amp;"'!$F$2"),0)))</f>
        <v>0</v>
      </c>
      <c r="AH59" s="139" t="n">
        <f aca="true">IF($G$5="",0,IF(W59&gt;'General Information'!$D$33,0,IFERROR(SUMIFS(INDIRECT("'"&amp;$G$5&amp;"'!$D$37:$D$52"),INDIRECT("'"&amp;$G$5&amp;"'!$C$37:$C$52"),W59,INDIRECT("'"&amp;$G$5&amp;"'!$B$37:$B$52"),"*Indirect*")/INDIRECT("'"&amp;$G$5&amp;"'!$F$2"),0)))</f>
        <v>0</v>
      </c>
      <c r="AI59" s="139" t="n">
        <f aca="true">IF($G$6="",0,IF(W59&gt;'General Information'!$D$33,0,IFERROR(SUMIFS(INDIRECT("'"&amp;$G$6&amp;"'!$D$37:$D$52"),INDIRECT("'"&amp;$G$6&amp;"'!$C$37:$C$52"),W59,INDIRECT("'"&amp;$G$6&amp;"'!$B$37:$B$52"),"*Indirect*")/INDIRECT("'"&amp;$G$6&amp;"'!$F$2"),0)))</f>
        <v>0</v>
      </c>
      <c r="AJ59" s="139" t="n">
        <f aca="true">IF($G$7="",0,IF(W59&gt;'General Information'!$D$33,0,IFERROR(SUMIFS(INDIRECT("'"&amp;$G$7&amp;"'!$D$37:$D$52"),INDIRECT("'"&amp;$G$7&amp;"'!$C$37:$C$52"),W59,INDIRECT("'"&amp;$G$7&amp;"'!$B$37:$B$52"),"*Indirect*")/INDIRECT("'"&amp;$G$7&amp;"'!$F$2"),0)))</f>
        <v>0</v>
      </c>
    </row>
    <row r="60" customFormat="false" ht="15" hidden="false" customHeight="false" outlineLevel="0" collapsed="false">
      <c r="W60" s="133" t="n">
        <v>19</v>
      </c>
      <c r="X60" s="133" t="n">
        <f aca="false">'General Information'!$D$25+W60</f>
        <v>2047</v>
      </c>
      <c r="Y60" s="134" t="n">
        <f aca="true">IF($G$4="",0,IF(W60&gt;'General Information'!$D$33,0,IF(W60=0,$J$4,IFERROR(SUMIF(INDIRECT("'"&amp;$G$4&amp;"'!$C$37:$C$52"),W60,INDIRECT("'"&amp;$G$4&amp;"'!$D$37:$D$52")),0))))</f>
        <v>0</v>
      </c>
      <c r="Z60" s="134" t="n">
        <f aca="true">IF($G$5="",0,IF(W60&gt;'General Information'!$D$33,0,IF(W60=0,$J$5,IFERROR(SUMIF(INDIRECT("'"&amp;$G$5&amp;"'!$C$37:$C$52"),W60,INDIRECT("'"&amp;$G$5&amp;"'!$D$37:$D$52")),0))))</f>
        <v>948718.4816</v>
      </c>
      <c r="AA60" s="134" t="n">
        <f aca="true">IF($G$6="",0,IF(W60&gt;'General Information'!$D$33,0,IF(W60=0,$J$6,IFERROR(SUMIF(INDIRECT("'"&amp;$G$6&amp;"'!$C$37:$C$52"),W60,INDIRECT("'"&amp;$G$6&amp;"'!$D$37:$D$52")),0))))</f>
        <v>0</v>
      </c>
      <c r="AB60" s="134" t="n">
        <f aca="true">IF($G$7="",0,IF(W60&gt;'General Information'!$D$33,0,IF(W60=0,$J$7,IFERROR(SUMIF(INDIRECT("'"&amp;$G$7&amp;"'!$C$37:$C$52"),W60,INDIRECT("'"&amp;$G$7&amp;"'!$D$37:$D$52")),0))))</f>
        <v>0</v>
      </c>
      <c r="AC60" s="134" t="n">
        <f aca="true">IF($G$4="",0,AC59+IF(W60&gt;'General Information'!$D$33,0,IF(W60=0,$J$4,IFERROR(SUMIF(INDIRECT("'"&amp;$G$4&amp;"'!$C$37:$C$52"),W60,INDIRECT("'"&amp;$G$4&amp;"'!$E$37:$E$52")),0))))</f>
        <v>8531179.07469751</v>
      </c>
      <c r="AD60" s="134" t="n">
        <f aca="true">IF($G$5="",0,AD59+IF(W60&gt;'General Information'!$D$33,0,IF(W60=0,$J$5,IFERROR(SUMIF(INDIRECT("'"&amp;$G$5&amp;"'!$C$37:$C$52"),W60,INDIRECT("'"&amp;$G$5&amp;"'!$E$37:$E$52")),0))))</f>
        <v>9603506.64343471</v>
      </c>
      <c r="AE60" s="134" t="n">
        <f aca="true">IF($G$6="",0,AE59+IF(W60&gt;'General Information'!$D$33,0,IF(W60=0,$J$6,IFERROR(SUMIF(INDIRECT("'"&amp;$G$6&amp;"'!$C$37:$C$52"),W60,INDIRECT("'"&amp;$G$6&amp;"'!$E$37:$E$52")),0))))</f>
        <v>0</v>
      </c>
      <c r="AF60" s="134" t="n">
        <f aca="true">IF($G$7="",0,AF59+IF(W60&gt;'General Information'!$D$33,0,IF(W60=0,$J$7,IFERROR(SUMIF(INDIRECT("'"&amp;$G$7&amp;"'!$C$37:$C$52"),W60,INDIRECT("'"&amp;$G$7&amp;"'!$E$37:$E$52")),0))))</f>
        <v>0</v>
      </c>
      <c r="AG60" s="139" t="n">
        <f aca="true">IF($G$4="",0,IF(W60&gt;'General Information'!$D$33,0,IFERROR(SUMIFS(INDIRECT("'"&amp;$G$4&amp;"'!$D$37:$D$52"),INDIRECT("'"&amp;$G$4&amp;"'!$C$37:$C$52"),W60,INDIRECT("'"&amp;$G$4&amp;"'!$B$37:$B$52"),"*Indirect*")/INDIRECT("'"&amp;$G$4&amp;"'!$F$2"),0)))</f>
        <v>0</v>
      </c>
      <c r="AH60" s="139" t="n">
        <f aca="true">IF($G$5="",0,IF(W60&gt;'General Information'!$D$33,0,IFERROR(SUMIFS(INDIRECT("'"&amp;$G$5&amp;"'!$D$37:$D$52"),INDIRECT("'"&amp;$G$5&amp;"'!$C$37:$C$52"),W60,INDIRECT("'"&amp;$G$5&amp;"'!$B$37:$B$52"),"*Indirect*")/INDIRECT("'"&amp;$G$5&amp;"'!$F$2"),0)))</f>
        <v>10</v>
      </c>
      <c r="AI60" s="139" t="n">
        <f aca="true">IF($G$6="",0,IF(W60&gt;'General Information'!$D$33,0,IFERROR(SUMIFS(INDIRECT("'"&amp;$G$6&amp;"'!$D$37:$D$52"),INDIRECT("'"&amp;$G$6&amp;"'!$C$37:$C$52"),W60,INDIRECT("'"&amp;$G$6&amp;"'!$B$37:$B$52"),"*Indirect*")/INDIRECT("'"&amp;$G$6&amp;"'!$F$2"),0)))</f>
        <v>0</v>
      </c>
      <c r="AJ60" s="139" t="n">
        <f aca="true">IF($G$7="",0,IF(W60&gt;'General Information'!$D$33,0,IFERROR(SUMIFS(INDIRECT("'"&amp;$G$7&amp;"'!$D$37:$D$52"),INDIRECT("'"&amp;$G$7&amp;"'!$C$37:$C$52"),W60,INDIRECT("'"&amp;$G$7&amp;"'!$B$37:$B$52"),"*Indirect*")/INDIRECT("'"&amp;$G$7&amp;"'!$F$2"),0)))</f>
        <v>0</v>
      </c>
    </row>
    <row r="61" customFormat="false" ht="15" hidden="false" customHeight="false" outlineLevel="0" collapsed="false">
      <c r="W61" s="133" t="n">
        <v>20</v>
      </c>
      <c r="X61" s="133" t="n">
        <f aca="false">'General Information'!$D$25+W61</f>
        <v>2048</v>
      </c>
      <c r="Y61" s="134" t="n">
        <f aca="true">IF($G$4="",0,IF(W61&gt;'General Information'!$D$33,0,IF(W61=0,$J$4,IFERROR(SUMIF(INDIRECT("'"&amp;$G$4&amp;"'!$C$37:$C$52"),W61,INDIRECT("'"&amp;$G$4&amp;"'!$D$37:$D$52")),0))))</f>
        <v>1757615.166125</v>
      </c>
      <c r="Z61" s="134" t="n">
        <f aca="true">IF($G$5="",0,IF(W61&gt;'General Information'!$D$33,0,IF(W61=0,$J$5,IFERROR(SUMIF(INDIRECT("'"&amp;$G$5&amp;"'!$C$37:$C$52"),W61,INDIRECT("'"&amp;$G$5&amp;"'!$D$37:$D$52")),0))))</f>
        <v>0</v>
      </c>
      <c r="AA61" s="134" t="n">
        <f aca="true">IF($G$6="",0,IF(W61&gt;'General Information'!$D$33,0,IF(W61=0,$J$6,IFERROR(SUMIF(INDIRECT("'"&amp;$G$6&amp;"'!$C$37:$C$52"),W61,INDIRECT("'"&amp;$G$6&amp;"'!$D$37:$D$52")),0))))</f>
        <v>0</v>
      </c>
      <c r="AB61" s="134" t="n">
        <f aca="true">IF($G$7="",0,IF(W61&gt;'General Information'!$D$33,0,IF(W61=0,$J$7,IFERROR(SUMIF(INDIRECT("'"&amp;$G$7&amp;"'!$C$37:$C$52"),W61,INDIRECT("'"&amp;$G$7&amp;"'!$D$37:$D$52")),0))))</f>
        <v>0</v>
      </c>
      <c r="AC61" s="134" t="n">
        <f aca="true">IF($G$4="",0,AC60+IF(W61&gt;'General Information'!$D$33,0,IF(W61=0,$J$4,IFERROR(SUMIF(INDIRECT("'"&amp;$G$4&amp;"'!$C$37:$C$52"),W61,INDIRECT("'"&amp;$G$4&amp;"'!$E$37:$E$52")),0))))</f>
        <v>9504327.97737111</v>
      </c>
      <c r="AD61" s="134" t="n">
        <f aca="true">IF($G$5="",0,AD60+IF(W61&gt;'General Information'!$D$33,0,IF(W61=0,$J$5,IFERROR(SUMIF(INDIRECT("'"&amp;$G$5&amp;"'!$C$37:$C$52"),W61,INDIRECT("'"&amp;$G$5&amp;"'!$E$37:$E$52")),0))))</f>
        <v>9603506.64343471</v>
      </c>
      <c r="AE61" s="134" t="n">
        <f aca="true">IF($G$6="",0,AE60+IF(W61&gt;'General Information'!$D$33,0,IF(W61=0,$J$6,IFERROR(SUMIF(INDIRECT("'"&amp;$G$6&amp;"'!$C$37:$C$52"),W61,INDIRECT("'"&amp;$G$6&amp;"'!$E$37:$E$52")),0))))</f>
        <v>0</v>
      </c>
      <c r="AF61" s="134" t="n">
        <f aca="true">IF($G$7="",0,AF60+IF(W61&gt;'General Information'!$D$33,0,IF(W61=0,$J$7,IFERROR(SUMIF(INDIRECT("'"&amp;$G$7&amp;"'!$C$37:$C$52"),W61,INDIRECT("'"&amp;$G$7&amp;"'!$E$37:$E$52")),0))))</f>
        <v>0</v>
      </c>
      <c r="AG61" s="139" t="n">
        <f aca="true">IF($G$4="",0,IF(W61&gt;'General Information'!$D$33,0,IFERROR(SUMIFS(INDIRECT("'"&amp;$G$4&amp;"'!$D$37:$D$52"),INDIRECT("'"&amp;$G$4&amp;"'!$C$37:$C$52"),W61,INDIRECT("'"&amp;$G$4&amp;"'!$B$37:$B$52"),"*Indirect*")/INDIRECT("'"&amp;$G$4&amp;"'!$F$2"),0)))</f>
        <v>19</v>
      </c>
      <c r="AH61" s="139" t="n">
        <f aca="true">IF($G$5="",0,IF(W61&gt;'General Information'!$D$33,0,IFERROR(SUMIFS(INDIRECT("'"&amp;$G$5&amp;"'!$D$37:$D$52"),INDIRECT("'"&amp;$G$5&amp;"'!$C$37:$C$52"),W61,INDIRECT("'"&amp;$G$5&amp;"'!$B$37:$B$52"),"*Indirect*")/INDIRECT("'"&amp;$G$5&amp;"'!$F$2"),0)))</f>
        <v>0</v>
      </c>
      <c r="AI61" s="139" t="n">
        <f aca="true">IF($G$6="",0,IF(W61&gt;'General Information'!$D$33,0,IFERROR(SUMIFS(INDIRECT("'"&amp;$G$6&amp;"'!$D$37:$D$52"),INDIRECT("'"&amp;$G$6&amp;"'!$C$37:$C$52"),W61,INDIRECT("'"&amp;$G$6&amp;"'!$B$37:$B$52"),"*Indirect*")/INDIRECT("'"&amp;$G$6&amp;"'!$F$2"),0)))</f>
        <v>0</v>
      </c>
      <c r="AJ61" s="139" t="n">
        <f aca="true">IF($G$7="",0,IF(W61&gt;'General Information'!$D$33,0,IFERROR(SUMIFS(INDIRECT("'"&amp;$G$7&amp;"'!$D$37:$D$52"),INDIRECT("'"&amp;$G$7&amp;"'!$C$37:$C$52"),W61,INDIRECT("'"&amp;$G$7&amp;"'!$B$37:$B$52"),"*Indirect*")/INDIRECT("'"&amp;$G$7&amp;"'!$F$2"),0)))</f>
        <v>0</v>
      </c>
    </row>
    <row r="62" customFormat="false" ht="15" hidden="false" customHeight="false" outlineLevel="0" collapsed="false">
      <c r="W62" s="133" t="n">
        <v>21</v>
      </c>
      <c r="X62" s="133" t="n">
        <f aca="false">'General Information'!$D$25+W62</f>
        <v>2049</v>
      </c>
      <c r="Y62" s="134" t="n">
        <f aca="true">IF($G$4="",0,IF(W62&gt;'General Information'!$D$33,0,IF(W62=0,$J$4,IFERROR(SUMIF(INDIRECT("'"&amp;$G$4&amp;"'!$C$37:$C$52"),W62,INDIRECT("'"&amp;$G$4&amp;"'!$D$37:$D$52")),0))))</f>
        <v>0</v>
      </c>
      <c r="Z62" s="134" t="n">
        <f aca="true">IF($G$5="",0,IF(W62&gt;'General Information'!$D$33,0,IF(W62=0,$J$5,IFERROR(SUMIF(INDIRECT("'"&amp;$G$5&amp;"'!$C$37:$C$52"),W62,INDIRECT("'"&amp;$G$5&amp;"'!$D$37:$D$52")),0))))</f>
        <v>0</v>
      </c>
      <c r="AA62" s="134" t="n">
        <f aca="true">IF($G$6="",0,IF(W62&gt;'General Information'!$D$33,0,IF(W62=0,$J$6,IFERROR(SUMIF(INDIRECT("'"&amp;$G$6&amp;"'!$C$37:$C$52"),W62,INDIRECT("'"&amp;$G$6&amp;"'!$D$37:$D$52")),0))))</f>
        <v>0</v>
      </c>
      <c r="AB62" s="134" t="n">
        <f aca="true">IF($G$7="",0,IF(W62&gt;'General Information'!$D$33,0,IF(W62=0,$J$7,IFERROR(SUMIF(INDIRECT("'"&amp;$G$7&amp;"'!$C$37:$C$52"),W62,INDIRECT("'"&amp;$G$7&amp;"'!$D$37:$D$52")),0))))</f>
        <v>0</v>
      </c>
      <c r="AC62" s="134" t="n">
        <f aca="true">IF($G$4="",0,AC61+IF(W62&gt;'General Information'!$D$33,0,IF(W62=0,$J$4,IFERROR(SUMIF(INDIRECT("'"&amp;$G$4&amp;"'!$C$37:$C$52"),W62,INDIRECT("'"&amp;$G$4&amp;"'!$E$37:$E$52")),0))))</f>
        <v>9504327.97737111</v>
      </c>
      <c r="AD62" s="134" t="n">
        <f aca="true">IF($G$5="",0,AD61+IF(W62&gt;'General Information'!$D$33,0,IF(W62=0,$J$5,IFERROR(SUMIF(INDIRECT("'"&amp;$G$5&amp;"'!$C$37:$C$52"),W62,INDIRECT("'"&amp;$G$5&amp;"'!$E$37:$E$52")),0))))</f>
        <v>9603506.64343471</v>
      </c>
      <c r="AE62" s="134" t="n">
        <f aca="true">IF($G$6="",0,AE61+IF(W62&gt;'General Information'!$D$33,0,IF(W62=0,$J$6,IFERROR(SUMIF(INDIRECT("'"&amp;$G$6&amp;"'!$C$37:$C$52"),W62,INDIRECT("'"&amp;$G$6&amp;"'!$E$37:$E$52")),0))))</f>
        <v>0</v>
      </c>
      <c r="AF62" s="134" t="n">
        <f aca="true">IF($G$7="",0,AF61+IF(W62&gt;'General Information'!$D$33,0,IF(W62=0,$J$7,IFERROR(SUMIF(INDIRECT("'"&amp;$G$7&amp;"'!$C$37:$C$52"),W62,INDIRECT("'"&amp;$G$7&amp;"'!$E$37:$E$52")),0))))</f>
        <v>0</v>
      </c>
      <c r="AG62" s="139" t="n">
        <f aca="true">IF($G$4="",0,IF(W62&gt;'General Information'!$D$33,0,IFERROR(SUMIFS(INDIRECT("'"&amp;$G$4&amp;"'!$D$37:$D$52"),INDIRECT("'"&amp;$G$4&amp;"'!$C$37:$C$52"),W62,INDIRECT("'"&amp;$G$4&amp;"'!$B$37:$B$52"),"*Indirect*")/INDIRECT("'"&amp;$G$4&amp;"'!$F$2"),0)))</f>
        <v>0</v>
      </c>
      <c r="AH62" s="139" t="n">
        <f aca="true">IF($G$5="",0,IF(W62&gt;'General Information'!$D$33,0,IFERROR(SUMIFS(INDIRECT("'"&amp;$G$5&amp;"'!$D$37:$D$52"),INDIRECT("'"&amp;$G$5&amp;"'!$C$37:$C$52"),W62,INDIRECT("'"&amp;$G$5&amp;"'!$B$37:$B$52"),"*Indirect*")/INDIRECT("'"&amp;$G$5&amp;"'!$F$2"),0)))</f>
        <v>0</v>
      </c>
      <c r="AI62" s="139" t="n">
        <f aca="true">IF($G$6="",0,IF(W62&gt;'General Information'!$D$33,0,IFERROR(SUMIFS(INDIRECT("'"&amp;$G$6&amp;"'!$D$37:$D$52"),INDIRECT("'"&amp;$G$6&amp;"'!$C$37:$C$52"),W62,INDIRECT("'"&amp;$G$6&amp;"'!$B$37:$B$52"),"*Indirect*")/INDIRECT("'"&amp;$G$6&amp;"'!$F$2"),0)))</f>
        <v>0</v>
      </c>
      <c r="AJ62" s="139" t="n">
        <f aca="true">IF($G$7="",0,IF(W62&gt;'General Information'!$D$33,0,IFERROR(SUMIFS(INDIRECT("'"&amp;$G$7&amp;"'!$D$37:$D$52"),INDIRECT("'"&amp;$G$7&amp;"'!$C$37:$C$52"),W62,INDIRECT("'"&amp;$G$7&amp;"'!$B$37:$B$52"),"*Indirect*")/INDIRECT("'"&amp;$G$7&amp;"'!$F$2"),0)))</f>
        <v>0</v>
      </c>
    </row>
    <row r="63" customFormat="false" ht="15" hidden="false" customHeight="false" outlineLevel="0" collapsed="false">
      <c r="W63" s="133" t="n">
        <v>22</v>
      </c>
      <c r="X63" s="133" t="n">
        <f aca="false">'General Information'!$D$25+W63</f>
        <v>2050</v>
      </c>
      <c r="Y63" s="134" t="n">
        <f aca="true">IF($G$4="",0,IF(W63&gt;'General Information'!$D$33,0,IF(W63=0,$J$4,IFERROR(SUMIF(INDIRECT("'"&amp;$G$4&amp;"'!$C$37:$C$52"),W63,INDIRECT("'"&amp;$G$4&amp;"'!$D$37:$D$52")),0))))</f>
        <v>0</v>
      </c>
      <c r="Z63" s="134" t="n">
        <f aca="true">IF($G$5="",0,IF(W63&gt;'General Information'!$D$33,0,IF(W63=0,$J$5,IFERROR(SUMIF(INDIRECT("'"&amp;$G$5&amp;"'!$C$37:$C$52"),W63,INDIRECT("'"&amp;$G$5&amp;"'!$D$37:$D$52")),0))))</f>
        <v>0</v>
      </c>
      <c r="AA63" s="134" t="n">
        <f aca="true">IF($G$6="",0,IF(W63&gt;'General Information'!$D$33,0,IF(W63=0,$J$6,IFERROR(SUMIF(INDIRECT("'"&amp;$G$6&amp;"'!$C$37:$C$52"),W63,INDIRECT("'"&amp;$G$6&amp;"'!$D$37:$D$52")),0))))</f>
        <v>0</v>
      </c>
      <c r="AB63" s="134" t="n">
        <f aca="true">IF($G$7="",0,IF(W63&gt;'General Information'!$D$33,0,IF(W63=0,$J$7,IFERROR(SUMIF(INDIRECT("'"&amp;$G$7&amp;"'!$C$37:$C$52"),W63,INDIRECT("'"&amp;$G$7&amp;"'!$D$37:$D$52")),0))))</f>
        <v>0</v>
      </c>
      <c r="AC63" s="134" t="n">
        <f aca="true">IF($G$4="",0,AC62+IF(W63&gt;'General Information'!$D$33,0,IF(W63=0,$J$4,IFERROR(SUMIF(INDIRECT("'"&amp;$G$4&amp;"'!$C$37:$C$52"),W63,INDIRECT("'"&amp;$G$4&amp;"'!$E$37:$E$52")),0))))</f>
        <v>9504327.97737111</v>
      </c>
      <c r="AD63" s="134" t="n">
        <f aca="true">IF($G$5="",0,AD62+IF(W63&gt;'General Information'!$D$33,0,IF(W63=0,$J$5,IFERROR(SUMIF(INDIRECT("'"&amp;$G$5&amp;"'!$C$37:$C$52"),W63,INDIRECT("'"&amp;$G$5&amp;"'!$E$37:$E$52")),0))))</f>
        <v>9603506.64343471</v>
      </c>
      <c r="AE63" s="134" t="n">
        <f aca="true">IF($G$6="",0,AE62+IF(W63&gt;'General Information'!$D$33,0,IF(W63=0,$J$6,IFERROR(SUMIF(INDIRECT("'"&amp;$G$6&amp;"'!$C$37:$C$52"),W63,INDIRECT("'"&amp;$G$6&amp;"'!$E$37:$E$52")),0))))</f>
        <v>0</v>
      </c>
      <c r="AF63" s="134" t="n">
        <f aca="true">IF($G$7="",0,AF62+IF(W63&gt;'General Information'!$D$33,0,IF(W63=0,$J$7,IFERROR(SUMIF(INDIRECT("'"&amp;$G$7&amp;"'!$C$37:$C$52"),W63,INDIRECT("'"&amp;$G$7&amp;"'!$E$37:$E$52")),0))))</f>
        <v>0</v>
      </c>
      <c r="AG63" s="139" t="n">
        <f aca="true">IF($G$4="",0,IF(W63&gt;'General Information'!$D$33,0,IFERROR(SUMIFS(INDIRECT("'"&amp;$G$4&amp;"'!$D$37:$D$52"),INDIRECT("'"&amp;$G$4&amp;"'!$C$37:$C$52"),W63,INDIRECT("'"&amp;$G$4&amp;"'!$B$37:$B$52"),"*Indirect*")/INDIRECT("'"&amp;$G$4&amp;"'!$F$2"),0)))</f>
        <v>0</v>
      </c>
      <c r="AH63" s="139" t="n">
        <f aca="true">IF($G$5="",0,IF(W63&gt;'General Information'!$D$33,0,IFERROR(SUMIFS(INDIRECT("'"&amp;$G$5&amp;"'!$D$37:$D$52"),INDIRECT("'"&amp;$G$5&amp;"'!$C$37:$C$52"),W63,INDIRECT("'"&amp;$G$5&amp;"'!$B$37:$B$52"),"*Indirect*")/INDIRECT("'"&amp;$G$5&amp;"'!$F$2"),0)))</f>
        <v>0</v>
      </c>
      <c r="AI63" s="139" t="n">
        <f aca="true">IF($G$6="",0,IF(W63&gt;'General Information'!$D$33,0,IFERROR(SUMIFS(INDIRECT("'"&amp;$G$6&amp;"'!$D$37:$D$52"),INDIRECT("'"&amp;$G$6&amp;"'!$C$37:$C$52"),W63,INDIRECT("'"&amp;$G$6&amp;"'!$B$37:$B$52"),"*Indirect*")/INDIRECT("'"&amp;$G$6&amp;"'!$F$2"),0)))</f>
        <v>0</v>
      </c>
      <c r="AJ63" s="139" t="n">
        <f aca="true">IF($G$7="",0,IF(W63&gt;'General Information'!$D$33,0,IFERROR(SUMIFS(INDIRECT("'"&amp;$G$7&amp;"'!$D$37:$D$52"),INDIRECT("'"&amp;$G$7&amp;"'!$C$37:$C$52"),W63,INDIRECT("'"&amp;$G$7&amp;"'!$B$37:$B$52"),"*Indirect*")/INDIRECT("'"&amp;$G$7&amp;"'!$F$2"),0)))</f>
        <v>0</v>
      </c>
    </row>
    <row r="64" customFormat="false" ht="15" hidden="false" customHeight="false" outlineLevel="0" collapsed="false">
      <c r="W64" s="133" t="n">
        <v>23</v>
      </c>
      <c r="X64" s="133" t="n">
        <f aca="false">'General Information'!$D$25+W64</f>
        <v>2051</v>
      </c>
      <c r="Y64" s="134" t="n">
        <f aca="true">IF($G$4="",0,IF(W64&gt;'General Information'!$D$33,0,IF(W64=0,$J$4,IFERROR(SUMIF(INDIRECT("'"&amp;$G$4&amp;"'!$C$37:$C$52"),W64,INDIRECT("'"&amp;$G$4&amp;"'!$D$37:$D$52")),0))))</f>
        <v>0</v>
      </c>
      <c r="Z64" s="134" t="n">
        <f aca="true">IF($G$5="",0,IF(W64&gt;'General Information'!$D$33,0,IF(W64=0,$J$5,IFERROR(SUMIF(INDIRECT("'"&amp;$G$5&amp;"'!$C$37:$C$52"),W64,INDIRECT("'"&amp;$G$5&amp;"'!$D$37:$D$52")),0))))</f>
        <v>0</v>
      </c>
      <c r="AA64" s="134" t="n">
        <f aca="true">IF($G$6="",0,IF(W64&gt;'General Information'!$D$33,0,IF(W64=0,$J$6,IFERROR(SUMIF(INDIRECT("'"&amp;$G$6&amp;"'!$C$37:$C$52"),W64,INDIRECT("'"&amp;$G$6&amp;"'!$D$37:$D$52")),0))))</f>
        <v>0</v>
      </c>
      <c r="AB64" s="134" t="n">
        <f aca="true">IF($G$7="",0,IF(W64&gt;'General Information'!$D$33,0,IF(W64=0,$J$7,IFERROR(SUMIF(INDIRECT("'"&amp;$G$7&amp;"'!$C$37:$C$52"),W64,INDIRECT("'"&amp;$G$7&amp;"'!$D$37:$D$52")),0))))</f>
        <v>0</v>
      </c>
      <c r="AC64" s="134" t="n">
        <f aca="true">IF($G$4="",0,AC63+IF(W64&gt;'General Information'!$D$33,0,IF(W64=0,$J$4,IFERROR(SUMIF(INDIRECT("'"&amp;$G$4&amp;"'!$C$37:$C$52"),W64,INDIRECT("'"&amp;$G$4&amp;"'!$E$37:$E$52")),0))))</f>
        <v>9504327.97737111</v>
      </c>
      <c r="AD64" s="134" t="n">
        <f aca="true">IF($G$5="",0,AD63+IF(W64&gt;'General Information'!$D$33,0,IF(W64=0,$J$5,IFERROR(SUMIF(INDIRECT("'"&amp;$G$5&amp;"'!$C$37:$C$52"),W64,INDIRECT("'"&amp;$G$5&amp;"'!$E$37:$E$52")),0))))</f>
        <v>9603506.64343471</v>
      </c>
      <c r="AE64" s="134" t="n">
        <f aca="true">IF($G$6="",0,AE63+IF(W64&gt;'General Information'!$D$33,0,IF(W64=0,$J$6,IFERROR(SUMIF(INDIRECT("'"&amp;$G$6&amp;"'!$C$37:$C$52"),W64,INDIRECT("'"&amp;$G$6&amp;"'!$E$37:$E$52")),0))))</f>
        <v>0</v>
      </c>
      <c r="AF64" s="134" t="n">
        <f aca="true">IF($G$7="",0,AF63+IF(W64&gt;'General Information'!$D$33,0,IF(W64=0,$J$7,IFERROR(SUMIF(INDIRECT("'"&amp;$G$7&amp;"'!$C$37:$C$52"),W64,INDIRECT("'"&amp;$G$7&amp;"'!$E$37:$E$52")),0))))</f>
        <v>0</v>
      </c>
      <c r="AG64" s="139" t="n">
        <f aca="true">IF($G$4="",0,IF(W64&gt;'General Information'!$D$33,0,IFERROR(SUMIFS(INDIRECT("'"&amp;$G$4&amp;"'!$D$37:$D$52"),INDIRECT("'"&amp;$G$4&amp;"'!$C$37:$C$52"),W64,INDIRECT("'"&amp;$G$4&amp;"'!$B$37:$B$52"),"*Indirect*")/INDIRECT("'"&amp;$G$4&amp;"'!$F$2"),0)))</f>
        <v>0</v>
      </c>
      <c r="AH64" s="139" t="n">
        <f aca="true">IF($G$5="",0,IF(W64&gt;'General Information'!$D$33,0,IFERROR(SUMIFS(INDIRECT("'"&amp;$G$5&amp;"'!$D$37:$D$52"),INDIRECT("'"&amp;$G$5&amp;"'!$C$37:$C$52"),W64,INDIRECT("'"&amp;$G$5&amp;"'!$B$37:$B$52"),"*Indirect*")/INDIRECT("'"&amp;$G$5&amp;"'!$F$2"),0)))</f>
        <v>0</v>
      </c>
      <c r="AI64" s="139" t="n">
        <f aca="true">IF($G$6="",0,IF(W64&gt;'General Information'!$D$33,0,IFERROR(SUMIFS(INDIRECT("'"&amp;$G$6&amp;"'!$D$37:$D$52"),INDIRECT("'"&amp;$G$6&amp;"'!$C$37:$C$52"),W64,INDIRECT("'"&amp;$G$6&amp;"'!$B$37:$B$52"),"*Indirect*")/INDIRECT("'"&amp;$G$6&amp;"'!$F$2"),0)))</f>
        <v>0</v>
      </c>
      <c r="AJ64" s="139" t="n">
        <f aca="true">IF($G$7="",0,IF(W64&gt;'General Information'!$D$33,0,IFERROR(SUMIFS(INDIRECT("'"&amp;$G$7&amp;"'!$D$37:$D$52"),INDIRECT("'"&amp;$G$7&amp;"'!$C$37:$C$52"),W64,INDIRECT("'"&amp;$G$7&amp;"'!$B$37:$B$52"),"*Indirect*")/INDIRECT("'"&amp;$G$7&amp;"'!$F$2"),0)))</f>
        <v>0</v>
      </c>
    </row>
    <row r="65" customFormat="false" ht="15" hidden="false" customHeight="false" outlineLevel="0" collapsed="false">
      <c r="W65" s="133" t="n">
        <v>24</v>
      </c>
      <c r="X65" s="133" t="n">
        <f aca="false">'General Information'!$D$25+W65</f>
        <v>2052</v>
      </c>
      <c r="Y65" s="134" t="n">
        <f aca="true">IF($G$4="",0,IF(W65&gt;'General Information'!$D$33,0,IF(W65=0,$J$4,IFERROR(SUMIF(INDIRECT("'"&amp;$G$4&amp;"'!$C$37:$C$52"),W65,INDIRECT("'"&amp;$G$4&amp;"'!$D$37:$D$52")),0))))</f>
        <v>354260.596666667</v>
      </c>
      <c r="Z65" s="134" t="n">
        <f aca="true">IF($G$5="",0,IF(W65&gt;'General Information'!$D$33,0,IF(W65=0,$J$5,IFERROR(SUMIF(INDIRECT("'"&amp;$G$5&amp;"'!$C$37:$C$52"),W65,INDIRECT("'"&amp;$G$5&amp;"'!$D$37:$D$52")),0))))</f>
        <v>0</v>
      </c>
      <c r="AA65" s="134" t="n">
        <f aca="true">IF($G$6="",0,IF(W65&gt;'General Information'!$D$33,0,IF(W65=0,$J$6,IFERROR(SUMIF(INDIRECT("'"&amp;$G$6&amp;"'!$C$37:$C$52"),W65,INDIRECT("'"&amp;$G$6&amp;"'!$D$37:$D$52")),0))))</f>
        <v>0</v>
      </c>
      <c r="AB65" s="134" t="n">
        <f aca="true">IF($G$7="",0,IF(W65&gt;'General Information'!$D$33,0,IF(W65=0,$J$7,IFERROR(SUMIF(INDIRECT("'"&amp;$G$7&amp;"'!$C$37:$C$52"),W65,INDIRECT("'"&amp;$G$7&amp;"'!$D$37:$D$52")),0))))</f>
        <v>0</v>
      </c>
      <c r="AC65" s="134" t="n">
        <f aca="true">IF($G$4="",0,AC64+IF(W65&gt;'General Information'!$D$33,0,IF(W65=0,$J$4,IFERROR(SUMIF(INDIRECT("'"&amp;$G$4&amp;"'!$C$37:$C$52"),W65,INDIRECT("'"&amp;$G$4&amp;"'!$E$37:$E$52")),0))))</f>
        <v>9678600.71632721</v>
      </c>
      <c r="AD65" s="134" t="n">
        <f aca="true">IF($G$5="",0,AD64+IF(W65&gt;'General Information'!$D$33,0,IF(W65=0,$J$5,IFERROR(SUMIF(INDIRECT("'"&amp;$G$5&amp;"'!$C$37:$C$52"),W65,INDIRECT("'"&amp;$G$5&amp;"'!$E$37:$E$52")),0))))</f>
        <v>9603506.64343471</v>
      </c>
      <c r="AE65" s="134" t="n">
        <f aca="true">IF($G$6="",0,AE64+IF(W65&gt;'General Information'!$D$33,0,IF(W65=0,$J$6,IFERROR(SUMIF(INDIRECT("'"&amp;$G$6&amp;"'!$C$37:$C$52"),W65,INDIRECT("'"&amp;$G$6&amp;"'!$E$37:$E$52")),0))))</f>
        <v>0</v>
      </c>
      <c r="AF65" s="134" t="n">
        <f aca="true">IF($G$7="",0,AF64+IF(W65&gt;'General Information'!$D$33,0,IF(W65=0,$J$7,IFERROR(SUMIF(INDIRECT("'"&amp;$G$7&amp;"'!$C$37:$C$52"),W65,INDIRECT("'"&amp;$G$7&amp;"'!$E$37:$E$52")),0))))</f>
        <v>0</v>
      </c>
      <c r="AG65" s="139" t="n">
        <f aca="true">IF($G$4="",0,IF(W65&gt;'General Information'!$D$33,0,IFERROR(SUMIFS(INDIRECT("'"&amp;$G$4&amp;"'!$D$37:$D$52"),INDIRECT("'"&amp;$G$4&amp;"'!$C$37:$C$52"),W65,INDIRECT("'"&amp;$G$4&amp;"'!$B$37:$B$52"),"*Indirect*")/INDIRECT("'"&amp;$G$4&amp;"'!$F$2"),0)))</f>
        <v>7</v>
      </c>
      <c r="AH65" s="139" t="n">
        <f aca="true">IF($G$5="",0,IF(W65&gt;'General Information'!$D$33,0,IFERROR(SUMIFS(INDIRECT("'"&amp;$G$5&amp;"'!$D$37:$D$52"),INDIRECT("'"&amp;$G$5&amp;"'!$C$37:$C$52"),W65,INDIRECT("'"&amp;$G$5&amp;"'!$B$37:$B$52"),"*Indirect*")/INDIRECT("'"&amp;$G$5&amp;"'!$F$2"),0)))</f>
        <v>0</v>
      </c>
      <c r="AI65" s="139" t="n">
        <f aca="true">IF($G$6="",0,IF(W65&gt;'General Information'!$D$33,0,IFERROR(SUMIFS(INDIRECT("'"&amp;$G$6&amp;"'!$D$37:$D$52"),INDIRECT("'"&amp;$G$6&amp;"'!$C$37:$C$52"),W65,INDIRECT("'"&amp;$G$6&amp;"'!$B$37:$B$52"),"*Indirect*")/INDIRECT("'"&amp;$G$6&amp;"'!$F$2"),0)))</f>
        <v>0</v>
      </c>
      <c r="AJ65" s="139" t="n">
        <f aca="true">IF($G$7="",0,IF(W65&gt;'General Information'!$D$33,0,IFERROR(SUMIFS(INDIRECT("'"&amp;$G$7&amp;"'!$D$37:$D$52"),INDIRECT("'"&amp;$G$7&amp;"'!$C$37:$C$52"),W65,INDIRECT("'"&amp;$G$7&amp;"'!$B$37:$B$52"),"*Indirect*")/INDIRECT("'"&amp;$G$7&amp;"'!$F$2"),0)))</f>
        <v>0</v>
      </c>
    </row>
    <row r="66" customFormat="false" ht="15" hidden="false" customHeight="false" outlineLevel="0" collapsed="false">
      <c r="W66" s="133" t="n">
        <v>25</v>
      </c>
      <c r="X66" s="133" t="n">
        <f aca="false">'General Information'!$D$25+W66</f>
        <v>2053</v>
      </c>
      <c r="Y66" s="134" t="n">
        <f aca="true">IF($G$4="",0,IF(W66&gt;'General Information'!$D$33,0,IF(W66=0,$J$4,IFERROR(SUMIF(INDIRECT("'"&amp;$G$4&amp;"'!$C$37:$C$52"),W66,INDIRECT("'"&amp;$G$4&amp;"'!$D$37:$D$52")),0))))</f>
        <v>0</v>
      </c>
      <c r="Z66" s="134" t="n">
        <f aca="true">IF($G$5="",0,IF(W66&gt;'General Information'!$D$33,0,IF(W66=0,$J$5,IFERROR(SUMIF(INDIRECT("'"&amp;$G$5&amp;"'!$C$37:$C$52"),W66,INDIRECT("'"&amp;$G$5&amp;"'!$D$37:$D$52")),0))))</f>
        <v>0</v>
      </c>
      <c r="AA66" s="134" t="n">
        <f aca="true">IF($G$6="",0,IF(W66&gt;'General Information'!$D$33,0,IF(W66=0,$J$6,IFERROR(SUMIF(INDIRECT("'"&amp;$G$6&amp;"'!$C$37:$C$52"),W66,INDIRECT("'"&amp;$G$6&amp;"'!$D$37:$D$52")),0))))</f>
        <v>0</v>
      </c>
      <c r="AB66" s="134" t="n">
        <f aca="true">IF($G$7="",0,IF(W66&gt;'General Information'!$D$33,0,IF(W66=0,$J$7,IFERROR(SUMIF(INDIRECT("'"&amp;$G$7&amp;"'!$C$37:$C$52"),W66,INDIRECT("'"&amp;$G$7&amp;"'!$D$37:$D$52")),0))))</f>
        <v>0</v>
      </c>
      <c r="AC66" s="134" t="n">
        <f aca="true">IF($G$4="",0,AC65+IF(W66&gt;'General Information'!$D$33,0,IF(W66=0,$J$4,IFERROR(SUMIF(INDIRECT("'"&amp;$G$4&amp;"'!$C$37:$C$52"),W66,INDIRECT("'"&amp;$G$4&amp;"'!$E$37:$E$52")),0))))</f>
        <v>9678600.71632721</v>
      </c>
      <c r="AD66" s="134" t="n">
        <f aca="true">IF($G$5="",0,AD65+IF(W66&gt;'General Information'!$D$33,0,IF(W66=0,$J$5,IFERROR(SUMIF(INDIRECT("'"&amp;$G$5&amp;"'!$C$37:$C$52"),W66,INDIRECT("'"&amp;$G$5&amp;"'!$E$37:$E$52")),0))))</f>
        <v>9603506.64343471</v>
      </c>
      <c r="AE66" s="134" t="n">
        <f aca="true">IF($G$6="",0,AE65+IF(W66&gt;'General Information'!$D$33,0,IF(W66=0,$J$6,IFERROR(SUMIF(INDIRECT("'"&amp;$G$6&amp;"'!$C$37:$C$52"),W66,INDIRECT("'"&amp;$G$6&amp;"'!$E$37:$E$52")),0))))</f>
        <v>0</v>
      </c>
      <c r="AF66" s="134" t="n">
        <f aca="true">IF($G$7="",0,AF65+IF(W66&gt;'General Information'!$D$33,0,IF(W66=0,$J$7,IFERROR(SUMIF(INDIRECT("'"&amp;$G$7&amp;"'!$C$37:$C$52"),W66,INDIRECT("'"&amp;$G$7&amp;"'!$E$37:$E$52")),0))))</f>
        <v>0</v>
      </c>
      <c r="AG66" s="139" t="n">
        <f aca="true">IF($G$4="",0,IF(W66&gt;'General Information'!$D$33,0,IFERROR(SUMIFS(INDIRECT("'"&amp;$G$4&amp;"'!$D$37:$D$52"),INDIRECT("'"&amp;$G$4&amp;"'!$C$37:$C$52"),W66,INDIRECT("'"&amp;$G$4&amp;"'!$B$37:$B$52"),"*Indirect*")/INDIRECT("'"&amp;$G$4&amp;"'!$F$2"),0)))</f>
        <v>0</v>
      </c>
      <c r="AH66" s="139" t="n">
        <f aca="true">IF($G$5="",0,IF(W66&gt;'General Information'!$D$33,0,IFERROR(SUMIFS(INDIRECT("'"&amp;$G$5&amp;"'!$D$37:$D$52"),INDIRECT("'"&amp;$G$5&amp;"'!$C$37:$C$52"),W66,INDIRECT("'"&amp;$G$5&amp;"'!$B$37:$B$52"),"*Indirect*")/INDIRECT("'"&amp;$G$5&amp;"'!$F$2"),0)))</f>
        <v>0</v>
      </c>
      <c r="AI66" s="139" t="n">
        <f aca="true">IF($G$6="",0,IF(W66&gt;'General Information'!$D$33,0,IFERROR(SUMIFS(INDIRECT("'"&amp;$G$6&amp;"'!$D$37:$D$52"),INDIRECT("'"&amp;$G$6&amp;"'!$C$37:$C$52"),W66,INDIRECT("'"&amp;$G$6&amp;"'!$B$37:$B$52"),"*Indirect*")/INDIRECT("'"&amp;$G$6&amp;"'!$F$2"),0)))</f>
        <v>0</v>
      </c>
      <c r="AJ66" s="139" t="n">
        <f aca="true">IF($G$7="",0,IF(W66&gt;'General Information'!$D$33,0,IFERROR(SUMIFS(INDIRECT("'"&amp;$G$7&amp;"'!$D$37:$D$52"),INDIRECT("'"&amp;$G$7&amp;"'!$C$37:$C$52"),W66,INDIRECT("'"&amp;$G$7&amp;"'!$B$37:$B$52"),"*Indirect*")/INDIRECT("'"&amp;$G$7&amp;"'!$F$2"),0)))</f>
        <v>0</v>
      </c>
    </row>
    <row r="67" customFormat="false" ht="15" hidden="false" customHeight="false" outlineLevel="0" collapsed="false">
      <c r="W67" s="133" t="n">
        <v>26</v>
      </c>
      <c r="X67" s="133" t="n">
        <f aca="false">'General Information'!$D$25+W67</f>
        <v>2054</v>
      </c>
      <c r="Y67" s="134" t="n">
        <f aca="true">IF($G$4="",0,IF(W67&gt;'General Information'!$D$33,0,IF(W67=0,$J$4,IFERROR(SUMIF(INDIRECT("'"&amp;$G$4&amp;"'!$C$37:$C$52"),W67,INDIRECT("'"&amp;$G$4&amp;"'!$D$37:$D$52")),0))))</f>
        <v>0</v>
      </c>
      <c r="Z67" s="134" t="n">
        <f aca="true">IF($G$5="",0,IF(W67&gt;'General Information'!$D$33,0,IF(W67=0,$J$5,IFERROR(SUMIF(INDIRECT("'"&amp;$G$5&amp;"'!$C$37:$C$52"),W67,INDIRECT("'"&amp;$G$5&amp;"'!$D$37:$D$52")),0))))</f>
        <v>0</v>
      </c>
      <c r="AA67" s="134" t="n">
        <f aca="true">IF($G$6="",0,IF(W67&gt;'General Information'!$D$33,0,IF(W67=0,$J$6,IFERROR(SUMIF(INDIRECT("'"&amp;$G$6&amp;"'!$C$37:$C$52"),W67,INDIRECT("'"&amp;$G$6&amp;"'!$D$37:$D$52")),0))))</f>
        <v>0</v>
      </c>
      <c r="AB67" s="134" t="n">
        <f aca="true">IF($G$7="",0,IF(W67&gt;'General Information'!$D$33,0,IF(W67=0,$J$7,IFERROR(SUMIF(INDIRECT("'"&amp;$G$7&amp;"'!$C$37:$C$52"),W67,INDIRECT("'"&amp;$G$7&amp;"'!$D$37:$D$52")),0))))</f>
        <v>0</v>
      </c>
      <c r="AC67" s="134" t="n">
        <f aca="true">IF($G$4="",0,AC66+IF(W67&gt;'General Information'!$D$33,0,IF(W67=0,$J$4,IFERROR(SUMIF(INDIRECT("'"&amp;$G$4&amp;"'!$C$37:$C$52"),W67,INDIRECT("'"&amp;$G$4&amp;"'!$E$37:$E$52")),0))))</f>
        <v>9678600.71632721</v>
      </c>
      <c r="AD67" s="134" t="n">
        <f aca="true">IF($G$5="",0,AD66+IF(W67&gt;'General Information'!$D$33,0,IF(W67=0,$J$5,IFERROR(SUMIF(INDIRECT("'"&amp;$G$5&amp;"'!$C$37:$C$52"),W67,INDIRECT("'"&amp;$G$5&amp;"'!$E$37:$E$52")),0))))</f>
        <v>9603506.64343471</v>
      </c>
      <c r="AE67" s="134" t="n">
        <f aca="true">IF($G$6="",0,AE66+IF(W67&gt;'General Information'!$D$33,0,IF(W67=0,$J$6,IFERROR(SUMIF(INDIRECT("'"&amp;$G$6&amp;"'!$C$37:$C$52"),W67,INDIRECT("'"&amp;$G$6&amp;"'!$E$37:$E$52")),0))))</f>
        <v>0</v>
      </c>
      <c r="AF67" s="134" t="n">
        <f aca="true">IF($G$7="",0,AF66+IF(W67&gt;'General Information'!$D$33,0,IF(W67=0,$J$7,IFERROR(SUMIF(INDIRECT("'"&amp;$G$7&amp;"'!$C$37:$C$52"),W67,INDIRECT("'"&amp;$G$7&amp;"'!$E$37:$E$52")),0))))</f>
        <v>0</v>
      </c>
      <c r="AG67" s="139" t="n">
        <f aca="true">IF($G$4="",0,IF(W67&gt;'General Information'!$D$33,0,IFERROR(SUMIFS(INDIRECT("'"&amp;$G$4&amp;"'!$D$37:$D$52"),INDIRECT("'"&amp;$G$4&amp;"'!$C$37:$C$52"),W67,INDIRECT("'"&amp;$G$4&amp;"'!$B$37:$B$52"),"*Indirect*")/INDIRECT("'"&amp;$G$4&amp;"'!$F$2"),0)))</f>
        <v>0</v>
      </c>
      <c r="AH67" s="139" t="n">
        <f aca="true">IF($G$5="",0,IF(W67&gt;'General Information'!$D$33,0,IFERROR(SUMIFS(INDIRECT("'"&amp;$G$5&amp;"'!$D$37:$D$52"),INDIRECT("'"&amp;$G$5&amp;"'!$C$37:$C$52"),W67,INDIRECT("'"&amp;$G$5&amp;"'!$B$37:$B$52"),"*Indirect*")/INDIRECT("'"&amp;$G$5&amp;"'!$F$2"),0)))</f>
        <v>0</v>
      </c>
      <c r="AI67" s="139" t="n">
        <f aca="true">IF($G$6="",0,IF(W67&gt;'General Information'!$D$33,0,IFERROR(SUMIFS(INDIRECT("'"&amp;$G$6&amp;"'!$D$37:$D$52"),INDIRECT("'"&amp;$G$6&amp;"'!$C$37:$C$52"),W67,INDIRECT("'"&amp;$G$6&amp;"'!$B$37:$B$52"),"*Indirect*")/INDIRECT("'"&amp;$G$6&amp;"'!$F$2"),0)))</f>
        <v>0</v>
      </c>
      <c r="AJ67" s="139" t="n">
        <f aca="true">IF($G$7="",0,IF(W67&gt;'General Information'!$D$33,0,IFERROR(SUMIFS(INDIRECT("'"&amp;$G$7&amp;"'!$D$37:$D$52"),INDIRECT("'"&amp;$G$7&amp;"'!$C$37:$C$52"),W67,INDIRECT("'"&amp;$G$7&amp;"'!$B$37:$B$52"),"*Indirect*")/INDIRECT("'"&amp;$G$7&amp;"'!$F$2"),0)))</f>
        <v>0</v>
      </c>
    </row>
    <row r="68" customFormat="false" ht="15" hidden="false" customHeight="false" outlineLevel="0" collapsed="false">
      <c r="W68" s="133" t="n">
        <v>27</v>
      </c>
      <c r="X68" s="133" t="n">
        <f aca="false">'General Information'!$D$25+W68</f>
        <v>2055</v>
      </c>
      <c r="Y68" s="134" t="n">
        <f aca="true">IF($G$4="",0,IF(W68&gt;'General Information'!$D$33,0,IF(W68=0,$J$4,IFERROR(SUMIF(INDIRECT("'"&amp;$G$4&amp;"'!$C$37:$C$52"),W68,INDIRECT("'"&amp;$G$4&amp;"'!$D$37:$D$52")),0))))</f>
        <v>0</v>
      </c>
      <c r="Z68" s="134" t="n">
        <f aca="true">IF($G$5="",0,IF(W68&gt;'General Information'!$D$33,0,IF(W68=0,$J$5,IFERROR(SUMIF(INDIRECT("'"&amp;$G$5&amp;"'!$C$37:$C$52"),W68,INDIRECT("'"&amp;$G$5&amp;"'!$D$37:$D$52")),0))))</f>
        <v>1133967.1054</v>
      </c>
      <c r="AA68" s="134" t="n">
        <f aca="true">IF($G$6="",0,IF(W68&gt;'General Information'!$D$33,0,IF(W68=0,$J$6,IFERROR(SUMIF(INDIRECT("'"&amp;$G$6&amp;"'!$C$37:$C$52"),W68,INDIRECT("'"&amp;$G$6&amp;"'!$D$37:$D$52")),0))))</f>
        <v>0</v>
      </c>
      <c r="AB68" s="134" t="n">
        <f aca="true">IF($G$7="",0,IF(W68&gt;'General Information'!$D$33,0,IF(W68=0,$J$7,IFERROR(SUMIF(INDIRECT("'"&amp;$G$7&amp;"'!$C$37:$C$52"),W68,INDIRECT("'"&amp;$G$7&amp;"'!$D$37:$D$52")),0))))</f>
        <v>0</v>
      </c>
      <c r="AC68" s="134" t="n">
        <f aca="true">IF($G$4="",0,AC67+IF(W68&gt;'General Information'!$D$33,0,IF(W68=0,$J$4,IFERROR(SUMIF(INDIRECT("'"&amp;$G$4&amp;"'!$C$37:$C$52"),W68,INDIRECT("'"&amp;$G$4&amp;"'!$E$37:$E$52")),0))))</f>
        <v>9678600.71632721</v>
      </c>
      <c r="AD68" s="134" t="n">
        <f aca="true">IF($G$5="",0,AD67+IF(W68&gt;'General Information'!$D$33,0,IF(W68=0,$J$5,IFERROR(SUMIF(INDIRECT("'"&amp;$G$5&amp;"'!$C$37:$C$52"),W68,INDIRECT("'"&amp;$G$5&amp;"'!$E$37:$E$52")),0))))</f>
        <v>10114006.2238839</v>
      </c>
      <c r="AE68" s="134" t="n">
        <f aca="true">IF($G$6="",0,AE67+IF(W68&gt;'General Information'!$D$33,0,IF(W68=0,$J$6,IFERROR(SUMIF(INDIRECT("'"&amp;$G$6&amp;"'!$C$37:$C$52"),W68,INDIRECT("'"&amp;$G$6&amp;"'!$E$37:$E$52")),0))))</f>
        <v>0</v>
      </c>
      <c r="AF68" s="134" t="n">
        <f aca="true">IF($G$7="",0,AF67+IF(W68&gt;'General Information'!$D$33,0,IF(W68=0,$J$7,IFERROR(SUMIF(INDIRECT("'"&amp;$G$7&amp;"'!$C$37:$C$52"),W68,INDIRECT("'"&amp;$G$7&amp;"'!$E$37:$E$52")),0))))</f>
        <v>0</v>
      </c>
      <c r="AG68" s="139" t="n">
        <f aca="true">IF($G$4="",0,IF(W68&gt;'General Information'!$D$33,0,IFERROR(SUMIFS(INDIRECT("'"&amp;$G$4&amp;"'!$D$37:$D$52"),INDIRECT("'"&amp;$G$4&amp;"'!$C$37:$C$52"),W68,INDIRECT("'"&amp;$G$4&amp;"'!$B$37:$B$52"),"*Indirect*")/INDIRECT("'"&amp;$G$4&amp;"'!$F$2"),0)))</f>
        <v>0</v>
      </c>
      <c r="AH68" s="139" t="n">
        <f aca="true">IF($G$5="",0,IF(W68&gt;'General Information'!$D$33,0,IFERROR(SUMIFS(INDIRECT("'"&amp;$G$5&amp;"'!$D$37:$D$52"),INDIRECT("'"&amp;$G$5&amp;"'!$C$37:$C$52"),W68,INDIRECT("'"&amp;$G$5&amp;"'!$B$37:$B$52"),"*Indirect*")/INDIRECT("'"&amp;$G$5&amp;"'!$F$2"),0)))</f>
        <v>19</v>
      </c>
      <c r="AI68" s="139" t="n">
        <f aca="true">IF($G$6="",0,IF(W68&gt;'General Information'!$D$33,0,IFERROR(SUMIFS(INDIRECT("'"&amp;$G$6&amp;"'!$D$37:$D$52"),INDIRECT("'"&amp;$G$6&amp;"'!$C$37:$C$52"),W68,INDIRECT("'"&amp;$G$6&amp;"'!$B$37:$B$52"),"*Indirect*")/INDIRECT("'"&amp;$G$6&amp;"'!$F$2"),0)))</f>
        <v>0</v>
      </c>
      <c r="AJ68" s="139" t="n">
        <f aca="true">IF($G$7="",0,IF(W68&gt;'General Information'!$D$33,0,IFERROR(SUMIFS(INDIRECT("'"&amp;$G$7&amp;"'!$D$37:$D$52"),INDIRECT("'"&amp;$G$7&amp;"'!$C$37:$C$52"),W68,INDIRECT("'"&amp;$G$7&amp;"'!$B$37:$B$52"),"*Indirect*")/INDIRECT("'"&amp;$G$7&amp;"'!$F$2"),0)))</f>
        <v>0</v>
      </c>
    </row>
    <row r="69" customFormat="false" ht="15" hidden="false" customHeight="false" outlineLevel="0" collapsed="false">
      <c r="W69" s="133" t="n">
        <v>28</v>
      </c>
      <c r="X69" s="133" t="n">
        <f aca="false">'General Information'!$D$25+W69</f>
        <v>2056</v>
      </c>
      <c r="Y69" s="134" t="n">
        <f aca="true">IF($G$4="",0,IF(W69&gt;'General Information'!$D$33,0,IF(W69=0,$J$4,IFERROR(SUMIF(INDIRECT("'"&amp;$G$4&amp;"'!$C$37:$C$52"),W69,INDIRECT("'"&amp;$G$4&amp;"'!$D$37:$D$52")),0))))</f>
        <v>544452.795229167</v>
      </c>
      <c r="Z69" s="134" t="n">
        <f aca="true">IF($G$5="",0,IF(W69&gt;'General Information'!$D$33,0,IF(W69=0,$J$5,IFERROR(SUMIF(INDIRECT("'"&amp;$G$5&amp;"'!$C$37:$C$52"),W69,INDIRECT("'"&amp;$G$5&amp;"'!$D$37:$D$52")),0))))</f>
        <v>0</v>
      </c>
      <c r="AA69" s="134" t="n">
        <f aca="true">IF($G$6="",0,IF(W69&gt;'General Information'!$D$33,0,IF(W69=0,$J$6,IFERROR(SUMIF(INDIRECT("'"&amp;$G$6&amp;"'!$C$37:$C$52"),W69,INDIRECT("'"&amp;$G$6&amp;"'!$D$37:$D$52")),0))))</f>
        <v>0</v>
      </c>
      <c r="AB69" s="134" t="n">
        <f aca="true">IF($G$7="",0,IF(W69&gt;'General Information'!$D$33,0,IF(W69=0,$J$7,IFERROR(SUMIF(INDIRECT("'"&amp;$G$7&amp;"'!$C$37:$C$52"),W69,INDIRECT("'"&amp;$G$7&amp;"'!$D$37:$D$52")),0))))</f>
        <v>0</v>
      </c>
      <c r="AC69" s="134" t="n">
        <f aca="true">IF($G$4="",0,AC68+IF(W69&gt;'General Information'!$D$33,0,IF(W69=0,$J$4,IFERROR(SUMIF(INDIRECT("'"&amp;$G$4&amp;"'!$C$37:$C$52"),W69,INDIRECT("'"&amp;$G$4&amp;"'!$E$37:$E$52")),0))))</f>
        <v>9916568.37632054</v>
      </c>
      <c r="AD69" s="134" t="n">
        <f aca="true">IF($G$5="",0,AD68+IF(W69&gt;'General Information'!$D$33,0,IF(W69=0,$J$5,IFERROR(SUMIF(INDIRECT("'"&amp;$G$5&amp;"'!$C$37:$C$52"),W69,INDIRECT("'"&amp;$G$5&amp;"'!$E$37:$E$52")),0))))</f>
        <v>10114006.2238839</v>
      </c>
      <c r="AE69" s="134" t="n">
        <f aca="true">IF($G$6="",0,AE68+IF(W69&gt;'General Information'!$D$33,0,IF(W69=0,$J$6,IFERROR(SUMIF(INDIRECT("'"&amp;$G$6&amp;"'!$C$37:$C$52"),W69,INDIRECT("'"&amp;$G$6&amp;"'!$E$37:$E$52")),0))))</f>
        <v>0</v>
      </c>
      <c r="AF69" s="134" t="n">
        <f aca="true">IF($G$7="",0,AF68+IF(W69&gt;'General Information'!$D$33,0,IF(W69=0,$J$7,IFERROR(SUMIF(INDIRECT("'"&amp;$G$7&amp;"'!$C$37:$C$52"),W69,INDIRECT("'"&amp;$G$7&amp;"'!$E$37:$E$52")),0))))</f>
        <v>0</v>
      </c>
      <c r="AG69" s="139" t="n">
        <f aca="true">IF($G$4="",0,IF(W69&gt;'General Information'!$D$33,0,IFERROR(SUMIFS(INDIRECT("'"&amp;$G$4&amp;"'!$D$37:$D$52"),INDIRECT("'"&amp;$G$4&amp;"'!$C$37:$C$52"),W69,INDIRECT("'"&amp;$G$4&amp;"'!$B$37:$B$52"),"*Indirect*")/INDIRECT("'"&amp;$G$4&amp;"'!$F$2"),0)))</f>
        <v>9</v>
      </c>
      <c r="AH69" s="139" t="n">
        <f aca="true">IF($G$5="",0,IF(W69&gt;'General Information'!$D$33,0,IFERROR(SUMIFS(INDIRECT("'"&amp;$G$5&amp;"'!$D$37:$D$52"),INDIRECT("'"&amp;$G$5&amp;"'!$C$37:$C$52"),W69,INDIRECT("'"&amp;$G$5&amp;"'!$B$37:$B$52"),"*Indirect*")/INDIRECT("'"&amp;$G$5&amp;"'!$F$2"),0)))</f>
        <v>0</v>
      </c>
      <c r="AI69" s="139" t="n">
        <f aca="true">IF($G$6="",0,IF(W69&gt;'General Information'!$D$33,0,IFERROR(SUMIFS(INDIRECT("'"&amp;$G$6&amp;"'!$D$37:$D$52"),INDIRECT("'"&amp;$G$6&amp;"'!$C$37:$C$52"),W69,INDIRECT("'"&amp;$G$6&amp;"'!$B$37:$B$52"),"*Indirect*")/INDIRECT("'"&amp;$G$6&amp;"'!$F$2"),0)))</f>
        <v>0</v>
      </c>
      <c r="AJ69" s="139" t="n">
        <f aca="true">IF($G$7="",0,IF(W69&gt;'General Information'!$D$33,0,IFERROR(SUMIFS(INDIRECT("'"&amp;$G$7&amp;"'!$D$37:$D$52"),INDIRECT("'"&amp;$G$7&amp;"'!$C$37:$C$52"),W69,INDIRECT("'"&amp;$G$7&amp;"'!$B$37:$B$52"),"*Indirect*")/INDIRECT("'"&amp;$G$7&amp;"'!$F$2"),0)))</f>
        <v>0</v>
      </c>
    </row>
    <row r="70" customFormat="false" ht="15" hidden="false" customHeight="false" outlineLevel="0" collapsed="false">
      <c r="W70" s="133" t="n">
        <v>29</v>
      </c>
      <c r="X70" s="133" t="n">
        <f aca="false">'General Information'!$D$25+W70</f>
        <v>2057</v>
      </c>
      <c r="Y70" s="134" t="n">
        <f aca="true">IF($G$4="",0,IF(W70&gt;'General Information'!$D$33,0,IF(W70=0,$J$4,IFERROR(SUMIF(INDIRECT("'"&amp;$G$4&amp;"'!$C$37:$C$52"),W70,INDIRECT("'"&amp;$G$4&amp;"'!$D$37:$D$52")),0))))</f>
        <v>0</v>
      </c>
      <c r="Z70" s="134" t="n">
        <f aca="true">IF($G$5="",0,IF(W70&gt;'General Information'!$D$33,0,IF(W70=0,$J$5,IFERROR(SUMIF(INDIRECT("'"&amp;$G$5&amp;"'!$C$37:$C$52"),W70,INDIRECT("'"&amp;$G$5&amp;"'!$D$37:$D$52")),0))))</f>
        <v>0</v>
      </c>
      <c r="AA70" s="134" t="n">
        <f aca="true">IF($G$6="",0,IF(W70&gt;'General Information'!$D$33,0,IF(W70=0,$J$6,IFERROR(SUMIF(INDIRECT("'"&amp;$G$6&amp;"'!$C$37:$C$52"),W70,INDIRECT("'"&amp;$G$6&amp;"'!$D$37:$D$52")),0))))</f>
        <v>0</v>
      </c>
      <c r="AB70" s="134" t="n">
        <f aca="true">IF($G$7="",0,IF(W70&gt;'General Information'!$D$33,0,IF(W70=0,$J$7,IFERROR(SUMIF(INDIRECT("'"&amp;$G$7&amp;"'!$C$37:$C$52"),W70,INDIRECT("'"&amp;$G$7&amp;"'!$D$37:$D$52")),0))))</f>
        <v>0</v>
      </c>
      <c r="AC70" s="134" t="n">
        <f aca="true">IF($G$4="",0,AC69+IF(W70&gt;'General Information'!$D$33,0,IF(W70=0,$J$4,IFERROR(SUMIF(INDIRECT("'"&amp;$G$4&amp;"'!$C$37:$C$52"),W70,INDIRECT("'"&amp;$G$4&amp;"'!$E$37:$E$52")),0))))</f>
        <v>9916568.37632054</v>
      </c>
      <c r="AD70" s="134" t="n">
        <f aca="true">IF($G$5="",0,AD69+IF(W70&gt;'General Information'!$D$33,0,IF(W70=0,$J$5,IFERROR(SUMIF(INDIRECT("'"&amp;$G$5&amp;"'!$C$37:$C$52"),W70,INDIRECT("'"&amp;$G$5&amp;"'!$E$37:$E$52")),0))))</f>
        <v>10114006.2238839</v>
      </c>
      <c r="AE70" s="134" t="n">
        <f aca="true">IF($G$6="",0,AE69+IF(W70&gt;'General Information'!$D$33,0,IF(W70=0,$J$6,IFERROR(SUMIF(INDIRECT("'"&amp;$G$6&amp;"'!$C$37:$C$52"),W70,INDIRECT("'"&amp;$G$6&amp;"'!$E$37:$E$52")),0))))</f>
        <v>0</v>
      </c>
      <c r="AF70" s="134" t="n">
        <f aca="true">IF($G$7="",0,AF69+IF(W70&gt;'General Information'!$D$33,0,IF(W70=0,$J$7,IFERROR(SUMIF(INDIRECT("'"&amp;$G$7&amp;"'!$C$37:$C$52"),W70,INDIRECT("'"&amp;$G$7&amp;"'!$E$37:$E$52")),0))))</f>
        <v>0</v>
      </c>
      <c r="AG70" s="139" t="n">
        <f aca="true">IF($G$4="",0,IF(W70&gt;'General Information'!$D$33,0,IFERROR(SUMIFS(INDIRECT("'"&amp;$G$4&amp;"'!$D$37:$D$52"),INDIRECT("'"&amp;$G$4&amp;"'!$C$37:$C$52"),W70,INDIRECT("'"&amp;$G$4&amp;"'!$B$37:$B$52"),"*Indirect*")/INDIRECT("'"&amp;$G$4&amp;"'!$F$2"),0)))</f>
        <v>0</v>
      </c>
      <c r="AH70" s="139" t="n">
        <f aca="true">IF($G$5="",0,IF(W70&gt;'General Information'!$D$33,0,IFERROR(SUMIFS(INDIRECT("'"&amp;$G$5&amp;"'!$D$37:$D$52"),INDIRECT("'"&amp;$G$5&amp;"'!$C$37:$C$52"),W70,INDIRECT("'"&amp;$G$5&amp;"'!$B$37:$B$52"),"*Indirect*")/INDIRECT("'"&amp;$G$5&amp;"'!$F$2"),0)))</f>
        <v>0</v>
      </c>
      <c r="AI70" s="139" t="n">
        <f aca="true">IF($G$6="",0,IF(W70&gt;'General Information'!$D$33,0,IFERROR(SUMIFS(INDIRECT("'"&amp;$G$6&amp;"'!$D$37:$D$52"),INDIRECT("'"&amp;$G$6&amp;"'!$C$37:$C$52"),W70,INDIRECT("'"&amp;$G$6&amp;"'!$B$37:$B$52"),"*Indirect*")/INDIRECT("'"&amp;$G$6&amp;"'!$F$2"),0)))</f>
        <v>0</v>
      </c>
      <c r="AJ70" s="139" t="n">
        <f aca="true">IF($G$7="",0,IF(W70&gt;'General Information'!$D$33,0,IFERROR(SUMIFS(INDIRECT("'"&amp;$G$7&amp;"'!$D$37:$D$52"),INDIRECT("'"&amp;$G$7&amp;"'!$C$37:$C$52"),W70,INDIRECT("'"&amp;$G$7&amp;"'!$B$37:$B$52"),"*Indirect*")/INDIRECT("'"&amp;$G$7&amp;"'!$F$2"),0)))</f>
        <v>0</v>
      </c>
    </row>
    <row r="71" customFormat="false" ht="15" hidden="false" customHeight="false" outlineLevel="0" collapsed="false">
      <c r="W71" s="133" t="n">
        <v>30</v>
      </c>
      <c r="X71" s="133" t="n">
        <f aca="false">'General Information'!$D$25+W71</f>
        <v>2058</v>
      </c>
      <c r="Y71" s="134" t="n">
        <f aca="true">IF($G$4="",0,IF(W71&gt;'General Information'!$D$33,0,IF(W71=0,$J$4,IFERROR(SUMIF(INDIRECT("'"&amp;$G$4&amp;"'!$C$37:$C$52"),W71,INDIRECT("'"&amp;$G$4&amp;"'!$D$37:$D$52")),0))))</f>
        <v>-212008.344515625</v>
      </c>
      <c r="Z71" s="134" t="n">
        <f aca="true">IF($G$5="",0,IF(W71&gt;'General Information'!$D$33,0,IF(W71=0,$J$5,IFERROR(SUMIF(INDIRECT("'"&amp;$G$5&amp;"'!$C$37:$C$52"),W71,INDIRECT("'"&amp;$G$5&amp;"'!$D$37:$D$52")),0))))</f>
        <v>-2265616.4375</v>
      </c>
      <c r="AA71" s="134" t="n">
        <f aca="true">IF($G$6="",0,IF(W71&gt;'General Information'!$D$33,0,IF(W71=0,$J$6,IFERROR(SUMIF(INDIRECT("'"&amp;$G$6&amp;"'!$C$37:$C$52"),W71,INDIRECT("'"&amp;$G$6&amp;"'!$D$37:$D$52")),0))))</f>
        <v>0</v>
      </c>
      <c r="AB71" s="134" t="n">
        <f aca="true">IF($G$7="",0,IF(W71&gt;'General Information'!$D$33,0,IF(W71=0,$J$7,IFERROR(SUMIF(INDIRECT("'"&amp;$G$7&amp;"'!$C$37:$C$52"),W71,INDIRECT("'"&amp;$G$7&amp;"'!$D$37:$D$52")),0))))</f>
        <v>0</v>
      </c>
      <c r="AC71" s="134" t="n">
        <f aca="true">IF($G$4="",0,AC70+IF(W71&gt;'General Information'!$D$33,0,IF(W71=0,$J$4,IFERROR(SUMIF(INDIRECT("'"&amp;$G$4&amp;"'!$C$37:$C$52"),W71,INDIRECT("'"&amp;$G$4&amp;"'!$E$37:$E$52")),0))))</f>
        <v>9829223.74547321</v>
      </c>
      <c r="AD71" s="134" t="n">
        <f aca="true">IF($G$5="",0,AD70+IF(W71&gt;'General Information'!$D$33,0,IF(W71=0,$J$5,IFERROR(SUMIF(INDIRECT("'"&amp;$G$5&amp;"'!$C$37:$C$52"),W71,INDIRECT("'"&amp;$G$5&amp;"'!$E$37:$E$52")),0))))</f>
        <v>9180602.24949232</v>
      </c>
      <c r="AE71" s="134" t="n">
        <f aca="true">IF($G$6="",0,AE70+IF(W71&gt;'General Information'!$D$33,0,IF(W71=0,$J$6,IFERROR(SUMIF(INDIRECT("'"&amp;$G$6&amp;"'!$C$37:$C$52"),W71,INDIRECT("'"&amp;$G$6&amp;"'!$E$37:$E$52")),0))))</f>
        <v>0</v>
      </c>
      <c r="AF71" s="134" t="n">
        <f aca="true">IF($G$7="",0,AF70+IF(W71&gt;'General Information'!$D$33,0,IF(W71=0,$J$7,IFERROR(SUMIF(INDIRECT("'"&amp;$G$7&amp;"'!$C$37:$C$52"),W71,INDIRECT("'"&amp;$G$7&amp;"'!$E$37:$E$52")),0))))</f>
        <v>0</v>
      </c>
      <c r="AG71" s="139" t="n">
        <f aca="true">IF($G$4="",0,IF(W71&gt;'General Information'!$D$33,0,IFERROR(SUMIFS(INDIRECT("'"&amp;$G$4&amp;"'!$D$37:$D$52"),INDIRECT("'"&amp;$G$4&amp;"'!$C$37:$C$52"),W71,INDIRECT("'"&amp;$G$4&amp;"'!$B$37:$B$52"),"*Indirect*")/INDIRECT("'"&amp;$G$4&amp;"'!$F$2"),0)))</f>
        <v>0</v>
      </c>
      <c r="AH71" s="139" t="n">
        <f aca="true">IF($G$5="",0,IF(W71&gt;'General Information'!$D$33,0,IFERROR(SUMIFS(INDIRECT("'"&amp;$G$5&amp;"'!$D$37:$D$52"),INDIRECT("'"&amp;$G$5&amp;"'!$C$37:$C$52"),W71,INDIRECT("'"&amp;$G$5&amp;"'!$B$37:$B$52"),"*Indirect*")/INDIRECT("'"&amp;$G$5&amp;"'!$F$2"),0)))</f>
        <v>0</v>
      </c>
      <c r="AI71" s="139" t="n">
        <f aca="true">IF($G$6="",0,IF(W71&gt;'General Information'!$D$33,0,IFERROR(SUMIFS(INDIRECT("'"&amp;$G$6&amp;"'!$D$37:$D$52"),INDIRECT("'"&amp;$G$6&amp;"'!$C$37:$C$52"),W71,INDIRECT("'"&amp;$G$6&amp;"'!$B$37:$B$52"),"*Indirect*")/INDIRECT("'"&amp;$G$6&amp;"'!$F$2"),0)))</f>
        <v>0</v>
      </c>
      <c r="AJ71" s="139" t="n">
        <f aca="true">IF($G$7="",0,IF(W71&gt;'General Information'!$D$33,0,IFERROR(SUMIFS(INDIRECT("'"&amp;$G$7&amp;"'!$D$37:$D$52"),INDIRECT("'"&amp;$G$7&amp;"'!$C$37:$C$52"),W71,INDIRECT("'"&amp;$G$7&amp;"'!$B$37:$B$52"),"*Indirect*")/INDIRECT("'"&amp;$G$7&amp;"'!$F$2"),0)))</f>
        <v>0</v>
      </c>
    </row>
    <row r="77" customFormat="false" ht="15" hidden="false" customHeight="false" outlineLevel="0" collapsed="false">
      <c r="G77" s="59" t="s">
        <v>697</v>
      </c>
    </row>
  </sheetData>
  <conditionalFormatting sqref="G4:R7">
    <cfRule type="expression" priority="2" aboveAverage="0" equalAverage="0" bottom="0" percent="0" rank="0" text="" dxfId="5">
      <formula>AND($G4&lt;&gt;"",COUNT($O$4:$O$7)&gt;0,$O4=MIN($O$4:$O$7))</formula>
    </cfRule>
  </conditionalFormatting>
  <conditionalFormatting sqref="G14:P17">
    <cfRule type="expression" priority="3" aboveAverage="0" equalAverage="0" bottom="0" percent="0" rank="0" text="" dxfId="5">
      <formula>AND($G14&lt;&gt;"",COUNT($L$14:$L$17)&gt;0,$L14=MIN($L$14:$L$17))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698</v>
      </c>
    </row>
    <row r="3" customFormat="false" ht="15" hidden="false" customHeight="false" outlineLevel="0" collapsed="false">
      <c r="A3" s="126" t="s">
        <v>699</v>
      </c>
    </row>
    <row r="4" customFormat="false" ht="30" hidden="false" customHeight="true" outlineLevel="0" collapsed="false">
      <c r="A4" s="140" t="s">
        <v>700</v>
      </c>
      <c r="B4" s="140"/>
      <c r="C4" s="140"/>
      <c r="D4" s="140"/>
      <c r="E4" s="140"/>
      <c r="F4" s="140"/>
      <c r="G4" s="140"/>
    </row>
    <row r="6" customFormat="false" ht="15" hidden="false" customHeight="false" outlineLevel="0" collapsed="false">
      <c r="A6" s="135" t="s">
        <v>701</v>
      </c>
      <c r="B6" s="136"/>
      <c r="C6" s="136"/>
      <c r="D6" s="136"/>
      <c r="E6" s="136"/>
      <c r="F6" s="136"/>
      <c r="G6" s="136"/>
    </row>
    <row r="7" customFormat="false" ht="15" hidden="false" customHeight="false" outlineLevel="0" collapsed="false">
      <c r="A7" s="128" t="s">
        <v>30</v>
      </c>
      <c r="B7" s="128" t="s">
        <v>702</v>
      </c>
      <c r="C7" s="128" t="s">
        <v>20</v>
      </c>
      <c r="D7" s="128" t="s">
        <v>35</v>
      </c>
      <c r="E7" s="128"/>
      <c r="F7" s="128"/>
      <c r="G7" s="128" t="s">
        <v>703</v>
      </c>
    </row>
    <row r="8" customFormat="false" ht="15" hidden="false" customHeight="false" outlineLevel="0" collapsed="false">
      <c r="A8" s="141" t="s">
        <v>704</v>
      </c>
      <c r="B8" s="142" t="n">
        <v>78</v>
      </c>
      <c r="C8" s="141" t="s">
        <v>705</v>
      </c>
      <c r="D8" s="143" t="n">
        <v>2021</v>
      </c>
      <c r="E8" s="141"/>
      <c r="F8" s="141"/>
      <c r="G8" s="144" t="str">
        <f aca="false">HYPERLINK("https://www.tasp2040.com/wp-content/uploads/2021/03/Updated-TASP-Inventory-Existing-System-Conditions-March-2021-v3.pdf","https://www.tasp2040.com/wp-content/uploads/2021/03/Updated-TASP-Inven")</f>
        <v>https://www.tasp2040.com/wp-content/uploads/2021/03/Updated-TASP-Inven</v>
      </c>
    </row>
    <row r="9" customFormat="false" ht="15" hidden="false" customHeight="false" outlineLevel="0" collapsed="false">
      <c r="A9" s="141" t="s">
        <v>706</v>
      </c>
      <c r="B9" s="141" t="s">
        <v>707</v>
      </c>
      <c r="C9" s="141" t="s">
        <v>705</v>
      </c>
      <c r="D9" s="143" t="n">
        <v>2021</v>
      </c>
      <c r="E9" s="141"/>
      <c r="F9" s="141"/>
      <c r="G9" s="144" t="str">
        <f aca="false">HYPERLINK("https://www.tasp2040.com/wp-content/uploads/2021/03/Updated-TASP-Inventory-Existing-System-Conditions-March-2021-v3.pdf","https://www.tasp2040.com/wp-content/uploads/2021/03/Updated-TASP-Inven")</f>
        <v>https://www.tasp2040.com/wp-content/uploads/2021/03/Updated-TASP-Inven</v>
      </c>
    </row>
    <row r="10" customFormat="false" ht="15" hidden="false" customHeight="false" outlineLevel="0" collapsed="false">
      <c r="A10" s="141" t="s">
        <v>708</v>
      </c>
      <c r="B10" s="142" t="n">
        <v>69</v>
      </c>
      <c r="C10" s="141" t="s">
        <v>705</v>
      </c>
      <c r="D10" s="143" t="n">
        <v>2021</v>
      </c>
      <c r="E10" s="141"/>
      <c r="F10" s="141"/>
      <c r="G10" s="144" t="str">
        <f aca="false">HYPERLINK("https://www.tasp2040.com/wp-content/uploads/2020/12/Chapter-7-Airport-Classifications-and-NPIAS-Evaluation.pdf","https://www.tasp2040.com/wp-content/uploads/2020/12/Chapter-7-Airport-")</f>
        <v>https://www.tasp2040.com/wp-content/uploads/2020/12/Chapter-7-Airport-</v>
      </c>
    </row>
    <row r="11" customFormat="false" ht="23.85" hidden="false" customHeight="false" outlineLevel="0" collapsed="false">
      <c r="A11" s="141" t="s">
        <v>709</v>
      </c>
      <c r="B11" s="141" t="s">
        <v>710</v>
      </c>
      <c r="C11" s="141" t="s">
        <v>705</v>
      </c>
      <c r="D11" s="143" t="n">
        <v>2022</v>
      </c>
      <c r="E11" s="141"/>
      <c r="F11" s="141"/>
      <c r="G11" s="144" t="str">
        <f aca="false">HYPERLINK("https://www.appliedpavement.com/tennessee-apms","https://www.appliedpavement.com/tennessee-apms")</f>
        <v>https://www.appliedpavement.com/tennessee-apms</v>
      </c>
    </row>
    <row r="12" customFormat="false" ht="15" hidden="false" customHeight="false" outlineLevel="0" collapsed="false">
      <c r="A12" s="141" t="s">
        <v>711</v>
      </c>
      <c r="B12" s="141" t="s">
        <v>712</v>
      </c>
      <c r="C12" s="141" t="s">
        <v>713</v>
      </c>
      <c r="D12" s="143" t="n">
        <v>2021</v>
      </c>
      <c r="E12" s="141"/>
      <c r="F12" s="141"/>
      <c r="G12" s="144" t="str">
        <f aca="false">HYPERLINK("https://www.tn.gov/content/dam/tn/tdot/aeronautics/TN%20Airport%20Management%20Guide%20FINAL.pdf","https://www.tn.gov/content/dam/tn/tdot/aeronautics/TN%20Airport%20Mana")</f>
        <v>https://www.tn.gov/content/dam/tn/tdot/aeronautics/TN%20Airport%20Mana</v>
      </c>
    </row>
    <row r="13" customFormat="false" ht="23.85" hidden="false" customHeight="false" outlineLevel="0" collapsed="false">
      <c r="A13" s="141" t="s">
        <v>714</v>
      </c>
      <c r="B13" s="142" t="n">
        <v>70865874</v>
      </c>
      <c r="C13" s="141" t="s">
        <v>715</v>
      </c>
      <c r="D13" s="143" t="n">
        <v>2021</v>
      </c>
      <c r="E13" s="141"/>
      <c r="F13" s="141"/>
      <c r="G13" s="144" t="str">
        <f aca="false">HYPERLINK("https://www.tasp2040.com/wp-content/uploads/2021/09/TASP-Cost-Estimate-Chapter.pdf","https://www.tasp2040.com/wp-content/uploads/2021/09/TASP-Cost-Estimate")</f>
        <v>https://www.tasp2040.com/wp-content/uploads/2021/09/TASP-Cost-Estimate</v>
      </c>
    </row>
    <row r="14" customFormat="false" ht="23.85" hidden="false" customHeight="false" outlineLevel="0" collapsed="false">
      <c r="A14" s="141" t="s">
        <v>716</v>
      </c>
      <c r="B14" s="142" t="n">
        <v>173117648</v>
      </c>
      <c r="C14" s="141" t="s">
        <v>715</v>
      </c>
      <c r="D14" s="143" t="n">
        <v>2021</v>
      </c>
      <c r="E14" s="141"/>
      <c r="F14" s="141"/>
      <c r="G14" s="144" t="str">
        <f aca="false">HYPERLINK("https://www.tasp2040.com/wp-content/uploads/2021/09/TASP-Cost-Estimate-Chapter.pdf","https://www.tasp2040.com/wp-content/uploads/2021/09/TASP-Cost-Estimate")</f>
        <v>https://www.tasp2040.com/wp-content/uploads/2021/09/TASP-Cost-Estimate</v>
      </c>
    </row>
    <row r="15" customFormat="false" ht="23.85" hidden="false" customHeight="false" outlineLevel="0" collapsed="false">
      <c r="A15" s="141" t="s">
        <v>717</v>
      </c>
      <c r="B15" s="141" t="s">
        <v>718</v>
      </c>
      <c r="C15" s="141"/>
      <c r="D15" s="143" t="n">
        <v>2023</v>
      </c>
      <c r="E15" s="141"/>
      <c r="F15" s="141"/>
      <c r="G15" s="144" t="str">
        <f aca="false">HYPERLINK("https://www.tn.gov/content/dam/tn/tdot/documents/170-02.pdf","https://www.tn.gov/content/dam/tn/tdot/documents/170-02.pdf")</f>
        <v>https://www.tn.gov/content/dam/tn/tdot/documents/170-02.pdf</v>
      </c>
    </row>
    <row r="16" customFormat="false" ht="23.85" hidden="false" customHeight="false" outlineLevel="0" collapsed="false">
      <c r="A16" s="141" t="s">
        <v>719</v>
      </c>
      <c r="B16" s="141" t="s">
        <v>720</v>
      </c>
      <c r="C16" s="141"/>
      <c r="D16" s="143" t="n">
        <v>2024</v>
      </c>
      <c r="E16" s="141"/>
      <c r="F16" s="141"/>
      <c r="G16" s="144" t="str">
        <f aca="false">HYPERLINK("https://www.tn.gov/tdot/aeronautics/apmm-contract.html","https://www.tn.gov/tdot/aeronautics/apmm-contract.html")</f>
        <v>https://www.tn.gov/tdot/aeronautics/apmm-contract.html</v>
      </c>
    </row>
    <row r="17" customFormat="false" ht="15" hidden="false" customHeight="false" outlineLevel="0" collapsed="false">
      <c r="A17" s="141" t="s">
        <v>721</v>
      </c>
      <c r="B17" s="141" t="s">
        <v>722</v>
      </c>
      <c r="C17" s="141"/>
      <c r="D17" s="143" t="n">
        <v>2022</v>
      </c>
      <c r="E17" s="141"/>
      <c r="F17" s="141"/>
      <c r="G17" s="144" t="str">
        <f aca="false">HYPERLINK("https://idea.appliedpavement.com/hosting/tennessee/statewide-summary/inventory-area/area-by-airport-table.html","https://idea.appliedpavement.com/hosting/tennessee/statewide-summary/i")</f>
        <v>https://idea.appliedpavement.com/hosting/tennessee/statewide-summary/i</v>
      </c>
    </row>
    <row r="18" customFormat="false" ht="23.85" hidden="false" customHeight="false" outlineLevel="0" collapsed="false">
      <c r="A18" s="141" t="s">
        <v>723</v>
      </c>
      <c r="B18" s="141" t="s">
        <v>724</v>
      </c>
      <c r="C18" s="141"/>
      <c r="D18" s="143" t="n">
        <v>2024</v>
      </c>
      <c r="E18" s="141"/>
      <c r="F18" s="141"/>
      <c r="G18" s="144" t="str">
        <f aca="false">HYPERLINK("https://www.faa.gov/sites/faa.gov/files/airports/planning_capacity/npias/current/ARP-NPIAS-2025-2029-Appendix-A.pdf","https://www.faa.gov/sites/faa.gov/files/airports/planning_capacity/npi")</f>
        <v>https://www.faa.gov/sites/faa.gov/files/airports/planning_capacity/npi</v>
      </c>
    </row>
    <row r="19" customFormat="false" ht="25.5" hidden="false" customHeight="true" outlineLevel="0" collapsed="false">
      <c r="A19" s="140" t="s">
        <v>725</v>
      </c>
      <c r="B19" s="140"/>
      <c r="C19" s="140"/>
      <c r="D19" s="140"/>
      <c r="E19" s="140"/>
      <c r="F19" s="140"/>
      <c r="G19" s="140"/>
    </row>
    <row r="21" customFormat="false" ht="15" hidden="false" customHeight="false" outlineLevel="0" collapsed="false">
      <c r="A21" s="135" t="s">
        <v>726</v>
      </c>
      <c r="B21" s="136"/>
      <c r="C21" s="136"/>
      <c r="D21" s="136"/>
      <c r="E21" s="136"/>
      <c r="F21" s="136"/>
      <c r="G21" s="136"/>
    </row>
    <row r="22" customFormat="false" ht="15" hidden="false" customHeight="false" outlineLevel="0" collapsed="false">
      <c r="A22" s="128" t="s">
        <v>727</v>
      </c>
      <c r="B22" s="128" t="s">
        <v>69</v>
      </c>
      <c r="C22" s="128" t="s">
        <v>728</v>
      </c>
      <c r="D22" s="128" t="s">
        <v>729</v>
      </c>
      <c r="E22" s="128" t="s">
        <v>730</v>
      </c>
      <c r="F22" s="128" t="s">
        <v>731</v>
      </c>
      <c r="G22" s="128" t="s">
        <v>703</v>
      </c>
    </row>
    <row r="23" customFormat="false" ht="15" hidden="false" customHeight="false" outlineLevel="0" collapsed="false">
      <c r="A23" s="141" t="s">
        <v>732</v>
      </c>
      <c r="B23" s="141" t="s">
        <v>733</v>
      </c>
      <c r="C23" s="141" t="s">
        <v>734</v>
      </c>
      <c r="D23" s="142" t="n">
        <v>52811</v>
      </c>
      <c r="E23" s="141" t="s">
        <v>735</v>
      </c>
      <c r="F23" s="141" t="s">
        <v>736</v>
      </c>
      <c r="G23" s="144" t="str">
        <f aca="false">HYPERLINK("https://en.wikipedia.org/wiki/Murfreesboro_Municipal_Airport","https://en.wikipedia.org/wiki/Murfreesboro_Municipal_Airport")</f>
        <v>https://en.wikipedia.org/wiki/Murfreesboro_Municipal_Airport</v>
      </c>
    </row>
    <row r="24" customFormat="false" ht="15" hidden="false" customHeight="false" outlineLevel="0" collapsed="false">
      <c r="A24" s="141" t="s">
        <v>737</v>
      </c>
      <c r="B24" s="141" t="s">
        <v>733</v>
      </c>
      <c r="C24" s="141" t="s">
        <v>738</v>
      </c>
      <c r="D24" s="142" t="n">
        <v>61144</v>
      </c>
      <c r="E24" s="141" t="s">
        <v>735</v>
      </c>
      <c r="F24" s="141"/>
      <c r="G24" s="144" t="str">
        <f aca="false">HYPERLINK("https://en.wikipedia.org/wiki/Shelbyville_Municipal_Airport_(Tennessee)","https://en.wikipedia.org/wiki/Shelbyville_Municipal_Airport_(Tennessee")</f>
        <v>https://en.wikipedia.org/wiki/Shelbyville_Municipal_Airport_(Tennessee</v>
      </c>
    </row>
    <row r="25" customFormat="false" ht="15" hidden="false" customHeight="false" outlineLevel="0" collapsed="false">
      <c r="A25" s="141" t="s">
        <v>739</v>
      </c>
      <c r="B25" s="141" t="s">
        <v>740</v>
      </c>
      <c r="C25" s="141" t="s">
        <v>741</v>
      </c>
      <c r="D25" s="142" t="n">
        <v>45883</v>
      </c>
      <c r="E25" s="141" t="s">
        <v>742</v>
      </c>
      <c r="F25" s="141" t="s">
        <v>743</v>
      </c>
      <c r="G25" s="144" t="str">
        <f aca="false">HYPERLINK("https://en.wikipedia.org/wiki/Gatlinburg%E2%80%93Pigeon_Forge_Airport","https://en.wikipedia.org/wiki/Gatlinburg%E2%80%93Pigeon_Forge_Airport")</f>
        <v>https://en.wikipedia.org/wiki/Gatlinburg%E2%80%93Pigeon_Forge_Airport</v>
      </c>
    </row>
    <row r="26" customFormat="false" ht="15" hidden="false" customHeight="false" outlineLevel="0" collapsed="false">
      <c r="A26" s="141" t="s">
        <v>744</v>
      </c>
      <c r="B26" s="141" t="s">
        <v>745</v>
      </c>
      <c r="C26" s="141" t="s">
        <v>746</v>
      </c>
      <c r="D26" s="142" t="n">
        <v>66656</v>
      </c>
      <c r="E26" s="141" t="s">
        <v>735</v>
      </c>
      <c r="F26" s="141" t="s">
        <v>747</v>
      </c>
      <c r="G26" s="144" t="str">
        <f aca="false">HYPERLINK("https://en.wikipedia.org/wiki/Clarksville%E2%80%93Montgomery_County_Regional_Airport","https://en.wikipedia.org/wiki/Clarksville%E2%80%93Montgomery_County_Re")</f>
        <v>https://en.wikipedia.org/wiki/Clarksville%E2%80%93Montgomery_County_Re</v>
      </c>
    </row>
    <row r="27" customFormat="false" ht="15" hidden="false" customHeight="false" outlineLevel="0" collapsed="false">
      <c r="A27" s="141" t="s">
        <v>748</v>
      </c>
      <c r="B27" s="141" t="s">
        <v>749</v>
      </c>
      <c r="C27" s="141" t="s">
        <v>750</v>
      </c>
      <c r="D27" s="142" t="n">
        <v>100083</v>
      </c>
      <c r="E27" s="141" t="s">
        <v>751</v>
      </c>
      <c r="F27" s="141" t="s">
        <v>752</v>
      </c>
      <c r="G27" s="144" t="str">
        <f aca="false">HYPERLINK("https://www.wbbjtv.com/2024/08/28/mckellar-sipes-regional-airport-set-to-complete-runway-2-20-paving-preparing-for-new-jet-service/","https://www.wbbjtv.com/2024/08/28/mckellar-sipes-regional-airport-set-")</f>
        <v>https://www.wbbjtv.com/2024/08/28/mckellar-sipes-regional-airport-set-</v>
      </c>
    </row>
    <row r="28" customFormat="false" ht="15" hidden="false" customHeight="false" outlineLevel="0" collapsed="false">
      <c r="A28" s="141" t="s">
        <v>753</v>
      </c>
      <c r="B28" s="141" t="s">
        <v>754</v>
      </c>
      <c r="C28" s="141" t="s">
        <v>755</v>
      </c>
      <c r="D28" s="142" t="n">
        <v>61622</v>
      </c>
      <c r="E28" s="141" t="s">
        <v>735</v>
      </c>
      <c r="F28" s="141" t="s">
        <v>756</v>
      </c>
      <c r="G28" s="144" t="str">
        <f aca="false">HYPERLINK("https://www.smyrnaairport.com/news-events/smyrna-airport-runway-119-grand-opening","https://www.smyrnaairport.com/news-events/smyrna-airport-runway-119-gr")</f>
        <v>https://www.smyrnaairport.com/news-events/smyrna-airport-runway-119-gr</v>
      </c>
    </row>
    <row r="29" customFormat="false" ht="15" hidden="false" customHeight="false" outlineLevel="0" collapsed="false">
      <c r="A29" s="141" t="s">
        <v>753</v>
      </c>
      <c r="B29" s="141" t="s">
        <v>757</v>
      </c>
      <c r="C29" s="141" t="s">
        <v>758</v>
      </c>
      <c r="D29" s="142" t="n">
        <v>133967</v>
      </c>
      <c r="E29" s="141" t="s">
        <v>735</v>
      </c>
      <c r="F29" s="141" t="s">
        <v>759</v>
      </c>
      <c r="G29" s="144" t="str">
        <f aca="false">HYPERLINK("https://en.wikipedia.org/wiki/Smyrna_Airport_(Tennessee)","https://en.wikipedia.org/wiki/Smyrna_Airport_(Tennessee)")</f>
        <v>https://en.wikipedia.org/wiki/Smyrna_Airport_(Tennessee)</v>
      </c>
    </row>
    <row r="30" customFormat="false" ht="15" hidden="false" customHeight="false" outlineLevel="0" collapsed="false">
      <c r="A30" s="141" t="s">
        <v>760</v>
      </c>
      <c r="B30" s="141"/>
      <c r="C30" s="141" t="s">
        <v>761</v>
      </c>
      <c r="D30" s="141" t="s">
        <v>762</v>
      </c>
      <c r="E30" s="141"/>
      <c r="F30" s="141" t="s">
        <v>763</v>
      </c>
      <c r="G30" s="144" t="str">
        <f aca="false">HYPERLINK("https://www.tasp2040.com/wp-content/uploads/2020/12/Chapter-7-Airport-Classifications-and-NPIAS-Evaluation.pdf","https://www.tasp2040.com/wp-content/uploads/2020/12/Chapter-7-Airport-")</f>
        <v>https://www.tasp2040.com/wp-content/uploads/2020/12/Chapter-7-Airport-</v>
      </c>
    </row>
    <row r="31" customFormat="false" ht="46.25" hidden="false" customHeight="false" outlineLevel="0" collapsed="false">
      <c r="A31" s="141" t="s">
        <v>764</v>
      </c>
      <c r="B31" s="141"/>
      <c r="C31" s="141"/>
      <c r="D31" s="141"/>
      <c r="E31" s="141"/>
      <c r="F31" s="141" t="s">
        <v>765</v>
      </c>
      <c r="G31" s="141" t="s">
        <v>766</v>
      </c>
    </row>
    <row r="32" customFormat="false" ht="25.5" hidden="false" customHeight="true" outlineLevel="0" collapsed="false">
      <c r="A32" s="140" t="s">
        <v>767</v>
      </c>
      <c r="B32" s="140"/>
      <c r="C32" s="140"/>
      <c r="D32" s="140"/>
      <c r="E32" s="140"/>
      <c r="F32" s="140"/>
      <c r="G32" s="140"/>
    </row>
    <row r="34" customFormat="false" ht="15" hidden="false" customHeight="false" outlineLevel="0" collapsed="false">
      <c r="A34" s="135" t="s">
        <v>768</v>
      </c>
      <c r="B34" s="136"/>
      <c r="C34" s="136"/>
      <c r="D34" s="136"/>
      <c r="E34" s="136"/>
      <c r="F34" s="136"/>
      <c r="G34" s="136"/>
    </row>
    <row r="35" customFormat="false" ht="15" hidden="false" customHeight="false" outlineLevel="0" collapsed="false">
      <c r="A35" s="128" t="s">
        <v>769</v>
      </c>
      <c r="B35" s="128" t="s">
        <v>770</v>
      </c>
      <c r="C35" s="128" t="s">
        <v>20</v>
      </c>
      <c r="D35" s="128" t="s">
        <v>771</v>
      </c>
      <c r="E35" s="128" t="s">
        <v>35</v>
      </c>
      <c r="F35" s="128" t="s">
        <v>772</v>
      </c>
      <c r="G35" s="128" t="s">
        <v>703</v>
      </c>
    </row>
    <row r="36" customFormat="false" ht="23.85" hidden="false" customHeight="false" outlineLevel="0" collapsed="false">
      <c r="A36" s="141" t="s">
        <v>773</v>
      </c>
      <c r="B36" s="145" t="n">
        <f aca="false">IFERROR(VLOOKUP("Asphalt Surface Course",Pay_Items!$D:$F,3,0),"")</f>
        <v>130</v>
      </c>
      <c r="C36" s="141" t="s">
        <v>774</v>
      </c>
      <c r="D36" s="141" t="s">
        <v>775</v>
      </c>
      <c r="E36" s="142" t="n">
        <v>2025</v>
      </c>
      <c r="F36" s="141" t="s">
        <v>776</v>
      </c>
      <c r="G36" s="144" t="str">
        <f aca="false">HYPERLINK("https://aeronautics.sc.gov/sites/default/files/2025-05/250521_FLO_Rehab_Twy_A.pdf","https://aeronautics.sc.gov/sites/default/files/2025-05/250521_FLO_Reha")</f>
        <v>https://aeronautics.sc.gov/sites/default/files/2025-05/250521_FLO_Reha</v>
      </c>
    </row>
    <row r="37" customFormat="false" ht="23.85" hidden="false" customHeight="false" outlineLevel="0" collapsed="false">
      <c r="A37" s="141" t="s">
        <v>777</v>
      </c>
      <c r="B37" s="145" t="n">
        <f aca="false">IFERROR(VLOOKUP("Asphalt Base Course",Pay_Items!$D:$F,3,0),"")</f>
        <v>120</v>
      </c>
      <c r="C37" s="141" t="s">
        <v>774</v>
      </c>
      <c r="D37" s="141" t="s">
        <v>778</v>
      </c>
      <c r="E37" s="141"/>
      <c r="F37" s="141"/>
      <c r="G37" s="144" t="str">
        <f aca="false">HYPERLINK("https://aeronautics.sc.gov/airport-development/sc-airport-capital-project-bid-tabulations","https://aeronautics.sc.gov/airport-development/sc-airport-capital-proj")</f>
        <v>https://aeronautics.sc.gov/airport-development/sc-airport-capital-proj</v>
      </c>
    </row>
    <row r="38" customFormat="false" ht="23.85" hidden="false" customHeight="false" outlineLevel="0" collapsed="false">
      <c r="A38" s="141" t="s">
        <v>779</v>
      </c>
      <c r="B38" s="145" t="n">
        <f aca="false">IFERROR(VLOOKUP("Concrete Pavement, 9-inch",Pay_Items!$D:$F,3,0),"")</f>
        <v>85</v>
      </c>
      <c r="C38" s="141" t="s">
        <v>780</v>
      </c>
      <c r="D38" s="141" t="s">
        <v>781</v>
      </c>
      <c r="E38" s="142" t="n">
        <v>2023</v>
      </c>
      <c r="F38" s="141" t="s">
        <v>782</v>
      </c>
      <c r="G38" s="144" t="str">
        <f aca="false">HYPERLINK("https://www.dot.state.mn.us/aero/planning/documents/sasp/saspappendixf.pdf","https://www.dot.state.mn.us/aero/planning/documents/sasp/saspappendixf")</f>
        <v>https://www.dot.state.mn.us/aero/planning/documents/sasp/saspappendixf</v>
      </c>
    </row>
    <row r="39" customFormat="false" ht="23.85" hidden="false" customHeight="false" outlineLevel="0" collapsed="false">
      <c r="A39" s="141" t="s">
        <v>783</v>
      </c>
      <c r="B39" s="145" t="n">
        <f aca="false">IFERROR(VLOOKUP("Crushed Aggregate Base Course",Pay_Items!$D:$F,3,0),"")</f>
        <v>65</v>
      </c>
      <c r="C39" s="141" t="s">
        <v>784</v>
      </c>
      <c r="D39" s="141" t="s">
        <v>785</v>
      </c>
      <c r="E39" s="141"/>
      <c r="F39" s="141"/>
      <c r="G39" s="144" t="str">
        <f aca="false">HYPERLINK("https://aeronautics.sc.gov/airport-development/sc-airport-capital-project-bid-tabulations","https://aeronautics.sc.gov/airport-development/sc-airport-capital-proj")</f>
        <v>https://aeronautics.sc.gov/airport-development/sc-airport-capital-proj</v>
      </c>
    </row>
    <row r="40" customFormat="false" ht="23.85" hidden="false" customHeight="false" outlineLevel="0" collapsed="false">
      <c r="A40" s="141" t="s">
        <v>786</v>
      </c>
      <c r="B40" s="145" t="n">
        <f aca="false">IFERROR(VLOOKUP("Subbase Course",Pay_Items!$D:$F,3,0),"")</f>
        <v>55</v>
      </c>
      <c r="C40" s="141" t="s">
        <v>784</v>
      </c>
      <c r="D40" s="141" t="s">
        <v>785</v>
      </c>
      <c r="E40" s="141"/>
      <c r="F40" s="141"/>
      <c r="G40" s="144" t="str">
        <f aca="false">HYPERLINK("https://aeronautics.sc.gov/airport-development/sc-airport-capital-project-bid-tabulations","https://aeronautics.sc.gov/airport-development/sc-airport-capital-proj")</f>
        <v>https://aeronautics.sc.gov/airport-development/sc-airport-capital-proj</v>
      </c>
    </row>
    <row r="41" customFormat="false" ht="23.85" hidden="false" customHeight="false" outlineLevel="0" collapsed="false">
      <c r="A41" s="141" t="s">
        <v>787</v>
      </c>
      <c r="B41" s="145" t="n">
        <f aca="false">IFERROR(VLOOKUP("Cold Milling",Pay_Items!$D:$F,3,0),"")</f>
        <v>5</v>
      </c>
      <c r="C41" s="141" t="s">
        <v>780</v>
      </c>
      <c r="D41" s="141" t="s">
        <v>788</v>
      </c>
      <c r="E41" s="142" t="n">
        <v>2025</v>
      </c>
      <c r="F41" s="141"/>
      <c r="G41" s="144" t="str">
        <f aca="false">HYPERLINK("https://aeronautics.sc.gov/sites/default/files/2025-05/250521_FLO_Rehab_Twy_A.pdf","https://aeronautics.sc.gov/sites/default/files/2025-05/250521_FLO_Reha")</f>
        <v>https://aeronautics.sc.gov/sites/default/files/2025-05/250521_FLO_Reha</v>
      </c>
    </row>
    <row r="42" customFormat="false" ht="23.85" hidden="false" customHeight="false" outlineLevel="0" collapsed="false">
      <c r="A42" s="141" t="s">
        <v>789</v>
      </c>
      <c r="B42" s="145" t="n">
        <f aca="false">IFERROR(VLOOKUP("Emulsified Asphalt Surface Treatment",Pay_Items!$D:$F,3,0),"")</f>
        <v>4</v>
      </c>
      <c r="C42" s="141" t="s">
        <v>780</v>
      </c>
      <c r="D42" s="141" t="s">
        <v>790</v>
      </c>
      <c r="E42" s="142" t="n">
        <v>2022</v>
      </c>
      <c r="F42" s="141" t="s">
        <v>791</v>
      </c>
      <c r="G42" s="144" t="str">
        <f aca="false">HYPERLINK("https://www.tn.gov/tdot/aeronautics/apmm-contract.html","https://www.tn.gov/tdot/aeronautics/apmm-contract.html")</f>
        <v>https://www.tn.gov/tdot/aeronautics/apmm-contract.html</v>
      </c>
    </row>
    <row r="43" customFormat="false" ht="15" hidden="false" customHeight="false" outlineLevel="0" collapsed="false">
      <c r="A43" s="141" t="s">
        <v>792</v>
      </c>
      <c r="B43" s="145" t="n">
        <f aca="false">IFERROR(VLOOKUP("Markings (prep, markings, reflective media)",Pay_Items!$D:$F,3,0),"")</f>
        <v>0.666666666666667</v>
      </c>
      <c r="C43" s="141" t="s">
        <v>793</v>
      </c>
      <c r="D43" s="141" t="s">
        <v>790</v>
      </c>
      <c r="E43" s="142" t="n">
        <v>2022</v>
      </c>
      <c r="F43" s="141"/>
      <c r="G43" s="144" t="str">
        <f aca="false">HYPERLINK("https://www.tn.gov/tdot/aeronautics/apmm-contract.html","https://www.tn.gov/tdot/aeronautics/apmm-contract.html")</f>
        <v>https://www.tn.gov/tdot/aeronautics/apmm-contract.html</v>
      </c>
    </row>
    <row r="44" customFormat="false" ht="23.85" hidden="false" customHeight="false" outlineLevel="0" collapsed="false">
      <c r="A44" s="141" t="s">
        <v>794</v>
      </c>
      <c r="B44" s="141"/>
      <c r="C44" s="141" t="s">
        <v>780</v>
      </c>
      <c r="D44" s="141" t="s">
        <v>795</v>
      </c>
      <c r="E44" s="142" t="n">
        <v>2025</v>
      </c>
      <c r="F44" s="141" t="s">
        <v>796</v>
      </c>
      <c r="G44" s="144" t="str">
        <f aca="false">HYPERLINK("https://www.smyrnaairport.com/news-events/smyrna-airport-runway-119-grand-opening","https://www.smyrnaairport.com/news-events/smyrna-airport-runway-119-gr")</f>
        <v>https://www.smyrnaairport.com/news-events/smyrna-airport-runway-119-gr</v>
      </c>
    </row>
    <row r="45" customFormat="false" ht="23.85" hidden="false" customHeight="false" outlineLevel="0" collapsed="false">
      <c r="A45" s="141" t="s">
        <v>797</v>
      </c>
      <c r="B45" s="142" t="n">
        <v>820000</v>
      </c>
      <c r="C45" s="141" t="s">
        <v>715</v>
      </c>
      <c r="D45" s="141"/>
      <c r="E45" s="142" t="n">
        <v>2023</v>
      </c>
      <c r="F45" s="141" t="s">
        <v>798</v>
      </c>
      <c r="G45" s="144" t="str">
        <f aca="false">HYPERLINK("https://www.stategazette.com/news/regional-airport-receives-state-grant/article_5fd852fd-1d67-525c-b6fc-b32fbc676bdc.html","https://www.stategazette.com/news/regional-airport-receives-state-gran")</f>
        <v>https://www.stategazette.com/news/regional-airport-receives-state-gran</v>
      </c>
    </row>
    <row r="46" customFormat="false" ht="25.5" hidden="false" customHeight="true" outlineLevel="0" collapsed="false">
      <c r="A46" s="140" t="s">
        <v>799</v>
      </c>
      <c r="B46" s="140"/>
      <c r="C46" s="140"/>
      <c r="D46" s="140"/>
      <c r="E46" s="140"/>
      <c r="F46" s="140"/>
      <c r="G46" s="140"/>
    </row>
    <row r="48" customFormat="false" ht="15" hidden="false" customHeight="false" outlineLevel="0" collapsed="false">
      <c r="A48" s="135" t="s">
        <v>800</v>
      </c>
      <c r="B48" s="136"/>
      <c r="C48" s="136"/>
      <c r="D48" s="136"/>
      <c r="E48" s="136"/>
      <c r="F48" s="136"/>
      <c r="G48" s="136"/>
    </row>
    <row r="49" customFormat="false" ht="35.05" hidden="false" customHeight="false" outlineLevel="0" collapsed="false">
      <c r="A49" s="128" t="s">
        <v>801</v>
      </c>
      <c r="B49" s="128" t="s">
        <v>802</v>
      </c>
      <c r="C49" s="128" t="s">
        <v>803</v>
      </c>
      <c r="D49" s="128" t="s">
        <v>804</v>
      </c>
      <c r="E49" s="128" t="s">
        <v>731</v>
      </c>
      <c r="F49" s="128"/>
      <c r="G49" s="128" t="s">
        <v>703</v>
      </c>
    </row>
    <row r="50" customFormat="false" ht="35.05" hidden="false" customHeight="false" outlineLevel="0" collapsed="false">
      <c r="A50" s="141" t="s">
        <v>805</v>
      </c>
      <c r="B50" s="141" t="s">
        <v>806</v>
      </c>
      <c r="C50" s="141" t="n">
        <f aca="false">ROUNDUP(66667/15000,0)</f>
        <v>5</v>
      </c>
      <c r="D50" s="141" t="s">
        <v>807</v>
      </c>
      <c r="E50" s="141" t="s">
        <v>808</v>
      </c>
      <c r="F50" s="141"/>
      <c r="G50" s="141" t="s">
        <v>809</v>
      </c>
    </row>
    <row r="51" customFormat="false" ht="23.85" hidden="false" customHeight="false" outlineLevel="0" collapsed="false">
      <c r="A51" s="141" t="s">
        <v>810</v>
      </c>
      <c r="B51" s="141" t="s">
        <v>811</v>
      </c>
      <c r="C51" s="141" t="n">
        <f aca="false">ROUNDUP(15000/20000,0)+ROUNDUP(15000/50000,0)</f>
        <v>2</v>
      </c>
      <c r="D51" s="141" t="s">
        <v>812</v>
      </c>
      <c r="E51" s="141"/>
      <c r="F51" s="141"/>
      <c r="G51" s="141" t="s">
        <v>813</v>
      </c>
    </row>
    <row r="52" customFormat="false" ht="35.05" hidden="false" customHeight="false" outlineLevel="0" collapsed="false">
      <c r="A52" s="141" t="s">
        <v>814</v>
      </c>
      <c r="B52" s="141" t="s">
        <v>815</v>
      </c>
      <c r="C52" s="141" t="n">
        <f aca="false">ROUNDUP(66667*0.0075/10000,0)</f>
        <v>1</v>
      </c>
      <c r="D52" s="141" t="s">
        <v>816</v>
      </c>
      <c r="E52" s="141"/>
      <c r="F52" s="141"/>
      <c r="G52" s="141" t="s">
        <v>813</v>
      </c>
    </row>
    <row r="53" customFormat="false" ht="35.05" hidden="false" customHeight="false" outlineLevel="0" collapsed="false">
      <c r="A53" s="141" t="s">
        <v>817</v>
      </c>
      <c r="B53" s="141" t="s">
        <v>818</v>
      </c>
      <c r="C53" s="141" t="n">
        <f aca="false">ROUNDUP(66667*0.0325/5000,0)</f>
        <v>1</v>
      </c>
      <c r="D53" s="141" t="s">
        <v>816</v>
      </c>
      <c r="E53" s="141"/>
      <c r="F53" s="141"/>
      <c r="G53" s="141" t="s">
        <v>813</v>
      </c>
    </row>
    <row r="54" customFormat="false" ht="23.85" hidden="false" customHeight="false" outlineLevel="0" collapsed="false">
      <c r="A54" s="141" t="s">
        <v>819</v>
      </c>
      <c r="B54" s="141" t="s">
        <v>820</v>
      </c>
      <c r="C54" s="141" t="n">
        <f aca="false">ROUNDUP(66667/3800,0)+ROUNDUP(15000/50000,0)</f>
        <v>19</v>
      </c>
      <c r="D54" s="141" t="s">
        <v>821</v>
      </c>
      <c r="E54" s="141" t="s">
        <v>822</v>
      </c>
      <c r="F54" s="141"/>
      <c r="G54" s="141" t="s">
        <v>813</v>
      </c>
    </row>
    <row r="55" customFormat="false" ht="23.85" hidden="false" customHeight="false" outlineLevel="0" collapsed="false">
      <c r="A55" s="141" t="s">
        <v>823</v>
      </c>
      <c r="B55" s="141" t="s">
        <v>824</v>
      </c>
      <c r="C55" s="141" t="n">
        <f aca="false">ROUNDUP(66667*550/(50*100/9)/10000,0)</f>
        <v>7</v>
      </c>
      <c r="D55" s="141" t="s">
        <v>825</v>
      </c>
      <c r="E55" s="141"/>
      <c r="F55" s="141"/>
      <c r="G55" s="141" t="s">
        <v>813</v>
      </c>
    </row>
    <row r="56" customFormat="false" ht="23.85" hidden="false" customHeight="false" outlineLevel="0" collapsed="false">
      <c r="A56" s="141" t="s">
        <v>826</v>
      </c>
      <c r="B56" s="141" t="s">
        <v>827</v>
      </c>
      <c r="C56" s="141" t="n">
        <f aca="false">ROUNDUP(66667*0.003/10000,0)+ROUNDUP(66667*0.0013/5000,0)+ROUNDUP(66667*0.0025/5000,0)</f>
        <v>3</v>
      </c>
      <c r="D56" s="141" t="s">
        <v>828</v>
      </c>
      <c r="E56" s="141"/>
      <c r="F56" s="141"/>
      <c r="G56" s="141" t="s">
        <v>813</v>
      </c>
    </row>
    <row r="57" customFormat="false" ht="23.85" hidden="false" customHeight="false" outlineLevel="0" collapsed="false">
      <c r="A57" s="141" t="s">
        <v>829</v>
      </c>
      <c r="B57" s="141" t="s">
        <v>830</v>
      </c>
      <c r="C57" s="141" t="n">
        <f aca="false">ROUNDUP(66667*0.02/1000,0)+7</f>
        <v>9</v>
      </c>
      <c r="D57" s="141" t="s">
        <v>831</v>
      </c>
      <c r="E57" s="141" t="s">
        <v>832</v>
      </c>
      <c r="F57" s="141"/>
      <c r="G57" s="141" t="s">
        <v>813</v>
      </c>
    </row>
    <row r="58" customFormat="false" ht="35.05" hidden="false" customHeight="false" outlineLevel="0" collapsed="false">
      <c r="A58" s="141" t="s">
        <v>833</v>
      </c>
      <c r="B58" s="141"/>
      <c r="C58" s="141" t="s">
        <v>834</v>
      </c>
      <c r="D58" s="141" t="s">
        <v>835</v>
      </c>
      <c r="E58" s="141" t="s">
        <v>836</v>
      </c>
      <c r="F58" s="141"/>
      <c r="G58" s="141" t="s">
        <v>813</v>
      </c>
    </row>
    <row r="59" customFormat="false" ht="25.5" hidden="false" customHeight="true" outlineLevel="0" collapsed="false">
      <c r="A59" s="140" t="s">
        <v>837</v>
      </c>
      <c r="B59" s="140"/>
      <c r="C59" s="140"/>
      <c r="D59" s="140"/>
      <c r="E59" s="140"/>
      <c r="F59" s="140"/>
      <c r="G59" s="140"/>
    </row>
    <row r="61" customFormat="false" ht="15" hidden="false" customHeight="false" outlineLevel="0" collapsed="false">
      <c r="A61" s="135" t="s">
        <v>838</v>
      </c>
      <c r="B61" s="136"/>
      <c r="C61" s="136"/>
      <c r="D61" s="136"/>
      <c r="E61" s="136"/>
      <c r="F61" s="136"/>
      <c r="G61" s="136"/>
    </row>
    <row r="62" customFormat="false" ht="15" hidden="false" customHeight="false" outlineLevel="0" collapsed="false">
      <c r="A62" s="128" t="s">
        <v>839</v>
      </c>
      <c r="B62" s="128" t="s">
        <v>702</v>
      </c>
      <c r="C62" s="128" t="s">
        <v>840</v>
      </c>
      <c r="D62" s="128" t="s">
        <v>35</v>
      </c>
      <c r="E62" s="128"/>
      <c r="F62" s="128" t="s">
        <v>772</v>
      </c>
      <c r="G62" s="128" t="s">
        <v>703</v>
      </c>
    </row>
    <row r="63" customFormat="false" ht="15" hidden="false" customHeight="false" outlineLevel="0" collapsed="false">
      <c r="A63" s="141" t="s">
        <v>841</v>
      </c>
      <c r="B63" s="145" t="n">
        <f aca="false">'General Information'!$D$34</f>
        <v>3</v>
      </c>
      <c r="C63" s="141" t="s">
        <v>842</v>
      </c>
      <c r="D63" s="141"/>
      <c r="E63" s="141"/>
      <c r="F63" s="141" t="s">
        <v>843</v>
      </c>
      <c r="G63" s="141" t="s">
        <v>813</v>
      </c>
    </row>
    <row r="64" customFormat="false" ht="15" hidden="false" customHeight="false" outlineLevel="0" collapsed="false">
      <c r="A64" s="141" t="s">
        <v>844</v>
      </c>
      <c r="B64" s="145" t="n">
        <f aca="false">'General Information'!$D$33</f>
        <v>30</v>
      </c>
      <c r="C64" s="141" t="s">
        <v>845</v>
      </c>
      <c r="D64" s="141"/>
      <c r="E64" s="141"/>
      <c r="F64" s="141" t="s">
        <v>846</v>
      </c>
      <c r="G64" s="141" t="s">
        <v>813</v>
      </c>
    </row>
    <row r="65" customFormat="false" ht="35.05" hidden="false" customHeight="false" outlineLevel="0" collapsed="false">
      <c r="A65" s="141" t="s">
        <v>847</v>
      </c>
      <c r="B65" s="141" t="s">
        <v>848</v>
      </c>
      <c r="C65" s="141" t="s">
        <v>842</v>
      </c>
      <c r="D65" s="143" t="n">
        <v>2022</v>
      </c>
      <c r="E65" s="141"/>
      <c r="F65" s="141" t="s">
        <v>849</v>
      </c>
      <c r="G65" s="144" t="str">
        <f aca="false">HYPERLINK("https://www.faa.gov/airports/aip/guidance_letters/aip_pgl_22_01","https://www.faa.gov/airports/aip/guidance_letters/aip_pgl_22_01")</f>
        <v>https://www.faa.gov/airports/aip/guidance_letters/aip_pgl_22_01</v>
      </c>
    </row>
    <row r="66" customFormat="false" ht="23.85" hidden="false" customHeight="false" outlineLevel="0" collapsed="false">
      <c r="A66" s="141" t="s">
        <v>850</v>
      </c>
      <c r="B66" s="142" t="n">
        <v>2</v>
      </c>
      <c r="C66" s="141" t="s">
        <v>842</v>
      </c>
      <c r="D66" s="143" t="n">
        <v>2026</v>
      </c>
      <c r="E66" s="141"/>
      <c r="F66" s="141" t="s">
        <v>851</v>
      </c>
      <c r="G66" s="144" t="str">
        <f aca="false">HYPERLINK("https://www.whitehouse.gov/wp-content/uploads/2026/03/CircularA-94Appendix-C.pdf","https://www.whitehouse.gov/wp-content/uploads/2026/03/CircularA-94Appe")</f>
        <v>https://www.whitehouse.gov/wp-content/uploads/2026/03/CircularA-94Appe</v>
      </c>
    </row>
    <row r="67" customFormat="false" ht="35.05" hidden="false" customHeight="false" outlineLevel="0" collapsed="false">
      <c r="A67" s="141" t="s">
        <v>852</v>
      </c>
      <c r="B67" s="141" t="s">
        <v>853</v>
      </c>
      <c r="C67" s="141"/>
      <c r="D67" s="143" t="n">
        <v>2014</v>
      </c>
      <c r="E67" s="141"/>
      <c r="F67" s="141" t="s">
        <v>854</v>
      </c>
      <c r="G67" s="144" t="str">
        <f aca="false">HYPERLINK("https://www.whitehouse.gov/wp-content/uploads/2025/02/M-25-23-Rescission-and-Reinstatement-of-Circular-No.-A-94.pdf","https://www.whitehouse.gov/wp-content/uploads/2025/02/M-25-23-Rescissi")</f>
        <v>https://www.whitehouse.gov/wp-content/uploads/2025/02/M-25-23-Rescissi</v>
      </c>
    </row>
    <row r="68" customFormat="false" ht="23.85" hidden="false" customHeight="false" outlineLevel="0" collapsed="false">
      <c r="A68" s="141" t="s">
        <v>855</v>
      </c>
      <c r="B68" s="141" t="s">
        <v>856</v>
      </c>
      <c r="C68" s="141"/>
      <c r="D68" s="143" t="n">
        <v>2009</v>
      </c>
      <c r="E68" s="141"/>
      <c r="F68" s="141" t="s">
        <v>857</v>
      </c>
      <c r="G68" s="144" t="str">
        <f aca="false">HYPERLINK("https://www.faa.gov/documentLibrary/media/Advisory_Circular/150_5320_6e_part4.pdf","https://www.faa.gov/documentLibrary/media/Advisory_Circular/150_5320_6")</f>
        <v>https://www.faa.gov/documentLibrary/media/Advisory_Circular/150_5320_6</v>
      </c>
    </row>
    <row r="69" customFormat="false" ht="35.05" hidden="false" customHeight="false" outlineLevel="0" collapsed="false">
      <c r="A69" s="141" t="s">
        <v>858</v>
      </c>
      <c r="B69" s="141" t="s">
        <v>859</v>
      </c>
      <c r="C69" s="141"/>
      <c r="D69" s="143" t="n">
        <v>2011</v>
      </c>
      <c r="E69" s="141"/>
      <c r="F69" s="141" t="s">
        <v>860</v>
      </c>
      <c r="G69" s="144" t="str">
        <f aca="false">HYPERLINK("https://www.eng.auburn.edu/research/centers/ncat/files/aaptp/Report.Final.06-06.pdf","https://www.eng.auburn.edu/research/centers/ncat/files/aaptp/Report.Fi")</f>
        <v>https://www.eng.auburn.edu/research/centers/ncat/files/aaptp/Report.Fi</v>
      </c>
    </row>
    <row r="70" customFormat="false" ht="35.05" hidden="false" customHeight="false" outlineLevel="0" collapsed="false">
      <c r="A70" s="141" t="s">
        <v>861</v>
      </c>
      <c r="B70" s="141" t="s">
        <v>862</v>
      </c>
      <c r="C70" s="141"/>
      <c r="D70" s="143" t="n">
        <v>2013</v>
      </c>
      <c r="E70" s="141"/>
      <c r="F70" s="141" t="s">
        <v>863</v>
      </c>
      <c r="G70" s="144" t="str">
        <f aca="false">HYPERLINK("https://dot.ca.gov/-/media/dot-media/programs/maintenance/documents/office-of-concrete-pavement/life-cycle-cost-analysis/lcca-25ca-manual-final-aug-1-2013-v2-a11y.pdf","https://dot.ca.gov/-/media/dot-media/programs/maintenance/documents/of")</f>
        <v>https://dot.ca.gov/-/media/dot-media/programs/maintenance/documents/of</v>
      </c>
    </row>
    <row r="71" customFormat="false" ht="15" hidden="false" customHeight="false" outlineLevel="0" collapsed="false">
      <c r="A71" s="141" t="s">
        <v>864</v>
      </c>
      <c r="B71" s="142" t="n">
        <v>20</v>
      </c>
      <c r="C71" s="141" t="s">
        <v>845</v>
      </c>
      <c r="D71" s="143" t="n">
        <v>2021</v>
      </c>
      <c r="E71" s="141"/>
      <c r="F71" s="141" t="s">
        <v>865</v>
      </c>
      <c r="G71" s="144" t="str">
        <f aca="false">HYPERLINK("https://www.faa.gov/documentLibrary/media/Advisory_Circular/150-5320-6G-Pavement-Design.pdf","https://www.faa.gov/documentLibrary/media/Advisory_Circular/150-5320-6")</f>
        <v>https://www.faa.gov/documentLibrary/media/Advisory_Circular/150-5320-6</v>
      </c>
    </row>
    <row r="72" customFormat="false" ht="23.85" hidden="false" customHeight="false" outlineLevel="0" collapsed="false">
      <c r="A72" s="141" t="s">
        <v>866</v>
      </c>
      <c r="B72" s="145" t="n">
        <f aca="false">'Maintenance Policies'!$D$32</f>
        <v>0.125</v>
      </c>
      <c r="C72" s="141" t="s">
        <v>867</v>
      </c>
      <c r="D72" s="141"/>
      <c r="E72" s="141"/>
      <c r="F72" s="141" t="s">
        <v>868</v>
      </c>
      <c r="G72" s="141" t="s">
        <v>813</v>
      </c>
    </row>
    <row r="73" customFormat="false" ht="23.85" hidden="false" customHeight="false" outlineLevel="0" collapsed="false">
      <c r="A73" s="141" t="s">
        <v>869</v>
      </c>
      <c r="B73" s="145" t="n">
        <f aca="false">'Maintenance Policies'!$D$46</f>
        <v>0.25</v>
      </c>
      <c r="C73" s="141" t="s">
        <v>870</v>
      </c>
      <c r="D73" s="141"/>
      <c r="E73" s="141"/>
      <c r="F73" s="141" t="s">
        <v>871</v>
      </c>
      <c r="G73" s="141" t="s">
        <v>813</v>
      </c>
    </row>
    <row r="74" customFormat="false" ht="35.05" hidden="false" customHeight="false" outlineLevel="0" collapsed="false">
      <c r="A74" s="141" t="s">
        <v>872</v>
      </c>
      <c r="B74" s="141" t="s">
        <v>873</v>
      </c>
      <c r="C74" s="141"/>
      <c r="D74" s="143" t="n">
        <v>2011</v>
      </c>
      <c r="E74" s="141"/>
      <c r="F74" s="141" t="s">
        <v>874</v>
      </c>
      <c r="G74" s="144" t="str">
        <f aca="false">HYPERLINK("https://www.eng.auburn.edu/research/centers/ncat/files/aaptp/Report.Final.06-06.pdf","https://www.eng.auburn.edu/research/centers/ncat/files/aaptp/Report.Fi")</f>
        <v>https://www.eng.auburn.edu/research/centers/ncat/files/aaptp/Report.Fi</v>
      </c>
    </row>
    <row r="75" customFormat="false" ht="25.5" hidden="false" customHeight="true" outlineLevel="0" collapsed="false">
      <c r="A75" s="140" t="s">
        <v>875</v>
      </c>
      <c r="B75" s="140"/>
      <c r="C75" s="140"/>
      <c r="D75" s="140"/>
      <c r="E75" s="140"/>
      <c r="F75" s="140"/>
      <c r="G75" s="140"/>
    </row>
    <row r="77" customFormat="false" ht="15" hidden="false" customHeight="false" outlineLevel="0" collapsed="false">
      <c r="A77" s="135" t="s">
        <v>876</v>
      </c>
      <c r="B77" s="136"/>
      <c r="C77" s="136"/>
      <c r="D77" s="136"/>
      <c r="E77" s="136"/>
      <c r="F77" s="136"/>
      <c r="G77" s="136"/>
    </row>
    <row r="78" customFormat="false" ht="15" hidden="false" customHeight="false" outlineLevel="0" collapsed="false">
      <c r="A78" s="128" t="s">
        <v>30</v>
      </c>
      <c r="B78" s="128" t="s">
        <v>877</v>
      </c>
      <c r="C78" s="128" t="s">
        <v>878</v>
      </c>
      <c r="D78" s="128" t="s">
        <v>35</v>
      </c>
      <c r="E78" s="128"/>
      <c r="F78" s="128" t="s">
        <v>772</v>
      </c>
      <c r="G78" s="128" t="s">
        <v>703</v>
      </c>
    </row>
    <row r="79" customFormat="false" ht="46.25" hidden="false" customHeight="false" outlineLevel="0" collapsed="false">
      <c r="A79" s="141" t="s">
        <v>879</v>
      </c>
      <c r="B79" s="145" t="str">
        <f aca="false">"years "&amp;'Maintenance Policies'!$E$10&amp;", "&amp;'Maintenance Policies'!$E$12&amp;", "&amp;'Maintenance Policies'!$E$26</f>
        <v>years 4, 8, 24</v>
      </c>
      <c r="C79" s="141" t="s">
        <v>880</v>
      </c>
      <c r="D79" s="143" t="n">
        <v>2014</v>
      </c>
      <c r="E79" s="141"/>
      <c r="F79" s="141" t="s">
        <v>881</v>
      </c>
      <c r="G79" s="144" t="str">
        <f aca="false">HYPERLINK("https://www.faa.gov/documentlibrary/media/advisory_circular/150-5380-7b.pdf","https://www.faa.gov/documentlibrary/media/advisory_circular/150-5380-7")</f>
        <v>https://www.faa.gov/documentlibrary/media/advisory_circular/150-5380-7</v>
      </c>
    </row>
    <row r="80" customFormat="false" ht="23.85" hidden="false" customHeight="false" outlineLevel="0" collapsed="false">
      <c r="A80" s="141" t="s">
        <v>882</v>
      </c>
      <c r="B80" s="145" t="str">
        <f aca="false">"years "&amp;'Maintenance Policies'!$E$14&amp;", "&amp;'Maintenance Policies'!$E$18&amp;", "&amp;'Maintenance Policies'!$E$28</f>
        <v>years 12, 16, 28</v>
      </c>
      <c r="C80" s="141" t="s">
        <v>883</v>
      </c>
      <c r="D80" s="143" t="n">
        <v>2014</v>
      </c>
      <c r="E80" s="141"/>
      <c r="F80" s="141"/>
      <c r="G80" s="144" t="str">
        <f aca="false">HYPERLINK("https://www.faa.gov/documentlibrary/media/advisory_circular/150-5380-6c.pdf","https://www.faa.gov/documentlibrary/media/advisory_circular/150-5380-6")</f>
        <v>https://www.faa.gov/documentlibrary/media/advisory_circular/150-5380-6</v>
      </c>
    </row>
    <row r="81" customFormat="false" ht="35.05" hidden="false" customHeight="false" outlineLevel="0" collapsed="false">
      <c r="A81" s="141" t="s">
        <v>654</v>
      </c>
      <c r="B81" s="145" t="str">
        <f aca="false">"year "&amp;'Maintenance Policies'!$E$22</f>
        <v>year 20</v>
      </c>
      <c r="C81" s="141" t="s">
        <v>884</v>
      </c>
      <c r="D81" s="143" t="n">
        <v>2014</v>
      </c>
      <c r="E81" s="141"/>
      <c r="F81" s="141" t="s">
        <v>885</v>
      </c>
      <c r="G81" s="144" t="str">
        <f aca="false">HYPERLINK("https://www.acpa.org/wp-content/uploads/2025/03/ACPA-Achieving-the-Goals-of-the-FAAs-Extended-Airport-Pavement-Life-Program.pdf","https://www.acpa.org/wp-content/uploads/2025/03/ACPA-Achieving-the-Goa")</f>
        <v>https://www.acpa.org/wp-content/uploads/2025/03/ACPA-Achieving-the-Goa</v>
      </c>
    </row>
    <row r="82" customFormat="false" ht="35.05" hidden="false" customHeight="false" outlineLevel="0" collapsed="false">
      <c r="A82" s="141" t="s">
        <v>886</v>
      </c>
      <c r="B82" s="145" t="str">
        <f aca="false">"year "&amp;'Maintenance Policies'!$E$37</f>
        <v>year 19</v>
      </c>
      <c r="C82" s="141" t="s">
        <v>887</v>
      </c>
      <c r="D82" s="141"/>
      <c r="E82" s="141"/>
      <c r="F82" s="141" t="s">
        <v>888</v>
      </c>
      <c r="G82" s="144" t="str">
        <f aca="false">HYPERLINK("https://www.tarmacview.com/glossary/joint-sealant/","https://www.tarmacview.com/glossary/joint-sealant/")</f>
        <v>https://www.tarmacview.com/glossary/joint-sealant/</v>
      </c>
    </row>
    <row r="83" customFormat="false" ht="23.85" hidden="false" customHeight="false" outlineLevel="0" collapsed="false">
      <c r="A83" s="141" t="s">
        <v>889</v>
      </c>
      <c r="B83" s="145" t="str">
        <f aca="false">"year "&amp;'Maintenance Policies'!$E$41</f>
        <v>year 27</v>
      </c>
      <c r="C83" s="141" t="s">
        <v>890</v>
      </c>
      <c r="D83" s="143" t="n">
        <v>2014</v>
      </c>
      <c r="E83" s="141"/>
      <c r="F83" s="141"/>
      <c r="G83" s="144" t="str">
        <f aca="false">HYPERLINK("https://www.acpa.org/wp-content/uploads/2025/03/ACPA-Achieving-the-Goals-of-the-FAAs-Extended-Airport-Pavement-Life-Program.pdf","https://www.acpa.org/wp-content/uploads/2025/03/ACPA-Achieving-the-Goa")</f>
        <v>https://www.acpa.org/wp-content/uploads/2025/03/ACPA-Achieving-the-Goa</v>
      </c>
    </row>
    <row r="84" customFormat="false" ht="35.05" hidden="false" customHeight="false" outlineLevel="0" collapsed="false">
      <c r="A84" s="141" t="s">
        <v>891</v>
      </c>
      <c r="B84" s="141" t="s">
        <v>892</v>
      </c>
      <c r="C84" s="141" t="s">
        <v>893</v>
      </c>
      <c r="D84" s="143" t="n">
        <v>2024</v>
      </c>
      <c r="E84" s="141"/>
      <c r="F84" s="141"/>
      <c r="G84" s="144" t="str">
        <f aca="false">HYPERLINK("https://www.airporttech.tc.faa.gov/Portals/0/FactSheets/Extended%20Airport%20Pavement%20Life%20Factsheet_May%202024.pdf","https://www.airporttech.tc.faa.gov/Portals/0/FactSheets/Extended%20Air")</f>
        <v>https://www.airporttech.tc.faa.gov/Portals/0/FactSheets/Extended%20Air</v>
      </c>
    </row>
    <row r="85" customFormat="false" ht="35.05" hidden="false" customHeight="false" outlineLevel="0" collapsed="false">
      <c r="A85" s="141" t="s">
        <v>894</v>
      </c>
      <c r="B85" s="141"/>
      <c r="C85" s="141" t="s">
        <v>895</v>
      </c>
      <c r="D85" s="143" t="n">
        <v>2016</v>
      </c>
      <c r="E85" s="141"/>
      <c r="F85" s="141" t="s">
        <v>896</v>
      </c>
      <c r="G85" s="144" t="str">
        <f aca="false">HYPERLINK("https://nap.nationalacademies.org/catalog/23649/","https://nap.nationalacademies.org/catalog/23649/")</f>
        <v>https://nap.nationalacademies.org/catalog/23649/</v>
      </c>
    </row>
    <row r="86" customFormat="false" ht="35.05" hidden="false" customHeight="false" outlineLevel="0" collapsed="false">
      <c r="A86" s="141" t="s">
        <v>897</v>
      </c>
      <c r="B86" s="141"/>
      <c r="C86" s="141" t="s">
        <v>898</v>
      </c>
      <c r="D86" s="143" t="n">
        <v>2021</v>
      </c>
      <c r="E86" s="141"/>
      <c r="F86" s="141" t="s">
        <v>899</v>
      </c>
      <c r="G86" s="144" t="str">
        <f aca="false">HYPERLINK("https://www.faa.gov/documentLibrary/media/Advisory_Circular/150-5320-6G-Pavement-Design.pdf","https://www.faa.gov/documentLibrary/media/Advisory_Circular/150-5320-6")</f>
        <v>https://www.faa.gov/documentLibrary/media/Advisory_Circular/150-5320-6</v>
      </c>
    </row>
    <row r="87" customFormat="false" ht="25.5" hidden="false" customHeight="true" outlineLevel="0" collapsed="false">
      <c r="A87" s="140" t="s">
        <v>900</v>
      </c>
      <c r="B87" s="140"/>
      <c r="C87" s="140"/>
      <c r="D87" s="140"/>
      <c r="E87" s="140"/>
      <c r="F87" s="140"/>
      <c r="G87" s="140"/>
    </row>
    <row r="89" customFormat="false" ht="15" hidden="false" customHeight="false" outlineLevel="0" collapsed="false">
      <c r="A89" s="135" t="s">
        <v>901</v>
      </c>
      <c r="B89" s="136"/>
      <c r="C89" s="136"/>
      <c r="D89" s="136"/>
      <c r="E89" s="136"/>
      <c r="F89" s="136"/>
      <c r="G89" s="136"/>
    </row>
    <row r="90" customFormat="false" ht="23.85" hidden="false" customHeight="false" outlineLevel="0" collapsed="false">
      <c r="A90" s="128" t="s">
        <v>902</v>
      </c>
      <c r="B90" s="128" t="s">
        <v>903</v>
      </c>
      <c r="C90" s="128" t="s">
        <v>904</v>
      </c>
      <c r="D90" s="128" t="s">
        <v>905</v>
      </c>
      <c r="E90" s="128" t="s">
        <v>906</v>
      </c>
      <c r="F90" s="128"/>
      <c r="G90" s="128" t="s">
        <v>703</v>
      </c>
    </row>
    <row r="91" customFormat="false" ht="15" hidden="false" customHeight="false" outlineLevel="0" collapsed="false">
      <c r="A91" s="141" t="str">
        <f aca="false">IF(RevenueData!A2="","",RevenueData!A2)</f>
        <v>MKL</v>
      </c>
      <c r="B91" s="145" t="n">
        <f aca="false">IF(A91="","",SUMIF(RevenueData!$A:$A,A91,RevenueData!$B:$B)+SUMIF(RevenueData!$A:$A,A91,RevenueData!$C:$C)+SUMIF(RevenueData!$A:$A,A91,RevenueData!$D:$D)+SUMIF(RevenueData!$A:$A,A91,RevenueData!$E:$E)+SUMIF(RevenueData!$A:$A,A91,RevenueData!$F:$F)+SUMIF(RevenueData!$A:$A,A91,RevenueData!$G:$G)+SUMIF(RevenueData!$A:$A,A91,RevenueData!$H:$H))</f>
        <v>8505.94</v>
      </c>
      <c r="C91" s="141" t="n">
        <f aca="false">IF(A91="","",B91*7)</f>
        <v>59541.58</v>
      </c>
      <c r="D91" s="141" t="n">
        <f aca="false">IF(A91="","",B91*19)</f>
        <v>161612.86</v>
      </c>
      <c r="E91" s="141" t="str">
        <f aca="false">IF(A91="","",TRIM(IF(ISNUMBER(RevenueData!B2),"","100LL ")&amp;IF(ISNUMBER(RevenueData!C2),"","Jet-A ")&amp;IF(ISNUMBER(RevenueData!G2),"","tenant ")&amp;IF(ISNUMBER(RevenueData!H2),"","other")))</f>
        <v>other</v>
      </c>
      <c r="F91" s="141"/>
      <c r="G91" s="141" t="s">
        <v>907</v>
      </c>
    </row>
    <row r="92" customFormat="false" ht="15" hidden="false" customHeight="false" outlineLevel="0" collapsed="false">
      <c r="A92" s="141" t="str">
        <f aca="false">IF(RevenueData!A3="","",RevenueData!A3)</f>
        <v>SRB</v>
      </c>
      <c r="B92" s="145" t="n">
        <f aca="false">IF(A92="","",SUMIF(RevenueData!$A:$A,A92,RevenueData!$B:$B)+SUMIF(RevenueData!$A:$A,A92,RevenueData!$C:$C)+SUMIF(RevenueData!$A:$A,A92,RevenueData!$D:$D)+SUMIF(RevenueData!$A:$A,A92,RevenueData!$E:$E)+SUMIF(RevenueData!$A:$A,A92,RevenueData!$F:$F)+SUMIF(RevenueData!$A:$A,A92,RevenueData!$G:$G)+SUMIF(RevenueData!$A:$A,A92,RevenueData!$H:$H))</f>
        <v>4344.12</v>
      </c>
      <c r="C92" s="141" t="n">
        <f aca="false">IF(A92="","",B92*7)</f>
        <v>30408.84</v>
      </c>
      <c r="D92" s="141" t="n">
        <f aca="false">IF(A92="","",B92*19)</f>
        <v>82538.28</v>
      </c>
      <c r="E92" s="141" t="str">
        <f aca="false">IF(A92="","",TRIM(IF(ISNUMBER(RevenueData!B3),"","100LL ")&amp;IF(ISNUMBER(RevenueData!C3),"","Jet-A ")&amp;IF(ISNUMBER(RevenueData!G3),"","tenant ")&amp;IF(ISNUMBER(RevenueData!H3),"","other")))</f>
        <v>other</v>
      </c>
      <c r="F92" s="141"/>
      <c r="G92" s="141" t="s">
        <v>907</v>
      </c>
    </row>
    <row r="93" customFormat="false" ht="15" hidden="false" customHeight="false" outlineLevel="0" collapsed="false">
      <c r="A93" s="141" t="str">
        <f aca="false">IF(RevenueData!A4="","",RevenueData!A4)</f>
        <v>MBT</v>
      </c>
      <c r="B93" s="145" t="n">
        <f aca="false">IF(A93="","",SUMIF(RevenueData!$A:$A,A93,RevenueData!$B:$B)+SUMIF(RevenueData!$A:$A,A93,RevenueData!$C:$C)+SUMIF(RevenueData!$A:$A,A93,RevenueData!$D:$D)+SUMIF(RevenueData!$A:$A,A93,RevenueData!$E:$E)+SUMIF(RevenueData!$A:$A,A93,RevenueData!$F:$F)+SUMIF(RevenueData!$A:$A,A93,RevenueData!$G:$G)+SUMIF(RevenueData!$A:$A,A93,RevenueData!$H:$H))</f>
        <v>8841.38</v>
      </c>
      <c r="C93" s="141" t="n">
        <f aca="false">IF(A93="","",B93*7)</f>
        <v>61889.66</v>
      </c>
      <c r="D93" s="141" t="n">
        <f aca="false">IF(A93="","",B93*19)</f>
        <v>167986.22</v>
      </c>
      <c r="E93" s="141" t="str">
        <f aca="false">IF(A93="","",TRIM(IF(ISNUMBER(RevenueData!B4),"","100LL ")&amp;IF(ISNUMBER(RevenueData!C4),"","Jet-A ")&amp;IF(ISNUMBER(RevenueData!G4),"","tenant ")&amp;IF(ISNUMBER(RevenueData!H4),"","other")))</f>
        <v>other</v>
      </c>
      <c r="F93" s="141"/>
      <c r="G93" s="141" t="s">
        <v>907</v>
      </c>
    </row>
    <row r="94" customFormat="false" ht="15" hidden="false" customHeight="false" outlineLevel="0" collapsed="false">
      <c r="A94" s="141" t="str">
        <f aca="false">IF(RevenueData!A5="","",RevenueData!A5)</f>
        <v>NQA</v>
      </c>
      <c r="B94" s="145" t="n">
        <f aca="false">IF(A94="","",SUMIF(RevenueData!$A:$A,A94,RevenueData!$B:$B)+SUMIF(RevenueData!$A:$A,A94,RevenueData!$C:$C)+SUMIF(RevenueData!$A:$A,A94,RevenueData!$D:$D)+SUMIF(RevenueData!$A:$A,A94,RevenueData!$E:$E)+SUMIF(RevenueData!$A:$A,A94,RevenueData!$F:$F)+SUMIF(RevenueData!$A:$A,A94,RevenueData!$G:$G)+SUMIF(RevenueData!$A:$A,A94,RevenueData!$H:$H))</f>
        <v>6291</v>
      </c>
      <c r="C94" s="141" t="n">
        <f aca="false">IF(A94="","",B94*7)</f>
        <v>44037</v>
      </c>
      <c r="D94" s="141" t="n">
        <f aca="false">IF(A94="","",B94*19)</f>
        <v>119529</v>
      </c>
      <c r="E94" s="141" t="str">
        <f aca="false">IF(A94="","",TRIM(IF(ISNUMBER(RevenueData!B5),"","100LL ")&amp;IF(ISNUMBER(RevenueData!C5),"","Jet-A ")&amp;IF(ISNUMBER(RevenueData!G5),"","tenant ")&amp;IF(ISNUMBER(RevenueData!H5),"","other")))</f>
        <v/>
      </c>
      <c r="F94" s="141"/>
      <c r="G94" s="141" t="s">
        <v>907</v>
      </c>
    </row>
    <row r="95" customFormat="false" ht="15" hidden="false" customHeight="false" outlineLevel="0" collapsed="false">
      <c r="A95" s="141" t="str">
        <f aca="false">IF(RevenueData!A6="","",RevenueData!A6)</f>
        <v>DKX</v>
      </c>
      <c r="B95" s="145" t="n">
        <f aca="false">IF(A95="","",SUMIF(RevenueData!$A:$A,A95,RevenueData!$B:$B)+SUMIF(RevenueData!$A:$A,A95,RevenueData!$C:$C)+SUMIF(RevenueData!$A:$A,A95,RevenueData!$D:$D)+SUMIF(RevenueData!$A:$A,A95,RevenueData!$E:$E)+SUMIF(RevenueData!$A:$A,A95,RevenueData!$F:$F)+SUMIF(RevenueData!$A:$A,A95,RevenueData!$G:$G)+SUMIF(RevenueData!$A:$A,A95,RevenueData!$H:$H))</f>
        <v>6703</v>
      </c>
      <c r="C95" s="141" t="n">
        <f aca="false">IF(A95="","",B95*7)</f>
        <v>46921</v>
      </c>
      <c r="D95" s="141" t="n">
        <f aca="false">IF(A95="","",B95*19)</f>
        <v>127357</v>
      </c>
      <c r="E95" s="141" t="str">
        <f aca="false">IF(A95="","",TRIM(IF(ISNUMBER(RevenueData!B6),"","100LL ")&amp;IF(ISNUMBER(RevenueData!C6),"","Jet-A ")&amp;IF(ISNUMBER(RevenueData!G6),"","tenant ")&amp;IF(ISNUMBER(RevenueData!H6),"","other")))</f>
        <v/>
      </c>
      <c r="F95" s="141"/>
      <c r="G95" s="141" t="s">
        <v>907</v>
      </c>
    </row>
    <row r="96" customFormat="false" ht="15" hidden="false" customHeight="false" outlineLevel="0" collapsed="false">
      <c r="A96" s="141" t="str">
        <f aca="false">IF(RevenueData!A7="","",RevenueData!A7)</f>
        <v>SYI</v>
      </c>
      <c r="B96" s="145"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41" t="n">
        <f aca="false">IF(A96="","",B96*7)</f>
        <v>215716.48</v>
      </c>
      <c r="D96" s="141" t="n">
        <f aca="false">IF(A96="","",B96*19)</f>
        <v>585516.16</v>
      </c>
      <c r="E96" s="141" t="str">
        <f aca="false">IF(A96="","",TRIM(IF(ISNUMBER(RevenueData!B7),"","100LL ")&amp;IF(ISNUMBER(RevenueData!C7),"","Jet-A ")&amp;IF(ISNUMBER(RevenueData!G7),"","tenant ")&amp;IF(ISNUMBER(RevenueData!H7),"","other")))</f>
        <v/>
      </c>
      <c r="F96" s="141"/>
      <c r="G96" s="141" t="s">
        <v>907</v>
      </c>
    </row>
    <row r="97" customFormat="false" ht="15" hidden="false" customHeight="false" outlineLevel="0" collapsed="false">
      <c r="A97" s="141" t="str">
        <f aca="false">IF(RevenueData!A8="","",RevenueData!A8)</f>
        <v>GCY</v>
      </c>
      <c r="B97" s="145" t="n">
        <f aca="false">IF(A97="","",SUMIF(RevenueData!$A:$A,A97,RevenueData!$B:$B)+SUMIF(RevenueData!$A:$A,A97,RevenueData!$C:$C)+SUMIF(RevenueData!$A:$A,A97,RevenueData!$D:$D)+SUMIF(RevenueData!$A:$A,A97,RevenueData!$E:$E)+SUMIF(RevenueData!$A:$A,A97,RevenueData!$F:$F)+SUMIF(RevenueData!$A:$A,A97,RevenueData!$G:$G)+SUMIF(RevenueData!$A:$A,A97,RevenueData!$H:$H))</f>
        <v>1800</v>
      </c>
      <c r="C97" s="141" t="n">
        <f aca="false">IF(A97="","",B97*7)</f>
        <v>12600</v>
      </c>
      <c r="D97" s="141" t="n">
        <f aca="false">IF(A97="","",B97*19)</f>
        <v>34200</v>
      </c>
      <c r="E97" s="141" t="str">
        <f aca="false">IF(A97="","",TRIM(IF(ISNUMBER(RevenueData!B8),"","100LL ")&amp;IF(ISNUMBER(RevenueData!C8),"","Jet-A ")&amp;IF(ISNUMBER(RevenueData!G8),"","tenant ")&amp;IF(ISNUMBER(RevenueData!H8),"","other")))</f>
        <v>tenant</v>
      </c>
      <c r="F97" s="141"/>
      <c r="G97" s="141" t="s">
        <v>907</v>
      </c>
    </row>
    <row r="98" customFormat="false" ht="15" hidden="false" customHeight="false" outlineLevel="0" collapsed="false">
      <c r="A98" s="141" t="str">
        <f aca="false">IF(RevenueData!A9="","",RevenueData!A9)</f>
        <v>THA</v>
      </c>
      <c r="B98" s="145" t="n">
        <f aca="false">IF(A98="","",SUMIF(RevenueData!$A:$A,A98,RevenueData!$B:$B)+SUMIF(RevenueData!$A:$A,A98,RevenueData!$C:$C)+SUMIF(RevenueData!$A:$A,A98,RevenueData!$D:$D)+SUMIF(RevenueData!$A:$A,A98,RevenueData!$E:$E)+SUMIF(RevenueData!$A:$A,A98,RevenueData!$F:$F)+SUMIF(RevenueData!$A:$A,A98,RevenueData!$G:$G)+SUMIF(RevenueData!$A:$A,A98,RevenueData!$H:$H))</f>
        <v>939.26</v>
      </c>
      <c r="C98" s="141" t="n">
        <f aca="false">IF(A98="","",B98*7)</f>
        <v>6574.82</v>
      </c>
      <c r="D98" s="141" t="n">
        <f aca="false">IF(A98="","",B98*19)</f>
        <v>17845.94</v>
      </c>
      <c r="E98" s="141" t="str">
        <f aca="false">IF(A98="","",TRIM(IF(ISNUMBER(RevenueData!B9),"","100LL ")&amp;IF(ISNUMBER(RevenueData!C9),"","Jet-A ")&amp;IF(ISNUMBER(RevenueData!G9),"","tenant ")&amp;IF(ISNUMBER(RevenueData!H9),"","other")))</f>
        <v>tenant</v>
      </c>
      <c r="F98" s="141"/>
      <c r="G98" s="141" t="s">
        <v>907</v>
      </c>
    </row>
    <row r="99" customFormat="false" ht="15" hidden="false" customHeight="false" outlineLevel="0" collapsed="false">
      <c r="A99" s="141" t="str">
        <f aca="false">IF(RevenueData!A10="","",RevenueData!A10)</f>
        <v>GKT</v>
      </c>
      <c r="B99" s="145" t="n">
        <f aca="false">IF(A99="","",SUMIF(RevenueData!$A:$A,A99,RevenueData!$B:$B)+SUMIF(RevenueData!$A:$A,A99,RevenueData!$C:$C)+SUMIF(RevenueData!$A:$A,A99,RevenueData!$D:$D)+SUMIF(RevenueData!$A:$A,A99,RevenueData!$E:$E)+SUMIF(RevenueData!$A:$A,A99,RevenueData!$F:$F)+SUMIF(RevenueData!$A:$A,A99,RevenueData!$G:$G)+SUMIF(RevenueData!$A:$A,A99,RevenueData!$H:$H))</f>
        <v>5441.17</v>
      </c>
      <c r="C99" s="141" t="n">
        <f aca="false">IF(A99="","",B99*7)</f>
        <v>38088.19</v>
      </c>
      <c r="D99" s="141" t="n">
        <f aca="false">IF(A99="","",B99*19)</f>
        <v>103382.23</v>
      </c>
      <c r="E99" s="141" t="str">
        <f aca="false">IF(A99="","",TRIM(IF(ISNUMBER(RevenueData!B10),"","100LL ")&amp;IF(ISNUMBER(RevenueData!C10),"","Jet-A ")&amp;IF(ISNUMBER(RevenueData!G10),"","tenant ")&amp;IF(ISNUMBER(RevenueData!H10),"","other")))</f>
        <v>tenant other</v>
      </c>
      <c r="F99" s="141"/>
      <c r="G99" s="141" t="s">
        <v>907</v>
      </c>
    </row>
    <row r="100" customFormat="false" ht="15" hidden="false" customHeight="false" outlineLevel="0" collapsed="false">
      <c r="A100" s="141" t="str">
        <f aca="false">IF(RevenueData!A11="","",RevenueData!A11)</f>
        <v>JWN</v>
      </c>
      <c r="B100" s="145"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41" t="n">
        <f aca="false">IF(A100="","",B100*7)</f>
        <v>624680</v>
      </c>
      <c r="D100" s="141" t="n">
        <f aca="false">IF(A100="","",B100*19)</f>
        <v>1695560</v>
      </c>
      <c r="E100" s="141" t="str">
        <f aca="false">IF(A100="","",TRIM(IF(ISNUMBER(RevenueData!B11),"","100LL ")&amp;IF(ISNUMBER(RevenueData!C11),"","Jet-A ")&amp;IF(ISNUMBER(RevenueData!G11),"","tenant ")&amp;IF(ISNUMBER(RevenueData!H11),"","other")))</f>
        <v>tenant</v>
      </c>
      <c r="F100" s="141"/>
      <c r="G100" s="141" t="s">
        <v>907</v>
      </c>
    </row>
    <row r="101" customFormat="false" ht="15" hidden="false" customHeight="false" outlineLevel="0" collapsed="false">
      <c r="A101" s="141" t="str">
        <f aca="false">IF(RevenueData!A12="","",RevenueData!A12)</f>
        <v>MOR</v>
      </c>
      <c r="B101" s="145"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41" t="n">
        <f aca="false">IF(A101="","",B101*7)</f>
        <v>61609.8</v>
      </c>
      <c r="D101" s="141" t="n">
        <f aca="false">IF(A101="","",B101*19)</f>
        <v>167226.6</v>
      </c>
      <c r="E101" s="141" t="str">
        <f aca="false">IF(A101="","",TRIM(IF(ISNUMBER(RevenueData!B12),"","100LL ")&amp;IF(ISNUMBER(RevenueData!C12),"","Jet-A ")&amp;IF(ISNUMBER(RevenueData!G12),"","tenant ")&amp;IF(ISNUMBER(RevenueData!H12),"","other")))</f>
        <v>tenant other</v>
      </c>
      <c r="F101" s="141"/>
      <c r="G101" s="141" t="s">
        <v>907</v>
      </c>
    </row>
    <row r="102" customFormat="false" ht="15" hidden="false" customHeight="false" outlineLevel="0" collapsed="false">
      <c r="A102" s="141" t="str">
        <f aca="false">IF(RevenueData!A13="","",RevenueData!A13)</f>
        <v>MQY</v>
      </c>
      <c r="B102" s="145"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41" t="n">
        <f aca="false">IF(A102="","",B102*7)</f>
        <v>61889.66</v>
      </c>
      <c r="D102" s="141" t="n">
        <f aca="false">IF(A102="","",B102*19)</f>
        <v>167986.22</v>
      </c>
      <c r="E102" s="141" t="str">
        <f aca="false">IF(A102="","",TRIM(IF(ISNUMBER(RevenueData!B13),"","100LL ")&amp;IF(ISNUMBER(RevenueData!C13),"","Jet-A ")&amp;IF(ISNUMBER(RevenueData!G13),"","tenant ")&amp;IF(ISNUMBER(RevenueData!H13),"","other")))</f>
        <v>other</v>
      </c>
      <c r="F102" s="141"/>
      <c r="G102" s="141" t="s">
        <v>907</v>
      </c>
    </row>
    <row r="103" customFormat="false" ht="15" hidden="false" customHeight="false" outlineLevel="0" collapsed="false">
      <c r="A103" s="141" t="str">
        <f aca="false">IF(RevenueData!A14="","",RevenueData!A14)</f>
        <v>RZR</v>
      </c>
      <c r="B103" s="145"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41" t="n">
        <f aca="false">IF(A103="","",B103*7)</f>
        <v>28700</v>
      </c>
      <c r="D103" s="141" t="n">
        <f aca="false">IF(A103="","",B103*19)</f>
        <v>77900</v>
      </c>
      <c r="E103" s="141" t="str">
        <f aca="false">IF(A103="","",TRIM(IF(ISNUMBER(RevenueData!B14),"","100LL ")&amp;IF(ISNUMBER(RevenueData!C14),"","Jet-A ")&amp;IF(ISNUMBER(RevenueData!G14),"","tenant ")&amp;IF(ISNUMBER(RevenueData!H14),"","other")))</f>
        <v/>
      </c>
      <c r="F103" s="141"/>
      <c r="G103" s="141" t="s">
        <v>907</v>
      </c>
    </row>
    <row r="104" customFormat="false" ht="15" hidden="false" customHeight="false" outlineLevel="0" collapsed="false">
      <c r="A104" s="141" t="str">
        <f aca="false">IF(RevenueData!A15="","",RevenueData!A15)</f>
        <v>XNX</v>
      </c>
      <c r="B104" s="145"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41" t="n">
        <f aca="false">IF(A104="","",B104*7)</f>
        <v>573.79</v>
      </c>
      <c r="D104" s="141" t="n">
        <f aca="false">IF(A104="","",B104*19)</f>
        <v>1557.43</v>
      </c>
      <c r="E104" s="141" t="str">
        <f aca="false">IF(A104="","",TRIM(IF(ISNUMBER(RevenueData!B15),"","100LL ")&amp;IF(ISNUMBER(RevenueData!C15),"","Jet-A ")&amp;IF(ISNUMBER(RevenueData!G15),"","tenant ")&amp;IF(ISNUMBER(RevenueData!H15),"","other")))</f>
        <v>tenant other</v>
      </c>
      <c r="F104" s="141"/>
      <c r="G104" s="141" t="s">
        <v>907</v>
      </c>
    </row>
    <row r="105" customFormat="false" ht="15" hidden="false" customHeight="false" outlineLevel="0" collapsed="false">
      <c r="A105" s="141" t="str">
        <f aca="false">IF(RevenueData!A16="","",RevenueData!A16)</f>
        <v>M91</v>
      </c>
      <c r="B105" s="145"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41" t="n">
        <f aca="false">IF(A105="","",B105*7)</f>
        <v>14406</v>
      </c>
      <c r="D105" s="141" t="n">
        <f aca="false">IF(A105="","",B105*19)</f>
        <v>39102</v>
      </c>
      <c r="E105" s="141" t="str">
        <f aca="false">IF(A105="","",TRIM(IF(ISNUMBER(RevenueData!B16),"","100LL ")&amp;IF(ISNUMBER(RevenueData!C16),"","Jet-A ")&amp;IF(ISNUMBER(RevenueData!G16),"","tenant ")&amp;IF(ISNUMBER(RevenueData!H16),"","other")))</f>
        <v/>
      </c>
      <c r="F105" s="141"/>
      <c r="G105" s="141" t="s">
        <v>907</v>
      </c>
    </row>
    <row r="106" customFormat="false" ht="15" hidden="false" customHeight="false" outlineLevel="0" collapsed="false">
      <c r="A106" s="141" t="str">
        <f aca="false">IF(RevenueData!A17="","",RevenueData!A17)</f>
        <v>CKV</v>
      </c>
      <c r="B106" s="145"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41" t="n">
        <f aca="false">IF(A106="","",B106*7)</f>
        <v>22675.73</v>
      </c>
      <c r="D106" s="141" t="n">
        <f aca="false">IF(A106="","",B106*19)</f>
        <v>61548.41</v>
      </c>
      <c r="E106" s="141" t="str">
        <f aca="false">IF(A106="","",TRIM(IF(ISNUMBER(RevenueData!B17),"","100LL ")&amp;IF(ISNUMBER(RevenueData!C17),"","Jet-A ")&amp;IF(ISNUMBER(RevenueData!G17),"","tenant ")&amp;IF(ISNUMBER(RevenueData!H17),"","other")))</f>
        <v>tenant other</v>
      </c>
      <c r="F106" s="141"/>
      <c r="G106" s="141" t="s">
        <v>907</v>
      </c>
    </row>
    <row r="107" customFormat="false" ht="15" hidden="false" customHeight="false" outlineLevel="0" collapsed="false">
      <c r="A107" s="141" t="str">
        <f aca="false">IF(RevenueData!A18="","",RevenueData!A18)</f>
        <v>M54</v>
      </c>
      <c r="B107" s="145"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41" t="n">
        <f aca="false">IF(A107="","",B107*7)</f>
        <v>7194.67</v>
      </c>
      <c r="D107" s="141" t="n">
        <f aca="false">IF(A107="","",B107*19)</f>
        <v>19528.39</v>
      </c>
      <c r="E107" s="141" t="str">
        <f aca="false">IF(A107="","",TRIM(IF(ISNUMBER(RevenueData!B18),"","100LL ")&amp;IF(ISNUMBER(RevenueData!C18),"","Jet-A ")&amp;IF(ISNUMBER(RevenueData!G18),"","tenant ")&amp;IF(ISNUMBER(RevenueData!H18),"","other")))</f>
        <v>100LL Jet-A</v>
      </c>
      <c r="F107" s="141"/>
      <c r="G107" s="141" t="s">
        <v>907</v>
      </c>
    </row>
    <row r="108" customFormat="false" ht="25.5" hidden="false" customHeight="true" outlineLevel="0" collapsed="false">
      <c r="A108" s="140" t="s">
        <v>908</v>
      </c>
      <c r="B108" s="140"/>
      <c r="C108" s="140"/>
      <c r="D108" s="140"/>
      <c r="E108" s="140"/>
      <c r="F108" s="140"/>
      <c r="G108" s="140"/>
    </row>
    <row r="110" customFormat="false" ht="15" hidden="false" customHeight="false" outlineLevel="0" collapsed="false">
      <c r="A110" s="135" t="s">
        <v>909</v>
      </c>
      <c r="B110" s="136"/>
      <c r="C110" s="136"/>
      <c r="D110" s="136"/>
      <c r="E110" s="136"/>
      <c r="F110" s="136"/>
      <c r="G110" s="136"/>
    </row>
    <row r="111" customFormat="false" ht="15" hidden="false" customHeight="false" outlineLevel="0" collapsed="false">
      <c r="A111" s="128" t="s">
        <v>30</v>
      </c>
      <c r="B111" s="128" t="s">
        <v>702</v>
      </c>
      <c r="C111" s="128"/>
      <c r="D111" s="128"/>
      <c r="E111" s="128"/>
      <c r="F111" s="128"/>
      <c r="G111" s="128" t="s">
        <v>703</v>
      </c>
    </row>
    <row r="112" customFormat="false" ht="15" hidden="false" customHeight="false" outlineLevel="0" collapsed="false">
      <c r="A112" s="141" t="s">
        <v>910</v>
      </c>
      <c r="B112" s="145" t="n">
        <f aca="false">COUNTA('General Information'!$L$10:$L$88)</f>
        <v>79</v>
      </c>
      <c r="C112" s="141"/>
      <c r="D112" s="141"/>
      <c r="E112" s="141"/>
      <c r="F112" s="141"/>
      <c r="G112" s="141" t="s">
        <v>911</v>
      </c>
    </row>
    <row r="113" customFormat="false" ht="15" hidden="false" customHeight="false" outlineLevel="0" collapsed="false">
      <c r="A113" s="141" t="s">
        <v>912</v>
      </c>
      <c r="B113" s="145" t="n">
        <f aca="false">COUNTA(RevenueData!$A$2:$A$60)</f>
        <v>17</v>
      </c>
      <c r="C113" s="141"/>
      <c r="D113" s="141"/>
      <c r="E113" s="141"/>
      <c r="F113" s="141"/>
      <c r="G113" s="141" t="s">
        <v>913</v>
      </c>
    </row>
    <row r="114" customFormat="false" ht="15" hidden="false" customHeight="false" outlineLevel="0" collapsed="false">
      <c r="A114" s="141" t="s">
        <v>914</v>
      </c>
      <c r="B114" s="145" t="str">
        <f aca="false">COUNTIF('General Information'!$P$10:$P$88,"Middle")&amp;" / "&amp;COUNTIF('General Information'!$P$10:$P$88,"West")&amp;" / "&amp;COUNTIF('General Information'!$P$10:$P$88,"East")</f>
        <v>33 / 21 / 25</v>
      </c>
      <c r="C114" s="141"/>
      <c r="D114" s="141"/>
      <c r="E114" s="141"/>
      <c r="F114" s="141"/>
      <c r="G114" s="141" t="s">
        <v>911</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614</v>
      </c>
      <c r="I1" s="0" t="s">
        <v>1</v>
      </c>
    </row>
    <row r="2" customFormat="false" ht="15" hidden="false" customHeight="false" outlineLevel="0" collapsed="false">
      <c r="A2" s="7" t="s">
        <v>2</v>
      </c>
      <c r="E2" s="8" t="s">
        <v>615</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10" t="s">
        <v>4</v>
      </c>
      <c r="R2" s="7" t="s">
        <v>577</v>
      </c>
      <c r="Z2" s="10" t="s">
        <v>578</v>
      </c>
      <c r="AH2" s="7" t="s">
        <v>583</v>
      </c>
      <c r="AP2" s="10" t="s">
        <v>5</v>
      </c>
      <c r="AX2" s="7" t="s">
        <v>589</v>
      </c>
      <c r="BF2" s="10" t="s">
        <v>590</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7</v>
      </c>
    </row>
    <row r="5" customFormat="false" ht="15" hidden="false" customHeight="false" outlineLevel="0" collapsed="false">
      <c r="A5" s="0" t="s">
        <v>9</v>
      </c>
      <c r="C5" s="0" t="n">
        <f aca="false">'General Information'!D26</f>
        <v>66667</v>
      </c>
      <c r="D5" s="0" t="s">
        <v>10</v>
      </c>
      <c r="E5" s="11" t="s">
        <v>616</v>
      </c>
      <c r="F5" s="14" t="n">
        <f aca="false">ROUNDUP((C5/15000),0)+ROUNDUP((C8/20000),0)+ROUNDUP((C8/50000),0)</f>
        <v>7</v>
      </c>
    </row>
    <row r="6" customFormat="false" ht="15" hidden="false" customHeight="false" outlineLevel="0" collapsed="false">
      <c r="A6" s="0" t="s">
        <v>12</v>
      </c>
      <c r="C6" s="0" t="n">
        <f aca="false">'General Information'!D25</f>
        <v>2028</v>
      </c>
      <c r="E6" s="11" t="s">
        <v>617</v>
      </c>
      <c r="F6" s="14" t="n">
        <f aca="false">ROUNDUP((C5/15000),0)+ROUNDUP((C8/20000),0)+ROUNDUP((C8/50000),0)+ROUNDUP((C5*'Maintenance Policies'!D15/10000),0)+ROUNDUP((C5*'Maintenance Policies'!D14/5000),0)</f>
        <v>9</v>
      </c>
      <c r="AP6" s="1" t="s">
        <v>618</v>
      </c>
      <c r="AQ6" s="1" t="n">
        <v>2</v>
      </c>
      <c r="AR6" s="1" t="s">
        <v>619</v>
      </c>
    </row>
    <row r="7" customFormat="false" ht="15" hidden="false" customHeight="false" outlineLevel="0" collapsed="false">
      <c r="A7" s="0" t="s">
        <v>620</v>
      </c>
      <c r="C7" s="105" t="s">
        <v>530</v>
      </c>
      <c r="D7" s="0" t="s">
        <v>621</v>
      </c>
      <c r="E7" s="11" t="s">
        <v>622</v>
      </c>
      <c r="F7" s="14" t="n">
        <f aca="false">ROUNDUP((C5/15000),0)+ROUNDUP((C8/20000),0)+ROUNDUP((C8/50000),0)+ROUNDUP((C5*'Maintenance Policies'!D18/10000),0)+ROUNDUP((C5*'Maintenance Policies'!D19/5000),0)</f>
        <v>9</v>
      </c>
      <c r="AP7" s="1" t="s">
        <v>623</v>
      </c>
      <c r="AQ7" s="1" t="n">
        <v>120</v>
      </c>
      <c r="AR7" s="1" t="s">
        <v>624</v>
      </c>
    </row>
    <row r="8" customFormat="false" ht="15" hidden="false" customHeight="false" outlineLevel="0" collapsed="false">
      <c r="A8" s="0" t="s">
        <v>13</v>
      </c>
      <c r="C8" s="0" t="n">
        <f aca="false">'General Information'!D28</f>
        <v>15000</v>
      </c>
      <c r="D8" s="0" t="s">
        <v>14</v>
      </c>
      <c r="E8" s="11" t="s">
        <v>11</v>
      </c>
      <c r="F8" s="14" t="n">
        <f aca="false">ROUNDUP((C5/3800),0)+ROUNDUP((C8/50000),0)</f>
        <v>19</v>
      </c>
    </row>
    <row r="9" customFormat="false" ht="15" hidden="false" customHeight="false" outlineLevel="0" collapsed="false">
      <c r="C9" s="13"/>
      <c r="E9" s="11" t="s">
        <v>625</v>
      </c>
      <c r="F9" s="14" t="n">
        <f aca="false">ROUNDUP((C5/15000),0)+ROUNDUP((C8/20000),0)+ROUNDUP((C8/50000),0)</f>
        <v>7</v>
      </c>
      <c r="AP9" s="1" t="s">
        <v>626</v>
      </c>
      <c r="AQ9" s="1" t="n">
        <v>0.1</v>
      </c>
      <c r="AR9" s="1" t="s">
        <v>627</v>
      </c>
    </row>
    <row r="10" customFormat="false" ht="15" hidden="false" customHeight="false" outlineLevel="0" collapsed="false">
      <c r="D10" s="18"/>
      <c r="E10" s="15" t="s">
        <v>628</v>
      </c>
      <c r="F10" s="16" t="n">
        <f aca="false">ROUNDUP((C5/15000),0)+ROUNDUP((C8/20000),0)+ROUNDUP((C8/50000),0)+ROUNDUP((C5*'Maintenance Policies'!D28/10000),0)+ROUNDUP((C5*'Maintenance Policies'!D29/5000),0)</f>
        <v>9</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P-155-8.1</v>
      </c>
      <c r="C13" s="20" t="s">
        <v>464</v>
      </c>
      <c r="D13" s="21" t="str">
        <f aca="false">IF(C13="","N/A",VLOOKUP(C13,CHOOSE({1,2},Table2[Pay Item Description],Table2[Units]),2,0))</f>
        <v>S.Y.</v>
      </c>
      <c r="E13" s="106" t="n">
        <v>66667</v>
      </c>
      <c r="F13" s="23" t="n">
        <f aca="false">IF(C13="","N/A",VLOOKUP(C13,CHOOSE({1,2},Table2[Pay Item Description],Table2[Unit Cost]),2,0))</f>
        <v>10</v>
      </c>
      <c r="G13" s="24" t="n">
        <f aca="false">IF(B13&lt;&gt;0,F13*E13,0)</f>
        <v>666670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66667</v>
      </c>
      <c r="O13" s="110" t="n">
        <f aca="false">IF(L13="","N/A",VLOOKUP(L13,CHOOSE({1,2},Table2[Pay Item Description],Table2[Unit Cost]),2,0))</f>
        <v>4</v>
      </c>
      <c r="P13" s="27" t="n">
        <f aca="false">O13*N13</f>
        <v>266668</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66667</v>
      </c>
      <c r="W13" s="66" t="n">
        <f aca="false">IF(T13="","N/A",VLOOKUP(T13,CHOOSE({1,2},Table2[Pay Item Description],Table2[Unit Cost]),2,0))</f>
        <v>4</v>
      </c>
      <c r="X13" s="30" t="n">
        <f aca="false">W13*V13</f>
        <v>266668</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4500.0225</v>
      </c>
      <c r="AE13" s="113" t="n">
        <f aca="false">IF(AB13="","N/A",VLOOKUP(AB13,CHOOSE({1,2},Table2[Pay Item Description],Table2[Unit Cost]),2,0))</f>
        <v>8.5</v>
      </c>
      <c r="AF13" s="27" t="n">
        <f aca="false">AE13*AD13</f>
        <v>38250.19125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6000.03</v>
      </c>
      <c r="AM13" s="115" t="n">
        <f aca="false">IF(AJ13="","N/A",VLOOKUP(AJ13,CHOOSE({1,2},Table2[Pay Item Description],Table2[Unit Cost]),2,0))</f>
        <v>8.5</v>
      </c>
      <c r="AN13" s="30" t="n">
        <f aca="false">AM13*AL13</f>
        <v>51000.255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66667</v>
      </c>
      <c r="AU13" s="113" t="n">
        <f aca="false">IF(AR13="","N/A",VLOOKUP(AR13,CHOOSE({1,2},Table2[Pay Item Description],Table2[Unit Cost]),2,0))</f>
        <v>5</v>
      </c>
      <c r="AV13" s="27" t="n">
        <f aca="false">AU13*AT13</f>
        <v>333335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66667</v>
      </c>
      <c r="BC13" s="66" t="n">
        <f aca="false">IF(AZ13="","N/A",VLOOKUP(AZ13,CHOOSE({1,2},Table2[Pay Item Description],Table2[Unit Cost]),2,0))</f>
        <v>4</v>
      </c>
      <c r="BD13" s="30" t="n">
        <f aca="false">BC13*BB13</f>
        <v>266668</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7500.0375</v>
      </c>
      <c r="BK13" s="113" t="n">
        <f aca="false">IF(BH13="","N/A",VLOOKUP(BH13,CHOOSE({1,2},Table2[Pay Item Description],Table2[Unit Cost]),2,0))</f>
        <v>8.5</v>
      </c>
      <c r="BL13" s="27" t="n">
        <f aca="false">BK13*BJ13</f>
        <v>63750.31875</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106" t="n">
        <v>14815</v>
      </c>
      <c r="F14" s="23" t="n">
        <f aca="false">IF(C14="","N/A",VLOOKUP(C14,CHOOSE({1,2},Table2[Pay Item Description],Table2[Unit Cost]),2,0))</f>
        <v>55</v>
      </c>
      <c r="G14" s="24" t="n">
        <f aca="false">IF(B14&lt;&gt;0,F14*E14,0)</f>
        <v>814825</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15000</v>
      </c>
      <c r="O14" s="113" t="n">
        <f aca="false">IF(L14="","N/A",VLOOKUP(L14,CHOOSE({1,2},Table2[Pay Item Description],Table2[Unit Cost]),2,0))</f>
        <v>0.777777777777778</v>
      </c>
      <c r="P14" s="27" t="n">
        <f aca="false">O14*N14</f>
        <v>11666.6666666667</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15000</v>
      </c>
      <c r="W14" s="115" t="n">
        <f aca="false">IF(T14="","N/A",VLOOKUP(T14,CHOOSE({1,2},Table2[Pay Item Description],Table2[Unit Cost]),2,0))</f>
        <v>0.777777777777778</v>
      </c>
      <c r="X14" s="30" t="n">
        <f aca="false">W14*V14</f>
        <v>11666.6666666667</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19500.0975</v>
      </c>
      <c r="AE14" s="113" t="n">
        <f aca="false">IF(AB14="","N/A",VLOOKUP(AB14,CHOOSE({1,2},Table2[Pay Item Description],Table2[Unit Cost]),2,0))</f>
        <v>4</v>
      </c>
      <c r="AF14" s="27" t="n">
        <f aca="false">AE14*AD14</f>
        <v>78000.39</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21000.105</v>
      </c>
      <c r="AM14" s="115" t="n">
        <f aca="false">IF(AJ14="","N/A",VLOOKUP(AJ14,CHOOSE({1,2},Table2[Pay Item Description],Table2[Unit Cost]),2,0))</f>
        <v>4</v>
      </c>
      <c r="AN14" s="30" t="n">
        <f aca="false">AM14*AL14</f>
        <v>84000.42</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6666.7</v>
      </c>
      <c r="AU14" s="113" t="n">
        <f aca="false">IF(AR14="","N/A",VLOOKUP(AR14,CHOOSE({1,2},Table2[Pay Item Description],Table2[Unit Cost]),2,0))</f>
        <v>4.5</v>
      </c>
      <c r="AV14" s="27" t="n">
        <f aca="false">AU14*AT14</f>
        <v>30000.15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15000</v>
      </c>
      <c r="BC14" s="115" t="n">
        <f aca="false">IF(AZ14="","N/A",VLOOKUP(AZ14,CHOOSE({1,2},Table2[Pay Item Description],Table2[Unit Cost]),2,0))</f>
        <v>0.777777777777778</v>
      </c>
      <c r="BD14" s="30" t="n">
        <f aca="false">BC14*BB14</f>
        <v>11666.6666666667</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24000.12</v>
      </c>
      <c r="BK14" s="113" t="n">
        <f aca="false">IF(BH14="","N/A",VLOOKUP(BH14,CHOOSE({1,2},Table2[Pay Item Description],Table2[Unit Cost]),2,0))</f>
        <v>4</v>
      </c>
      <c r="BL14" s="27" t="n">
        <f aca="false">BK14*BJ14</f>
        <v>96000.48</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106" t="n">
        <v>11111</v>
      </c>
      <c r="F15" s="23" t="n">
        <f aca="false">IF(C15="","N/A",VLOOKUP(C15,CHOOSE({1,2},Table2[Pay Item Description],Table2[Unit Cost]),2,0))</f>
        <v>65</v>
      </c>
      <c r="G15" s="24" t="n">
        <f aca="false">IF(B15&lt;&gt;0,F15*E15,0)</f>
        <v>722215</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15000</v>
      </c>
      <c r="O15" s="113" t="n">
        <f aca="false">IF(L15="","N/A",VLOOKUP(L15,CHOOSE({1,2},Table2[Pay Item Description],Table2[Unit Cost]),2,0))</f>
        <v>0.666666666666667</v>
      </c>
      <c r="P15" s="27" t="n">
        <f aca="false">O15*N15</f>
        <v>10000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15000</v>
      </c>
      <c r="W15" s="115" t="n">
        <f aca="false">IF(T15="","N/A",VLOOKUP(T15,CHOOSE({1,2},Table2[Pay Item Description],Table2[Unit Cost]),2,0))</f>
        <v>0.666666666666667</v>
      </c>
      <c r="X15" s="30" t="n">
        <f aca="false">W15*V15</f>
        <v>10000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66667</v>
      </c>
      <c r="AE15" s="110" t="n">
        <f aca="false">IF(AB15="","N/A",VLOOKUP(AB15,CHOOSE({1,2},Table2[Pay Item Description],Table2[Unit Cost]),2,0))</f>
        <v>4</v>
      </c>
      <c r="AF15" s="27" t="n">
        <f aca="false">AE15*AD15</f>
        <v>266668</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66667</v>
      </c>
      <c r="AM15" s="66" t="n">
        <f aca="false">IF(AJ15="","N/A",VLOOKUP(AJ15,CHOOSE({1,2},Table2[Pay Item Description],Table2[Unit Cost]),2,0))</f>
        <v>4</v>
      </c>
      <c r="AN15" s="30" t="n">
        <f aca="false">AM15*AL15</f>
        <v>266668</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8000.04</v>
      </c>
      <c r="AU15" s="113" t="n">
        <f aca="false">IF(AR15="","N/A",VLOOKUP(AR15,CHOOSE({1,2},Table2[Pay Item Description],Table2[Unit Cost]),2,0))</f>
        <v>130</v>
      </c>
      <c r="AV15" s="27" t="n">
        <f aca="false">AU15*AT15</f>
        <v>1040005.2</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15000</v>
      </c>
      <c r="BC15" s="115" t="n">
        <f aca="false">IF(AZ15="","N/A",VLOOKUP(AZ15,CHOOSE({1,2},Table2[Pay Item Description],Table2[Unit Cost]),2,0))</f>
        <v>0.666666666666667</v>
      </c>
      <c r="BD15" s="30" t="n">
        <f aca="false">BC15*BB15</f>
        <v>10000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66667</v>
      </c>
      <c r="BK15" s="110" t="n">
        <f aca="false">IF(BH15="","N/A",VLOOKUP(BH15,CHOOSE({1,2},Table2[Pay Item Description],Table2[Unit Cost]),2,0))</f>
        <v>4</v>
      </c>
      <c r="BL15" s="27" t="n">
        <f aca="false">BK15*BJ15</f>
        <v>266668</v>
      </c>
    </row>
    <row r="16" customFormat="false" ht="19.5" hidden="false" customHeight="true" outlineLevel="0" collapsed="false">
      <c r="A16" s="0" t="n">
        <v>4</v>
      </c>
      <c r="B16" s="19" t="str">
        <f aca="false">IF(C16="",0,VLOOKUP(C16,CHOOSE({1,2},Table2[Pay Item Description],Table2[Pay Item No.]),2,0))</f>
        <v>P-401-8.1b</v>
      </c>
      <c r="C16" s="20" t="s">
        <v>506</v>
      </c>
      <c r="D16" s="21" t="str">
        <f aca="false">IF(C16="","N/A",VLOOKUP(C16,CHOOSE({1,2},Table2[Pay Item Description],Table2[Units]),2,0))</f>
        <v>TON</v>
      </c>
      <c r="E16" s="106" t="n">
        <v>18333</v>
      </c>
      <c r="F16" s="23" t="n">
        <f aca="false">IF(C16="","N/A",VLOOKUP(C16,CHOOSE({1,2},Table2[Pay Item Description],Table2[Unit Cost]),2,0))</f>
        <v>120</v>
      </c>
      <c r="G16" s="24" t="n">
        <f aca="false">IF(B16&lt;&gt;0,F16*E16,0)</f>
        <v>2199960</v>
      </c>
      <c r="O16" s="1" t="s">
        <v>24</v>
      </c>
      <c r="P16" s="27" t="n">
        <f aca="false">SUM(P13:P15)</f>
        <v>288334.666666667</v>
      </c>
      <c r="W16" s="6" t="s">
        <v>24</v>
      </c>
      <c r="X16" s="30" t="n">
        <f aca="false">SUM(X13:X15)</f>
        <v>288334.666666667</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15000</v>
      </c>
      <c r="AE16" s="113" t="n">
        <f aca="false">IF(AB16="","N/A",VLOOKUP(AB16,CHOOSE({1,2},Table2[Pay Item Description],Table2[Unit Cost]),2,0))</f>
        <v>0.777777777777778</v>
      </c>
      <c r="AF16" s="27" t="n">
        <f aca="false">AE16*AD16</f>
        <v>11666.6666666667</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15000</v>
      </c>
      <c r="AM16" s="115" t="n">
        <f aca="false">IF(AJ16="","N/A",VLOOKUP(AJ16,CHOOSE({1,2},Table2[Pay Item Description],Table2[Unit Cost]),2,0))</f>
        <v>0.777777777777778</v>
      </c>
      <c r="AN16" s="30" t="n">
        <f aca="false">AM16*AL16</f>
        <v>11666.6666666667</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9000.045</v>
      </c>
      <c r="AU16" s="113" t="n">
        <f aca="false">IF(AR16="","N/A",VLOOKUP(AR16,CHOOSE({1,2},Table2[Pay Item Description],Table2[Unit Cost]),2,0))</f>
        <v>4</v>
      </c>
      <c r="AV16" s="27" t="n">
        <f aca="false">AU16*AT16</f>
        <v>36000.18</v>
      </c>
      <c r="BC16" s="6" t="s">
        <v>24</v>
      </c>
      <c r="BD16" s="30" t="n">
        <f aca="false">SUM(BD13:BD15)</f>
        <v>288334.666666667</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15000</v>
      </c>
      <c r="BK16" s="113" t="n">
        <f aca="false">IF(BH16="","N/A",VLOOKUP(BH16,CHOOSE({1,2},Table2[Pay Item Description],Table2[Unit Cost]),2,0))</f>
        <v>0.777777777777778</v>
      </c>
      <c r="BL16" s="27" t="n">
        <f aca="false">BK16*BJ16</f>
        <v>11666.6666666667</v>
      </c>
    </row>
    <row r="17" customFormat="false" ht="19.5" hidden="false" customHeight="true" outlineLevel="0" collapsed="false">
      <c r="A17" s="0" t="n">
        <v>5</v>
      </c>
      <c r="B17" s="19" t="str">
        <f aca="false">IF(C17="",0,VLOOKUP(C17,CHOOSE({1,2},Table2[Pay Item Description],Table2[Pay Item No.]),2,0))</f>
        <v>P-401-8.1a</v>
      </c>
      <c r="C17" s="20" t="s">
        <v>503</v>
      </c>
      <c r="D17" s="21" t="str">
        <f aca="false">IF(C17="","N/A",VLOOKUP(C17,CHOOSE({1,2},Table2[Pay Item Description],Table2[Units]),2,0))</f>
        <v>TON</v>
      </c>
      <c r="E17" s="106" t="n">
        <v>14667</v>
      </c>
      <c r="F17" s="23" t="n">
        <f aca="false">IF(C17="","N/A",VLOOKUP(C17,CHOOSE({1,2},Table2[Pay Item Description],Table2[Unit Cost]),2,0))</f>
        <v>130</v>
      </c>
      <c r="G17" s="24" t="n">
        <f aca="false">IF(B17&lt;&gt;0,F17*E17,0)</f>
        <v>1906710</v>
      </c>
      <c r="L17" s="1" t="s">
        <v>25</v>
      </c>
      <c r="P17" s="27" t="n">
        <f aca="false">('General Information'!$D$36/100)*P16</f>
        <v>28833.4666666667</v>
      </c>
      <c r="T17" s="6" t="s">
        <v>25</v>
      </c>
      <c r="X17" s="30"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15000</v>
      </c>
      <c r="AE17" s="113" t="n">
        <f aca="false">IF(AB17="","N/A",VLOOKUP(AB17,CHOOSE({1,2},Table2[Pay Item Description],Table2[Unit Cost]),2,0))</f>
        <v>0.666666666666667</v>
      </c>
      <c r="AF17" s="27" t="n">
        <f aca="false">AE17*AD17</f>
        <v>10000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15000</v>
      </c>
      <c r="AM17" s="115" t="n">
        <f aca="false">IF(AJ17="","N/A",VLOOKUP(AJ17,CHOOSE({1,2},Table2[Pay Item Description],Table2[Unit Cost]),2,0))</f>
        <v>0.666666666666667</v>
      </c>
      <c r="AN17" s="30" t="n">
        <f aca="false">AM17*AL17</f>
        <v>10000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3000.015</v>
      </c>
      <c r="AU17" s="113" t="n">
        <f aca="false">IF(AR17="","N/A",VLOOKUP(AR17,CHOOSE({1,2},Table2[Pay Item Description],Table2[Unit Cost]),2,0))</f>
        <v>8.5</v>
      </c>
      <c r="AV17" s="27" t="n">
        <f aca="false">AU17*AT17</f>
        <v>25500.1275</v>
      </c>
      <c r="AZ17" s="6" t="s">
        <v>25</v>
      </c>
      <c r="BD17" s="30"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15000</v>
      </c>
      <c r="BK17" s="113" t="n">
        <f aca="false">IF(BH17="","N/A",VLOOKUP(BH17,CHOOSE({1,2},Table2[Pay Item Description],Table2[Unit Cost]),2,0))</f>
        <v>0.666666666666667</v>
      </c>
      <c r="BL17" s="27" t="n">
        <f aca="false">BK17*BJ17</f>
        <v>10000</v>
      </c>
    </row>
    <row r="18" customFormat="false" ht="19.5" hidden="false" customHeight="true" outlineLevel="0" collapsed="false">
      <c r="A18" s="0" t="n">
        <v>6</v>
      </c>
      <c r="B18" s="19" t="str">
        <f aca="false">IF(C18="",0,VLOOKUP(C18,CHOOSE({1,2},Table2[Pay Item Description],Table2[Pay Item No.]),2,0))</f>
        <v>P-620-5.1a</v>
      </c>
      <c r="C18" s="20" t="s">
        <v>553</v>
      </c>
      <c r="D18" s="21" t="str">
        <f aca="false">IF(C18="","N/A",VLOOKUP(C18,CHOOSE({1,2},Table2[Pay Item Description],Table2[Units]),2,0))</f>
        <v>S.F.</v>
      </c>
      <c r="E18" s="106" t="n">
        <v>15000</v>
      </c>
      <c r="F18" s="23" t="n">
        <f aca="false">IF(C18="","N/A",VLOOKUP(C18,CHOOSE({1,2},Table2[Pay Item Description],Table2[Unit Cost]),2,0))</f>
        <v>0.666666666666667</v>
      </c>
      <c r="G18" s="24" t="n">
        <f aca="false">IF(B18&lt;&gt;0,F18*E18,0)</f>
        <v>10000</v>
      </c>
      <c r="L18" s="1" t="s">
        <v>26</v>
      </c>
      <c r="P18" s="27" t="n">
        <f aca="false">('General Information'!$D$37/100)*P16</f>
        <v>14416.7333333333</v>
      </c>
      <c r="T18" s="6" t="s">
        <v>26</v>
      </c>
      <c r="X18" s="30" t="n">
        <f aca="false">('General Information'!$D$37/100)*X16</f>
        <v>14416.7333333333</v>
      </c>
      <c r="AE18" s="1" t="s">
        <v>24</v>
      </c>
      <c r="AF18" s="27" t="n">
        <f aca="false">SUM(AF13:AF17)</f>
        <v>404585.247916667</v>
      </c>
      <c r="AM18" s="6" t="s">
        <v>24</v>
      </c>
      <c r="AN18" s="30" t="n">
        <f aca="false">SUM(AN13:AN17)</f>
        <v>423335.341666667</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15000</v>
      </c>
      <c r="AU18" s="113" t="n">
        <f aca="false">IF(AR18="","N/A",VLOOKUP(AR18,CHOOSE({1,2},Table2[Pay Item Description],Table2[Unit Cost]),2,0))</f>
        <v>0.666666666666667</v>
      </c>
      <c r="AV18" s="27" t="n">
        <f aca="false">AU18*AT18</f>
        <v>10000</v>
      </c>
      <c r="AZ18" s="6" t="s">
        <v>26</v>
      </c>
      <c r="BD18" s="30" t="n">
        <f aca="false">('General Information'!$D$37/100)*BD16</f>
        <v>14416.7333333333</v>
      </c>
      <c r="BK18" s="1" t="s">
        <v>24</v>
      </c>
      <c r="BL18" s="27" t="n">
        <f aca="false">SUM(BL13:BL17)</f>
        <v>448085.465416667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331584.866666667</v>
      </c>
      <c r="W19" s="6" t="s">
        <v>27</v>
      </c>
      <c r="X19" s="30" t="n">
        <f aca="false">SUM(X16:X18)</f>
        <v>331584.866666667</v>
      </c>
      <c r="AB19" s="1" t="s">
        <v>25</v>
      </c>
      <c r="AF19" s="27" t="n">
        <f aca="false">('General Information'!$D$36/100)*AF18</f>
        <v>40458.5247916667</v>
      </c>
      <c r="AJ19" s="6" t="s">
        <v>25</v>
      </c>
      <c r="AN19" s="30" t="n">
        <f aca="false">('General Information'!$D$36/100)*AN18</f>
        <v>42333.5341666667</v>
      </c>
      <c r="AU19" s="1" t="s">
        <v>24</v>
      </c>
      <c r="AV19" s="27" t="n">
        <f aca="false">SUM(AV13:AV18)</f>
        <v>1474840.6575</v>
      </c>
      <c r="BC19" s="6" t="s">
        <v>27</v>
      </c>
      <c r="BD19" s="30" t="n">
        <f aca="false">SUM(BD16:BD18)</f>
        <v>331584.866666667</v>
      </c>
      <c r="BH19" s="1" t="s">
        <v>25</v>
      </c>
      <c r="BL19" s="27" t="n">
        <f aca="false">('General Information'!$D$36/100)*BL18</f>
        <v>44808.5465416667</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20229.2623958333</v>
      </c>
      <c r="AJ20" s="6" t="s">
        <v>26</v>
      </c>
      <c r="AN20" s="30" t="n">
        <f aca="false">('General Information'!$D$37/100)*AN18</f>
        <v>21166.7670833333</v>
      </c>
      <c r="AR20" s="1" t="s">
        <v>25</v>
      </c>
      <c r="AV20" s="27" t="n">
        <f aca="false">('General Information'!$D$36/100)*AV19</f>
        <v>147484.06575</v>
      </c>
      <c r="BH20" s="1" t="s">
        <v>26</v>
      </c>
      <c r="BL20" s="27" t="n">
        <f aca="false">('General Information'!$D$37/100)*BL18</f>
        <v>22404.2732708333</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465273.035104167</v>
      </c>
      <c r="AM21" s="6" t="s">
        <v>27</v>
      </c>
      <c r="AN21" s="30" t="n">
        <f aca="false">SUM(AN18:AN20)</f>
        <v>486835.642916667</v>
      </c>
      <c r="AR21" s="1" t="s">
        <v>26</v>
      </c>
      <c r="AV21" s="27" t="n">
        <f aca="false">('General Information'!$D$37/100)*AV19</f>
        <v>73742.032875</v>
      </c>
      <c r="BK21" s="1" t="s">
        <v>27</v>
      </c>
      <c r="BL21" s="27" t="n">
        <f aca="false">SUM(BL18:BL20)</f>
        <v>515298.285229167</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1696066.756125</v>
      </c>
    </row>
    <row r="23" customFormat="false" ht="15" hidden="false" customHeight="false" outlineLevel="0" collapsed="false">
      <c r="G23" s="30"/>
    </row>
    <row r="24" customFormat="false" ht="15" hidden="false" customHeight="false" outlineLevel="0" collapsed="false">
      <c r="A24" s="0" t="s">
        <v>24</v>
      </c>
      <c r="G24" s="30" t="n">
        <f aca="false">SUM(G13:G22)</f>
        <v>6320380</v>
      </c>
    </row>
    <row r="25" customFormat="false" ht="15" hidden="false" customHeight="false" outlineLevel="0" collapsed="false">
      <c r="B25" s="0" t="s">
        <v>25</v>
      </c>
      <c r="G25" s="30" t="n">
        <f aca="false">('General Information'!$D$36/100)*G24</f>
        <v>632038</v>
      </c>
    </row>
    <row r="26" customFormat="false" ht="15" hidden="false" customHeight="false" outlineLevel="0" collapsed="false">
      <c r="B26" s="0" t="s">
        <v>26</v>
      </c>
      <c r="G26" s="30" t="n">
        <f aca="false">('General Information'!$D$37/100)*G24</f>
        <v>316019</v>
      </c>
    </row>
    <row r="27" customFormat="false" ht="15" hidden="false" customHeight="false" outlineLevel="0" collapsed="false">
      <c r="A27" s="7" t="s">
        <v>27</v>
      </c>
      <c r="G27" s="116" t="n">
        <f aca="false">SUM(G24:G26)</f>
        <v>7268437</v>
      </c>
    </row>
    <row r="32" customFormat="false" ht="15" hidden="false" customHeight="false" outlineLevel="0" collapsed="false">
      <c r="A32" s="7" t="s">
        <v>28</v>
      </c>
    </row>
    <row r="33" customFormat="false" ht="15" hidden="false" customHeight="false" outlineLevel="0" collapsed="false">
      <c r="A33" s="7" t="s">
        <v>629</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7268437</v>
      </c>
      <c r="E36" s="39" t="n">
        <f aca="false">D36</f>
        <v>7268437</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331584.866666667</v>
      </c>
      <c r="E37" s="43" t="n">
        <f aca="false">IF(C37&gt;'General Information'!$D$33,0,D37/(1+('General Information'!$D$34/100))^C37)</f>
        <v>294608.859318184</v>
      </c>
      <c r="K37" s="1" t="n">
        <f aca="false">C6</f>
        <v>2028</v>
      </c>
      <c r="L37" s="118" t="n">
        <f aca="false">IF(K37-$C$6&gt;'General Information'!$D$33,0,IF(K37=$C$6,$D$36,0)+SUMIFS($D$37:$D$51,$C$37:$C$51,K37-$C$6,$B$37:$B$51,"&lt;&gt;*Indirect*"))</f>
        <v>7268437</v>
      </c>
      <c r="M37" s="118" t="n">
        <f aca="false">IF(K37-$C$6&gt;'General Information'!$D$33,0,SUMIFS($D$37:$D$51,$C$37:$C$51,K37-$C$6,$B$37:$B$51,"*Indirect*"))</f>
        <v>0</v>
      </c>
      <c r="N37" s="118" t="n">
        <f aca="false">IF(K37-$C$6&gt;'General Information'!$D$33,0,IF(K37=$C$6,$E$36,0)+SUMIF($C$37:$C$51,K37-$C$6,$E$37:$E$51))</f>
        <v>7268437</v>
      </c>
    </row>
    <row r="38" customFormat="false" ht="18.75" hidden="false" customHeight="true" outlineLevel="0" collapsed="false">
      <c r="B38" s="40" t="s">
        <v>39</v>
      </c>
      <c r="C38" s="41" t="n">
        <f aca="false">'Maintenance Policies'!E10</f>
        <v>4</v>
      </c>
      <c r="D38" s="42" t="n">
        <f aca="false">F2*F4</f>
        <v>22675.73</v>
      </c>
      <c r="E38" s="43" t="n">
        <f aca="false">IF(C38&gt;'General Information'!$D$33,0,D38/(1+('General Information'!$D$34/100))^C38)</f>
        <v>20147.0924070332</v>
      </c>
      <c r="K38" s="1" t="n">
        <f aca="false">K37+1</f>
        <v>2029</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577</v>
      </c>
      <c r="C39" s="41" t="n">
        <f aca="false">'Maintenance Policies'!E12</f>
        <v>8</v>
      </c>
      <c r="D39" s="42" t="n">
        <f aca="false">X19</f>
        <v>331584.866666667</v>
      </c>
      <c r="E39" s="43" t="n">
        <f aca="false">IF(C39&gt;'General Information'!$D$33,0,D39/(1+('General Information'!$D$34/100))^C39)</f>
        <v>261756.155705422</v>
      </c>
      <c r="K39" s="1" t="n">
        <f aca="false">K38+1</f>
        <v>2030</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630</v>
      </c>
      <c r="C40" s="41" t="n">
        <f aca="false">'Maintenance Policies'!E12</f>
        <v>8</v>
      </c>
      <c r="D40" s="42" t="n">
        <f aca="false">F2*F5</f>
        <v>22675.73</v>
      </c>
      <c r="E40" s="43" t="n">
        <f aca="false">IF(C40&gt;'General Information'!$D$33,0,D40/(1+('General Information'!$D$34/100))^C40)</f>
        <v>17900.4306568095</v>
      </c>
      <c r="K40" s="1" t="n">
        <f aca="false">K39+1</f>
        <v>2031</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578</v>
      </c>
      <c r="C41" s="41" t="n">
        <f aca="false">'Maintenance Policies'!E14</f>
        <v>12</v>
      </c>
      <c r="D41" s="42" t="n">
        <f aca="false">AF21</f>
        <v>465273.035104167</v>
      </c>
      <c r="E41" s="43" t="n">
        <f aca="false">IF(C41&gt;'General Information'!$D$33,0,D41/(1+('General Information'!$D$34/100))^C41)</f>
        <v>326333.145618381</v>
      </c>
      <c r="K41" s="1" t="n">
        <f aca="false">K40+1</f>
        <v>2032</v>
      </c>
      <c r="L41" s="118" t="n">
        <f aca="false">IF(K41-$C$6&gt;'General Information'!$D$33,0,IF(K41=$C$6,$D$36,0)+SUMIFS($D$37:$D$51,$C$37:$C$51,K41-$C$6,$B$37:$B$51,"&lt;&gt;*Indirect*"))</f>
        <v>331584.866666667</v>
      </c>
      <c r="M41" s="118" t="n">
        <f aca="false">IF(K41-$C$6&gt;'General Information'!$D$33,0,SUMIFS($D$37:$D$51,$C$37:$C$51,K41-$C$6,$B$37:$B$51,"*Indirect*"))</f>
        <v>22675.73</v>
      </c>
      <c r="N41" s="118" t="n">
        <f aca="false">IF(K41-$C$6&gt;'General Information'!$D$33,0,IF(K41=$C$6,$E$36,0)+SUMIF($C$37:$C$51,K41-$C$6,$E$37:$E$51))</f>
        <v>314755.951725217</v>
      </c>
    </row>
    <row r="42" customFormat="false" ht="15" hidden="false" customHeight="false" outlineLevel="0" collapsed="false">
      <c r="B42" s="40" t="s">
        <v>631</v>
      </c>
      <c r="C42" s="41" t="n">
        <f aca="false">'Maintenance Policies'!E14</f>
        <v>12</v>
      </c>
      <c r="D42" s="42" t="n">
        <f aca="false">F2*F6</f>
        <v>29154.51</v>
      </c>
      <c r="E42" s="43" t="n">
        <f aca="false">IF(C42&gt;'General Information'!$D$33,0,D42/(1+('General Information'!$D$34/100))^C42)</f>
        <v>20448.3867308848</v>
      </c>
      <c r="K42" s="1" t="n">
        <f aca="false">K41+1</f>
        <v>2033</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583</v>
      </c>
      <c r="C43" s="41" t="n">
        <f aca="false">'Maintenance Policies'!E18</f>
        <v>16</v>
      </c>
      <c r="D43" s="42" t="n">
        <f aca="false">AN21</f>
        <v>486835.642916667</v>
      </c>
      <c r="E43" s="43" t="n">
        <f aca="false">IF(C43&gt;'General Information'!$D$33,0,D43/(1+('General Information'!$D$34/100))^C43)</f>
        <v>303379.877499636</v>
      </c>
      <c r="K43" s="1" t="n">
        <f aca="false">K42+1</f>
        <v>2034</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632</v>
      </c>
      <c r="C44" s="41" t="n">
        <f aca="false">'Maintenance Policies'!E18</f>
        <v>16</v>
      </c>
      <c r="D44" s="42" t="n">
        <f aca="false">F2*F7</f>
        <v>29154.51</v>
      </c>
      <c r="E44" s="43" t="n">
        <f aca="false">IF(C44&gt;'General Information'!$D$33,0,D44/(1+('General Information'!$D$34/100))^C44)</f>
        <v>18168.1267611622</v>
      </c>
      <c r="K44" s="1" t="n">
        <f aca="false">K43+1</f>
        <v>2035</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1696066.756125</v>
      </c>
      <c r="E45" s="43" t="n">
        <f aca="false">IF(C45&gt;'General Information'!$D$33,0,D45/(1+('General Information'!$D$34/100))^C45)</f>
        <v>939071.040347879</v>
      </c>
      <c r="K45" s="1" t="n">
        <f aca="false">K44+1</f>
        <v>2036</v>
      </c>
      <c r="L45" s="118" t="n">
        <f aca="false">IF(K45-$C$6&gt;'General Information'!$D$33,0,IF(K45=$C$6,$D$36,0)+SUMIFS($D$37:$D$51,$C$37:$C$51,K45-$C$6,$B$37:$B$51,"&lt;&gt;*Indirect*"))</f>
        <v>331584.866666667</v>
      </c>
      <c r="M45" s="118" t="n">
        <f aca="false">IF(K45-$C$6&gt;'General Information'!$D$33,0,SUMIFS($D$37:$D$51,$C$37:$C$51,K45-$C$6,$B$37:$B$51,"*Indirect*"))</f>
        <v>22675.73</v>
      </c>
      <c r="N45" s="118" t="n">
        <f aca="false">IF(K45-$C$6&gt;'General Information'!$D$33,0,IF(K45=$C$6,$E$36,0)+SUMIF($C$37:$C$51,K45-$C$6,$E$37:$E$51))</f>
        <v>279656.586362231</v>
      </c>
    </row>
    <row r="46" customFormat="false" ht="15" hidden="false" customHeight="false" outlineLevel="0" collapsed="false">
      <c r="B46" s="40" t="s">
        <v>40</v>
      </c>
      <c r="C46" s="41" t="n">
        <f aca="false">'Maintenance Policies'!E22</f>
        <v>20</v>
      </c>
      <c r="D46" s="42" t="n">
        <f aca="false">F2*F8</f>
        <v>61548.41</v>
      </c>
      <c r="E46" s="43" t="n">
        <f aca="false">IF(C46&gt;'General Information'!$D$33,0,D46/(1+('General Information'!$D$34/100))^C46)</f>
        <v>34077.8623257197</v>
      </c>
      <c r="K46" s="1" t="n">
        <f aca="false">K45+1</f>
        <v>2037</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589</v>
      </c>
      <c r="C47" s="41" t="n">
        <f aca="false">'Maintenance Policies'!E26</f>
        <v>24</v>
      </c>
      <c r="D47" s="42" t="n">
        <f aca="false">BD19</f>
        <v>331584.866666667</v>
      </c>
      <c r="E47" s="43" t="n">
        <f aca="false">IF(C47&gt;'General Information'!$D$33,0,D47/(1+('General Information'!$D$34/100))^C47)</f>
        <v>163117.782372971</v>
      </c>
      <c r="K47" s="1" t="n">
        <f aca="false">K46+1</f>
        <v>2038</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633</v>
      </c>
      <c r="C48" s="41" t="n">
        <f aca="false">'Maintenance Policies'!E26</f>
        <v>24</v>
      </c>
      <c r="D48" s="42" t="n">
        <f aca="false">F2*F9</f>
        <v>22675.73</v>
      </c>
      <c r="E48" s="43" t="n">
        <f aca="false">IF(C48&gt;'General Information'!$D$33,0,D48/(1+('General Information'!$D$34/100))^C48)</f>
        <v>11154.9565831259</v>
      </c>
      <c r="K48" s="1" t="n">
        <f aca="false">K47+1</f>
        <v>2039</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590</v>
      </c>
      <c r="C49" s="41" t="n">
        <f aca="false">'Maintenance Policies'!E28</f>
        <v>28</v>
      </c>
      <c r="D49" s="42" t="n">
        <f aca="false">BL21</f>
        <v>515298.285229167</v>
      </c>
      <c r="E49" s="43" t="n">
        <f aca="false">IF(C49&gt;'General Information'!$D$33,0,D49/(1+('General Information'!$D$34/100))^C49)</f>
        <v>225224.901422252</v>
      </c>
      <c r="K49" s="1" t="n">
        <f aca="false">K48+1</f>
        <v>2040</v>
      </c>
      <c r="L49" s="118" t="n">
        <f aca="false">IF(K49-$C$6&gt;'General Information'!$D$33,0,IF(K49=$C$6,$D$36,0)+SUMIFS($D$37:$D$51,$C$37:$C$51,K49-$C$6,$B$37:$B$51,"&lt;&gt;*Indirect*"))</f>
        <v>465273.035104167</v>
      </c>
      <c r="M49" s="118" t="n">
        <f aca="false">IF(K49-$C$6&gt;'General Information'!$D$33,0,SUMIFS($D$37:$D$51,$C$37:$C$51,K49-$C$6,$B$37:$B$51,"*Indirect*"))</f>
        <v>29154.51</v>
      </c>
      <c r="N49" s="118" t="n">
        <f aca="false">IF(K49-$C$6&gt;'General Information'!$D$33,0,IF(K49=$C$6,$E$36,0)+SUMIF($C$37:$C$51,K49-$C$6,$E$37:$E$51))</f>
        <v>346781.532349266</v>
      </c>
    </row>
    <row r="50" customFormat="false" ht="15" hidden="false" customHeight="false" outlineLevel="0" collapsed="false">
      <c r="B50" s="40" t="s">
        <v>634</v>
      </c>
      <c r="C50" s="41" t="n">
        <f aca="false">'Maintenance Policies'!E28</f>
        <v>28</v>
      </c>
      <c r="D50" s="42" t="n">
        <f aca="false">F2*F10</f>
        <v>29154.51</v>
      </c>
      <c r="E50" s="43" t="n">
        <f aca="false">IF(C50&gt;'General Information'!$D$33,0,D50/(1+('General Information'!$D$34/100))^C50)</f>
        <v>12742.7585710747</v>
      </c>
      <c r="K50" s="1" t="n">
        <f aca="false">K49+1</f>
        <v>2041</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-212008.344515625</v>
      </c>
      <c r="E51" s="43" t="n">
        <f aca="false">IF(C51&gt;'General Information'!$D$33,0,D51/(1+('General Information'!$D$34/100))^C51)</f>
        <v>-87344.6308473242</v>
      </c>
      <c r="K51" s="1" t="n">
        <f aca="false">K50+1</f>
        <v>2042</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9829223.74547321</v>
      </c>
      <c r="K52" s="1" t="n">
        <f aca="false">K51+1</f>
        <v>2043</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2044</v>
      </c>
      <c r="L53" s="118" t="n">
        <f aca="false">IF(K53-$C$6&gt;'General Information'!$D$33,0,IF(K53=$C$6,$D$36,0)+SUMIFS($D$37:$D$51,$C$37:$C$51,K53-$C$6,$B$37:$B$51,"&lt;&gt;*Indirect*"))</f>
        <v>486835.642916667</v>
      </c>
      <c r="M53" s="118" t="n">
        <f aca="false">IF(K53-$C$6&gt;'General Information'!$D$33,0,SUMIFS($D$37:$D$51,$C$37:$C$51,K53-$C$6,$B$37:$B$51,"*Indirect*"))</f>
        <v>29154.51</v>
      </c>
      <c r="N53" s="118" t="n">
        <f aca="false">IF(K53-$C$6&gt;'General Information'!$D$33,0,IF(K53=$C$6,$E$36,0)+SUMIF($C$37:$C$51,K53-$C$6,$E$37:$E$51))</f>
        <v>321548.004260798</v>
      </c>
    </row>
    <row r="54" customFormat="false" ht="15" hidden="false" customHeight="false" outlineLevel="0" collapsed="false">
      <c r="K54" s="1" t="n">
        <f aca="false">K53+1</f>
        <v>2045</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2046</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2047</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2048</v>
      </c>
      <c r="L57" s="118" t="n">
        <f aca="false">IF(K57-$C$6&gt;'General Information'!$D$33,0,IF(K57=$C$6,$D$36,0)+SUMIFS($D$37:$D$51,$C$37:$C$51,K57-$C$6,$B$37:$B$51,"&lt;&gt;*Indirect*"))</f>
        <v>1696066.756125</v>
      </c>
      <c r="M57" s="118" t="n">
        <f aca="false">IF(K57-$C$6&gt;'General Information'!$D$33,0,SUMIFS($D$37:$D$51,$C$37:$C$51,K57-$C$6,$B$37:$B$51,"*Indirect*"))</f>
        <v>61548.41</v>
      </c>
      <c r="N57" s="118" t="n">
        <f aca="false">IF(K57-$C$6&gt;'General Information'!$D$33,0,IF(K57=$C$6,$E$36,0)+SUMIF($C$37:$C$51,K57-$C$6,$E$37:$E$51))</f>
        <v>973148.902673599</v>
      </c>
    </row>
    <row r="58" customFormat="false" ht="15" hidden="false" customHeight="false" outlineLevel="0" collapsed="false">
      <c r="K58" s="1" t="n">
        <f aca="false">K57+1</f>
        <v>2049</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2050</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2051</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2052</v>
      </c>
      <c r="L61" s="118" t="n">
        <f aca="false">IF(K61-$C$6&gt;'General Information'!$D$33,0,IF(K61=$C$6,$D$36,0)+SUMIFS($D$37:$D$51,$C$37:$C$51,K61-$C$6,$B$37:$B$51,"&lt;&gt;*Indirect*"))</f>
        <v>331584.866666667</v>
      </c>
      <c r="M61" s="118" t="n">
        <f aca="false">IF(K61-$C$6&gt;'General Information'!$D$33,0,SUMIFS($D$37:$D$51,$C$37:$C$51,K61-$C$6,$B$37:$B$51,"*Indirect*"))</f>
        <v>22675.73</v>
      </c>
      <c r="N61" s="118" t="n">
        <f aca="false">IF(K61-$C$6&gt;'General Information'!$D$33,0,IF(K61=$C$6,$E$36,0)+SUMIF($C$37:$C$51,K61-$C$6,$E$37:$E$51))</f>
        <v>174272.738956097</v>
      </c>
    </row>
    <row r="62" customFormat="false" ht="15" hidden="false" customHeight="false" outlineLevel="0" collapsed="false">
      <c r="K62" s="1" t="n">
        <f aca="false">K61+1</f>
        <v>2053</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2054</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2055</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2056</v>
      </c>
      <c r="L65" s="118" t="n">
        <f aca="false">IF(K65-$C$6&gt;'General Information'!$D$33,0,IF(K65=$C$6,$D$36,0)+SUMIFS($D$37:$D$51,$C$37:$C$51,K65-$C$6,$B$37:$B$51,"&lt;&gt;*Indirect*"))</f>
        <v>515298.285229167</v>
      </c>
      <c r="M65" s="118" t="n">
        <f aca="false">IF(K65-$C$6&gt;'General Information'!$D$33,0,SUMIFS($D$37:$D$51,$C$37:$C$51,K65-$C$6,$B$37:$B$51,"*Indirect*"))</f>
        <v>29154.51</v>
      </c>
      <c r="N65" s="118" t="n">
        <f aca="false">IF(K65-$C$6&gt;'General Information'!$D$33,0,IF(K65=$C$6,$E$36,0)+SUMIF($C$37:$C$51,K65-$C$6,$E$37:$E$51))</f>
        <v>237967.659993326</v>
      </c>
    </row>
    <row r="66" customFormat="false" ht="15" hidden="false" customHeight="false" outlineLevel="0" collapsed="false">
      <c r="K66" s="1" t="n">
        <f aca="false">K65+1</f>
        <v>2057</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2058</v>
      </c>
      <c r="L67" s="118" t="n">
        <f aca="false">IF(K67-$C$6&gt;'General Information'!$D$33,0,IF(K67=$C$6,$D$36,0)+SUMIFS($D$37:$D$51,$C$37:$C$51,K67-$C$6,$B$37:$B$51,"&lt;&gt;*Indirect*"))</f>
        <v>-212008.344515625</v>
      </c>
      <c r="M67" s="118" t="n">
        <f aca="false">IF(K67-$C$6&gt;'General Information'!$D$33,0,SUMIFS($D$37:$D$51,$C$37:$C$51,K67-$C$6,$B$37:$B$51,"*Indirect*"))</f>
        <v>0</v>
      </c>
      <c r="N67" s="118" t="n">
        <f aca="false">IF(K67-$C$6&gt;'General Information'!$D$33,0,IF(K67=$C$6,$E$36,0)+SUMIF($C$37:$C$51,K67-$C$6,$E$37:$E$51))</f>
        <v>-87344.6308473242</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10</v>
      </c>
    </row>
    <row r="5" customFormat="false" ht="15" hidden="false" customHeight="false" outlineLevel="0" collapsed="false">
      <c r="A5" s="0" t="s">
        <v>9</v>
      </c>
      <c r="C5" s="0" t="n">
        <f aca="false">'General Information'!D26</f>
        <v>66667</v>
      </c>
      <c r="D5" s="0" t="s">
        <v>10</v>
      </c>
      <c r="E5" s="15" t="s">
        <v>11</v>
      </c>
      <c r="F5" s="16" t="n">
        <f aca="false">ROUNDUP(C5*550/(50*100/9)/10000,0)+ROUNDUP(C5*'Maintenance Policies'!D44/10000,0)+ROUNDUP(C5*'Maintenance Policies'!D43/5000,0)+ROUNDUP(C5*'Maintenance Policies'!D42/5000,0)+ROUNDUP(C5*'Maintenance Policies'!D41/1000,0)+7</f>
        <v>19</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15000</v>
      </c>
      <c r="D7" s="0" t="s">
        <v>14</v>
      </c>
      <c r="J7" s="1" t="s">
        <v>15</v>
      </c>
      <c r="K7" s="17" t="n">
        <f aca="false">C5/((12.5*12.5)/9)</f>
        <v>3840.0192</v>
      </c>
    </row>
    <row r="8" customFormat="false" ht="15" hidden="false" customHeight="false" outlineLevel="0" collapsed="false">
      <c r="C8" s="18"/>
      <c r="J8" s="1" t="s">
        <v>16</v>
      </c>
      <c r="K8" s="1" t="n">
        <f aca="false">K7*25+((K7/8)*12.5)</f>
        <v>102000.51</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P-155-8.1</v>
      </c>
      <c r="C13" s="20" t="s">
        <v>464</v>
      </c>
      <c r="D13" s="21" t="str">
        <f aca="false">IF(C13="","N/A",VLOOKUP(C13,CHOOSE({1,2},Table2[Pay Item Description],Table2[Units]),2,0))</f>
        <v>S.Y.</v>
      </c>
      <c r="E13" s="22" t="n">
        <v>66667</v>
      </c>
      <c r="F13" s="23" t="n">
        <f aca="false">IF(C13="","N/A",VLOOKUP(C13,CHOOSE({1,2},Table2[Pay Item Description],Table2[Unit Cost]),2,0))</f>
        <v>10</v>
      </c>
      <c r="G13" s="24" t="n">
        <f aca="false">IF(B13&lt;&gt;0,F13*E13,0)</f>
        <v>666670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102000.51</v>
      </c>
      <c r="O13" s="26" t="n">
        <f aca="false">IF(L13="","N/A",VLOOKUP(L13,CHOOSE({1,2},Table2[Pay Item Description],Table2[Unit Cost]),2,0))</f>
        <v>7</v>
      </c>
      <c r="P13" s="27"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1333.34</v>
      </c>
      <c r="W13" s="29" t="n">
        <f aca="false">IF(T13="","N/A",VLOOKUP(T13,CHOOSE({1,2},Table2[Pay Item Description],Table2[Unit Cost]),2,0))</f>
        <v>100</v>
      </c>
      <c r="X13" s="30" t="n">
        <f aca="false">W13*V13</f>
        <v>133334</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22" t="n">
        <v>14815</v>
      </c>
      <c r="F14" s="23" t="n">
        <f aca="false">IF(C14="","N/A",VLOOKUP(C14,CHOOSE({1,2},Table2[Pay Item Description],Table2[Unit Cost]),2,0))</f>
        <v>55</v>
      </c>
      <c r="G14" s="24" t="n">
        <f aca="false">IF(B14&lt;&gt;0,F14*E14,0)</f>
        <v>814825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1500.0075</v>
      </c>
      <c r="O14" s="26" t="n">
        <f aca="false">IF(L14="","N/A",VLOOKUP(L14,CHOOSE({1,2},Table2[Pay Item Description],Table2[Unit Cost]),2,0))</f>
        <v>8</v>
      </c>
      <c r="P14" s="27"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200.001</v>
      </c>
      <c r="W14" s="29" t="n">
        <f aca="false">IF(T14="","N/A",VLOOKUP(T14,CHOOSE({1,2},Table2[Pay Item Description],Table2[Unit Cost]),2,0))</f>
        <v>120</v>
      </c>
      <c r="X14" s="30" t="n">
        <f aca="false">W14*V14</f>
        <v>24000.12</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22" t="n">
        <v>11111</v>
      </c>
      <c r="F15" s="23" t="n">
        <f aca="false">IF(C15="","N/A",VLOOKUP(C15,CHOOSE({1,2},Table2[Pay Item Description],Table2[Unit Cost]),2,0))</f>
        <v>65</v>
      </c>
      <c r="G15" s="24" t="n">
        <f aca="false">IF(B15&lt;&gt;0,F15*E15,0)</f>
        <v>722215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780.0039</v>
      </c>
      <c r="O15" s="26" t="n">
        <f aca="false">IF(L15="","N/A",VLOOKUP(L15,CHOOSE({1,2},Table2[Pay Item Description],Table2[Unit Cost]),2,0))</f>
        <v>60</v>
      </c>
      <c r="P15" s="27"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780.0039</v>
      </c>
      <c r="W15" s="29" t="n">
        <f aca="false">IF(T15="","N/A",VLOOKUP(T15,CHOOSE({1,2},Table2[Pay Item Description],Table2[Unit Cost]),2,0))</f>
        <v>60</v>
      </c>
      <c r="X15" s="30" t="n">
        <f aca="false">W15*V15</f>
        <v>46800.234</v>
      </c>
    </row>
    <row r="16" customFormat="false" ht="19.5" hidden="false" customHeight="true" outlineLevel="0" collapsed="false">
      <c r="A16" s="0" t="n">
        <v>4</v>
      </c>
      <c r="B16" s="19" t="str">
        <f aca="false">IF(C16="",0,VLOOKUP(C16,CHOOSE({1,2},Table2[Pay Item Description],Table2[Pay Item No.]),2,0))</f>
        <v>P-501-8.1c</v>
      </c>
      <c r="C16" s="20" t="s">
        <v>524</v>
      </c>
      <c r="D16" s="21" t="str">
        <f aca="false">IF(C16="","N/A",VLOOKUP(C16,CHOOSE({1,2},Table2[Pay Item Description],Table2[Units]),2,0))</f>
        <v>S.Y.</v>
      </c>
      <c r="E16" s="22" t="n">
        <v>66667</v>
      </c>
      <c r="F16" s="23" t="n">
        <f aca="false">IF(C16="","N/A",VLOOKUP(C16,CHOOSE({1,2},Table2[Pay Item Description],Table2[Unit Cost]),2,0))</f>
        <v>85</v>
      </c>
      <c r="G16" s="24" t="n">
        <f aca="false">IF(B16&lt;&gt;0,F16*E16,0)</f>
        <v>5666695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200.001</v>
      </c>
      <c r="O16" s="26" t="n">
        <f aca="false">IF(L16="","N/A",VLOOKUP(L16,CHOOSE({1,2},Table2[Pay Item Description],Table2[Unit Cost]),2,0))</f>
        <v>120</v>
      </c>
      <c r="P16" s="27"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1800.009</v>
      </c>
      <c r="W16" s="29" t="n">
        <f aca="false">IF(T16="","N/A",VLOOKUP(T16,CHOOSE({1,2},Table2[Pay Item Description],Table2[Unit Cost]),2,0))</f>
        <v>8</v>
      </c>
      <c r="X16" s="30" t="n">
        <f aca="false">W16*V16</f>
        <v>14400.072</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22" t="n">
        <v>15000</v>
      </c>
      <c r="F17" s="23" t="n">
        <f aca="false">IF(C17="","N/A",VLOOKUP(C17,CHOOSE({1,2},Table2[Pay Item Description],Table2[Unit Cost]),2,0))</f>
        <v>0.666666666666667</v>
      </c>
      <c r="G17" s="24" t="n">
        <f aca="false">IF(B17&lt;&gt;0,F17*E17,0)</f>
        <v>10000</v>
      </c>
      <c r="O17" s="1" t="s">
        <v>24</v>
      </c>
      <c r="P17" s="27"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102000.51</v>
      </c>
      <c r="W17" s="29" t="n">
        <f aca="false">IF(T17="","N/A",VLOOKUP(T17,CHOOSE({1,2},Table2[Pay Item Description],Table2[Unit Cost]),2,0))</f>
        <v>7</v>
      </c>
      <c r="X17" s="30" t="n">
        <f aca="false">W17*V17</f>
        <v>714003.57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79680.3984</v>
      </c>
      <c r="W18" s="0" t="s">
        <v>24</v>
      </c>
      <c r="X18" s="30" t="n">
        <f aca="false">SUM(X13:X17)</f>
        <v>932537.996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39840.1992</v>
      </c>
      <c r="T19" s="0" t="s">
        <v>25</v>
      </c>
      <c r="X19" s="30" t="n">
        <f aca="false">('General Information'!$D$36/100)*X18</f>
        <v>93253.7996</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916324.5816</v>
      </c>
      <c r="T20" s="0" t="s">
        <v>26</v>
      </c>
      <c r="X20" s="30" t="n">
        <f aca="false">('General Information'!$D$37/100)*X18</f>
        <v>46626.8998</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1072418.6954</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7880405</v>
      </c>
    </row>
    <row r="25" customFormat="false" ht="15" hidden="false" customHeight="false" outlineLevel="0" collapsed="false">
      <c r="B25" s="0" t="s">
        <v>25</v>
      </c>
      <c r="G25" s="24" t="n">
        <f aca="false">('General Information'!$D$36/100)*G24</f>
        <v>788040.5</v>
      </c>
    </row>
    <row r="26" customFormat="false" ht="15" hidden="false" customHeight="false" outlineLevel="0" collapsed="false">
      <c r="B26" s="0" t="s">
        <v>26</v>
      </c>
      <c r="G26" s="24" t="n">
        <f aca="false">('General Information'!$D$37/100)*G24</f>
        <v>394020.25</v>
      </c>
    </row>
    <row r="27" customFormat="false" ht="15" hidden="false" customHeight="false" outlineLevel="0" collapsed="false">
      <c r="A27" s="7" t="s">
        <v>27</v>
      </c>
      <c r="B27" s="7"/>
      <c r="C27" s="7"/>
      <c r="D27" s="7"/>
      <c r="E27" s="7"/>
      <c r="F27" s="7"/>
      <c r="G27" s="31" t="n">
        <f aca="false">SUM(G24:G26)</f>
        <v>9062465.75</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9062465.75</v>
      </c>
      <c r="E37" s="39" t="n">
        <f aca="false">D37</f>
        <v>9062465.75</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916324.5816</v>
      </c>
      <c r="E38" s="43" t="n">
        <f aca="false">IF(C38&gt;'General Information'!$D$33,0,D38/(1+('General Information'!$D$34/100))^C38)</f>
        <v>522567.104910763</v>
      </c>
      <c r="K38" s="1" t="n">
        <f aca="false">C6</f>
        <v>2028</v>
      </c>
      <c r="L38" s="2" t="n">
        <f aca="false">IF(K38-$C$6&gt;'General Information'!$D$33,0,IF(K38=$C$6,$D$37,0)+SUMIFS($D$38:$D$42,$C$38:$C$42,K38-$C$6,$B$38:$B$42,"&lt;&gt;*Indirect*"))</f>
        <v>9062465.75</v>
      </c>
      <c r="M38" s="2" t="n">
        <f aca="false">IF(K38-$C$6&gt;'General Information'!$D$33,0,SUMIFS($D$38:$D$42,$C$38:$C$42,K38-$C$6,$B$38:$B$42,"*Indirect*"))</f>
        <v>0</v>
      </c>
      <c r="N38" s="2" t="n">
        <f aca="false">IF(K38-$C$6&gt;'General Information'!$D$33,0,IF(K38=$C$6,$E$37,0)+SUMIF($C$38:$C$42,K38-$C$6,$E$38:$E$42))</f>
        <v>9062465.75</v>
      </c>
    </row>
    <row r="39" customFormat="false" ht="15" hidden="false" customHeight="false" outlineLevel="0" collapsed="false">
      <c r="B39" s="40" t="s">
        <v>39</v>
      </c>
      <c r="C39" s="41" t="n">
        <f aca="false">'Maintenance Policies'!E37</f>
        <v>19</v>
      </c>
      <c r="D39" s="42" t="n">
        <f aca="false">F2*F4</f>
        <v>32393.9</v>
      </c>
      <c r="E39" s="43" t="n">
        <f aca="false">IF(C39&gt;'General Information'!$D$33,0,D39/(1+('General Information'!$D$34/100))^C39)</f>
        <v>18473.7885239428</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1072418.6954</v>
      </c>
      <c r="E40" s="43" t="n">
        <f aca="false">IF(C40&gt;'General Information'!$D$33,0,D40/(1+('General Information'!$D$34/100))^C40)</f>
        <v>482791.159867436</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61548.41</v>
      </c>
      <c r="E41" s="43" t="n">
        <f aca="false">IF(C41&gt;'General Information'!$D$33,0,D41/(1+('General Information'!$D$34/100))^C41)</f>
        <v>27708.4205817702</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-2265616.4375</v>
      </c>
      <c r="E42" s="43" t="n">
        <f aca="false">IF(C42&gt;'General Information'!$D$33,0,D42/(1+('General Information'!$D$34/100))^C42)</f>
        <v>-933403.974391597</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9180602.24949232</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916324.5816</v>
      </c>
      <c r="M57" s="2" t="n">
        <f aca="false">IF(K57-$C$6&gt;'General Information'!$D$33,0,SUMIFS($D$38:$D$42,$C$38:$C$42,K57-$C$6,$B$38:$B$42,"*Indirect*"))</f>
        <v>32393.9</v>
      </c>
      <c r="N57" s="2" t="n">
        <f aca="false">IF(K57-$C$6&gt;'General Information'!$D$33,0,IF(K57=$C$6,$E$37,0)+SUMIF($C$38:$C$42,K57-$C$6,$E$38:$E$42))</f>
        <v>541040.893434706</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1072418.6954</v>
      </c>
      <c r="M65" s="2" t="n">
        <f aca="false">IF(K65-$C$6&gt;'General Information'!$D$33,0,SUMIFS($D$38:$D$42,$C$38:$C$42,K65-$C$6,$B$38:$B$42,"*Indirect*"))</f>
        <v>61548.41</v>
      </c>
      <c r="N65" s="2" t="n">
        <f aca="false">IF(K65-$C$6&gt;'General Information'!$D$33,0,IF(K65=$C$6,$E$37,0)+SUMIF($C$38:$C$42,K65-$C$6,$E$38:$E$42))</f>
        <v>510499.580449206</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-2265616.4375</v>
      </c>
      <c r="M68" s="2" t="n">
        <f aca="false">IF(K68-$C$6&gt;'General Information'!$D$33,0,SUMIFS($D$38:$D$42,$C$38:$C$42,K68-$C$6,$B$38:$B$42,"*Indirect*"))</f>
        <v>0</v>
      </c>
      <c r="N68" s="2" t="n">
        <f aca="false">IF(K68-$C$6&gt;'General Information'!$D$33,0,IF(K68=$C$6,$E$37,0)+SUMIF($C$38:$C$42,K68-$C$6,$E$38:$E$42))</f>
        <v>-933403.974391597</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DataMashup xmlns="http://schemas.microsoft.com/DataMashup">AAAAABQDAABQSwMEFAACAAgAZnFsU7i7HMakAAAA9QAAABIAHABDb25maWcvUGFja2FnZS54bWwgohgAKKAUAAAAAAAAAAAAAAAAAAAAAAAAAAAAhY9BDoIwFESvQrqnRYwGyacs3EpiQjRum1KhET6GFsvdXHgkryBGUXcuZ95MMnO/3iAdmtq7qM7oFhMyowHxFMq20FgmpLdHPyIph62QJ1EqbwyjiQejE1JZe44Zc85RN6dtV7IwCGbskG1yWalG+BqNFSgV+bSK/y3CYf8aw0O6iuhiOU4CNnmQafzycGRP+mPCuq9t3ymu0N/lwCYJ7H2BPwBQSwMEFAACAAgAZnFsUw/K6aukAAAA6QAAABMAHABbQ29udGVudF9UeXBlc10ueG1sIKIYACigFAAAAAAAAAAAAAAAAAAAAAAAAAAAAG2OSw7CMAxErxJ5n7qwQAg1ZQHcgAtEwf2I5qPGReFsLDgSVyBtd4ilZ+Z55vN6V8dkB/GgMfbeKdgUJQhyxt961yqYuJF7ONbV9Rkoihx1UUHHHA6I0XRkdSx8IJedxo9Wcz7HFoM2d90Sbstyh8Y7JseS5x9QV2dq9DSwuKQsr7UZB3Fac3OVAqbEuMj4l7A/eR3C0BvN2cQkbZR2IXEZXn8BUEsDBBQAAgAIAGZxbFMoike4DgAAABEAAAATABwARm9ybXVsYXMvU2VjdGlvbjEubSCiGAAooBQAAAAAAAAAAAAAAAAAAAAAAAAAAAArTk0uyczPUwiG0IbWAFBLAQItABQAAgAIAGZxbFO4uxzGpAAAAPUAAAASAAAAAAAAAAAAAAAAAAAAAABDb25maWcvUGFja2FnZS54bWxQSwECLQAUAAIACABmcWxTD8rpq6QAAADpAAAAEwAAAAAAAAAAAAAAAADwAAAAW0NvbnRlbnRfVHlwZXNdLnhtbFBLAQItABQAAgAIAGZxbFMoike4DgAAABEAAAATAAAAAAAAAAAAAAAAAOEBAABGb3JtdWxhcy9TZWN0aW9uMS5tUEsFBgAAAAADAAMAwgAAADwCAAAAABABAADvu788P3htbCB2ZXJzaW9uPSIxLjAiIGVuY29kaW5nPSJ1dGYtOCI/PjxQZXJtaXNzaW9uTGlzdCB4bWxuczp4c2k9Imh0dHA6Ly93d3cudzMub3JnLzIwMDEvWE1MU2NoZW1hLWluc3RhbmNlIiB4bWxuczp4c2Q9Imh0dHA6Ly93d3cudzMub3JnLzIwMDEvWE1MU2NoZW1hIj48Q2FuRXZhbHVhdGVGdXR1cmVQYWNrYWdlcz5mYWxzZTwvQ2FuRXZhbHVhdGVGdXR1cmVQYWNrYWdlcz48RmlyZXdhbGxFbmFibGVkPnRydWU8L0ZpcmV3YWxsRW5hYmxlZD48L1Blcm1pc3Npb25MaXN0PpcBAAAAAAAAdQEAAO+7vzw/eG1sIHZlcnNpb249IjEuMCIgZW5jb2Rpbmc9InV0Zi04Ij8+PExvY2FsUGFja2FnZU1ldGFkYXRhRmlsZSB4bWxuczp4c2k9Imh0dHA6Ly93d3cudzMub3JnLzIwMDEvWE1MU2NoZW1hLWluc3RhbmNlIiB4bWxuczp4c2Q9Imh0dHA6Ly93d3cudzMub3JnLzIwMDEvWE1MU2NoZW1hIj48SXRlbXM+PEl0ZW0+PEl0ZW1Mb2NhdGlvbj48SXRlbVR5cGU+QWxsRm9ybXVsYXM8L0l0ZW1UeXBlPjxJdGVtUGF0aCAvPjwvSXRlbUxvY2F0aW9uPjxTdGFibGVFbnRyaWVzPjxFbnRyeSBUeXBlPSJSZWxhdGlvbnNoaXBzIiBWYWx1ZT0ic0FBQUFBQT09IiAvPjwvU3RhYmxlRW50cmllcz48L0l0ZW0+PC9JdGVtcz48L0xvY2FsUGFja2FnZU1ldGFkYXRhRmlsZT4WAAAAUEsFBgAAAAAAAAAAAAAAAAAAAAAAANoAAAABAAAA0Iyd3wEV0RGMegDAT8KX6wEAAACMZMbwI6sISYFgKb1v9EWIAAAAAAIAAAAAAANmAADAAAAAEAAAAHSXiEEXqJa5r57myrfMhMoAAAAABIAAAKAAAAAQAAAAIaYbsWcEm5BZkNdnwFUfwFAAAABFeyNgATQEmRfFj+Uq9/3l0o+ENNfiTTp5xLtBDH28P5y1RCD/xO9rfuuFSevMIgKasNIlFUMRWBXd1ecML5NhD8ILz7vXH4JigCsPZe6IeRQAAAAIl9ye8/GcvwQIq8tY9OwR4HIRDg==</DataMashup>
</file>

<file path=customXml/itemProps1.xml><?xml version="1.0" encoding="utf-8"?>
<ds:datastoreItem xmlns:ds="http://schemas.openxmlformats.org/officeDocument/2006/customXml" ds:itemID="{B4B88566-E933-4244-856C-A2F9DB71596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Jim Bruinsma</dc:creator>
  <dc:description/>
  <dc:language>en-US</dc:language>
  <cp:lastModifiedBy/>
  <dcterms:modified xsi:type="dcterms:W3CDTF">2026-09-12T21:38:51Z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
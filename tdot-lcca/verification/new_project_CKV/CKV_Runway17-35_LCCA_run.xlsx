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trlProps/ctrlProps5.xml" ContentType="application/vnd.ms-excel.controlproperties+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_rels/drawing13.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1.xml.rels" ContentType="application/vnd.openxmlformats-package.relationships+xml"/>
  <Override PartName="/xl/drawings/_rels/drawing6.xml.rels" ContentType="application/vnd.openxmlformats-package.relationships+xml"/>
  <Override PartName="/xl/drawings/_rels/drawing10.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727" firstSheet="1" activeTab="3"/>
  </bookViews>
  <sheets>
    <sheet name="TMP(NewPCC)_IndirectCost" sheetId="1" state="hidden" r:id="rId3"/>
    <sheet name="Overview" sheetId="2" state="visible" r:id="rId4"/>
    <sheet name="Instructions" sheetId="3" state="visible" r:id="rId5"/>
    <sheet name="General Information" sheetId="4" state="visible" r:id="rId6"/>
    <sheet name="Pay_Items" sheetId="5" state="visible" r:id="rId7"/>
    <sheet name="Database" sheetId="6" state="hidden" r:id="rId8"/>
    <sheet name="Maintenance Policies" sheetId="7" state="visible" r:id="rId9"/>
    <sheet name="TMP(NewHMA)_IndirectCost" sheetId="8" state="hidden" r:id="rId10"/>
    <sheet name="RevenueData" sheetId="9" state="hidden" r:id="rId11"/>
    <sheet name="TMP(NewHMA)" sheetId="10" state="hidden" r:id="rId12"/>
    <sheet name="TMP(NewPCC)" sheetId="11" state="hidden" r:id="rId13"/>
    <sheet name="TMP(HMARehab)" sheetId="12" state="hidden" r:id="rId14"/>
    <sheet name="TMP(PCCRehab)" sheetId="13" state="hidden" r:id="rId15"/>
    <sheet name="Summary" sheetId="14" state="visible" r:id="rId16"/>
    <sheet name="Alt 1 (New HMA)" sheetId="15" state="visible" r:id="rId17"/>
    <sheet name="Alt 2 (New PCC)" sheetId="16" state="visible" r:id="rId18"/>
  </sheets>
  <definedNames>
    <definedName function="false" hidden="false" localSheetId="13" name="_xlnm.Print_Area" vbProcedure="false">Summary!$A$1:$U$70</definedName>
    <definedName function="false" hidden="false" name="Airport_Name" vbProcedure="false">'General Information'!$D$9</definedName>
    <definedName function="false" hidden="false" name="Pay_Items" vbProcedure="false">Pay_Items!$C$3:$D$59</definedName>
    <definedName function="false" hidden="false" name="Pay_Item_List" vbProcedure="false">Pay_Items!$B$2:$C$4</definedName>
    <definedName function="false" hidden="false" name="Pay_Item_List2" vbProcedure="false">Pay_Items!$A$2:$C$4</definedName>
    <definedName function="false" hidden="false" name="Pay_Item_List_Desc" vbProcedure="false">Pay_Items!$D$3:$D$4</definedName>
    <definedName function="false" hidden="false" name="Pay_Item_List_No" vbProcedure="false">Pay_Items!$C$3:$C$4</definedName>
    <definedName function="false" hidden="true" name="_xleta.INDIRECT" vbProcedure="false">#NAME?</definedName>
    <definedName function="false" hidden="true" name="_xleta.XLOOKUP" vbProcedure="false">#NAME?</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26" authorId="0">
      <text>
        <r>
          <rPr>
            <sz val="10"/>
            <rFont val="Arial"/>
            <family val="2"/>
          </rPr>
          <t xml:space="preserve">ARA:
</t>
        </r>
        <r>
          <rPr>
            <sz val="9"/>
            <color rgb="FF000000"/>
            <rFont val="Tahoma"/>
            <family val="0"/>
            <charset val="1"/>
          </rPr>
          <t xml:space="preserve">Enter the Mainline work area.</t>
        </r>
      </text>
    </comment>
    <comment ref="D39" authorId="0">
      <text>
        <r>
          <rPr>
            <sz val="10"/>
            <rFont val="Arial"/>
            <family val="2"/>
          </rPr>
          <t xml:space="preserve">ARA
</t>
        </r>
        <r>
          <rPr>
            <sz val="9"/>
            <color rgb="FF000000"/>
            <rFont val="Tahoma"/>
            <family val="2"/>
            <charset val="1"/>
          </rPr>
          <t xml:space="preserve">Daily revenue for selected airport</t>
        </r>
      </text>
    </comment>
  </commentList>
</comments>
</file>

<file path=xl/sharedStrings.xml><?xml version="1.0" encoding="utf-8"?>
<sst xmlns="http://schemas.openxmlformats.org/spreadsheetml/2006/main" count="1749" uniqueCount="673">
  <si>
    <t xml:space="preserve">Hidden</t>
  </si>
  <si>
    <t xml:space="preserve">Initial Construction Costs:</t>
  </si>
  <si>
    <t xml:space="preserve">Average Daily Revenue:  </t>
  </si>
  <si>
    <t xml:space="preserve">Maintenance 1</t>
  </si>
  <si>
    <t xml:space="preserve">Rehabilitation 1</t>
  </si>
  <si>
    <t xml:space="preserve">Pavement Type:</t>
  </si>
  <si>
    <t xml:space="preserve">New PCC</t>
  </si>
  <si>
    <t xml:space="preserve">Maintenance 1 Duration (Days)</t>
  </si>
  <si>
    <t xml:space="preserve">Mainline Pavement Area:</t>
  </si>
  <si>
    <t xml:space="preserve">S.Y.</t>
  </si>
  <si>
    <t xml:space="preserve">Rehabilitation 1 Duration (Days)</t>
  </si>
  <si>
    <t xml:space="preserve">Initial Construction Year:</t>
  </si>
  <si>
    <t xml:space="preserve">Markings Area:</t>
  </si>
  <si>
    <t xml:space="preserve">S.F.</t>
  </si>
  <si>
    <t xml:space="preserve">No. of Slabs:</t>
  </si>
  <si>
    <t xml:space="preserve">Joint length:</t>
  </si>
  <si>
    <t xml:space="preserve">Item No.</t>
  </si>
  <si>
    <t xml:space="preserve">Pay Item</t>
  </si>
  <si>
    <t xml:space="preserve">Description</t>
  </si>
  <si>
    <t xml:space="preserve">Unit</t>
  </si>
  <si>
    <t xml:space="preserve">Qty</t>
  </si>
  <si>
    <t xml:space="preserve">Unit Cost</t>
  </si>
  <si>
    <t xml:space="preserve">Item Cost</t>
  </si>
  <si>
    <t xml:space="preserve">Subtotal</t>
  </si>
  <si>
    <t xml:space="preserve">Mobilization</t>
  </si>
  <si>
    <t xml:space="preserve">Engineering</t>
  </si>
  <si>
    <t xml:space="preserve">Total</t>
  </si>
  <si>
    <t xml:space="preserve">Net Present Worth</t>
  </si>
  <si>
    <t xml:space="preserve">PCC Reconstruction - Alternative 2</t>
  </si>
  <si>
    <t xml:space="preserve">Item</t>
  </si>
  <si>
    <t xml:space="preserve">Year Applied</t>
  </si>
  <si>
    <t xml:space="preserve">Actual Cost</t>
  </si>
  <si>
    <t xml:space="preserve">Discounted Cost</t>
  </si>
  <si>
    <t xml:space="preserve">Initial Construction</t>
  </si>
  <si>
    <t xml:space="preserve">Year</t>
  </si>
  <si>
    <t xml:space="preserve">Direct Cost</t>
  </si>
  <si>
    <t xml:space="preserve">Indirect Cost</t>
  </si>
  <si>
    <t xml:space="preserve">Total Discounted Cost</t>
  </si>
  <si>
    <t xml:space="preserve">Maintenance 1 Indirect Cost</t>
  </si>
  <si>
    <t xml:space="preserve">Rehabilitation 1 Indirect Cost</t>
  </si>
  <si>
    <t xml:space="preserve">Salvage</t>
  </si>
  <si>
    <t xml:space="preserve">Tennessee Department of Transportation</t>
  </si>
  <si>
    <t xml:space="preserve">Aeronautics Division</t>
  </si>
  <si>
    <t xml:space="preserve">7335 Centennial Boulevard</t>
  </si>
  <si>
    <t xml:space="preserve">Nashville, Tennessee 37209</t>
  </si>
  <si>
    <t xml:space="preserve">615-741-3208</t>
  </si>
  <si>
    <t xml:space="preserve">https://www.tn.gov/tdot/aeronautics.html</t>
  </si>
  <si>
    <t xml:space="preserve">Overview:</t>
  </si>
  <si>
    <t xml:space="preserve">Instructions:</t>
  </si>
  <si>
    <t xml:space="preserve">Airport Information:</t>
  </si>
  <si>
    <t xml:space="preserve">Name</t>
  </si>
  <si>
    <t xml:space="preserve">ID</t>
  </si>
  <si>
    <t xml:space="preserve">City</t>
  </si>
  <si>
    <t xml:space="preserve">County</t>
  </si>
  <si>
    <t xml:space="preserve">Region</t>
  </si>
  <si>
    <t xml:space="preserve">Owner</t>
  </si>
  <si>
    <t xml:space="preserve">Branch Use</t>
  </si>
  <si>
    <t xml:space="preserve">Airport Name:</t>
  </si>
  <si>
    <t xml:space="preserve">Outlaw Field</t>
  </si>
  <si>
    <t xml:space="preserve">N/A</t>
  </si>
  <si>
    <t xml:space="preserve">Airport ID:</t>
  </si>
  <si>
    <t xml:space="preserve">Abernathy Field</t>
  </si>
  <si>
    <t xml:space="preserve">GZS</t>
  </si>
  <si>
    <t xml:space="preserve">Pulaski</t>
  </si>
  <si>
    <t xml:space="preserve">Giles</t>
  </si>
  <si>
    <t xml:space="preserve">Middle</t>
  </si>
  <si>
    <t xml:space="preserve">Runway</t>
  </si>
  <si>
    <t xml:space="preserve">City:</t>
  </si>
  <si>
    <t xml:space="preserve">Arnold Field</t>
  </si>
  <si>
    <t xml:space="preserve">M31</t>
  </si>
  <si>
    <t xml:space="preserve">Halls</t>
  </si>
  <si>
    <t xml:space="preserve">Lauderdale</t>
  </si>
  <si>
    <t xml:space="preserve">West</t>
  </si>
  <si>
    <t xml:space="preserve">Taxiway</t>
  </si>
  <si>
    <t xml:space="preserve">Airport Owner:</t>
  </si>
  <si>
    <t xml:space="preserve">Beech River Regional Airport</t>
  </si>
  <si>
    <t xml:space="preserve">PVE</t>
  </si>
  <si>
    <t xml:space="preserve">Lexington/Parsons</t>
  </si>
  <si>
    <t xml:space="preserve">Henderson</t>
  </si>
  <si>
    <t xml:space="preserve">Apron</t>
  </si>
  <si>
    <t xml:space="preserve">State Region:</t>
  </si>
  <si>
    <t xml:space="preserve">Benton County Airport</t>
  </si>
  <si>
    <t xml:space="preserve">0M4</t>
  </si>
  <si>
    <t xml:space="preserve">Camden</t>
  </si>
  <si>
    <t xml:space="preserve">Benton</t>
  </si>
  <si>
    <t xml:space="preserve">Design Consultant:</t>
  </si>
  <si>
    <t xml:space="preserve">ARA</t>
  </si>
  <si>
    <t xml:space="preserve">Bomar Field-Shelbyville Municipal Airport</t>
  </si>
  <si>
    <t xml:space="preserve">SYI</t>
  </si>
  <si>
    <t xml:space="preserve">Shelbyville</t>
  </si>
  <si>
    <t xml:space="preserve">Bedford</t>
  </si>
  <si>
    <t xml:space="preserve">Project Number:</t>
  </si>
  <si>
    <t xml:space="preserve">5936</t>
  </si>
  <si>
    <t xml:space="preserve">Carroll County Airport</t>
  </si>
  <si>
    <t xml:space="preserve">HZD</t>
  </si>
  <si>
    <t xml:space="preserve">Huntingdon</t>
  </si>
  <si>
    <t xml:space="preserve">Carroll</t>
  </si>
  <si>
    <t xml:space="preserve">Markings Type</t>
  </si>
  <si>
    <t xml:space="preserve">Project Name:</t>
  </si>
  <si>
    <t xml:space="preserve">Runway 17-35 Reconstruction</t>
  </si>
  <si>
    <t xml:space="preserve">Centerville Municipal Airport</t>
  </si>
  <si>
    <t xml:space="preserve">GHM</t>
  </si>
  <si>
    <t xml:space="preserve">Centerville</t>
  </si>
  <si>
    <t xml:space="preserve">Hickman</t>
  </si>
  <si>
    <t xml:space="preserve">Date of LCCA:</t>
  </si>
  <si>
    <t xml:space="preserve">Charles W. Baker Field</t>
  </si>
  <si>
    <t xml:space="preserve">2M8</t>
  </si>
  <si>
    <t xml:space="preserve">Millington</t>
  </si>
  <si>
    <t xml:space="preserve">Shelby</t>
  </si>
  <si>
    <t xml:space="preserve">Reflective</t>
  </si>
  <si>
    <t xml:space="preserve">Chilhowee Gliderport</t>
  </si>
  <si>
    <t xml:space="preserve">92A</t>
  </si>
  <si>
    <t xml:space="preserve">Polk</t>
  </si>
  <si>
    <t xml:space="preserve">East</t>
  </si>
  <si>
    <t xml:space="preserve">Non-Reflective</t>
  </si>
  <si>
    <t xml:space="preserve">Cleveland Regional Jetport</t>
  </si>
  <si>
    <t xml:space="preserve">RZR</t>
  </si>
  <si>
    <t xml:space="preserve">Cleveland</t>
  </si>
  <si>
    <t xml:space="preserve">Bradley</t>
  </si>
  <si>
    <t xml:space="preserve">Project Information:</t>
  </si>
  <si>
    <t xml:space="preserve">Collegedale Municipal Airport</t>
  </si>
  <si>
    <t xml:space="preserve">FGU</t>
  </si>
  <si>
    <t xml:space="preserve">Collegedale</t>
  </si>
  <si>
    <t xml:space="preserve">Hamilton</t>
  </si>
  <si>
    <t xml:space="preserve">Branch Type:</t>
  </si>
  <si>
    <t xml:space="preserve">Colonel Tommy C. Stiner-Campbell County Airport</t>
  </si>
  <si>
    <t xml:space="preserve">JAU</t>
  </si>
  <si>
    <t xml:space="preserve">Jacksboro</t>
  </si>
  <si>
    <t xml:space="preserve">Campbell</t>
  </si>
  <si>
    <t xml:space="preserve">Weight Category</t>
  </si>
  <si>
    <t xml:space="preserve">Branch Name:</t>
  </si>
  <si>
    <t xml:space="preserve">Runway 17-35</t>
  </si>
  <si>
    <t xml:space="preserve">Covington Municipal Airport</t>
  </si>
  <si>
    <t xml:space="preserve">M04</t>
  </si>
  <si>
    <t xml:space="preserve">Covington</t>
  </si>
  <si>
    <t xml:space="preserve">Tipton</t>
  </si>
  <si>
    <t xml:space="preserve">Project Type:</t>
  </si>
  <si>
    <t xml:space="preserve">Reconstruction</t>
  </si>
  <si>
    <t xml:space="preserve">Crossville Memorial Airport/Whitson Field</t>
  </si>
  <si>
    <t xml:space="preserve">CSV</t>
  </si>
  <si>
    <t xml:space="preserve">Crossville</t>
  </si>
  <si>
    <t xml:space="preserve">Cumberland</t>
  </si>
  <si>
    <t xml:space="preserve">&lt; 60,000 lbs</t>
  </si>
  <si>
    <t xml:space="preserve">Project Description:</t>
  </si>
  <si>
    <t xml:space="preserve">Full-depth reconstruction, 6,000 x 100 ft</t>
  </si>
  <si>
    <t xml:space="preserve">Dallas Bay Skypark Airport</t>
  </si>
  <si>
    <t xml:space="preserve">1A0</t>
  </si>
  <si>
    <t xml:space="preserve">Chattanooga</t>
  </si>
  <si>
    <t xml:space="preserve">&gt; 60,000 to &lt; 100,000 lbs</t>
  </si>
  <si>
    <t xml:space="preserve">Intial Construction Year:</t>
  </si>
  <si>
    <t xml:space="preserve">Dickson Municipal Airport</t>
  </si>
  <si>
    <t xml:space="preserve">M02</t>
  </si>
  <si>
    <t xml:space="preserve">Dickson</t>
  </si>
  <si>
    <t xml:space="preserve">&gt; 100,000 lbs</t>
  </si>
  <si>
    <t xml:space="preserve">Mainline Area, S.Y.:</t>
  </si>
  <si>
    <t xml:space="preserve">Dyersburg Municipal Airport</t>
  </si>
  <si>
    <t xml:space="preserve">DYR</t>
  </si>
  <si>
    <t xml:space="preserve">Dyersburg</t>
  </si>
  <si>
    <t xml:space="preserve">Dyer</t>
  </si>
  <si>
    <t xml:space="preserve">Shoulder Area, S.Y.:</t>
  </si>
  <si>
    <t xml:space="preserve">Elizabethton Municipal Airport</t>
  </si>
  <si>
    <t xml:space="preserve">0A9</t>
  </si>
  <si>
    <t xml:space="preserve">Elizabethton</t>
  </si>
  <si>
    <t xml:space="preserve">Carter</t>
  </si>
  <si>
    <t xml:space="preserve">Markings, S.F.:</t>
  </si>
  <si>
    <t xml:space="preserve">Ellington Airport</t>
  </si>
  <si>
    <t xml:space="preserve">LUG</t>
  </si>
  <si>
    <t xml:space="preserve">Lewisburg</t>
  </si>
  <si>
    <t xml:space="preserve">Marshall</t>
  </si>
  <si>
    <t xml:space="preserve">Markings, Type:</t>
  </si>
  <si>
    <t xml:space="preserve">Everett-Stewart Airport</t>
  </si>
  <si>
    <t xml:space="preserve">UCY</t>
  </si>
  <si>
    <t xml:space="preserve">Union City</t>
  </si>
  <si>
    <t xml:space="preserve">Obion</t>
  </si>
  <si>
    <t xml:space="preserve">Fayette County Airport</t>
  </si>
  <si>
    <t xml:space="preserve">FYE</t>
  </si>
  <si>
    <t xml:space="preserve">Somerville</t>
  </si>
  <si>
    <t xml:space="preserve">Fayette</t>
  </si>
  <si>
    <t xml:space="preserve">Fayetteville Municipal Airport</t>
  </si>
  <si>
    <t xml:space="preserve">FYM</t>
  </si>
  <si>
    <t xml:space="preserve">Fayetteville</t>
  </si>
  <si>
    <t xml:space="preserve">Lincoln</t>
  </si>
  <si>
    <t xml:space="preserve">LCCA Parameters:</t>
  </si>
  <si>
    <t xml:space="preserve">Franklin County Airport</t>
  </si>
  <si>
    <t xml:space="preserve">UOS</t>
  </si>
  <si>
    <t xml:space="preserve">Sewanee</t>
  </si>
  <si>
    <t xml:space="preserve">Franklin</t>
  </si>
  <si>
    <t xml:space="preserve">Analysis Period, years:</t>
  </si>
  <si>
    <t xml:space="preserve">Gatlinburg-Pigeon Forge Airport</t>
  </si>
  <si>
    <t xml:space="preserve">GKT</t>
  </si>
  <si>
    <t xml:space="preserve">Sevierville</t>
  </si>
  <si>
    <t xml:space="preserve">Sevier</t>
  </si>
  <si>
    <t xml:space="preserve">Discount Rate, percent:</t>
  </si>
  <si>
    <t xml:space="preserve">General Dewitt Spain Airport</t>
  </si>
  <si>
    <t xml:space="preserve">M01</t>
  </si>
  <si>
    <t xml:space="preserve">Memphis</t>
  </si>
  <si>
    <t xml:space="preserve">Salvage Value, $:</t>
  </si>
  <si>
    <t xml:space="preserve">Remaining service life at end of analysis period (as percent of cost)</t>
  </si>
  <si>
    <t xml:space="preserve">Gibson County Airport</t>
  </si>
  <si>
    <t xml:space="preserve">TGC</t>
  </si>
  <si>
    <t xml:space="preserve">Trenton</t>
  </si>
  <si>
    <t xml:space="preserve">Gibson</t>
  </si>
  <si>
    <t xml:space="preserve">Mobilization, percent:</t>
  </si>
  <si>
    <t xml:space="preserve">Greeneville-Green County Municipal Airport</t>
  </si>
  <si>
    <t xml:space="preserve">GCY</t>
  </si>
  <si>
    <t xml:space="preserve">Greeneville</t>
  </si>
  <si>
    <t xml:space="preserve">Greene</t>
  </si>
  <si>
    <t xml:space="preserve">Engineering, percent:</t>
  </si>
  <si>
    <t xml:space="preserve">Hassell-Carroll Field</t>
  </si>
  <si>
    <t xml:space="preserve">M29</t>
  </si>
  <si>
    <t xml:space="preserve">Clifton</t>
  </si>
  <si>
    <t xml:space="preserve">Wayne</t>
  </si>
  <si>
    <t xml:space="preserve">Account Indirect Cost (Yes/No)</t>
  </si>
  <si>
    <t xml:space="preserve">Yes</t>
  </si>
  <si>
    <t xml:space="preserve">Hawkins County Airport</t>
  </si>
  <si>
    <t xml:space="preserve">RVN</t>
  </si>
  <si>
    <t xml:space="preserve">Rogersville</t>
  </si>
  <si>
    <t xml:space="preserve">Hawkins</t>
  </si>
  <si>
    <t xml:space="preserve">Airport Daily Revenue</t>
  </si>
  <si>
    <t xml:space="preserve">Henry County Airport</t>
  </si>
  <si>
    <t xml:space="preserve">PHT</t>
  </si>
  <si>
    <t xml:space="preserve">Paris</t>
  </si>
  <si>
    <t xml:space="preserve">Henry</t>
  </si>
  <si>
    <t xml:space="preserve">Houston County Airport</t>
  </si>
  <si>
    <t xml:space="preserve">M93</t>
  </si>
  <si>
    <t xml:space="preserve">McKinnon</t>
  </si>
  <si>
    <t xml:space="preserve">Houston</t>
  </si>
  <si>
    <t xml:space="preserve">Alternative Setup:</t>
  </si>
  <si>
    <t xml:space="preserve">Humboldt Municipal Airport</t>
  </si>
  <si>
    <t xml:space="preserve">M53</t>
  </si>
  <si>
    <t xml:space="preserve">Humboldt</t>
  </si>
  <si>
    <t xml:space="preserve">Humphreys County Airport</t>
  </si>
  <si>
    <t xml:space="preserve">0M5</t>
  </si>
  <si>
    <t xml:space="preserve">Waverly</t>
  </si>
  <si>
    <t xml:space="preserve">Humphreys</t>
  </si>
  <si>
    <t xml:space="preserve">Jackson County Airport</t>
  </si>
  <si>
    <t xml:space="preserve">1A7</t>
  </si>
  <si>
    <t xml:space="preserve">Gainesboro</t>
  </si>
  <si>
    <t xml:space="preserve">Jackson</t>
  </si>
  <si>
    <t xml:space="preserve">LCCA Summary:</t>
  </si>
  <si>
    <t xml:space="preserve">James Tucker-Perry County Airport</t>
  </si>
  <si>
    <t xml:space="preserve">M15</t>
  </si>
  <si>
    <t xml:space="preserve">Linden</t>
  </si>
  <si>
    <t xml:space="preserve">Perry</t>
  </si>
  <si>
    <t xml:space="preserve">Jamestown Municipal Airport</t>
  </si>
  <si>
    <t xml:space="preserve">2A1</t>
  </si>
  <si>
    <t xml:space="preserve">Jamestown</t>
  </si>
  <si>
    <t xml:space="preserve">Fentress</t>
  </si>
  <si>
    <t xml:space="preserve">John A. Baker Field</t>
  </si>
  <si>
    <t xml:space="preserve">0M3</t>
  </si>
  <si>
    <t xml:space="preserve">Hohenwald</t>
  </si>
  <si>
    <t xml:space="preserve">Lewis</t>
  </si>
  <si>
    <t xml:space="preserve">John C. Tune Airport</t>
  </si>
  <si>
    <t xml:space="preserve">JWN</t>
  </si>
  <si>
    <t xml:space="preserve">Nashville</t>
  </si>
  <si>
    <t xml:space="preserve">Davidson</t>
  </si>
  <si>
    <t xml:space="preserve">Johnson City Airport</t>
  </si>
  <si>
    <t xml:space="preserve">0A4</t>
  </si>
  <si>
    <t xml:space="preserve">Johnson City</t>
  </si>
  <si>
    <t xml:space="preserve">Washington</t>
  </si>
  <si>
    <t xml:space="preserve">Johnson County Airport</t>
  </si>
  <si>
    <t xml:space="preserve">6A4</t>
  </si>
  <si>
    <t xml:space="preserve">Mountain City</t>
  </si>
  <si>
    <t xml:space="preserve">Johnson</t>
  </si>
  <si>
    <t xml:space="preserve">Knoxville Downtown Island Airport</t>
  </si>
  <si>
    <t xml:space="preserve">DKX</t>
  </si>
  <si>
    <t xml:space="preserve">Knoxville</t>
  </si>
  <si>
    <t xml:space="preserve">Knox</t>
  </si>
  <si>
    <t xml:space="preserve">Lafayette Municipal Airport</t>
  </si>
  <si>
    <t xml:space="preserve">3M7</t>
  </si>
  <si>
    <t xml:space="preserve">Lafayette</t>
  </si>
  <si>
    <t xml:space="preserve">Macon</t>
  </si>
  <si>
    <t xml:space="preserve">Lawrenceburg-Lawrence County Airport</t>
  </si>
  <si>
    <t xml:space="preserve">2M2</t>
  </si>
  <si>
    <t xml:space="preserve">Lawrenceburg</t>
  </si>
  <si>
    <t xml:space="preserve">Lawrence</t>
  </si>
  <si>
    <t xml:space="preserve">Lebanon Municipal Airport</t>
  </si>
  <si>
    <t xml:space="preserve">M54</t>
  </si>
  <si>
    <t xml:space="preserve">Lebanon</t>
  </si>
  <si>
    <t xml:space="preserve">Wilson</t>
  </si>
  <si>
    <t xml:space="preserve">Livingston Municipal Airport</t>
  </si>
  <si>
    <t xml:space="preserve">8A3</t>
  </si>
  <si>
    <t xml:space="preserve">Livingston</t>
  </si>
  <si>
    <t xml:space="preserve">Overton</t>
  </si>
  <si>
    <t xml:space="preserve">Lovell Field</t>
  </si>
  <si>
    <t xml:space="preserve">CHA</t>
  </si>
  <si>
    <t xml:space="preserve">Marion County Airport-Brown Field</t>
  </si>
  <si>
    <t xml:space="preserve">APT</t>
  </si>
  <si>
    <t xml:space="preserve">Jasper</t>
  </si>
  <si>
    <t xml:space="preserve">Marion</t>
  </si>
  <si>
    <t xml:space="preserve">Mark Anton Airport</t>
  </si>
  <si>
    <t xml:space="preserve">2A0</t>
  </si>
  <si>
    <t xml:space="preserve">Dayton</t>
  </si>
  <si>
    <t xml:space="preserve">Rhea</t>
  </si>
  <si>
    <t xml:space="preserve">Martin Campbell Field</t>
  </si>
  <si>
    <t xml:space="preserve">1A3</t>
  </si>
  <si>
    <t xml:space="preserve">Copperhill</t>
  </si>
  <si>
    <t xml:space="preserve">Maury County Airport</t>
  </si>
  <si>
    <t xml:space="preserve">MRC</t>
  </si>
  <si>
    <t xml:space="preserve">Columbia</t>
  </si>
  <si>
    <t xml:space="preserve">Maury</t>
  </si>
  <si>
    <t xml:space="preserve">McGhee Tyson Airport</t>
  </si>
  <si>
    <t xml:space="preserve">TYS</t>
  </si>
  <si>
    <t xml:space="preserve">Blount</t>
  </si>
  <si>
    <t xml:space="preserve">McKellar-Sipes Regional Airport</t>
  </si>
  <si>
    <t xml:space="preserve">MKL</t>
  </si>
  <si>
    <t xml:space="preserve">Madison</t>
  </si>
  <si>
    <t xml:space="preserve">McMinn County Airport</t>
  </si>
  <si>
    <t xml:space="preserve">MMI</t>
  </si>
  <si>
    <t xml:space="preserve">Athens</t>
  </si>
  <si>
    <t xml:space="preserve">Mcminn</t>
  </si>
  <si>
    <t xml:space="preserve">Memphis International Airport</t>
  </si>
  <si>
    <t xml:space="preserve">MEM</t>
  </si>
  <si>
    <t xml:space="preserve">Millington Regional Jetport</t>
  </si>
  <si>
    <t xml:space="preserve">NQA</t>
  </si>
  <si>
    <t xml:space="preserve">Monroe County Airport</t>
  </si>
  <si>
    <t xml:space="preserve">MNV</t>
  </si>
  <si>
    <t xml:space="preserve">Madisonville</t>
  </si>
  <si>
    <t xml:space="preserve">Monroe</t>
  </si>
  <si>
    <t xml:space="preserve">Moore-Murrell Field</t>
  </si>
  <si>
    <t xml:space="preserve">MOR</t>
  </si>
  <si>
    <t xml:space="preserve">Morristown</t>
  </si>
  <si>
    <t xml:space="preserve">Hamblen</t>
  </si>
  <si>
    <t xml:space="preserve">Murfreesboro Municipal Airport</t>
  </si>
  <si>
    <t xml:space="preserve">MBT</t>
  </si>
  <si>
    <t xml:space="preserve">Murfreesboro</t>
  </si>
  <si>
    <t xml:space="preserve">Rutherford</t>
  </si>
  <si>
    <t xml:space="preserve">Music City Executive Airport</t>
  </si>
  <si>
    <t xml:space="preserve">XNX</t>
  </si>
  <si>
    <t xml:space="preserve">Gallatin</t>
  </si>
  <si>
    <t xml:space="preserve">Sumner</t>
  </si>
  <si>
    <t xml:space="preserve">Nashville International Airport</t>
  </si>
  <si>
    <t xml:space="preserve">BNA</t>
  </si>
  <si>
    <t xml:space="preserve">New Tazewell Municipal Airport</t>
  </si>
  <si>
    <t xml:space="preserve">3A2</t>
  </si>
  <si>
    <t xml:space="preserve">Tazewell</t>
  </si>
  <si>
    <t xml:space="preserve">Claiborne</t>
  </si>
  <si>
    <t xml:space="preserve">CKV</t>
  </si>
  <si>
    <t xml:space="preserve">Clarksville</t>
  </si>
  <si>
    <t xml:space="preserve">Montgomery</t>
  </si>
  <si>
    <t xml:space="preserve">Portland Municipal Airport</t>
  </si>
  <si>
    <t xml:space="preserve">1M5</t>
  </si>
  <si>
    <t xml:space="preserve">Portland</t>
  </si>
  <si>
    <t xml:space="preserve">Puckett Airport</t>
  </si>
  <si>
    <t xml:space="preserve">50M</t>
  </si>
  <si>
    <t xml:space="preserve">Eagleville</t>
  </si>
  <si>
    <t xml:space="preserve">Reelfoot Lake Airport</t>
  </si>
  <si>
    <t xml:space="preserve">0M2</t>
  </si>
  <si>
    <t xml:space="preserve">Tiptonville</t>
  </si>
  <si>
    <t xml:space="preserve">Lake</t>
  </si>
  <si>
    <t xml:space="preserve">Robert Sibley Airport</t>
  </si>
  <si>
    <t xml:space="preserve">SZY</t>
  </si>
  <si>
    <t xml:space="preserve">Selmer</t>
  </si>
  <si>
    <t xml:space="preserve">Mcnairy</t>
  </si>
  <si>
    <t xml:space="preserve">Rockwood Municipal Airport</t>
  </si>
  <si>
    <t xml:space="preserve">RKW</t>
  </si>
  <si>
    <t xml:space="preserve">Rockwood</t>
  </si>
  <si>
    <t xml:space="preserve">Morgan</t>
  </si>
  <si>
    <t xml:space="preserve">Savannah-Hardin County Airport</t>
  </si>
  <si>
    <t xml:space="preserve">SNH</t>
  </si>
  <si>
    <t xml:space="preserve">Savannah</t>
  </si>
  <si>
    <t xml:space="preserve">Hardin</t>
  </si>
  <si>
    <t xml:space="preserve">Scott Municipal Airport</t>
  </si>
  <si>
    <t xml:space="preserve">SCX</t>
  </si>
  <si>
    <t xml:space="preserve">Oneida</t>
  </si>
  <si>
    <t xml:space="preserve">Scott</t>
  </si>
  <si>
    <t xml:space="preserve">Smithville Municipal Airport</t>
  </si>
  <si>
    <t xml:space="preserve">0A3</t>
  </si>
  <si>
    <t xml:space="preserve">Smithville</t>
  </si>
  <si>
    <t xml:space="preserve">Dekalb</t>
  </si>
  <si>
    <t xml:space="preserve">Smyrna Airport</t>
  </si>
  <si>
    <t xml:space="preserve">MQY</t>
  </si>
  <si>
    <t xml:space="preserve">Smyrna</t>
  </si>
  <si>
    <t xml:space="preserve">Springfield-Robertson County Airport</t>
  </si>
  <si>
    <t xml:space="preserve">M91</t>
  </si>
  <si>
    <t xml:space="preserve">Springfield</t>
  </si>
  <si>
    <t xml:space="preserve">Robertson</t>
  </si>
  <si>
    <t xml:space="preserve">Tri-Cities Airport</t>
  </si>
  <si>
    <t xml:space="preserve">TRI</t>
  </si>
  <si>
    <t xml:space="preserve">Bristol/Johnson/Kingsport</t>
  </si>
  <si>
    <t xml:space="preserve">Sullivan</t>
  </si>
  <si>
    <t xml:space="preserve">Tullahoma Regional Airport/Northern Field</t>
  </si>
  <si>
    <t xml:space="preserve">THA</t>
  </si>
  <si>
    <t xml:space="preserve">Tullahoma</t>
  </si>
  <si>
    <t xml:space="preserve">Coffee</t>
  </si>
  <si>
    <t xml:space="preserve">Upper Cumberland Regional Airport</t>
  </si>
  <si>
    <t xml:space="preserve">SRB</t>
  </si>
  <si>
    <t xml:space="preserve">Sparta</t>
  </si>
  <si>
    <t xml:space="preserve">White</t>
  </si>
  <si>
    <t xml:space="preserve">Warren County Memorial Airport</t>
  </si>
  <si>
    <t xml:space="preserve">RNC</t>
  </si>
  <si>
    <t xml:space="preserve">McMinnville</t>
  </si>
  <si>
    <t xml:space="preserve">Warren</t>
  </si>
  <si>
    <t xml:space="preserve">William L. Whitehurst Field</t>
  </si>
  <si>
    <t xml:space="preserve">M08</t>
  </si>
  <si>
    <t xml:space="preserve">Bolivar</t>
  </si>
  <si>
    <t xml:space="preserve">Hardeman</t>
  </si>
  <si>
    <t xml:space="preserve">Winchester Municipal Airport</t>
  </si>
  <si>
    <t xml:space="preserve">BGF</t>
  </si>
  <si>
    <t xml:space="preserve">Winchester</t>
  </si>
  <si>
    <t xml:space="preserve">Wolf River</t>
  </si>
  <si>
    <t xml:space="preserve">54M</t>
  </si>
  <si>
    <t xml:space="preserve">Rossville</t>
  </si>
  <si>
    <t xml:space="preserve">Average Pay Item Unit Cost</t>
  </si>
  <si>
    <t xml:space="preserve">Division</t>
  </si>
  <si>
    <t xml:space="preserve">Division Type</t>
  </si>
  <si>
    <t xml:space="preserve">Pay Item No.</t>
  </si>
  <si>
    <t xml:space="preserve">Pay Item Description</t>
  </si>
  <si>
    <t xml:space="preserve">Units</t>
  </si>
  <si>
    <t xml:space="preserve">Default</t>
  </si>
  <si>
    <t xml:space="preserve">Part 3 – Sitework</t>
  </si>
  <si>
    <t xml:space="preserve">Sitework</t>
  </si>
  <si>
    <t xml:space="preserve">P-101-5.1a</t>
  </si>
  <si>
    <t xml:space="preserve">Pavement Removal, Asphalt</t>
  </si>
  <si>
    <t xml:space="preserve">Thickness adjustment or multiple</t>
  </si>
  <si>
    <t xml:space="preserve">P-101-5.1b</t>
  </si>
  <si>
    <t xml:space="preserve">Pavement Removal, Concrete</t>
  </si>
  <si>
    <t xml:space="preserve">P-101-5.2a</t>
  </si>
  <si>
    <t xml:space="preserve">Crack Repair (Type I), Asphalt</t>
  </si>
  <si>
    <t xml:space="preserve">L.F.</t>
  </si>
  <si>
    <t xml:space="preserve">P-101-5.2b</t>
  </si>
  <si>
    <t xml:space="preserve">Crack Repair (Type II), Asphalt</t>
  </si>
  <si>
    <t xml:space="preserve">P-101-5.2c</t>
  </si>
  <si>
    <t xml:space="preserve">Crack Seal, Concrete</t>
  </si>
  <si>
    <t xml:space="preserve">P-101-5.2d</t>
  </si>
  <si>
    <t xml:space="preserve">Crack Repair, Concrete</t>
  </si>
  <si>
    <t xml:space="preserve">P-101-5.3</t>
  </si>
  <si>
    <t xml:space="preserve">Markings Removal</t>
  </si>
  <si>
    <t xml:space="preserve">P-101-5.4a</t>
  </si>
  <si>
    <t xml:space="preserve">Spall Repair, Asphalt</t>
  </si>
  <si>
    <t xml:space="preserve">P-101-5.4b</t>
  </si>
  <si>
    <t xml:space="preserve">Full-Depth Repair, Asphalt</t>
  </si>
  <si>
    <t xml:space="preserve">Assumed Section: 4-inch HMA; 4-inch P-209</t>
  </si>
  <si>
    <t xml:space="preserve">P-101-5.5a</t>
  </si>
  <si>
    <t xml:space="preserve">Spall Repair, Concrete</t>
  </si>
  <si>
    <t xml:space="preserve">P-101-5.5b</t>
  </si>
  <si>
    <t xml:space="preserve">Full-Depth Repair, Concrete</t>
  </si>
  <si>
    <t xml:space="preserve">P-101-5.5c</t>
  </si>
  <si>
    <t xml:space="preserve">Slab Replacement, Concrete</t>
  </si>
  <si>
    <t xml:space="preserve">P-101-5.6</t>
  </si>
  <si>
    <t xml:space="preserve">Cold Milling</t>
  </si>
  <si>
    <t xml:space="preserve">P-152-4.1</t>
  </si>
  <si>
    <t xml:space="preserve">Unclassified Excavation</t>
  </si>
  <si>
    <t xml:space="preserve">C.Y.</t>
  </si>
  <si>
    <t xml:space="preserve">P-152-4.2</t>
  </si>
  <si>
    <t xml:space="preserve">Embankment In-Place</t>
  </si>
  <si>
    <t xml:space="preserve">P-154-5.1</t>
  </si>
  <si>
    <t xml:space="preserve">Subbase Course</t>
  </si>
  <si>
    <t xml:space="preserve">P-154-5.2</t>
  </si>
  <si>
    <t xml:space="preserve">Separation Geotextile (P-154)</t>
  </si>
  <si>
    <t xml:space="preserve">P-155-8.1</t>
  </si>
  <si>
    <t xml:space="preserve">Lime Treated subgrade</t>
  </si>
  <si>
    <t xml:space="preserve">P-156-8.1</t>
  </si>
  <si>
    <t xml:space="preserve">Cement-Treated Subgrade</t>
  </si>
  <si>
    <t xml:space="preserve">P-157-8.1a</t>
  </si>
  <si>
    <t xml:space="preserve">Cement Kiln Dust-Treated Subgrade</t>
  </si>
  <si>
    <t xml:space="preserve">P-157-8.1b</t>
  </si>
  <si>
    <t xml:space="preserve">Lime Kiln Dust-Treated Subgrade</t>
  </si>
  <si>
    <t xml:space="preserve">P-158-8.1</t>
  </si>
  <si>
    <t xml:space="preserve">Fly Ash-Treated Subgrade</t>
  </si>
  <si>
    <t xml:space="preserve">Part 4 – Base Courses</t>
  </si>
  <si>
    <t xml:space="preserve">Base Course</t>
  </si>
  <si>
    <t xml:space="preserve">P-207-5.1</t>
  </si>
  <si>
    <t xml:space="preserve">In-Place Full Depth Reclamation (FDR) Recycled Asphalt Aggregate Base Course</t>
  </si>
  <si>
    <t xml:space="preserve">P-208-5.1</t>
  </si>
  <si>
    <t xml:space="preserve">Aggregate Base Course</t>
  </si>
  <si>
    <t xml:space="preserve">P-208-5.2</t>
  </si>
  <si>
    <t xml:space="preserve">Separation Geotextile (P-208)</t>
  </si>
  <si>
    <t xml:space="preserve">P-209-5.1</t>
  </si>
  <si>
    <t xml:space="preserve">Crushed Aggregate Base Course</t>
  </si>
  <si>
    <t xml:space="preserve">P-209-5.2</t>
  </si>
  <si>
    <t xml:space="preserve">Separation Geotextile (P-209)</t>
  </si>
  <si>
    <t xml:space="preserve">P-219-5.1</t>
  </si>
  <si>
    <t xml:space="preserve">Recycled Concrete Aggregate Base Course</t>
  </si>
  <si>
    <t xml:space="preserve">P-219-5.2</t>
  </si>
  <si>
    <t xml:space="preserve">Separation Geotextile (P-219)</t>
  </si>
  <si>
    <t xml:space="preserve">P-220-6.1</t>
  </si>
  <si>
    <t xml:space="preserve">Cement-Treated Soil Base Course</t>
  </si>
  <si>
    <t xml:space="preserve">Part 5 – Stabilized Base Courses</t>
  </si>
  <si>
    <t xml:space="preserve">Stabilized Base Course</t>
  </si>
  <si>
    <t xml:space="preserve">P-304-8.1</t>
  </si>
  <si>
    <t xml:space="preserve">Cement-Treated Base Course</t>
  </si>
  <si>
    <t xml:space="preserve">If S.Y., then thickness adjustment</t>
  </si>
  <si>
    <t xml:space="preserve">P-306-8.1</t>
  </si>
  <si>
    <t xml:space="preserve">Lean Concrete Base Course</t>
  </si>
  <si>
    <t xml:space="preserve">P-307-7.1</t>
  </si>
  <si>
    <t xml:space="preserve">Cement-Treated Permeable Base Course (CTPB)</t>
  </si>
  <si>
    <t xml:space="preserve">Part 6 – Flexible Pavements</t>
  </si>
  <si>
    <t xml:space="preserve">Flexible Pavement</t>
  </si>
  <si>
    <t xml:space="preserve">P-401-8.1a</t>
  </si>
  <si>
    <t xml:space="preserve">Asphalt Surface Course</t>
  </si>
  <si>
    <t xml:space="preserve">TON</t>
  </si>
  <si>
    <t xml:space="preserve">P-401-8.1b</t>
  </si>
  <si>
    <t xml:space="preserve">Asphalt Base Course</t>
  </si>
  <si>
    <t xml:space="preserve">P-401-8.1c</t>
  </si>
  <si>
    <t xml:space="preserve">Asphalt Leveling Course</t>
  </si>
  <si>
    <t xml:space="preserve">P-403-8.1a</t>
  </si>
  <si>
    <t xml:space="preserve">Asphalt Mixture Surface Course</t>
  </si>
  <si>
    <t xml:space="preserve">P-403-8.1b</t>
  </si>
  <si>
    <t xml:space="preserve">Asphalt Mixture Base Course</t>
  </si>
  <si>
    <t xml:space="preserve">P-403-8.1c</t>
  </si>
  <si>
    <t xml:space="preserve">Asphalt Mixture Leveling Course</t>
  </si>
  <si>
    <t xml:space="preserve">P-407-X.1</t>
  </si>
  <si>
    <t xml:space="preserve">Asphalt-Treated Permeable Base Course (ATPB)</t>
  </si>
  <si>
    <t xml:space="preserve">Part 7 – Rigid Pavement</t>
  </si>
  <si>
    <t xml:space="preserve">Cement Concrete</t>
  </si>
  <si>
    <t xml:space="preserve">P-501-8.1a</t>
  </si>
  <si>
    <t xml:space="preserve">Concrete Pavement, 5-inch</t>
  </si>
  <si>
    <t xml:space="preserve">P-501-8.1b</t>
  </si>
  <si>
    <t xml:space="preserve">Concrete Pavement, 6-inch</t>
  </si>
  <si>
    <t xml:space="preserve">P-501-8.1c</t>
  </si>
  <si>
    <t xml:space="preserve">Concrete Pavement, 9-inch</t>
  </si>
  <si>
    <t xml:space="preserve">P-501-8.1d</t>
  </si>
  <si>
    <t xml:space="preserve">Concrete Pavement, 11-inch</t>
  </si>
  <si>
    <t xml:space="preserve">Part 8 – Surface Treatments</t>
  </si>
  <si>
    <t xml:space="preserve">Surface Treatment</t>
  </si>
  <si>
    <t xml:space="preserve">P-608-8.1</t>
  </si>
  <si>
    <t xml:space="preserve">Emulsified Asphalt Surface Treatment</t>
  </si>
  <si>
    <t xml:space="preserve">P-623-8.1</t>
  </si>
  <si>
    <t xml:space="preserve">Emulsified Asphalt Spray Seal Coat</t>
  </si>
  <si>
    <t xml:space="preserve">P-626-6.1</t>
  </si>
  <si>
    <t xml:space="preserve">Emulsified Asphalt Slurry Seal Surface Treatment</t>
  </si>
  <si>
    <t xml:space="preserve">P-629-8.1</t>
  </si>
  <si>
    <t xml:space="preserve">Thermoplastic Coal Tar Emulsion Surface Treatment</t>
  </si>
  <si>
    <t xml:space="preserve">P-630-7.1a</t>
  </si>
  <si>
    <t xml:space="preserve">Refined Coal Tar Emulsion Without Additives, Slurry Seal Surface Treatment</t>
  </si>
  <si>
    <t xml:space="preserve">P-631-7.1b</t>
  </si>
  <si>
    <t xml:space="preserve">Refined Coal Tar Emulsion With Additives, Slurry Seal Surface Treatment</t>
  </si>
  <si>
    <t xml:space="preserve">Part 9 – Miscellaneous</t>
  </si>
  <si>
    <t xml:space="preserve">Tack Coat</t>
  </si>
  <si>
    <t xml:space="preserve">P-603-5.1</t>
  </si>
  <si>
    <t xml:space="preserve">Emulsified Asphalt Tack Coat</t>
  </si>
  <si>
    <t xml:space="preserve">GAL</t>
  </si>
  <si>
    <t xml:space="preserve">Assume 0.1 gal/SY for mill and overlay</t>
  </si>
  <si>
    <t xml:space="preserve">Joint Sealant</t>
  </si>
  <si>
    <t xml:space="preserve">P-605-5.1a</t>
  </si>
  <si>
    <t xml:space="preserve">Joint Clean and Reseal, Concrete</t>
  </si>
  <si>
    <t xml:space="preserve">Assume 12.5x12.5 slabs for these GA pavements</t>
  </si>
  <si>
    <t xml:space="preserve">Marking</t>
  </si>
  <si>
    <t xml:space="preserve">P-620-5.1a</t>
  </si>
  <si>
    <t xml:space="preserve">Markings (prep, markings, reflective media)</t>
  </si>
  <si>
    <t xml:space="preserve">P-620-5.1b</t>
  </si>
  <si>
    <t xml:space="preserve">Markings (prep, markings, non-reflective media)</t>
  </si>
  <si>
    <t xml:space="preserve">Grooving</t>
  </si>
  <si>
    <t xml:space="preserve">P-621-5.1A</t>
  </si>
  <si>
    <t xml:space="preserve">Grooving, Asphalt</t>
  </si>
  <si>
    <t xml:space="preserve">P-621-5.1B</t>
  </si>
  <si>
    <t xml:space="preserve">Grooving, Concrete</t>
  </si>
  <si>
    <t xml:space="preserve">Alternative List</t>
  </si>
  <si>
    <t xml:space="preserve">Type</t>
  </si>
  <si>
    <t xml:space="preserve">Alt Worksheet Name</t>
  </si>
  <si>
    <t xml:space="preserve">Alternative 1</t>
  </si>
  <si>
    <t xml:space="preserve">HMA-New</t>
  </si>
  <si>
    <t xml:space="preserve">New HMA</t>
  </si>
  <si>
    <t xml:space="preserve">Alt 1 (New HMA)</t>
  </si>
  <si>
    <t xml:space="preserve">Alternative 2</t>
  </si>
  <si>
    <t xml:space="preserve">PCC-New</t>
  </si>
  <si>
    <t xml:space="preserve">Alt 2 (New PCC)</t>
  </si>
  <si>
    <t xml:space="preserve">Table 1. New HMA maintenance policies.</t>
  </si>
  <si>
    <t xml:space="preserve">Asphalt Maintenance</t>
  </si>
  <si>
    <t xml:space="preserve">Maintenance Item</t>
  </si>
  <si>
    <t xml:space="preserve">Rate</t>
  </si>
  <si>
    <t xml:space="preserve">Surface treatment, SYD</t>
  </si>
  <si>
    <t xml:space="preserve">Paint markings, SFT</t>
  </si>
  <si>
    <t xml:space="preserve">Maintenance 2</t>
  </si>
  <si>
    <t xml:space="preserve">Maintenance 3</t>
  </si>
  <si>
    <t xml:space="preserve">Patching: 0.75% of area</t>
  </si>
  <si>
    <t xml:space="preserve">Crack sealing: 3.25% of area as linear feet</t>
  </si>
  <si>
    <t xml:space="preserve">Surface treatment: 100% of area</t>
  </si>
  <si>
    <t xml:space="preserve">Paint markings: 100% of markings</t>
  </si>
  <si>
    <t xml:space="preserve">Maintenance 4</t>
  </si>
  <si>
    <t xml:space="preserve">Patching: 1.00% of area</t>
  </si>
  <si>
    <t xml:space="preserve">Crack sealing: 3.50% of area as linear feet</t>
  </si>
  <si>
    <t xml:space="preserve">Mill and overlay: 4-inch cold mill, tack coat, and asphalt overlay</t>
  </si>
  <si>
    <t xml:space="preserve">Pre-overlay crack repair: 1.5% of area as linear feet</t>
  </si>
  <si>
    <t xml:space="preserve">Pre-overlay patching: 0.5% of area</t>
  </si>
  <si>
    <t xml:space="preserve">Maintenance 5</t>
  </si>
  <si>
    <t xml:space="preserve">Maintenance 6</t>
  </si>
  <si>
    <t xml:space="preserve">Patching: 1.25% of area</t>
  </si>
  <si>
    <t xml:space="preserve">Crack sealing: 4.0% of area as linear feet</t>
  </si>
  <si>
    <t xml:space="preserve">Salvage value: 2 years (0.125) of mill and overlay</t>
  </si>
  <si>
    <t xml:space="preserve">Table 2. New PCC maintenance policies.</t>
  </si>
  <si>
    <t xml:space="preserve">Concrete Maintenance</t>
  </si>
  <si>
    <t xml:space="preserve">Joint resealing: 100% of joints</t>
  </si>
  <si>
    <t xml:space="preserve">Crack sealing: 0.25% of area as linear feet </t>
  </si>
  <si>
    <t xml:space="preserve">Partial-depth patching: 0.13% of area</t>
  </si>
  <si>
    <t xml:space="preserve">Full-depth patching: 0.30% of area</t>
  </si>
  <si>
    <t xml:space="preserve">Slab replacements: 2% of area</t>
  </si>
  <si>
    <t xml:space="preserve">Crack sealing: 0.30% of area as linear feet</t>
  </si>
  <si>
    <t xml:space="preserve">Joint sealing: 100% of joints</t>
  </si>
  <si>
    <t xml:space="preserve">Salvage value: 10 years (0.25) of initial construction</t>
  </si>
  <si>
    <t xml:space="preserve">Table 3. First HMA Overlay maintenance policies.</t>
  </si>
  <si>
    <t xml:space="preserve">Rehabilitation 2</t>
  </si>
  <si>
    <t xml:space="preserve">Pre-overlay crack repair: 2% of area as linear feet</t>
  </si>
  <si>
    <t xml:space="preserve">Pre-overlay patching: 1% of area</t>
  </si>
  <si>
    <t xml:space="preserve">Salvage value: Need for reconstruction (zero salvage)</t>
  </si>
  <si>
    <t xml:space="preserve">Table 4. PCC rehabilitation maintenance policies.</t>
  </si>
  <si>
    <t xml:space="preserve">Crack sealing: 0.35% of area as linear feet </t>
  </si>
  <si>
    <t xml:space="preserve">Partial-depth patching: 0.2% of area</t>
  </si>
  <si>
    <t xml:space="preserve">Slab replacements: 5% of area</t>
  </si>
  <si>
    <t xml:space="preserve">Partial-depth patching: 0.15% of area</t>
  </si>
  <si>
    <t xml:space="preserve">Average Daily Revenue:</t>
  </si>
  <si>
    <t xml:space="preserve">Maintenance 2 Duration (Days)</t>
  </si>
  <si>
    <t xml:space="preserve">Maintenance 3 Duration (Days)</t>
  </si>
  <si>
    <t xml:space="preserve">Mill and overlay:</t>
  </si>
  <si>
    <t xml:space="preserve">inches</t>
  </si>
  <si>
    <t xml:space="preserve">Asphalt Surface Treatment Type:</t>
  </si>
  <si>
    <t xml:space="preserve">Select alternative treatment, if planned.</t>
  </si>
  <si>
    <t xml:space="preserve">Maintenance 4 Duration (Days)</t>
  </si>
  <si>
    <t xml:space="preserve">Asphalt:</t>
  </si>
  <si>
    <t xml:space="preserve">lbs/SY-in</t>
  </si>
  <si>
    <t xml:space="preserve">Maintenance 5 Duration (Days)</t>
  </si>
  <si>
    <t xml:space="preserve">Tack Coat Application</t>
  </si>
  <si>
    <t xml:space="preserve">gal/S.Y.</t>
  </si>
  <si>
    <t xml:space="preserve">Maintenance 6 Duration (Days)</t>
  </si>
  <si>
    <t xml:space="preserve">HMA Reconstruction - Alternative 1</t>
  </si>
  <si>
    <t xml:space="preserve">Maintenance 2 Indirect Cost</t>
  </si>
  <si>
    <t xml:space="preserve">Maintenance 3 Indirect Cost</t>
  </si>
  <si>
    <t xml:space="preserve">Maintenance 4 Indirect Cost</t>
  </si>
  <si>
    <t xml:space="preserve">Maintenance 5 Indirect Cost</t>
  </si>
  <si>
    <t xml:space="preserve">Maintenance 6 Indirect Cost</t>
  </si>
  <si>
    <t xml:space="preserve">FAA ID</t>
  </si>
  <si>
    <t xml:space="preserve">100LL Fuel Sales</t>
  </si>
  <si>
    <t xml:space="preserve"> Jet-A Fuel Sales </t>
  </si>
  <si>
    <t xml:space="preserve">Transient Tie-downs</t>
  </si>
  <si>
    <t xml:space="preserve">Itinerant Hangar Storage</t>
  </si>
  <si>
    <t xml:space="preserve">Tenant Fuel Flowage Fee</t>
  </si>
  <si>
    <t xml:space="preserve">Business Tenant Revenue</t>
  </si>
  <si>
    <t xml:space="preserve">Other Revenue Sources</t>
  </si>
  <si>
    <t xml:space="preserve"> Office Rent, Enterprise Concessionaire, Interest </t>
  </si>
  <si>
    <t xml:space="preserve"> $-   </t>
  </si>
  <si>
    <t xml:space="preserve"> NA </t>
  </si>
  <si>
    <t xml:space="preserve"> 600 airport and 16,389 FBO </t>
  </si>
  <si>
    <t xml:space="preserve"> $175k for airport and FBO $260,000 </t>
  </si>
  <si>
    <t xml:space="preserve"> $0.08 flowage per gallon </t>
  </si>
  <si>
    <t xml:space="preserve"> $6 million FBO revenues. $50,000 revenue share with FBO </t>
  </si>
  <si>
    <t xml:space="preserve"> $5,000 utlities reimbursements </t>
  </si>
  <si>
    <t xml:space="preserve"> 3rd party has fuel contract…revenue captured in tenant flowage fee. </t>
  </si>
  <si>
    <t xml:space="preserve">Actual</t>
  </si>
  <si>
    <t xml:space="preserve">Discounted</t>
  </si>
  <si>
    <t xml:space="preserve">HMA mill and overlay</t>
  </si>
  <si>
    <t xml:space="preserve">HMA Mill and Overlay - Alternative 3</t>
  </si>
  <si>
    <t xml:space="preserve">Coming soon.</t>
  </si>
  <si>
    <t xml:space="preserve">I </t>
  </si>
  <si>
    <t xml:space="preserve">LCCA SUMMARY</t>
  </si>
  <si>
    <t xml:space="preserve">CHART DATA (calculated automatically from the table on the left; do not edit)</t>
  </si>
  <si>
    <t xml:space="preserve">Everything from this column onward calculates from the alternative worksheets and updates by itself. Columns A:E and "Chart 1" are written by the Alternative Setup form as before.</t>
  </si>
  <si>
    <t xml:space="preserve">Alternative</t>
  </si>
  <si>
    <t xml:space="preserve">Present Worth</t>
  </si>
  <si>
    <t xml:space="preserve">Alternative Description</t>
  </si>
  <si>
    <t xml:space="preserve">Worksheet</t>
  </si>
  <si>
    <t xml:space="preserve">Initial construction</t>
  </si>
  <si>
    <t xml:space="preserve">Maintenance PW</t>
  </si>
  <si>
    <t xml:space="preserve">Rehabilitation PW</t>
  </si>
  <si>
    <t xml:space="preserve">Lost revenue PW</t>
  </si>
  <si>
    <t xml:space="preserve">Salvage PW</t>
  </si>
  <si>
    <t xml:space="preserve">Net present worth</t>
  </si>
  <si>
    <t xml:space="preserve">vs. lowest NPW</t>
  </si>
  <si>
    <t xml:space="preserve">Closure days in period</t>
  </si>
  <si>
    <t xml:space="preserve">Runway availability</t>
  </si>
  <si>
    <t xml:space="preserve">Present worth by category</t>
  </si>
  <si>
    <t xml:space="preserve">Alt 1</t>
  </si>
  <si>
    <t xml:space="preserve">Category</t>
  </si>
  <si>
    <t xml:space="preserve">Alt 2</t>
  </si>
  <si>
    <t xml:space="preserve">Maintenance</t>
  </si>
  <si>
    <t xml:space="preserve">Rehabilitation</t>
  </si>
  <si>
    <t xml:space="preserve">Lost revenue</t>
  </si>
  <si>
    <t xml:space="preserve">Net present worth vs. discount rate</t>
  </si>
  <si>
    <t xml:space="preserve">Rate (%)</t>
  </si>
  <si>
    <t xml:space="preserve">CHARTS</t>
  </si>
  <si>
    <t xml:space="preserve">By calendar year: spend (undiscounted), cumulative discounted cost, closure days</t>
  </si>
  <si>
    <t xml:space="preserve">Calendar year</t>
  </si>
  <si>
    <t xml:space="preserve">How to read: 1 shows where each alternative's cost sits; 2 whether the lowest-cost alternative holds at other discount rates (FAA AIP uses 7%); 3 and 4 when the money is spent and when the higher first cost is paid back; 5 how often and how long the runway closes.</t>
  </si>
</sst>
</file>

<file path=xl/styles.xml><?xml version="1.0" encoding="utf-8"?>
<styleSheet xmlns="http://schemas.openxmlformats.org/spreadsheetml/2006/main">
  <numFmts count="15">
    <numFmt numFmtId="164" formatCode="General"/>
    <numFmt numFmtId="165" formatCode="_(\$* #,##0.00_);_(\$* \(#,##0.00\);_(\$* \-??_);_(@_)"/>
    <numFmt numFmtId="166" formatCode="0"/>
    <numFmt numFmtId="167" formatCode="General"/>
    <numFmt numFmtId="168" formatCode="#,##0"/>
    <numFmt numFmtId="169" formatCode="\$#,##0.00"/>
    <numFmt numFmtId="170" formatCode="\$#,##0"/>
    <numFmt numFmtId="171" formatCode="@"/>
    <numFmt numFmtId="172" formatCode="m/d/yyyy"/>
    <numFmt numFmtId="173" formatCode="0.0000"/>
    <numFmt numFmtId="174" formatCode="_(\$* #,##0_);_(\$* \(#,##0\);_(\$* \-??_);_(@_)"/>
    <numFmt numFmtId="175" formatCode="\$#,##0;&quot;($&quot;#,##0\);\-"/>
    <numFmt numFmtId="176" formatCode="0.00%"/>
    <numFmt numFmtId="177" formatCode="0.00\%"/>
    <numFmt numFmtId="178" formatCode="\$#,##0,,\M"/>
  </numFmts>
  <fonts count="3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Arial"/>
      <family val="2"/>
      <charset val="1"/>
    </font>
    <font>
      <b val="true"/>
      <sz val="10"/>
      <color theme="1"/>
      <name val="Arial"/>
      <family val="2"/>
      <charset val="1"/>
    </font>
    <font>
      <sz val="10"/>
      <name val="Arial"/>
      <family val="2"/>
      <charset val="1"/>
    </font>
    <font>
      <b val="true"/>
      <sz val="10"/>
      <color rgb="FF000000"/>
      <name val="Arial"/>
      <family val="2"/>
      <charset val="1"/>
    </font>
    <font>
      <sz val="10"/>
      <color rgb="FF000000"/>
      <name val="Arial"/>
      <family val="2"/>
      <charset val="1"/>
    </font>
    <font>
      <sz val="14"/>
      <color rgb="FF595959"/>
      <name val="Calibri"/>
      <family val="2"/>
    </font>
    <font>
      <sz val="9"/>
      <color rgb="FF595959"/>
      <name val="Calibri"/>
      <family val="2"/>
    </font>
    <font>
      <u val="single"/>
      <sz val="11"/>
      <color theme="10"/>
      <name val="Calibri"/>
      <family val="2"/>
      <charset val="1"/>
    </font>
    <font>
      <sz val="11"/>
      <color theme="1"/>
      <name val="Calibri"/>
      <family val="0"/>
    </font>
    <font>
      <i val="true"/>
      <sz val="11"/>
      <color theme="1"/>
      <name val="Calibri"/>
      <family val="0"/>
    </font>
    <font>
      <b val="true"/>
      <sz val="11"/>
      <color rgb="FFFF0000"/>
      <name val="Calibri"/>
      <family val="0"/>
    </font>
    <font>
      <sz val="12"/>
      <color theme="1"/>
      <name val="Calibri"/>
      <family val="0"/>
    </font>
    <font>
      <sz val="10"/>
      <color theme="0" tint="-0.5"/>
      <name val="Arial"/>
      <family val="2"/>
      <charset val="1"/>
    </font>
    <font>
      <b val="true"/>
      <sz val="10"/>
      <color rgb="FFFFFFFF"/>
      <name val="Arial"/>
      <family val="0"/>
      <charset val="1"/>
    </font>
    <font>
      <sz val="10"/>
      <name val="Arial"/>
      <family val="2"/>
    </font>
    <font>
      <sz val="9"/>
      <color rgb="FF000000"/>
      <name val="Tahoma"/>
      <family val="0"/>
      <charset val="1"/>
    </font>
    <font>
      <sz val="9"/>
      <color rgb="FF000000"/>
      <name val="Tahoma"/>
      <family val="2"/>
      <charset val="1"/>
    </font>
    <font>
      <sz val="10"/>
      <color rgb="FF000000"/>
      <name val="Arial"/>
      <family val="0"/>
    </font>
    <font>
      <b val="true"/>
      <sz val="11"/>
      <color theme="0"/>
      <name val="Calibri"/>
      <family val="2"/>
      <charset val="1"/>
    </font>
    <font>
      <b val="true"/>
      <sz val="12"/>
      <name val="Arial"/>
      <family val="0"/>
      <charset val="1"/>
    </font>
    <font>
      <b val="true"/>
      <sz val="10"/>
      <name val="Arial"/>
      <family val="0"/>
      <charset val="1"/>
    </font>
    <font>
      <i val="true"/>
      <sz val="9"/>
      <color rgb="FF595959"/>
      <name val="Arial"/>
      <family val="0"/>
      <charset val="1"/>
    </font>
    <font>
      <sz val="10"/>
      <name val="Arial"/>
      <family val="0"/>
      <charset val="1"/>
    </font>
    <font>
      <sz val="9"/>
      <color rgb="FF7F7F7F"/>
      <name val="Arial"/>
      <family val="0"/>
      <charset val="1"/>
    </font>
    <font>
      <b val="true"/>
      <sz val="18"/>
      <color rgb="FF000000"/>
      <name val="Calibri"/>
      <family val="2"/>
    </font>
    <font>
      <sz val="10"/>
      <color rgb="FF000000"/>
      <name val="Calibri"/>
      <family val="2"/>
    </font>
  </fonts>
  <fills count="12">
    <fill>
      <patternFill patternType="none"/>
    </fill>
    <fill>
      <patternFill patternType="gray125"/>
    </fill>
    <fill>
      <patternFill patternType="solid">
        <fgColor theme="4" tint="0.7999"/>
        <bgColor rgb="FFD9E1F2"/>
      </patternFill>
    </fill>
    <fill>
      <patternFill patternType="solid">
        <fgColor theme="0" tint="-0.15"/>
        <bgColor rgb="FFDCDCDC"/>
      </patternFill>
    </fill>
    <fill>
      <patternFill patternType="solid">
        <fgColor rgb="FF1D2733"/>
        <bgColor rgb="FF003366"/>
      </patternFill>
    </fill>
    <fill>
      <patternFill patternType="solid">
        <fgColor theme="0" tint="-0.25"/>
        <bgColor rgb="FFB8B6AE"/>
      </patternFill>
    </fill>
    <fill>
      <patternFill patternType="solid">
        <fgColor rgb="FFD9E1F2"/>
        <bgColor rgb="FFDAE3F3"/>
      </patternFill>
    </fill>
    <fill>
      <patternFill patternType="solid">
        <fgColor theme="4" tint="0.3999"/>
        <bgColor rgb="FF6DA7EC"/>
      </patternFill>
    </fill>
    <fill>
      <patternFill patternType="solid">
        <fgColor rgb="FFC00000"/>
        <bgColor rgb="FF9C0006"/>
      </patternFill>
    </fill>
    <fill>
      <patternFill patternType="solid">
        <fgColor rgb="FFFFFF00"/>
        <bgColor rgb="FFFFFF00"/>
      </patternFill>
    </fill>
    <fill>
      <patternFill patternType="solid">
        <fgColor rgb="FF2A78D6"/>
        <bgColor rgb="FF4472C4"/>
      </patternFill>
    </fill>
    <fill>
      <patternFill patternType="solid">
        <fgColor rgb="FFEAF2FB"/>
        <bgColor rgb="FFDAE3F3"/>
      </patternFill>
    </fill>
  </fills>
  <borders count="35">
    <border diagonalUp="false" diagonalDown="false">
      <left/>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double"/>
      <right style="thin"/>
      <top style="double"/>
      <bottom style="double"/>
      <diagonal/>
    </border>
    <border diagonalUp="false" diagonalDown="false">
      <left style="thin"/>
      <right style="thin"/>
      <top style="double"/>
      <bottom style="double"/>
      <diagonal/>
    </border>
    <border diagonalUp="false" diagonalDown="false">
      <left style="thin"/>
      <right style="double"/>
      <top style="double"/>
      <bottom style="double"/>
      <diagonal/>
    </border>
    <border diagonalUp="false" diagonalDown="false">
      <left style="double"/>
      <right style="thin"/>
      <top/>
      <bottom style="thin"/>
      <diagonal/>
    </border>
    <border diagonalUp="false" diagonalDown="false">
      <left style="thin"/>
      <right style="thin"/>
      <top/>
      <bottom style="thin"/>
      <diagonal/>
    </border>
    <border diagonalUp="false" diagonalDown="false">
      <left style="thin"/>
      <right style="double"/>
      <top/>
      <bottom style="thin"/>
      <diagonal/>
    </border>
    <border diagonalUp="false" diagonalDown="false">
      <left style="double"/>
      <right style="thin"/>
      <top style="thin"/>
      <bottom style="thin"/>
      <diagonal/>
    </border>
    <border diagonalUp="false" diagonalDown="false">
      <left style="thin"/>
      <right style="thin"/>
      <top style="thin"/>
      <bottom style="thin"/>
      <diagonal/>
    </border>
    <border diagonalUp="false" diagonalDown="false">
      <left style="thin"/>
      <right style="double"/>
      <top style="thin"/>
      <bottom style="thin"/>
      <diagonal/>
    </border>
    <border diagonalUp="false" diagonalDown="false">
      <left style="double"/>
      <right style="thin"/>
      <top style="thin"/>
      <bottom style="double"/>
      <diagonal/>
    </border>
    <border diagonalUp="false" diagonalDown="false">
      <left style="thin"/>
      <right style="thin"/>
      <top style="thin"/>
      <bottom style="double"/>
      <diagonal/>
    </border>
    <border diagonalUp="false" diagonalDown="false">
      <left style="thin"/>
      <right style="double"/>
      <top style="thin"/>
      <bottom style="double"/>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double"/>
      <right style="medium"/>
      <top style="double"/>
      <bottom style="double"/>
      <diagonal/>
    </border>
    <border diagonalUp="false" diagonalDown="false">
      <left/>
      <right style="double"/>
      <top style="double"/>
      <bottom style="double"/>
      <diagonal/>
    </border>
    <border diagonalUp="false" diagonalDown="false">
      <left style="double"/>
      <right style="medium"/>
      <top style="double"/>
      <bottom/>
      <diagonal/>
    </border>
    <border diagonalUp="false" diagonalDown="false">
      <left/>
      <right style="double"/>
      <top/>
      <bottom/>
      <diagonal/>
    </border>
    <border diagonalUp="false" diagonalDown="false">
      <left style="double"/>
      <right style="double"/>
      <top style="double"/>
      <bottom/>
      <diagonal/>
    </border>
    <border diagonalUp="false" diagonalDown="false">
      <left style="double"/>
      <right style="medium"/>
      <top/>
      <bottom style="medium"/>
      <diagonal/>
    </border>
    <border diagonalUp="false" diagonalDown="false">
      <left/>
      <right style="double"/>
      <top/>
      <bottom style="medium"/>
      <diagonal/>
    </border>
    <border diagonalUp="false" diagonalDown="false">
      <left style="double"/>
      <right style="double"/>
      <top/>
      <bottom style="medium"/>
      <diagonal/>
    </border>
    <border diagonalUp="false" diagonalDown="false">
      <left style="double"/>
      <right style="medium"/>
      <top style="medium"/>
      <bottom/>
      <diagonal/>
    </border>
    <border diagonalUp="false" diagonalDown="false">
      <left style="double"/>
      <right style="double"/>
      <top style="medium"/>
      <bottom/>
      <diagonal/>
    </border>
    <border diagonalUp="false" diagonalDown="false">
      <left style="double"/>
      <right style="medium"/>
      <top/>
      <bottom/>
      <diagonal/>
    </border>
    <border diagonalUp="false" diagonalDown="false">
      <left style="double"/>
      <right style="double"/>
      <top/>
      <bottom/>
      <diagonal/>
    </border>
    <border diagonalUp="false" diagonalDown="false">
      <left style="double"/>
      <right style="medium"/>
      <top/>
      <bottom style="double"/>
      <diagonal/>
    </border>
    <border diagonalUp="false" diagonalDown="false">
      <left/>
      <right style="double"/>
      <top/>
      <bottom style="double"/>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false" applyAlignment="true" applyProtection="false">
      <alignment horizontal="general" vertical="bottom" textRotation="0" wrapText="false" indent="0" shrinkToFit="false"/>
    </xf>
  </cellStyleXfs>
  <cellXfs count="1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6" fontId="0" fillId="3" borderId="4" xfId="0" applyFont="false" applyBorder="true" applyAlignment="true" applyProtection="false">
      <alignment horizontal="right"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6" fontId="0" fillId="3" borderId="6" xfId="0" applyFont="false" applyBorder="true" applyAlignment="true" applyProtection="false">
      <alignment horizontal="right"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left"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8" fontId="0" fillId="3" borderId="0" xfId="0" applyFont="false" applyBorder="false" applyAlignment="true" applyProtection="false">
      <alignment horizontal="right" vertical="bottom" textRotation="0" wrapText="false" indent="0" shrinkToFit="false"/>
      <protection locked="true" hidden="false"/>
    </xf>
    <xf numFmtId="169" fontId="5" fillId="0" borderId="0" xfId="0" applyFont="true" applyBorder="false" applyAlignment="true" applyProtection="false">
      <alignment horizontal="right" vertical="bottom" textRotation="0" wrapText="false" indent="0" shrinkToFit="false"/>
      <protection locked="true" hidden="false"/>
    </xf>
    <xf numFmtId="170" fontId="0" fillId="0" borderId="0" xfId="0" applyFont="false" applyBorder="false" applyAlignment="true" applyProtection="false">
      <alignment horizontal="right"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69" fontId="0" fillId="2" borderId="0" xfId="0" applyFont="false" applyBorder="false" applyAlignment="false" applyProtection="false">
      <alignment horizontal="general" vertical="bottom" textRotation="0" wrapText="false" indent="0" shrinkToFit="false"/>
      <protection locked="true" hidden="false"/>
    </xf>
    <xf numFmtId="170" fontId="0" fillId="2"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64" fontId="4" fillId="2" borderId="0" xfId="0" applyFont="true" applyBorder="false" applyAlignment="false" applyProtection="true">
      <alignment horizontal="general" vertical="bottom" textRotation="0" wrapText="false" indent="0" shrinkToFit="false"/>
      <protection locked="false" hidden="false"/>
    </xf>
    <xf numFmtId="164" fontId="6" fillId="0" borderId="7" xfId="0" applyFont="true" applyBorder="true" applyAlignment="true" applyProtection="false">
      <alignment horizontal="center" vertical="center" textRotation="0" wrapText="tru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6" fillId="0" borderId="9" xfId="0" applyFont="true" applyBorder="true" applyAlignment="true" applyProtection="false">
      <alignment horizontal="center" vertical="center" textRotation="0" wrapText="true" indent="0" shrinkToFit="false"/>
      <protection locked="true" hidden="false"/>
    </xf>
    <xf numFmtId="164" fontId="6" fillId="0" borderId="10" xfId="0" applyFont="true" applyBorder="true" applyAlignment="true" applyProtection="false">
      <alignment horizontal="general" vertical="center" textRotation="0" wrapText="true" indent="0" shrinkToFit="false"/>
      <protection locked="true" hidden="false"/>
    </xf>
    <xf numFmtId="167" fontId="5" fillId="0" borderId="11" xfId="0" applyFont="true" applyBorder="true" applyAlignment="true" applyProtection="false">
      <alignment horizontal="center" vertical="center" textRotation="0" wrapText="true" indent="0" shrinkToFit="false"/>
      <protection locked="true" hidden="false"/>
    </xf>
    <xf numFmtId="170" fontId="5" fillId="0" borderId="11" xfId="0" applyFont="true" applyBorder="true" applyAlignment="true" applyProtection="false">
      <alignment horizontal="right" vertical="center" textRotation="0" wrapText="true" indent="0" shrinkToFit="false"/>
      <protection locked="true" hidden="false"/>
    </xf>
    <xf numFmtId="170" fontId="7" fillId="0" borderId="12" xfId="0" applyFont="true" applyBorder="tru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true" indent="0" shrinkToFit="false"/>
      <protection locked="true" hidden="false"/>
    </xf>
    <xf numFmtId="167" fontId="9" fillId="0" borderId="14" xfId="0" applyFont="true" applyBorder="true" applyAlignment="true" applyProtection="false">
      <alignment horizontal="center" vertical="center" textRotation="0" wrapText="true" indent="0" shrinkToFit="false"/>
      <protection locked="true" hidden="false"/>
    </xf>
    <xf numFmtId="170" fontId="9" fillId="0" borderId="14" xfId="0" applyFont="true" applyBorder="true" applyAlignment="true" applyProtection="false">
      <alignment horizontal="right" vertical="center" textRotation="0" wrapText="true" indent="0" shrinkToFit="false"/>
      <protection locked="true" hidden="false"/>
    </xf>
    <xf numFmtId="170" fontId="7" fillId="0" borderId="15" xfId="0" applyFont="true" applyBorder="true" applyAlignment="true" applyProtection="false">
      <alignment horizontal="general" vertical="center" textRotation="0" wrapText="false" indent="0" shrinkToFit="false"/>
      <protection locked="true" hidden="false"/>
    </xf>
    <xf numFmtId="164" fontId="8" fillId="0" borderId="16" xfId="0" applyFont="true" applyBorder="true" applyAlignment="true" applyProtection="false">
      <alignment horizontal="general" vertical="center" textRotation="0" wrapText="tru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70" fontId="4" fillId="0" borderId="18"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false" applyProtection="true">
      <alignment horizontal="general" vertical="bottom" textRotation="0" wrapText="false" indent="0" shrinkToFit="false"/>
      <protection locked="false" hidden="false"/>
    </xf>
    <xf numFmtId="164" fontId="17" fillId="0" borderId="0" xfId="0" applyFont="true" applyBorder="false" applyAlignment="true" applyProtection="false">
      <alignment horizontal="left" vertical="bottom" textRotation="0" wrapText="false" indent="0" shrinkToFit="false"/>
      <protection locked="true" hidden="false"/>
    </xf>
    <xf numFmtId="171" fontId="5" fillId="3" borderId="0" xfId="0" applyFont="true" applyBorder="false" applyAlignment="false" applyProtection="true">
      <alignment horizontal="general" vertical="bottom" textRotation="0" wrapText="false" indent="0" shrinkToFit="false"/>
      <protection locked="false" hidden="false"/>
    </xf>
    <xf numFmtId="172" fontId="5" fillId="3" borderId="0" xfId="0" applyFont="true" applyBorder="false" applyAlignment="false" applyProtection="true">
      <alignment horizontal="general" vertical="bottom" textRotation="0" wrapText="false" indent="0" shrinkToFit="false"/>
      <protection locked="fals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17" fillId="0" borderId="0" xfId="17" applyFont="true" applyBorder="true" applyAlignment="true" applyProtection="true">
      <alignment horizontal="general" vertical="bottom" textRotation="0" wrapText="false" indent="0" shrinkToFit="false"/>
      <protection locked="true" hidden="false"/>
    </xf>
    <xf numFmtId="164" fontId="18" fillId="4" borderId="19"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6" fillId="0" borderId="20" xfId="0" applyFont="true" applyBorder="true" applyAlignment="true" applyProtection="false">
      <alignment horizontal="general" vertical="center" textRotation="0" wrapText="true" indent="0" shrinkToFit="false"/>
      <protection locked="true" hidden="false"/>
    </xf>
    <xf numFmtId="164" fontId="6" fillId="0" borderId="21" xfId="0" applyFont="true" applyBorder="true" applyAlignment="true" applyProtection="false">
      <alignment horizontal="general" vertical="center" textRotation="0" wrapText="true" indent="0" shrinkToFit="false"/>
      <protection locked="true" hidden="false"/>
    </xf>
    <xf numFmtId="164" fontId="8" fillId="0" borderId="22" xfId="0" applyFont="true" applyBorder="true" applyAlignment="true" applyProtection="false">
      <alignment horizontal="general" vertical="center" textRotation="0" wrapText="true" indent="0" shrinkToFit="false"/>
      <protection locked="true" hidden="false"/>
    </xf>
    <xf numFmtId="164" fontId="9" fillId="0" borderId="23" xfId="0" applyFont="true" applyBorder="true" applyAlignment="true" applyProtection="false">
      <alignment horizontal="general" vertical="center" textRotation="0" wrapText="true" indent="0" shrinkToFit="false"/>
      <protection locked="true" hidden="false"/>
    </xf>
    <xf numFmtId="173" fontId="9" fillId="0" borderId="23" xfId="0" applyFont="true" applyBorder="true" applyAlignment="true" applyProtection="false">
      <alignment horizontal="center" vertical="center" textRotation="0" wrapText="true" indent="0" shrinkToFit="false"/>
      <protection locked="true" hidden="false"/>
    </xf>
    <xf numFmtId="164" fontId="9" fillId="0" borderId="24" xfId="0" applyFont="true" applyBorder="true" applyAlignment="true" applyProtection="false">
      <alignment horizontal="center" vertical="center" textRotation="0" wrapText="true" indent="0" shrinkToFit="false"/>
      <protection locked="true" hidden="false"/>
    </xf>
    <xf numFmtId="164" fontId="8" fillId="0" borderId="25" xfId="0" applyFont="true" applyBorder="true" applyAlignment="true" applyProtection="false">
      <alignment horizontal="general" vertical="center" textRotation="0" wrapText="true" indent="0" shrinkToFit="false"/>
      <protection locked="true" hidden="false"/>
    </xf>
    <xf numFmtId="164" fontId="9" fillId="0" borderId="26" xfId="0" applyFont="true" applyBorder="true" applyAlignment="true" applyProtection="false">
      <alignment horizontal="general" vertical="center" textRotation="0" wrapText="true" indent="0" shrinkToFit="false"/>
      <protection locked="true" hidden="false"/>
    </xf>
    <xf numFmtId="173" fontId="9" fillId="0" borderId="26" xfId="0" applyFont="true" applyBorder="true" applyAlignment="true" applyProtection="false">
      <alignment horizontal="center" vertical="center" textRotation="0" wrapText="true" indent="0" shrinkToFit="false"/>
      <protection locked="true" hidden="false"/>
    </xf>
    <xf numFmtId="164" fontId="9" fillId="0" borderId="27" xfId="0" applyFont="true" applyBorder="true" applyAlignment="true" applyProtection="false">
      <alignment horizontal="center" vertical="center" textRotation="0" wrapText="true" indent="0" shrinkToFit="false"/>
      <protection locked="true" hidden="false"/>
    </xf>
    <xf numFmtId="164" fontId="8" fillId="0" borderId="28" xfId="0" applyFont="true" applyBorder="true" applyAlignment="true" applyProtection="false">
      <alignment horizontal="general" vertical="center" textRotation="0" wrapText="true" indent="0" shrinkToFit="false"/>
      <protection locked="true" hidden="false"/>
    </xf>
    <xf numFmtId="164" fontId="9" fillId="0" borderId="29" xfId="0" applyFont="true" applyBorder="true" applyAlignment="true" applyProtection="false">
      <alignment horizontal="center" vertical="center" textRotation="0" wrapText="true" indent="0" shrinkToFit="false"/>
      <protection locked="true" hidden="false"/>
    </xf>
    <xf numFmtId="164" fontId="8" fillId="0" borderId="30" xfId="0" applyFont="true" applyBorder="true" applyAlignment="true" applyProtection="false">
      <alignment horizontal="general" vertical="center" textRotation="0" wrapText="true" indent="0" shrinkToFit="false"/>
      <protection locked="true" hidden="false"/>
    </xf>
    <xf numFmtId="164" fontId="9" fillId="0" borderId="31" xfId="0" applyFont="true" applyBorder="true" applyAlignment="true" applyProtection="false">
      <alignment horizontal="center" vertical="center" textRotation="0" wrapText="true" indent="0" shrinkToFit="false"/>
      <protection locked="true" hidden="false"/>
    </xf>
    <xf numFmtId="164" fontId="8" fillId="0" borderId="32" xfId="0" applyFont="true" applyBorder="true" applyAlignment="true" applyProtection="false">
      <alignment horizontal="general" vertical="center" textRotation="0" wrapText="true" indent="0" shrinkToFit="false"/>
      <protection locked="true" hidden="false"/>
    </xf>
    <xf numFmtId="164" fontId="9" fillId="0" borderId="33" xfId="0" applyFont="true" applyBorder="true" applyAlignment="true" applyProtection="false">
      <alignment horizontal="general" vertical="center" textRotation="0" wrapText="true" indent="0" shrinkToFit="false"/>
      <protection locked="true" hidden="false"/>
    </xf>
    <xf numFmtId="173" fontId="9" fillId="0" borderId="33" xfId="0" applyFont="true" applyBorder="true" applyAlignment="true" applyProtection="false">
      <alignment horizontal="center" vertical="center" textRotation="0" wrapText="true" indent="0" shrinkToFit="false"/>
      <protection locked="true" hidden="false"/>
    </xf>
    <xf numFmtId="164" fontId="9" fillId="0" borderId="33" xfId="0" applyFont="true" applyBorder="true" applyAlignment="true" applyProtection="false">
      <alignment horizontal="center" vertical="center" textRotation="0" wrapText="true" indent="0" shrinkToFit="false"/>
      <protection locked="true" hidden="false"/>
    </xf>
    <xf numFmtId="164" fontId="6" fillId="0" borderId="20" xfId="0" applyFont="true" applyBorder="true" applyAlignment="true" applyProtection="false">
      <alignment horizontal="left" vertical="center" textRotation="0" wrapText="true" indent="0" shrinkToFit="false"/>
      <protection locked="true" hidden="false"/>
    </xf>
    <xf numFmtId="164" fontId="6" fillId="0" borderId="21" xfId="0" applyFont="true" applyBorder="true" applyAlignment="true" applyProtection="false">
      <alignment horizontal="left" vertical="center" textRotation="0" wrapText="true" indent="0" shrinkToFit="false"/>
      <protection locked="true" hidden="false"/>
    </xf>
    <xf numFmtId="164" fontId="6" fillId="0" borderId="22" xfId="0" applyFont="true" applyBorder="true" applyAlignment="true" applyProtection="false">
      <alignment horizontal="general" vertical="center" textRotation="0" wrapText="true" indent="0" shrinkToFit="false"/>
      <protection locked="true" hidden="false"/>
    </xf>
    <xf numFmtId="164" fontId="5" fillId="0" borderId="23" xfId="0" applyFont="true" applyBorder="true" applyAlignment="true" applyProtection="false">
      <alignment horizontal="general" vertical="center" textRotation="0" wrapText="true" indent="0" shrinkToFit="false"/>
      <protection locked="true" hidden="false"/>
    </xf>
    <xf numFmtId="173" fontId="5" fillId="0" borderId="23" xfId="0" applyFont="true" applyBorder="true" applyAlignment="true" applyProtection="false">
      <alignment horizontal="center" vertical="center" textRotation="0" wrapText="true" indent="0" shrinkToFit="false"/>
      <protection locked="true" hidden="false"/>
    </xf>
    <xf numFmtId="164" fontId="5" fillId="0" borderId="24" xfId="0" applyFont="true" applyBorder="true" applyAlignment="true" applyProtection="false">
      <alignment horizontal="center" vertical="center" textRotation="0" wrapText="true" indent="0" shrinkToFit="false"/>
      <protection locked="true" hidden="false"/>
    </xf>
    <xf numFmtId="164" fontId="6" fillId="0" borderId="30" xfId="0" applyFont="true" applyBorder="true" applyAlignment="true" applyProtection="false">
      <alignment horizontal="general" vertical="center" textRotation="0" wrapText="true" indent="0" shrinkToFit="false"/>
      <protection locked="true" hidden="false"/>
    </xf>
    <xf numFmtId="164" fontId="5" fillId="0" borderId="31" xfId="0" applyFont="true" applyBorder="true" applyAlignment="true" applyProtection="false">
      <alignment horizontal="center" vertical="center" textRotation="0" wrapText="true" indent="0" shrinkToFit="false"/>
      <protection locked="true" hidden="false"/>
    </xf>
    <xf numFmtId="164" fontId="6" fillId="0" borderId="25" xfId="0" applyFont="true" applyBorder="true" applyAlignment="true" applyProtection="false">
      <alignment horizontal="general" vertical="center" textRotation="0" wrapText="true" indent="0" shrinkToFit="false"/>
      <protection locked="true" hidden="false"/>
    </xf>
    <xf numFmtId="164" fontId="5" fillId="0" borderId="26" xfId="0" applyFont="true" applyBorder="true" applyAlignment="true" applyProtection="false">
      <alignment horizontal="general" vertical="center" textRotation="0" wrapText="true" indent="0" shrinkToFit="false"/>
      <protection locked="true" hidden="false"/>
    </xf>
    <xf numFmtId="173" fontId="5" fillId="0" borderId="26" xfId="0" applyFont="true" applyBorder="true" applyAlignment="true" applyProtection="false">
      <alignment horizontal="center" vertical="center" textRotation="0" wrapText="true" indent="0" shrinkToFit="false"/>
      <protection locked="true" hidden="false"/>
    </xf>
    <xf numFmtId="164" fontId="5" fillId="0" borderId="27" xfId="0" applyFont="true" applyBorder="true" applyAlignment="true" applyProtection="false">
      <alignment horizontal="center" vertical="center" textRotation="0" wrapText="true" indent="0" shrinkToFit="false"/>
      <protection locked="true" hidden="false"/>
    </xf>
    <xf numFmtId="164" fontId="6" fillId="0" borderId="28" xfId="0" applyFont="true" applyBorder="true" applyAlignment="true" applyProtection="false">
      <alignment horizontal="general" vertical="center" textRotation="0" wrapText="true" indent="0" shrinkToFit="false"/>
      <protection locked="true" hidden="false"/>
    </xf>
    <xf numFmtId="164" fontId="5" fillId="0" borderId="29" xfId="0" applyFont="true" applyBorder="true" applyAlignment="true" applyProtection="false">
      <alignment horizontal="center" vertical="center" textRotation="0" wrapText="true" indent="0" shrinkToFit="false"/>
      <protection locked="true" hidden="false"/>
    </xf>
    <xf numFmtId="164" fontId="6" fillId="0" borderId="32" xfId="0" applyFont="true" applyBorder="true" applyAlignment="true" applyProtection="false">
      <alignment horizontal="general" vertical="center" textRotation="0" wrapText="true" indent="0" shrinkToFit="false"/>
      <protection locked="true" hidden="false"/>
    </xf>
    <xf numFmtId="164" fontId="5" fillId="0" borderId="33" xfId="0" applyFont="true" applyBorder="true" applyAlignment="true" applyProtection="false">
      <alignment horizontal="general" vertical="center" textRotation="0" wrapText="true" indent="0" shrinkToFit="false"/>
      <protection locked="true" hidden="false"/>
    </xf>
    <xf numFmtId="173" fontId="5" fillId="0" borderId="33" xfId="0" applyFont="true" applyBorder="true" applyAlignment="true" applyProtection="false">
      <alignment horizontal="center" vertical="center" textRotation="0" wrapText="true" indent="0" shrinkToFit="false"/>
      <protection locked="true" hidden="false"/>
    </xf>
    <xf numFmtId="164" fontId="5" fillId="0" borderId="33" xfId="0" applyFont="true" applyBorder="true" applyAlignment="true" applyProtection="false">
      <alignment horizontal="center" vertical="center" textRotation="0" wrapText="true" indent="0" shrinkToFit="false"/>
      <protection locked="true" hidden="false"/>
    </xf>
    <xf numFmtId="164" fontId="9" fillId="0" borderId="23" xfId="0" applyFont="true" applyBorder="true" applyAlignment="true" applyProtection="false">
      <alignment horizontal="center" vertical="center" textRotation="0" wrapText="true" indent="0" shrinkToFit="false"/>
      <protection locked="true" hidden="false"/>
    </xf>
    <xf numFmtId="164" fontId="0" fillId="5" borderId="0" xfId="0" applyFont="true" applyBorder="false" applyAlignment="true" applyProtection="false">
      <alignment horizontal="left" vertical="bottom" textRotation="0" wrapText="false" indent="0" shrinkToFit="false"/>
      <protection locked="true" hidden="false"/>
    </xf>
    <xf numFmtId="168"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center" vertical="bottom" textRotation="0" wrapText="false" indent="0" shrinkToFit="false"/>
      <protection locked="true" hidden="false"/>
    </xf>
    <xf numFmtId="169" fontId="5" fillId="2"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9" fontId="0" fillId="2"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23" fillId="7" borderId="34" xfId="0" applyFont="true" applyBorder="true" applyAlignment="true" applyProtection="false">
      <alignment horizontal="center" vertical="bottom" textRotation="0" wrapText="false" indent="0" shrinkToFit="false"/>
      <protection locked="true" hidden="false"/>
    </xf>
    <xf numFmtId="168" fontId="23" fillId="8" borderId="34" xfId="0" applyFont="true" applyBorder="true" applyAlignment="true" applyProtection="false">
      <alignment horizontal="center" vertical="bottom" textRotation="0" wrapText="false" indent="0" shrinkToFit="false"/>
      <protection locked="true" hidden="false"/>
    </xf>
    <xf numFmtId="165" fontId="23" fillId="8" borderId="34" xfId="17" applyFont="true" applyBorder="true" applyAlignment="true" applyProtection="true">
      <alignment horizontal="center" vertical="bottom" textRotation="0" wrapText="false" indent="0" shrinkToFit="false"/>
      <protection locked="true" hidden="false"/>
    </xf>
    <xf numFmtId="164" fontId="0" fillId="9" borderId="14" xfId="0" applyFont="true" applyBorder="true" applyAlignment="false" applyProtection="false">
      <alignment horizontal="general" vertical="bottom" textRotation="0" wrapText="false" indent="0" shrinkToFit="false"/>
      <protection locked="true" hidden="false"/>
    </xf>
    <xf numFmtId="165" fontId="0" fillId="0" borderId="14" xfId="17" applyFont="true" applyBorder="true" applyAlignment="true" applyProtection="true">
      <alignment horizontal="general" vertical="bottom" textRotation="0" wrapText="false" indent="0" shrinkToFit="false"/>
      <protection locked="true" hidden="false"/>
    </xf>
    <xf numFmtId="174" fontId="0" fillId="0" borderId="14" xfId="17" applyFont="true" applyBorder="true" applyAlignment="true" applyProtection="true">
      <alignment horizontal="general" vertical="bottom" textRotation="0" wrapText="false" indent="0" shrinkToFit="false"/>
      <protection locked="true" hidden="false"/>
    </xf>
    <xf numFmtId="174" fontId="0" fillId="0" borderId="14" xfId="17" applyFont="true" applyBorder="true" applyAlignment="true" applyProtection="true">
      <alignment horizontal="left" vertical="bottom" textRotation="0" wrapText="false" indent="0" shrinkToFit="false"/>
      <protection locked="true" hidden="false"/>
    </xf>
    <xf numFmtId="164" fontId="18" fillId="10" borderId="19"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4" fontId="25" fillId="3" borderId="19" xfId="0" applyFont="true" applyBorder="true" applyAlignment="true" applyProtection="false">
      <alignment horizontal="general" vertical="center" textRotation="0" wrapText="true" indent="0" shrinkToFit="false"/>
      <protection locked="true" hidden="false"/>
    </xf>
    <xf numFmtId="164" fontId="27" fillId="0" borderId="19" xfId="0" applyFont="true" applyBorder="true" applyAlignment="false" applyProtection="false">
      <alignment horizontal="general" vertical="bottom" textRotation="0" wrapText="false" indent="0" shrinkToFit="false"/>
      <protection locked="true" hidden="false"/>
    </xf>
    <xf numFmtId="175"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false" applyProtection="false">
      <alignment horizontal="general" vertical="bottom" textRotation="0" wrapText="false" indent="0" shrinkToFit="false"/>
      <protection locked="true" hidden="false"/>
    </xf>
    <xf numFmtId="176" fontId="27" fillId="0" borderId="19"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75" fontId="28" fillId="0" borderId="0" xfId="0" applyFont="true" applyBorder="true" applyAlignment="false" applyProtection="false">
      <alignment horizontal="general" vertical="bottom" textRotation="0" wrapText="false" indent="0" shrinkToFit="false"/>
      <protection locked="true" hidden="false"/>
    </xf>
    <xf numFmtId="164" fontId="25" fillId="11"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28" fillId="0" borderId="0" xfId="0" applyFont="true" applyBorder="true" applyAlignment="false" applyProtection="false">
      <alignment horizontal="general" vertical="bottom" textRotation="0" wrapText="false" indent="0" shrinkToFit="false"/>
      <protection locked="true" hidden="false"/>
    </xf>
    <xf numFmtId="166" fontId="28" fillId="0" borderId="0"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bgColor rgb="FF000000"/>
        </patternFill>
      </fill>
    </dxf>
    <dxf>
      <fill>
        <patternFill patternType="solid">
          <fgColor rgb="FF000000"/>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7F7F"/>
      <rgbColor rgb="FF800080"/>
      <rgbColor rgb="FF008080"/>
      <rgbColor rgb="FFBFBFBF"/>
      <rgbColor rgb="FF808080"/>
      <rgbColor rgb="FF8FAADC"/>
      <rgbColor rgb="FF8B8B8B"/>
      <rgbColor rgb="FFDCDCDC"/>
      <rgbColor rgb="FFEAF2FB"/>
      <rgbColor rgb="FF660066"/>
      <rgbColor rgb="FFF39C7A"/>
      <rgbColor rgb="FF0563C1"/>
      <rgbColor rgb="FFD9D9D9"/>
      <rgbColor rgb="FF000080"/>
      <rgbColor rgb="FFFF00FF"/>
      <rgbColor rgb="FFFFFF00"/>
      <rgbColor rgb="FF00FFFF"/>
      <rgbColor rgb="FF800080"/>
      <rgbColor rgb="FFC00000"/>
      <rgbColor rgb="FF008080"/>
      <rgbColor rgb="FF0000FF"/>
      <rgbColor rgb="FF00CCFF"/>
      <rgbColor rgb="FFDAE3F3"/>
      <rgbColor rgb="FFD9E1F2"/>
      <rgbColor rgb="FFFFFF99"/>
      <rgbColor rgb="FFB8B6AE"/>
      <rgbColor rgb="FFA5A5A5"/>
      <rgbColor rgb="FFA6A6A6"/>
      <rgbColor rgb="FFFFC7CE"/>
      <rgbColor rgb="FF2A78D6"/>
      <rgbColor rgb="FF6DA7EC"/>
      <rgbColor rgb="FF92D050"/>
      <rgbColor rgb="FFFFC000"/>
      <rgbColor rgb="FFED7D31"/>
      <rgbColor rgb="FFEB6834"/>
      <rgbColor rgb="FF646464"/>
      <rgbColor rgb="FF8C8C8C"/>
      <rgbColor rgb="FF003366"/>
      <rgbColor rgb="FF4472C4"/>
      <rgbColor rgb="FF003300"/>
      <rgbColor rgb="FF4A4A4A"/>
      <rgbColor rgb="FF993300"/>
      <rgbColor rgb="FF993366"/>
      <rgbColor rgb="FF595959"/>
      <rgbColor rgb="FF1D27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916324.5816</c:v>
                </c:pt>
                <c:pt idx="20">
                  <c:v>0</c:v>
                </c:pt>
                <c:pt idx="21">
                  <c:v>0</c:v>
                </c:pt>
                <c:pt idx="22">
                  <c:v>0</c:v>
                </c:pt>
                <c:pt idx="23">
                  <c:v>0</c:v>
                </c:pt>
                <c:pt idx="24">
                  <c:v>0</c:v>
                </c:pt>
                <c:pt idx="25">
                  <c:v>0</c:v>
                </c:pt>
                <c:pt idx="26">
                  <c:v>0</c:v>
                </c:pt>
                <c:pt idx="27">
                  <c:v>1072418.6954</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32393.9</c:v>
                </c:pt>
                <c:pt idx="20">
                  <c:v>0</c:v>
                </c:pt>
                <c:pt idx="21">
                  <c:v>0</c:v>
                </c:pt>
                <c:pt idx="22">
                  <c:v>0</c:v>
                </c:pt>
                <c:pt idx="23">
                  <c:v>0</c:v>
                </c:pt>
                <c:pt idx="24">
                  <c:v>0</c:v>
                </c:pt>
                <c:pt idx="25">
                  <c:v>0</c:v>
                </c:pt>
                <c:pt idx="26">
                  <c:v>0</c:v>
                </c:pt>
                <c:pt idx="27">
                  <c:v>61548.41</c:v>
                </c:pt>
                <c:pt idx="28">
                  <c:v>0</c:v>
                </c:pt>
                <c:pt idx="29">
                  <c:v>0</c:v>
                </c:pt>
                <c:pt idx="30">
                  <c:v>0</c:v>
                </c:pt>
              </c:numCache>
            </c:numRef>
          </c:val>
        </c:ser>
        <c:gapWidth val="219"/>
        <c:overlap val="100"/>
        <c:axId val="7154235"/>
        <c:axId val="7318347"/>
      </c:barChart>
      <c:catAx>
        <c:axId val="7154235"/>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318347"/>
        <c:crosses val="autoZero"/>
        <c:auto val="1"/>
        <c:lblAlgn val="ctr"/>
        <c:lblOffset val="100"/>
        <c:noMultiLvlLbl val="0"/>
      </c:catAx>
      <c:valAx>
        <c:axId val="731834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7154235"/>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'TMP(NewHMA)_IndirectCost'!$L$37:$L$67</c:f>
              <c:numCache>
                <c:formatCode>\$#,##0</c:formatCode>
                <c:ptCount val="31"/>
                <c:pt idx="0">
                  <c:v>0</c:v>
                </c:pt>
                <c:pt idx="1">
                  <c:v>0</c:v>
                </c:pt>
                <c:pt idx="2">
                  <c:v>0</c:v>
                </c:pt>
                <c:pt idx="3">
                  <c:v>0</c:v>
                </c:pt>
                <c:pt idx="4">
                  <c:v>331584.866666667</c:v>
                </c:pt>
                <c:pt idx="5">
                  <c:v>0</c:v>
                </c:pt>
                <c:pt idx="6">
                  <c:v>0</c:v>
                </c:pt>
                <c:pt idx="7">
                  <c:v>0</c:v>
                </c:pt>
                <c:pt idx="8">
                  <c:v>331584.866666667</c:v>
                </c:pt>
                <c:pt idx="9">
                  <c:v>0</c:v>
                </c:pt>
                <c:pt idx="10">
                  <c:v>0</c:v>
                </c:pt>
                <c:pt idx="11">
                  <c:v>0</c:v>
                </c:pt>
                <c:pt idx="12">
                  <c:v>465273.035104167</c:v>
                </c:pt>
                <c:pt idx="13">
                  <c:v>0</c:v>
                </c:pt>
                <c:pt idx="14">
                  <c:v>0</c:v>
                </c:pt>
                <c:pt idx="15">
                  <c:v>0</c:v>
                </c:pt>
                <c:pt idx="16">
                  <c:v>486835.642916667</c:v>
                </c:pt>
                <c:pt idx="17">
                  <c:v>0</c:v>
                </c:pt>
                <c:pt idx="18">
                  <c:v>0</c:v>
                </c:pt>
                <c:pt idx="19">
                  <c:v>0</c:v>
                </c:pt>
                <c:pt idx="20">
                  <c:v>1696066.756125</c:v>
                </c:pt>
                <c:pt idx="21">
                  <c:v>0</c:v>
                </c:pt>
                <c:pt idx="22">
                  <c:v>0</c:v>
                </c:pt>
                <c:pt idx="23">
                  <c:v>0</c:v>
                </c:pt>
                <c:pt idx="24">
                  <c:v>331584.866666667</c:v>
                </c:pt>
                <c:pt idx="25">
                  <c:v>0</c:v>
                </c:pt>
                <c:pt idx="26">
                  <c:v>0</c:v>
                </c:pt>
                <c:pt idx="27">
                  <c:v>0</c:v>
                </c:pt>
                <c:pt idx="28">
                  <c:v>515298.285229167</c:v>
                </c:pt>
                <c:pt idx="29">
                  <c:v>0</c:v>
                </c:pt>
                <c:pt idx="30">
                  <c:v>-212008.344515625</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'TMP(NewHMA)_IndirectCost'!$M$37:$M$67</c:f>
              <c:numCache>
                <c:formatCode>\$#,##0</c:formatCode>
                <c:ptCount val="31"/>
                <c:pt idx="0">
                  <c:v>0</c:v>
                </c:pt>
                <c:pt idx="1">
                  <c:v>0</c:v>
                </c:pt>
                <c:pt idx="2">
                  <c:v>0</c:v>
                </c:pt>
                <c:pt idx="3">
                  <c:v>0</c:v>
                </c:pt>
                <c:pt idx="4">
                  <c:v>22675.73</c:v>
                </c:pt>
                <c:pt idx="5">
                  <c:v>0</c:v>
                </c:pt>
                <c:pt idx="6">
                  <c:v>0</c:v>
                </c:pt>
                <c:pt idx="7">
                  <c:v>0</c:v>
                </c:pt>
                <c:pt idx="8">
                  <c:v>22675.73</c:v>
                </c:pt>
                <c:pt idx="9">
                  <c:v>0</c:v>
                </c:pt>
                <c:pt idx="10">
                  <c:v>0</c:v>
                </c:pt>
                <c:pt idx="11">
                  <c:v>0</c:v>
                </c:pt>
                <c:pt idx="12">
                  <c:v>29154.51</c:v>
                </c:pt>
                <c:pt idx="13">
                  <c:v>0</c:v>
                </c:pt>
                <c:pt idx="14">
                  <c:v>0</c:v>
                </c:pt>
                <c:pt idx="15">
                  <c:v>0</c:v>
                </c:pt>
                <c:pt idx="16">
                  <c:v>29154.51</c:v>
                </c:pt>
                <c:pt idx="17">
                  <c:v>0</c:v>
                </c:pt>
                <c:pt idx="18">
                  <c:v>0</c:v>
                </c:pt>
                <c:pt idx="19">
                  <c:v>0</c:v>
                </c:pt>
                <c:pt idx="20">
                  <c:v>61548.41</c:v>
                </c:pt>
                <c:pt idx="21">
                  <c:v>0</c:v>
                </c:pt>
                <c:pt idx="22">
                  <c:v>0</c:v>
                </c:pt>
                <c:pt idx="23">
                  <c:v>0</c:v>
                </c:pt>
                <c:pt idx="24">
                  <c:v>22675.73</c:v>
                </c:pt>
                <c:pt idx="25">
                  <c:v>0</c:v>
                </c:pt>
                <c:pt idx="26">
                  <c:v>0</c:v>
                </c:pt>
                <c:pt idx="27">
                  <c:v>0</c:v>
                </c:pt>
                <c:pt idx="28">
                  <c:v>29154.51</c:v>
                </c:pt>
                <c:pt idx="29">
                  <c:v>0</c:v>
                </c:pt>
                <c:pt idx="30">
                  <c:v>0</c:v>
                </c:pt>
              </c:numCache>
            </c:numRef>
          </c:val>
        </c:ser>
        <c:gapWidth val="219"/>
        <c:overlap val="100"/>
        <c:axId val="88927237"/>
        <c:axId val="59317689"/>
      </c:barChart>
      <c:catAx>
        <c:axId val="88927237"/>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59317689"/>
        <c:crosses val="autoZero"/>
        <c:auto val="1"/>
        <c:lblAlgn val="ctr"/>
        <c:lblOffset val="100"/>
        <c:noMultiLvlLbl val="0"/>
      </c:catAx>
      <c:valAx>
        <c:axId val="59317689"/>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88927237"/>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'TMP(NewHMA)'!$L$37:$L$67</c:f>
              <c:numCache>
                <c:formatCode>\$#,##0</c:formatCode>
                <c:ptCount val="31"/>
                <c:pt idx="0">
                  <c:v>0</c:v>
                </c:pt>
                <c:pt idx="1">
                  <c:v>0</c:v>
                </c:pt>
                <c:pt idx="2">
                  <c:v>0</c:v>
                </c:pt>
                <c:pt idx="3">
                  <c:v>0</c:v>
                </c:pt>
                <c:pt idx="4">
                  <c:v>331584.866666667</c:v>
                </c:pt>
                <c:pt idx="5">
                  <c:v>0</c:v>
                </c:pt>
                <c:pt idx="6">
                  <c:v>0</c:v>
                </c:pt>
                <c:pt idx="7">
                  <c:v>0</c:v>
                </c:pt>
                <c:pt idx="8">
                  <c:v>331584.866666667</c:v>
                </c:pt>
                <c:pt idx="9">
                  <c:v>0</c:v>
                </c:pt>
                <c:pt idx="10">
                  <c:v>0</c:v>
                </c:pt>
                <c:pt idx="11">
                  <c:v>0</c:v>
                </c:pt>
                <c:pt idx="12">
                  <c:v>465273.035104167</c:v>
                </c:pt>
                <c:pt idx="13">
                  <c:v>0</c:v>
                </c:pt>
                <c:pt idx="14">
                  <c:v>0</c:v>
                </c:pt>
                <c:pt idx="15">
                  <c:v>0</c:v>
                </c:pt>
                <c:pt idx="16">
                  <c:v>486835.642916667</c:v>
                </c:pt>
                <c:pt idx="17">
                  <c:v>0</c:v>
                </c:pt>
                <c:pt idx="18">
                  <c:v>0</c:v>
                </c:pt>
                <c:pt idx="19">
                  <c:v>0</c:v>
                </c:pt>
                <c:pt idx="20">
                  <c:v>1696066.756125</c:v>
                </c:pt>
                <c:pt idx="21">
                  <c:v>0</c:v>
                </c:pt>
                <c:pt idx="22">
                  <c:v>0</c:v>
                </c:pt>
                <c:pt idx="23">
                  <c:v>0</c:v>
                </c:pt>
                <c:pt idx="24">
                  <c:v>331584.866666667</c:v>
                </c:pt>
                <c:pt idx="25">
                  <c:v>0</c:v>
                </c:pt>
                <c:pt idx="26">
                  <c:v>0</c:v>
                </c:pt>
                <c:pt idx="27">
                  <c:v>0</c:v>
                </c:pt>
                <c:pt idx="28">
                  <c:v>515298.285229167</c:v>
                </c:pt>
                <c:pt idx="29">
                  <c:v>0</c:v>
                </c:pt>
                <c:pt idx="30">
                  <c:v>-212008.344515625</c:v>
                </c:pt>
              </c:numCache>
            </c:numRef>
          </c:val>
        </c:ser>
        <c:gapWidth val="219"/>
        <c:overlap val="-27"/>
        <c:axId val="18418001"/>
        <c:axId val="80279295"/>
      </c:barChart>
      <c:catAx>
        <c:axId val="18418001"/>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0279295"/>
        <c:crosses val="autoZero"/>
        <c:auto val="1"/>
        <c:lblAlgn val="ctr"/>
        <c:lblOffset val="100"/>
        <c:noMultiLvlLbl val="0"/>
      </c:catAx>
      <c:valAx>
        <c:axId val="80279295"/>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1841800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'TMP(NewPCC)'!$L$38:$L$68</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916324.5816</c:v>
                </c:pt>
                <c:pt idx="20">
                  <c:v>0</c:v>
                </c:pt>
                <c:pt idx="21">
                  <c:v>0</c:v>
                </c:pt>
                <c:pt idx="22">
                  <c:v>0</c:v>
                </c:pt>
                <c:pt idx="23">
                  <c:v>0</c:v>
                </c:pt>
                <c:pt idx="24">
                  <c:v>0</c:v>
                </c:pt>
                <c:pt idx="25">
                  <c:v>0</c:v>
                </c:pt>
                <c:pt idx="26">
                  <c:v>0</c:v>
                </c:pt>
                <c:pt idx="27">
                  <c:v>1072418.6954</c:v>
                </c:pt>
                <c:pt idx="28">
                  <c:v>0</c:v>
                </c:pt>
                <c:pt idx="29">
                  <c:v>0</c:v>
                </c:pt>
                <c:pt idx="30">
                  <c:v>0</c:v>
                </c:pt>
              </c:numCache>
            </c:numRef>
          </c:val>
        </c:ser>
        <c:gapWidth val="219"/>
        <c:overlap val="-27"/>
        <c:axId val="26905147"/>
        <c:axId val="75337940"/>
      </c:barChart>
      <c:catAx>
        <c:axId val="26905147"/>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5337940"/>
        <c:crosses val="autoZero"/>
        <c:auto val="1"/>
        <c:lblAlgn val="ctr"/>
        <c:lblOffset val="100"/>
        <c:noMultiLvlLbl val="0"/>
      </c:catAx>
      <c:valAx>
        <c:axId val="75337940"/>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26905147"/>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3</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'TMP(HMARehab)'!$K$37:$K$67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'TMP(HMARehab)'!$L$37:$L$67</c:f>
              <c:numCache>
                <c:formatCode>\$#,##0</c:formatCode>
                <c:ptCount val="31"/>
                <c:pt idx="0">
                  <c:v>0</c:v>
                </c:pt>
                <c:pt idx="1">
                  <c:v>0</c:v>
                </c:pt>
                <c:pt idx="2">
                  <c:v>0</c:v>
                </c:pt>
                <c:pt idx="3">
                  <c:v>0</c:v>
                </c:pt>
                <c:pt idx="4">
                  <c:v>331584.866666667</c:v>
                </c:pt>
                <c:pt idx="5">
                  <c:v>0</c:v>
                </c:pt>
                <c:pt idx="6">
                  <c:v>0</c:v>
                </c:pt>
                <c:pt idx="7">
                  <c:v>0</c:v>
                </c:pt>
                <c:pt idx="8">
                  <c:v>515298.285229167</c:v>
                </c:pt>
                <c:pt idx="9">
                  <c:v>0</c:v>
                </c:pt>
                <c:pt idx="10">
                  <c:v>0</c:v>
                </c:pt>
                <c:pt idx="11">
                  <c:v>0</c:v>
                </c:pt>
                <c:pt idx="12">
                  <c:v>331584.866666667</c:v>
                </c:pt>
                <c:pt idx="13">
                  <c:v>0</c:v>
                </c:pt>
                <c:pt idx="14">
                  <c:v>0</c:v>
                </c:pt>
                <c:pt idx="15">
                  <c:v>0</c:v>
                </c:pt>
                <c:pt idx="16">
                  <c:v>1685716.704375</c:v>
                </c:pt>
                <c:pt idx="17">
                  <c:v>0</c:v>
                </c:pt>
                <c:pt idx="18">
                  <c:v>0</c:v>
                </c:pt>
                <c:pt idx="19">
                  <c:v>0</c:v>
                </c:pt>
                <c:pt idx="20">
                  <c:v>331584.866666667</c:v>
                </c:pt>
                <c:pt idx="21">
                  <c:v>0</c:v>
                </c:pt>
                <c:pt idx="22">
                  <c:v>0</c:v>
                </c:pt>
                <c:pt idx="23">
                  <c:v>0</c:v>
                </c:pt>
                <c:pt idx="24">
                  <c:v>515298.285229167</c:v>
                </c:pt>
                <c:pt idx="25">
                  <c:v>0</c:v>
                </c:pt>
                <c:pt idx="26">
                  <c:v>0</c:v>
                </c:pt>
                <c:pt idx="27">
                  <c:v>0</c:v>
                </c:pt>
                <c:pt idx="28">
                  <c:v>331584.866666667</c:v>
                </c:pt>
                <c:pt idx="29">
                  <c:v>0</c:v>
                </c:pt>
                <c:pt idx="30">
                  <c:v>0</c:v>
                </c:pt>
              </c:numCache>
            </c:numRef>
          </c:val>
        </c:ser>
        <c:gapWidth val="219"/>
        <c:overlap val="-27"/>
        <c:axId val="425431"/>
        <c:axId val="86852187"/>
      </c:barChart>
      <c:catAx>
        <c:axId val="425431"/>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6852187"/>
        <c:crosses val="autoZero"/>
        <c:auto val="1"/>
        <c:lblAlgn val="ctr"/>
        <c:lblOffset val="100"/>
        <c:noMultiLvlLbl val="0"/>
      </c:catAx>
      <c:valAx>
        <c:axId val="86852187"/>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42543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Alternatives Comparison</a:t>
            </a:r>
          </a:p>
        </c:rich>
      </c:tx>
      <c:overlay val="0"/>
      <c:spPr>
        <a:noFill/>
        <a:ln w="0">
          <a:noFill/>
        </a:ln>
      </c:spPr>
    </c:title>
    <c:autoTitleDeleted val="0"/>
    <c:plotArea>
      <c:barChart>
        <c:barDir val="col"/>
        <c:grouping val="clustered"/>
        <c:varyColors val="0"/>
        <c:ser>
          <c:idx val="0"/>
          <c:order val="0"/>
          <c:tx>
            <c:strRef>
              <c:f>Summary!$C$3</c:f>
              <c:strCache>
                <c:ptCount val="1"/>
                <c:pt idx="0">
                  <c:v>Initial Construction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
                </c:pt>
                <c:pt idx="3">
                  <c:v/>
                </c:pt>
              </c:strCache>
            </c:strRef>
          </c:cat>
          <c:val>
            <c:numRef>
              <c:f>Summary!$C$4:$C$7</c:f>
              <c:numCache>
                <c:formatCode>\$#,##0</c:formatCode>
                <c:ptCount val="4"/>
                <c:pt idx="0">
                  <c:v>7268437</c:v>
                </c:pt>
                <c:pt idx="1">
                  <c:v>9062465.75</c:v>
                </c:pt>
              </c:numCache>
            </c:numRef>
          </c:val>
        </c:ser>
        <c:ser>
          <c:idx val="1"/>
          <c:order val="1"/>
          <c:tx>
            <c:strRef>
              <c:f>Summary!$D$3</c:f>
              <c:strCache>
                <c:ptCount val="1"/>
                <c:pt idx="0">
                  <c:v>Present Worth</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
                </c:pt>
                <c:pt idx="3">
                  <c:v/>
                </c:pt>
              </c:strCache>
            </c:strRef>
          </c:cat>
          <c:val>
            <c:numRef>
              <c:f>Summary!$D$4:$D$7</c:f>
              <c:numCache>
                <c:formatCode>\$#,##0</c:formatCode>
                <c:ptCount val="4"/>
                <c:pt idx="0">
                  <c:v>9829223.74547321</c:v>
                </c:pt>
                <c:pt idx="1">
                  <c:v>9180602.24949232</c:v>
                </c:pt>
              </c:numCache>
            </c:numRef>
          </c:val>
        </c:ser>
        <c:gapWidth val="219"/>
        <c:overlap val="-27"/>
        <c:axId val="43030446"/>
        <c:axId val="46146136"/>
      </c:barChart>
      <c:catAx>
        <c:axId val="43030446"/>
        <c:scaling>
          <c:orientation val="minMax"/>
        </c:scaling>
        <c:delete val="0"/>
        <c:axPos val="b"/>
        <c:numFmt formatCode="General"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6146136"/>
        <c:crosses val="autoZero"/>
        <c:auto val="1"/>
        <c:lblAlgn val="ctr"/>
        <c:lblOffset val="100"/>
        <c:noMultiLvlLbl val="0"/>
      </c:catAx>
      <c:valAx>
        <c:axId val="4614613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43030446"/>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 Present worth by category (salvage below zero)</a:t>
            </a:r>
          </a:p>
        </c:rich>
      </c:tx>
      <c:overlay val="0"/>
      <c:spPr>
        <a:noFill/>
        <a:ln w="0">
          <a:noFill/>
        </a:ln>
      </c:spPr>
    </c:title>
    <c:autoTitleDeleted val="0"/>
    <c:plotArea>
      <c:barChart>
        <c:barDir val="col"/>
        <c:grouping val="stacked"/>
        <c:varyColors val="0"/>
        <c:ser>
          <c:idx val="0"/>
          <c:order val="0"/>
          <c:tx>
            <c:strRef>
              <c:f>Summary!W5</c:f>
              <c:strCache>
                <c:ptCount val="1"/>
                <c:pt idx="0">
                  <c:v>Initial construction</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 3</c:v>
                </c:pt>
                <c:pt idx="3">
                  <c:v>Alt 4</c:v>
                </c:pt>
              </c:strCache>
            </c:strRef>
          </c:cat>
          <c:val>
            <c:numRef>
              <c:f>Summary!$X$5:$AA$5</c:f>
              <c:numCache>
                <c:formatCode>\$#,##0;"($"#,##0\);\-</c:formatCode>
                <c:ptCount val="4"/>
                <c:pt idx="0">
                  <c:v>7268437</c:v>
                </c:pt>
                <c:pt idx="1">
                  <c:v>9062465.75</c:v>
                </c:pt>
                <c:pt idx="2">
                  <c:v>0</c:v>
                </c:pt>
                <c:pt idx="3">
                  <c:v>0</c:v>
                </c:pt>
              </c:numCache>
            </c:numRef>
          </c:val>
        </c:ser>
        <c:ser>
          <c:idx val="1"/>
          <c:order val="1"/>
          <c:tx>
            <c:strRef>
              <c:f>Summary!W6</c:f>
              <c:strCache>
                <c:ptCount val="1"/>
                <c:pt idx="0">
                  <c:v>Maintenance</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 3</c:v>
                </c:pt>
                <c:pt idx="3">
                  <c:v>Alt 4</c:v>
                </c:pt>
              </c:strCache>
            </c:strRef>
          </c:cat>
          <c:val>
            <c:numRef>
              <c:f>Summary!$X$6:$AA$6</c:f>
              <c:numCache>
                <c:formatCode>\$#,##0;"($"#,##0\);\-</c:formatCode>
                <c:ptCount val="4"/>
                <c:pt idx="0">
                  <c:v>1574420.72193685</c:v>
                </c:pt>
                <c:pt idx="1">
                  <c:v>522567.104910763</c:v>
                </c:pt>
                <c:pt idx="2">
                  <c:v>0</c:v>
                </c:pt>
                <c:pt idx="3">
                  <c:v>0</c:v>
                </c:pt>
              </c:numCache>
            </c:numRef>
          </c:val>
        </c:ser>
        <c:ser>
          <c:idx val="2"/>
          <c:order val="2"/>
          <c:tx>
            <c:strRef>
              <c:f>Summary!W7</c:f>
              <c:strCache>
                <c:ptCount val="1"/>
                <c:pt idx="0">
                  <c:v>Rehabilitation</c:v>
                </c:pt>
              </c:strCache>
            </c:strRef>
          </c:tx>
          <c:spPr>
            <a:solidFill>
              <a:srgbClr val="646464"/>
            </a:solidFill>
            <a:ln w="0">
              <a:solidFill>
                <a:srgbClr val="64646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 3</c:v>
                </c:pt>
                <c:pt idx="3">
                  <c:v>Alt 4</c:v>
                </c:pt>
              </c:strCache>
            </c:strRef>
          </c:cat>
          <c:val>
            <c:numRef>
              <c:f>Summary!$X$7:$AA$7</c:f>
              <c:numCache>
                <c:formatCode>\$#,##0;"($"#,##0\);\-</c:formatCode>
                <c:ptCount val="4"/>
                <c:pt idx="0">
                  <c:v>939071.040347879</c:v>
                </c:pt>
                <c:pt idx="1">
                  <c:v>482791.159867436</c:v>
                </c:pt>
                <c:pt idx="2">
                  <c:v>0</c:v>
                </c:pt>
                <c:pt idx="3">
                  <c:v>0</c:v>
                </c:pt>
              </c:numCache>
            </c:numRef>
          </c:val>
        </c:ser>
        <c:ser>
          <c:idx val="3"/>
          <c:order val="3"/>
          <c:tx>
            <c:strRef>
              <c:f>Summary!W8</c:f>
              <c:strCache>
                <c:ptCount val="1"/>
                <c:pt idx="0">
                  <c:v>Lost revenue</c:v>
                </c:pt>
              </c:strCache>
            </c:strRef>
          </c:tx>
          <c:spPr>
            <a:solidFill>
              <a:srgbClr val="b8b6ae"/>
            </a:solidFill>
            <a:ln w="0">
              <a:solidFill>
                <a:srgbClr val="b8b6a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 3</c:v>
                </c:pt>
                <c:pt idx="3">
                  <c:v>Alt 4</c:v>
                </c:pt>
              </c:strCache>
            </c:strRef>
          </c:cat>
          <c:val>
            <c:numRef>
              <c:f>Summary!$X$8:$AA$8</c:f>
              <c:numCache>
                <c:formatCode>\$#,##0;"($"#,##0\);\-</c:formatCode>
                <c:ptCount val="4"/>
                <c:pt idx="0">
                  <c:v>134639.61403581</c:v>
                </c:pt>
                <c:pt idx="1">
                  <c:v>46182.209105713</c:v>
                </c:pt>
                <c:pt idx="2">
                  <c:v>0</c:v>
                </c:pt>
                <c:pt idx="3">
                  <c:v>0</c:v>
                </c:pt>
              </c:numCache>
            </c:numRef>
          </c:val>
        </c:ser>
        <c:ser>
          <c:idx val="4"/>
          <c:order val="4"/>
          <c:tx>
            <c:strRef>
              <c:f>Summary!W9</c:f>
              <c:strCache>
                <c:ptCount val="1"/>
                <c:pt idx="0">
                  <c:v>Salvage</c:v>
                </c:pt>
              </c:strCache>
            </c:strRef>
          </c:tx>
          <c:spPr>
            <a:solidFill>
              <a:srgbClr val="dcdcdc"/>
            </a:solidFill>
            <a:ln w="0">
              <a:solidFill>
                <a:srgbClr val="dcdcd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 3</c:v>
                </c:pt>
                <c:pt idx="3">
                  <c:v>Alt 4</c:v>
                </c:pt>
              </c:strCache>
            </c:strRef>
          </c:cat>
          <c:val>
            <c:numRef>
              <c:f>Summary!$X$9:$AA$9</c:f>
              <c:numCache>
                <c:formatCode>\$#,##0;"($"#,##0\);\-</c:formatCode>
                <c:ptCount val="4"/>
                <c:pt idx="0">
                  <c:v>-87344.6308473242</c:v>
                </c:pt>
                <c:pt idx="1">
                  <c:v>-933403.974391597</c:v>
                </c:pt>
                <c:pt idx="2">
                  <c:v>0</c:v>
                </c:pt>
                <c:pt idx="3">
                  <c:v>0</c:v>
                </c:pt>
              </c:numCache>
            </c:numRef>
          </c:val>
        </c:ser>
        <c:gapWidth val="60"/>
        <c:overlap val="100"/>
        <c:axId val="70572940"/>
        <c:axId val="20180088"/>
      </c:barChart>
      <c:catAx>
        <c:axId val="70572940"/>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20180088"/>
        <c:crosses val="autoZero"/>
        <c:auto val="1"/>
        <c:lblAlgn val="ctr"/>
        <c:lblOffset val="100"/>
        <c:noMultiLvlLbl val="0"/>
      </c:catAx>
      <c:valAx>
        <c:axId val="20180088"/>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705729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 Net present worth vs. discount rate (TDOT 3%, FAA AIP 7%)</a:t>
            </a:r>
          </a:p>
        </c:rich>
      </c:tx>
      <c:overlay val="0"/>
      <c:spPr>
        <a:noFill/>
        <a:ln w="0">
          <a:noFill/>
        </a:ln>
      </c:spPr>
    </c:title>
    <c:autoTitleDeleted val="0"/>
    <c:plotArea>
      <c:lineChart>
        <c:grouping val="standard"/>
        <c:varyColors val="0"/>
        <c:ser>
          <c:idx val="0"/>
          <c:order val="0"/>
          <c:tx>
            <c:strRef>
              <c:f>Summary!X11</c:f>
              <c:strCache>
                <c:ptCount val="1"/>
                <c:pt idx="0">
                  <c:v>Alternative 1</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Summary!$X$12:$X$36</c:f>
              <c:numCache>
                <c:formatCode>\$#,##0;"($"#,##0\);\-</c:formatCode>
                <c:ptCount val="25"/>
                <c:pt idx="0">
                  <c:v>10262552.894263</c:v>
                </c:pt>
                <c:pt idx="1">
                  <c:v>10146264.598081</c:v>
                </c:pt>
                <c:pt idx="2">
                  <c:v>10035470.4285864</c:v>
                </c:pt>
                <c:pt idx="3">
                  <c:v>9929881.09618256</c:v>
                </c:pt>
                <c:pt idx="4">
                  <c:v>9829223.74547321</c:v>
                </c:pt>
                <c:pt idx="5">
                  <c:v>9733240.96335756</c:v>
                </c:pt>
                <c:pt idx="6">
                  <c:v>9641689.85014773</c:v>
                </c:pt>
                <c:pt idx="7">
                  <c:v>9554341.14952141</c:v>
                </c:pt>
                <c:pt idx="8">
                  <c:v>9470978.43341119</c:v>
                </c:pt>
                <c:pt idx="9">
                  <c:v>9391397.33820115</c:v>
                </c:pt>
                <c:pt idx="10">
                  <c:v>9315404.84885081</c:v>
                </c:pt>
                <c:pt idx="11">
                  <c:v>9242818.62779832</c:v>
                </c:pt>
                <c:pt idx="12">
                  <c:v>9173466.38571005</c:v>
                </c:pt>
                <c:pt idx="13">
                  <c:v>9107185.29134381</c:v>
                </c:pt>
                <c:pt idx="14">
                  <c:v>9043821.41797902</c:v>
                </c:pt>
                <c:pt idx="15">
                  <c:v>8983229.22403956</c:v>
                </c:pt>
                <c:pt idx="16">
                  <c:v>8925271.06569606</c:v>
                </c:pt>
                <c:pt idx="17">
                  <c:v>8869816.73938347</c:v>
                </c:pt>
                <c:pt idx="18">
                  <c:v>8816743.0523088</c:v>
                </c:pt>
                <c:pt idx="19">
                  <c:v>8765933.419153</c:v>
                </c:pt>
                <c:pt idx="20">
                  <c:v>8717277.48329128</c:v>
                </c:pt>
                <c:pt idx="21">
                  <c:v>8670670.76096791</c:v>
                </c:pt>
                <c:pt idx="22">
                  <c:v>8626014.30696557</c:v>
                </c:pt>
                <c:pt idx="23">
                  <c:v>8583214.40040654</c:v>
                </c:pt>
                <c:pt idx="24">
                  <c:v>8542182.24941267</c:v>
                </c:pt>
              </c:numCache>
            </c:numRef>
          </c:val>
          <c:smooth val="0"/>
        </c:ser>
        <c:ser>
          <c:idx val="1"/>
          <c:order val="1"/>
          <c:tx>
            <c:strRef>
              <c:f>Summary!Y11</c:f>
              <c:strCache>
                <c:ptCount val="1"/>
                <c:pt idx="0">
                  <c:v>Alternative 2</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Summary!$Y$12:$Y$36</c:f>
              <c:numCache>
                <c:formatCode>\$#,##0;"($"#,##0\);\-</c:formatCode>
                <c:ptCount val="25"/>
                <c:pt idx="0">
                  <c:v>9127262.70353926</c:v>
                </c:pt>
                <c:pt idx="1">
                  <c:v>9143740.59930613</c:v>
                </c:pt>
                <c:pt idx="2">
                  <c:v>9157977.79503656</c:v>
                </c:pt>
                <c:pt idx="3">
                  <c:v>9170197.41405273</c:v>
                </c:pt>
                <c:pt idx="4">
                  <c:v>9180602.24949232</c:v>
                </c:pt>
                <c:pt idx="5">
                  <c:v>9189376.56426341</c:v>
                </c:pt>
                <c:pt idx="6">
                  <c:v>9196687.73240377</c:v>
                </c:pt>
                <c:pt idx="7">
                  <c:v>9202687.7359094</c:v>
                </c:pt>
                <c:pt idx="8">
                  <c:v>9207514.52983484</c:v>
                </c:pt>
                <c:pt idx="9">
                  <c:v>9211293.28731988</c:v>
                </c:pt>
                <c:pt idx="10">
                  <c:v>9214137.53515365</c:v>
                </c:pt>
                <c:pt idx="11">
                  <c:v>9216150.18953936</c:v>
                </c:pt>
                <c:pt idx="12">
                  <c:v>9217424.50085983</c:v>
                </c:pt>
                <c:pt idx="13">
                  <c:v>9218044.91546017</c:v>
                </c:pt>
                <c:pt idx="14">
                  <c:v>9218087.86175034</c:v>
                </c:pt>
                <c:pt idx="15">
                  <c:v>9217622.46728144</c:v>
                </c:pt>
                <c:pt idx="16">
                  <c:v>9216711.21285899</c:v>
                </c:pt>
                <c:pt idx="17">
                  <c:v>9215410.52921935</c:v>
                </c:pt>
                <c:pt idx="18">
                  <c:v>9213771.34130587</c:v>
                </c:pt>
                <c:pt idx="19">
                  <c:v>9211839.56473663</c:v>
                </c:pt>
                <c:pt idx="20">
                  <c:v>9209656.55864997</c:v>
                </c:pt>
                <c:pt idx="21">
                  <c:v>9207259.53874488</c:v>
                </c:pt>
                <c:pt idx="22">
                  <c:v>9204681.95399732</c:v>
                </c:pt>
                <c:pt idx="23">
                  <c:v>9201953.83022717</c:v>
                </c:pt>
                <c:pt idx="24">
                  <c:v>9199102.08341167</c:v>
                </c:pt>
              </c:numCache>
            </c:numRef>
          </c:val>
          <c:smooth val="0"/>
        </c:ser>
        <c:ser>
          <c:idx val="2"/>
          <c:order val="2"/>
          <c:tx>
            <c:strRef>
              <c:f>Summary!Z11</c:f>
              <c:strCache>
                <c:ptCount val="1"/>
                <c:pt idx="0">
                  <c:v>Alt 3</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Summary!$Z$12:$Z$36</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ser>
        <c:ser>
          <c:idx val="3"/>
          <c:order val="3"/>
          <c:tx>
            <c:strRef>
              <c:f>Summary!AA11</c:f>
              <c:strCache>
                <c:ptCount val="1"/>
                <c:pt idx="0">
                  <c:v>Alt 4</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Summary!$AA$12:$AA$36</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ser>
        <c:hiLowLines>
          <c:spPr>
            <a:ln w="0">
              <a:noFill/>
            </a:ln>
          </c:spPr>
        </c:hiLowLines>
        <c:marker val="0"/>
        <c:axId val="94608116"/>
        <c:axId val="3124423"/>
      </c:lineChart>
      <c:catAx>
        <c:axId val="94608116"/>
        <c:scaling>
          <c:orientation val="minMax"/>
        </c:scaling>
        <c:delete val="0"/>
        <c:axPos val="b"/>
        <c:numFmt formatCode="0.0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124423"/>
        <c:crosses val="autoZero"/>
        <c:auto val="1"/>
        <c:lblAlgn val="ctr"/>
        <c:lblOffset val="100"/>
        <c:noMultiLvlLbl val="0"/>
      </c:catAx>
      <c:valAx>
        <c:axId val="3124423"/>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946081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3. Expenditure stream by calendar year (undiscounted)</a:t>
            </a:r>
          </a:p>
        </c:rich>
      </c:tx>
      <c:overlay val="0"/>
      <c:spPr>
        <a:noFill/>
        <a:ln w="0">
          <a:noFill/>
        </a:ln>
      </c:spPr>
    </c:title>
    <c:autoTitleDeleted val="0"/>
    <c:plotArea>
      <c:barChart>
        <c:barDir val="col"/>
        <c:grouping val="clustered"/>
        <c:varyColors val="0"/>
        <c:ser>
          <c:idx val="0"/>
          <c:order val="0"/>
          <c:tx>
            <c:strRef>
              <c:f>Summary!Y40</c:f>
              <c:strCache>
                <c:ptCount val="1"/>
                <c:pt idx="0">
                  <c:v>Alternative 1 spend</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Summary!$Y$41:$Y$71</c:f>
              <c:numCache>
                <c:formatCode>\$#,##0;"($"#,##0\);\-</c:formatCode>
                <c:ptCount val="31"/>
                <c:pt idx="0">
                  <c:v>7268437</c:v>
                </c:pt>
                <c:pt idx="1">
                  <c:v>0</c:v>
                </c:pt>
                <c:pt idx="2">
                  <c:v>0</c:v>
                </c:pt>
                <c:pt idx="3">
                  <c:v>0</c:v>
                </c:pt>
                <c:pt idx="4">
                  <c:v>354260.596666667</c:v>
                </c:pt>
                <c:pt idx="5">
                  <c:v>0</c:v>
                </c:pt>
                <c:pt idx="6">
                  <c:v>0</c:v>
                </c:pt>
                <c:pt idx="7">
                  <c:v>0</c:v>
                </c:pt>
                <c:pt idx="8">
                  <c:v>354260.596666667</c:v>
                </c:pt>
                <c:pt idx="9">
                  <c:v>0</c:v>
                </c:pt>
                <c:pt idx="10">
                  <c:v>0</c:v>
                </c:pt>
                <c:pt idx="11">
                  <c:v>0</c:v>
                </c:pt>
                <c:pt idx="12">
                  <c:v>494427.545104167</c:v>
                </c:pt>
                <c:pt idx="13">
                  <c:v>0</c:v>
                </c:pt>
                <c:pt idx="14">
                  <c:v>0</c:v>
                </c:pt>
                <c:pt idx="15">
                  <c:v>0</c:v>
                </c:pt>
                <c:pt idx="16">
                  <c:v>515990.152916667</c:v>
                </c:pt>
                <c:pt idx="17">
                  <c:v>0</c:v>
                </c:pt>
                <c:pt idx="18">
                  <c:v>0</c:v>
                </c:pt>
                <c:pt idx="19">
                  <c:v>0</c:v>
                </c:pt>
                <c:pt idx="20">
                  <c:v>1757615.166125</c:v>
                </c:pt>
                <c:pt idx="21">
                  <c:v>0</c:v>
                </c:pt>
                <c:pt idx="22">
                  <c:v>0</c:v>
                </c:pt>
                <c:pt idx="23">
                  <c:v>0</c:v>
                </c:pt>
                <c:pt idx="24">
                  <c:v>354260.596666667</c:v>
                </c:pt>
                <c:pt idx="25">
                  <c:v>0</c:v>
                </c:pt>
                <c:pt idx="26">
                  <c:v>0</c:v>
                </c:pt>
                <c:pt idx="27">
                  <c:v>0</c:v>
                </c:pt>
                <c:pt idx="28">
                  <c:v>544452.795229167</c:v>
                </c:pt>
                <c:pt idx="29">
                  <c:v>0</c:v>
                </c:pt>
                <c:pt idx="30">
                  <c:v>-212008.344515625</c:v>
                </c:pt>
              </c:numCache>
            </c:numRef>
          </c:val>
        </c:ser>
        <c:ser>
          <c:idx val="1"/>
          <c:order val="1"/>
          <c:tx>
            <c:strRef>
              <c:f>Summary!Z40</c:f>
              <c:strCache>
                <c:ptCount val="1"/>
                <c:pt idx="0">
                  <c:v>Alternative 2 spend</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Summary!$Z$41:$Z$71</c:f>
              <c:numCache>
                <c:formatCode>\$#,##0;"($"#,##0\);\-</c:formatCode>
                <c:ptCount val="31"/>
                <c:pt idx="0">
                  <c:v>9062465.75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948718.4816</c:v>
                </c:pt>
                <c:pt idx="20">
                  <c:v>0</c:v>
                </c:pt>
                <c:pt idx="21">
                  <c:v>0</c:v>
                </c:pt>
                <c:pt idx="22">
                  <c:v>0</c:v>
                </c:pt>
                <c:pt idx="23">
                  <c:v>0</c:v>
                </c:pt>
                <c:pt idx="24">
                  <c:v>0</c:v>
                </c:pt>
                <c:pt idx="25">
                  <c:v>0</c:v>
                </c:pt>
                <c:pt idx="26">
                  <c:v>0</c:v>
                </c:pt>
                <c:pt idx="27">
                  <c:v>1133967.1054</c:v>
                </c:pt>
                <c:pt idx="28">
                  <c:v>0</c:v>
                </c:pt>
                <c:pt idx="29">
                  <c:v>0</c:v>
                </c:pt>
                <c:pt idx="30">
                  <c:v>-2265616.4375</c:v>
                </c:pt>
              </c:numCache>
            </c:numRef>
          </c:val>
        </c:ser>
        <c:ser>
          <c:idx val="2"/>
          <c:order val="2"/>
          <c:tx>
            <c:strRef>
              <c:f>Summary!AA40</c:f>
              <c:strCache>
                <c:ptCount val="1"/>
                <c:pt idx="0">
                  <c:v>Alt 3 spend</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Summary!$AA$41:$AA$71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ser>
          <c:idx val="3"/>
          <c:order val="3"/>
          <c:tx>
            <c:strRef>
              <c:f>Summary!AB40</c:f>
              <c:strCache>
                <c:ptCount val="1"/>
                <c:pt idx="0">
                  <c:v>Alt 4 spend</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Summary!$AB$41:$AB$71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gapWidth val="40"/>
        <c:overlap val="0"/>
        <c:axId val="35616523"/>
        <c:axId val="45941584"/>
      </c:barChart>
      <c:catAx>
        <c:axId val="35616523"/>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45941584"/>
        <c:crosses val="autoZero"/>
        <c:auto val="1"/>
        <c:lblAlgn val="ctr"/>
        <c:lblOffset val="100"/>
        <c:noMultiLvlLbl val="0"/>
      </c:catAx>
      <c:valAx>
        <c:axId val="45941584"/>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561652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4. Cumulative discounted cost</a:t>
            </a:r>
          </a:p>
        </c:rich>
      </c:tx>
      <c:overlay val="0"/>
      <c:spPr>
        <a:noFill/>
        <a:ln w="0">
          <a:noFill/>
        </a:ln>
      </c:spPr>
    </c:title>
    <c:autoTitleDeleted val="0"/>
    <c:plotArea>
      <c:lineChart>
        <c:grouping val="standard"/>
        <c:varyColors val="0"/>
        <c:ser>
          <c:idx val="0"/>
          <c:order val="0"/>
          <c:tx>
            <c:strRef>
              <c:f>Summary!AC40</c:f>
              <c:strCache>
                <c:ptCount val="1"/>
                <c:pt idx="0">
                  <c:v>Alternative 1 cumulative PW</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Summary!$AC$41:$AC$71</c:f>
              <c:numCache>
                <c:formatCode>\$#,##0;"($"#,##0\);\-</c:formatCode>
                <c:ptCount val="31"/>
                <c:pt idx="0">
                  <c:v>7268437</c:v>
                </c:pt>
                <c:pt idx="1">
                  <c:v>7268437</c:v>
                </c:pt>
                <c:pt idx="2">
                  <c:v>7268437</c:v>
                </c:pt>
                <c:pt idx="3">
                  <c:v>7268437</c:v>
                </c:pt>
                <c:pt idx="4">
                  <c:v>7583192.95172522</c:v>
                </c:pt>
                <c:pt idx="5">
                  <c:v>7583192.95172522</c:v>
                </c:pt>
                <c:pt idx="6">
                  <c:v>7583192.95172522</c:v>
                </c:pt>
                <c:pt idx="7">
                  <c:v>7583192.95172522</c:v>
                </c:pt>
                <c:pt idx="8">
                  <c:v>7862849.53808745</c:v>
                </c:pt>
                <c:pt idx="9">
                  <c:v>7862849.53808745</c:v>
                </c:pt>
                <c:pt idx="10">
                  <c:v>7862849.53808745</c:v>
                </c:pt>
                <c:pt idx="11">
                  <c:v>7862849.53808745</c:v>
                </c:pt>
                <c:pt idx="12">
                  <c:v>8209631.07043672</c:v>
                </c:pt>
                <c:pt idx="13">
                  <c:v>8209631.07043672</c:v>
                </c:pt>
                <c:pt idx="14">
                  <c:v>8209631.07043672</c:v>
                </c:pt>
                <c:pt idx="15">
                  <c:v>8209631.07043672</c:v>
                </c:pt>
                <c:pt idx="16">
                  <c:v>8531179.07469751</c:v>
                </c:pt>
                <c:pt idx="17">
                  <c:v>8531179.07469751</c:v>
                </c:pt>
                <c:pt idx="18">
                  <c:v>8531179.07469751</c:v>
                </c:pt>
                <c:pt idx="19">
                  <c:v>8531179.07469751</c:v>
                </c:pt>
                <c:pt idx="20">
                  <c:v>9504327.97737111</c:v>
                </c:pt>
                <c:pt idx="21">
                  <c:v>9504327.97737111</c:v>
                </c:pt>
                <c:pt idx="22">
                  <c:v>9504327.97737111</c:v>
                </c:pt>
                <c:pt idx="23">
                  <c:v>9504327.97737111</c:v>
                </c:pt>
                <c:pt idx="24">
                  <c:v>9678600.71632721</c:v>
                </c:pt>
                <c:pt idx="25">
                  <c:v>9678600.71632721</c:v>
                </c:pt>
                <c:pt idx="26">
                  <c:v>9678600.71632721</c:v>
                </c:pt>
                <c:pt idx="27">
                  <c:v>9678600.71632721</c:v>
                </c:pt>
                <c:pt idx="28">
                  <c:v>9916568.37632054</c:v>
                </c:pt>
                <c:pt idx="29">
                  <c:v>9916568.37632054</c:v>
                </c:pt>
                <c:pt idx="30">
                  <c:v>9829223.74547321</c:v>
                </c:pt>
              </c:numCache>
            </c:numRef>
          </c:val>
          <c:smooth val="0"/>
        </c:ser>
        <c:ser>
          <c:idx val="1"/>
          <c:order val="1"/>
          <c:tx>
            <c:strRef>
              <c:f>Summary!AD40</c:f>
              <c:strCache>
                <c:ptCount val="1"/>
                <c:pt idx="0">
                  <c:v>Alternative 2 cumulative PW</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Summary!$AD$41:$AD$71</c:f>
              <c:numCache>
                <c:formatCode>\$#,##0;"($"#,##0\);\-</c:formatCode>
                <c:ptCount val="31"/>
                <c:pt idx="0">
                  <c:v>9062465.75</c:v>
                </c:pt>
                <c:pt idx="1">
                  <c:v>9062465.75</c:v>
                </c:pt>
                <c:pt idx="2">
                  <c:v>9062465.75</c:v>
                </c:pt>
                <c:pt idx="3">
                  <c:v>9062465.75</c:v>
                </c:pt>
                <c:pt idx="4">
                  <c:v>9062465.75</c:v>
                </c:pt>
                <c:pt idx="5">
                  <c:v>9062465.75</c:v>
                </c:pt>
                <c:pt idx="6">
                  <c:v>9062465.75</c:v>
                </c:pt>
                <c:pt idx="7">
                  <c:v>9062465.75</c:v>
                </c:pt>
                <c:pt idx="8">
                  <c:v>9062465.75</c:v>
                </c:pt>
                <c:pt idx="9">
                  <c:v>9062465.75</c:v>
                </c:pt>
                <c:pt idx="10">
                  <c:v>9062465.75</c:v>
                </c:pt>
                <c:pt idx="11">
                  <c:v>9062465.75</c:v>
                </c:pt>
                <c:pt idx="12">
                  <c:v>9062465.75</c:v>
                </c:pt>
                <c:pt idx="13">
                  <c:v>9062465.75</c:v>
                </c:pt>
                <c:pt idx="14">
                  <c:v>9062465.75</c:v>
                </c:pt>
                <c:pt idx="15">
                  <c:v>9062465.75</c:v>
                </c:pt>
                <c:pt idx="16">
                  <c:v>9062465.75</c:v>
                </c:pt>
                <c:pt idx="17">
                  <c:v>9062465.75</c:v>
                </c:pt>
                <c:pt idx="18">
                  <c:v>9062465.75</c:v>
                </c:pt>
                <c:pt idx="19">
                  <c:v>9603506.64343471</c:v>
                </c:pt>
                <c:pt idx="20">
                  <c:v>9603506.64343471</c:v>
                </c:pt>
                <c:pt idx="21">
                  <c:v>9603506.64343471</c:v>
                </c:pt>
                <c:pt idx="22">
                  <c:v>9603506.64343471</c:v>
                </c:pt>
                <c:pt idx="23">
                  <c:v>9603506.64343471</c:v>
                </c:pt>
                <c:pt idx="24">
                  <c:v>9603506.64343471</c:v>
                </c:pt>
                <c:pt idx="25">
                  <c:v>9603506.64343471</c:v>
                </c:pt>
                <c:pt idx="26">
                  <c:v>9603506.64343471</c:v>
                </c:pt>
                <c:pt idx="27">
                  <c:v>10114006.2238839</c:v>
                </c:pt>
                <c:pt idx="28">
                  <c:v>10114006.2238839</c:v>
                </c:pt>
                <c:pt idx="29">
                  <c:v>10114006.2238839</c:v>
                </c:pt>
                <c:pt idx="30">
                  <c:v>9180602.24949232</c:v>
                </c:pt>
              </c:numCache>
            </c:numRef>
          </c:val>
          <c:smooth val="0"/>
        </c:ser>
        <c:ser>
          <c:idx val="2"/>
          <c:order val="2"/>
          <c:tx>
            <c:strRef>
              <c:f>Summary!AE40</c:f>
              <c:strCache>
                <c:ptCount val="1"/>
                <c:pt idx="0">
                  <c:v>Alt 3 cumulative PW</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Summary!$AE$41:$AE$71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3"/>
          <c:order val="3"/>
          <c:tx>
            <c:strRef>
              <c:f>Summary!AF40</c:f>
              <c:strCache>
                <c:ptCount val="1"/>
                <c:pt idx="0">
                  <c:v>Alt 4 cumulative PW</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Summary!$AF$41:$AF$71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98182108"/>
        <c:axId val="95921218"/>
      </c:lineChart>
      <c:catAx>
        <c:axId val="98182108"/>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95921218"/>
        <c:crosses val="autoZero"/>
        <c:auto val="1"/>
        <c:lblAlgn val="ctr"/>
        <c:lblOffset val="100"/>
        <c:noMultiLvlLbl val="0"/>
      </c:catAx>
      <c:valAx>
        <c:axId val="95921218"/>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981821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5. Runway closure days by calendar year</a:t>
            </a:r>
          </a:p>
        </c:rich>
      </c:tx>
      <c:overlay val="0"/>
      <c:spPr>
        <a:noFill/>
        <a:ln w="0">
          <a:noFill/>
        </a:ln>
      </c:spPr>
    </c:title>
    <c:autoTitleDeleted val="0"/>
    <c:plotArea>
      <c:barChart>
        <c:barDir val="col"/>
        <c:grouping val="clustered"/>
        <c:varyColors val="0"/>
        <c:ser>
          <c:idx val="0"/>
          <c:order val="0"/>
          <c:tx>
            <c:strRef>
              <c:f>Summary!AG40</c:f>
              <c:strCache>
                <c:ptCount val="1"/>
                <c:pt idx="0">
                  <c:v>Alternative 1 closure days</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Summary!$AG$41:$AG$71</c:f>
              <c:numCache>
                <c:formatCode>0</c:formatCode>
                <c:ptCount val="31"/>
                <c:pt idx="0">
                  <c:v>0</c:v>
                </c:pt>
                <c:pt idx="1">
                  <c:v>0</c:v>
                </c:pt>
                <c:pt idx="2">
                  <c:v>0</c:v>
                </c:pt>
                <c:pt idx="3">
                  <c:v>0</c:v>
                </c:pt>
                <c:pt idx="4">
                  <c:v>7</c:v>
                </c:pt>
                <c:pt idx="5">
                  <c:v>0</c:v>
                </c:pt>
                <c:pt idx="6">
                  <c:v>0</c:v>
                </c:pt>
                <c:pt idx="7">
                  <c:v>0</c:v>
                </c:pt>
                <c:pt idx="8">
                  <c:v>7</c:v>
                </c:pt>
                <c:pt idx="9">
                  <c:v>0</c:v>
                </c:pt>
                <c:pt idx="10">
                  <c:v>0</c:v>
                </c:pt>
                <c:pt idx="11">
                  <c:v>0</c:v>
                </c:pt>
                <c:pt idx="12">
                  <c:v>9</c:v>
                </c:pt>
                <c:pt idx="13">
                  <c:v>0</c:v>
                </c:pt>
                <c:pt idx="14">
                  <c:v>0</c:v>
                </c:pt>
                <c:pt idx="15">
                  <c:v>0</c:v>
                </c:pt>
                <c:pt idx="16">
                  <c:v>9</c:v>
                </c:pt>
                <c:pt idx="17">
                  <c:v>0</c:v>
                </c:pt>
                <c:pt idx="18">
                  <c:v>0</c:v>
                </c:pt>
                <c:pt idx="19">
                  <c:v>0</c:v>
                </c:pt>
                <c:pt idx="20">
                  <c:v>19</c:v>
                </c:pt>
                <c:pt idx="21">
                  <c:v>0</c:v>
                </c:pt>
                <c:pt idx="22">
                  <c:v>0</c:v>
                </c:pt>
                <c:pt idx="23">
                  <c:v>0</c:v>
                </c:pt>
                <c:pt idx="24">
                  <c:v>7</c:v>
                </c:pt>
                <c:pt idx="25">
                  <c:v>0</c:v>
                </c:pt>
                <c:pt idx="26">
                  <c:v>0</c:v>
                </c:pt>
                <c:pt idx="27">
                  <c:v>0</c:v>
                </c:pt>
                <c:pt idx="28">
                  <c:v>9</c:v>
                </c:pt>
                <c:pt idx="29">
                  <c:v>0</c:v>
                </c:pt>
                <c:pt idx="30">
                  <c:v>0</c:v>
                </c:pt>
              </c:numCache>
            </c:numRef>
          </c:val>
        </c:ser>
        <c:ser>
          <c:idx val="1"/>
          <c:order val="1"/>
          <c:tx>
            <c:strRef>
              <c:f>Summary!AH40</c:f>
              <c:strCache>
                <c:ptCount val="1"/>
                <c:pt idx="0">
                  <c:v>Alternative 2 closure days</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Summary!$AH$41:$AH$71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10</c:v>
                </c:pt>
                <c:pt idx="20">
                  <c:v>0</c:v>
                </c:pt>
                <c:pt idx="21">
                  <c:v>0</c:v>
                </c:pt>
                <c:pt idx="22">
                  <c:v>0</c:v>
                </c:pt>
                <c:pt idx="23">
                  <c:v>0</c:v>
                </c:pt>
                <c:pt idx="24">
                  <c:v>0</c:v>
                </c:pt>
                <c:pt idx="25">
                  <c:v>0</c:v>
                </c:pt>
                <c:pt idx="26">
                  <c:v>0</c:v>
                </c:pt>
                <c:pt idx="27">
                  <c:v>19</c:v>
                </c:pt>
                <c:pt idx="28">
                  <c:v>0</c:v>
                </c:pt>
                <c:pt idx="29">
                  <c:v>0</c:v>
                </c:pt>
                <c:pt idx="30">
                  <c:v>0</c:v>
                </c:pt>
              </c:numCache>
            </c:numRef>
          </c:val>
        </c:ser>
        <c:ser>
          <c:idx val="2"/>
          <c:order val="2"/>
          <c:tx>
            <c:strRef>
              <c:f>Summary!AI40</c:f>
              <c:strCache>
                <c:ptCount val="1"/>
                <c:pt idx="0">
                  <c:v>Alt 3 closure days</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Summary!$AI$41:$AI$71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ser>
          <c:idx val="3"/>
          <c:order val="3"/>
          <c:tx>
            <c:strRef>
              <c:f>Summary!AJ40</c:f>
              <c:strCache>
                <c:ptCount val="1"/>
                <c:pt idx="0">
                  <c:v>Alt 4 closure days</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Summary!$AJ$41:$AJ$71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gapWidth val="40"/>
        <c:overlap val="0"/>
        <c:axId val="2779653"/>
        <c:axId val="46411984"/>
      </c:barChart>
      <c:catAx>
        <c:axId val="2779653"/>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46411984"/>
        <c:crosses val="autoZero"/>
        <c:auto val="1"/>
        <c:lblAlgn val="ctr"/>
        <c:lblOffset val="100"/>
        <c:noMultiLvlLbl val="0"/>
      </c:catAx>
      <c:valAx>
        <c:axId val="46411984"/>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277965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'TMP(NewHMA)_IndirectCost'!$L$37:$L$67</c:f>
              <c:numCache>
                <c:formatCode>\$#,##0</c:formatCode>
                <c:ptCount val="31"/>
                <c:pt idx="0">
                  <c:v>0</c:v>
                </c:pt>
                <c:pt idx="1">
                  <c:v>0</c:v>
                </c:pt>
                <c:pt idx="2">
                  <c:v>0</c:v>
                </c:pt>
                <c:pt idx="3">
                  <c:v>0</c:v>
                </c:pt>
                <c:pt idx="4">
                  <c:v>331584.866666667</c:v>
                </c:pt>
                <c:pt idx="5">
                  <c:v>0</c:v>
                </c:pt>
                <c:pt idx="6">
                  <c:v>0</c:v>
                </c:pt>
                <c:pt idx="7">
                  <c:v>0</c:v>
                </c:pt>
                <c:pt idx="8">
                  <c:v>331584.866666667</c:v>
                </c:pt>
                <c:pt idx="9">
                  <c:v>0</c:v>
                </c:pt>
                <c:pt idx="10">
                  <c:v>0</c:v>
                </c:pt>
                <c:pt idx="11">
                  <c:v>0</c:v>
                </c:pt>
                <c:pt idx="12">
                  <c:v>465273.035104167</c:v>
                </c:pt>
                <c:pt idx="13">
                  <c:v>0</c:v>
                </c:pt>
                <c:pt idx="14">
                  <c:v>0</c:v>
                </c:pt>
                <c:pt idx="15">
                  <c:v>0</c:v>
                </c:pt>
                <c:pt idx="16">
                  <c:v>486835.642916667</c:v>
                </c:pt>
                <c:pt idx="17">
                  <c:v>0</c:v>
                </c:pt>
                <c:pt idx="18">
                  <c:v>0</c:v>
                </c:pt>
                <c:pt idx="19">
                  <c:v>0</c:v>
                </c:pt>
                <c:pt idx="20">
                  <c:v>1696066.756125</c:v>
                </c:pt>
                <c:pt idx="21">
                  <c:v>0</c:v>
                </c:pt>
                <c:pt idx="22">
                  <c:v>0</c:v>
                </c:pt>
                <c:pt idx="23">
                  <c:v>0</c:v>
                </c:pt>
                <c:pt idx="24">
                  <c:v>331584.866666667</c:v>
                </c:pt>
                <c:pt idx="25">
                  <c:v>0</c:v>
                </c:pt>
                <c:pt idx="26">
                  <c:v>0</c:v>
                </c:pt>
                <c:pt idx="27">
                  <c:v>0</c:v>
                </c:pt>
                <c:pt idx="28">
                  <c:v>515298.285229167</c:v>
                </c:pt>
                <c:pt idx="29">
                  <c:v>0</c:v>
                </c:pt>
                <c:pt idx="30">
                  <c:v>-212008.344515625</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'TMP(NewHMA)_IndirectCost'!$M$37:$M$67</c:f>
              <c:numCache>
                <c:formatCode>\$#,##0</c:formatCode>
                <c:ptCount val="31"/>
                <c:pt idx="0">
                  <c:v>0</c:v>
                </c:pt>
                <c:pt idx="1">
                  <c:v>0</c:v>
                </c:pt>
                <c:pt idx="2">
                  <c:v>0</c:v>
                </c:pt>
                <c:pt idx="3">
                  <c:v>0</c:v>
                </c:pt>
                <c:pt idx="4">
                  <c:v>22675.73</c:v>
                </c:pt>
                <c:pt idx="5">
                  <c:v>0</c:v>
                </c:pt>
                <c:pt idx="6">
                  <c:v>0</c:v>
                </c:pt>
                <c:pt idx="7">
                  <c:v>0</c:v>
                </c:pt>
                <c:pt idx="8">
                  <c:v>22675.73</c:v>
                </c:pt>
                <c:pt idx="9">
                  <c:v>0</c:v>
                </c:pt>
                <c:pt idx="10">
                  <c:v>0</c:v>
                </c:pt>
                <c:pt idx="11">
                  <c:v>0</c:v>
                </c:pt>
                <c:pt idx="12">
                  <c:v>29154.51</c:v>
                </c:pt>
                <c:pt idx="13">
                  <c:v>0</c:v>
                </c:pt>
                <c:pt idx="14">
                  <c:v>0</c:v>
                </c:pt>
                <c:pt idx="15">
                  <c:v>0</c:v>
                </c:pt>
                <c:pt idx="16">
                  <c:v>29154.51</c:v>
                </c:pt>
                <c:pt idx="17">
                  <c:v>0</c:v>
                </c:pt>
                <c:pt idx="18">
                  <c:v>0</c:v>
                </c:pt>
                <c:pt idx="19">
                  <c:v>0</c:v>
                </c:pt>
                <c:pt idx="20">
                  <c:v>61548.41</c:v>
                </c:pt>
                <c:pt idx="21">
                  <c:v>0</c:v>
                </c:pt>
                <c:pt idx="22">
                  <c:v>0</c:v>
                </c:pt>
                <c:pt idx="23">
                  <c:v>0</c:v>
                </c:pt>
                <c:pt idx="24">
                  <c:v>22675.73</c:v>
                </c:pt>
                <c:pt idx="25">
                  <c:v>0</c:v>
                </c:pt>
                <c:pt idx="26">
                  <c:v>0</c:v>
                </c:pt>
                <c:pt idx="27">
                  <c:v>0</c:v>
                </c:pt>
                <c:pt idx="28">
                  <c:v>29154.51</c:v>
                </c:pt>
                <c:pt idx="29">
                  <c:v>0</c:v>
                </c:pt>
                <c:pt idx="30">
                  <c:v>0</c:v>
                </c:pt>
              </c:numCache>
            </c:numRef>
          </c:val>
        </c:ser>
        <c:gapWidth val="219"/>
        <c:overlap val="100"/>
        <c:axId val="30440666"/>
        <c:axId val="43123291"/>
      </c:barChart>
      <c:catAx>
        <c:axId val="30440666"/>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3123291"/>
        <c:crosses val="autoZero"/>
        <c:auto val="1"/>
        <c:lblAlgn val="ctr"/>
        <c:lblOffset val="100"/>
        <c:noMultiLvlLbl val="0"/>
      </c:catAx>
      <c:valAx>
        <c:axId val="43123291"/>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30440666"/>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916324.5816</c:v>
                </c:pt>
                <c:pt idx="20">
                  <c:v>0</c:v>
                </c:pt>
                <c:pt idx="21">
                  <c:v>0</c:v>
                </c:pt>
                <c:pt idx="22">
                  <c:v>0</c:v>
                </c:pt>
                <c:pt idx="23">
                  <c:v>0</c:v>
                </c:pt>
                <c:pt idx="24">
                  <c:v>0</c:v>
                </c:pt>
                <c:pt idx="25">
                  <c:v>0</c:v>
                </c:pt>
                <c:pt idx="26">
                  <c:v>0</c:v>
                </c:pt>
                <c:pt idx="27">
                  <c:v>1072418.6954</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32393.9</c:v>
                </c:pt>
                <c:pt idx="20">
                  <c:v>0</c:v>
                </c:pt>
                <c:pt idx="21">
                  <c:v>0</c:v>
                </c:pt>
                <c:pt idx="22">
                  <c:v>0</c:v>
                </c:pt>
                <c:pt idx="23">
                  <c:v>0</c:v>
                </c:pt>
                <c:pt idx="24">
                  <c:v>0</c:v>
                </c:pt>
                <c:pt idx="25">
                  <c:v>0</c:v>
                </c:pt>
                <c:pt idx="26">
                  <c:v>0</c:v>
                </c:pt>
                <c:pt idx="27">
                  <c:v>61548.41</c:v>
                </c:pt>
                <c:pt idx="28">
                  <c:v>0</c:v>
                </c:pt>
                <c:pt idx="29">
                  <c:v>0</c:v>
                </c:pt>
                <c:pt idx="30">
                  <c:v>0</c:v>
                </c:pt>
              </c:numCache>
            </c:numRef>
          </c:val>
        </c:ser>
        <c:gapWidth val="219"/>
        <c:overlap val="100"/>
        <c:axId val="83465546"/>
        <c:axId val="46643295"/>
      </c:barChart>
      <c:catAx>
        <c:axId val="83465546"/>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6643295"/>
        <c:crosses val="autoZero"/>
        <c:auto val="1"/>
        <c:lblAlgn val="ctr"/>
        <c:lblOffset val="100"/>
        <c:noMultiLvlLbl val="0"/>
      </c:catAx>
      <c:valAx>
        <c:axId val="46643295"/>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83465546"/>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trlProps/ctrlProps5.xml><?xml version="1.0" encoding="utf-8"?>
<formControlPr xmlns="http://schemas.microsoft.com/office/spreadsheetml/2009/9/main" objectType="Button" lockText="1"/>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chart" Target="../charts/chart2.xml"/>
</Relationships>
</file>

<file path=xl/drawings/_rels/drawing8.xml.rels><?xml version="1.0" encoding="UTF-8"?>
<Relationships xmlns="http://schemas.openxmlformats.org/package/2006/relationships"><Relationship Id="rId1" Type="http://schemas.openxmlformats.org/officeDocument/2006/relationships/chart" Target="../charts/chart3.xml"/>
</Relationships>
</file>

<file path=xl/drawings/_rels/drawing9.xml.rels><?xml version="1.0" encoding="UTF-8"?>
<Relationships xmlns="http://schemas.openxmlformats.org/package/2006/relationships"><Relationship Id="rId1" Type="http://schemas.openxmlformats.org/officeDocument/2006/relationships/chart" Target="../charts/chart4.xml"/>
</Relationships>
</file>

<file path=xl/drawings/_rels/drawing10.xml.rels><?xml version="1.0" encoding="UTF-8"?>
<Relationships xmlns="http://schemas.openxmlformats.org/package/2006/relationships"><Relationship Id="rId1" Type="http://schemas.openxmlformats.org/officeDocument/2006/relationships/chart" Target="../charts/chart5.xml"/>
</Relationships>
</file>

<file path=xl/drawings/_rels/drawing11.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
</Relationships>
</file>

<file path=xl/drawings/_rels/drawing12.xml.rels><?xml version="1.0" encoding="UTF-8"?>
<Relationships xmlns="http://schemas.openxmlformats.org/package/2006/relationships"><Relationship Id="rId1" Type="http://schemas.openxmlformats.org/officeDocument/2006/relationships/chart" Target="../charts/chart12.xml"/>
</Relationships>
</file>

<file path=xl/drawings/_rels/drawing13.xml.rels><?xml version="1.0" encoding="UTF-8"?>
<Relationships xmlns="http://schemas.openxmlformats.org/package/2006/relationships"><Relationship Id="rId1"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68040</xdr:rowOff>
    </xdr:to>
    <xdr:graphicFrame>
      <xdr:nvGraphicFramePr>
        <xdr:cNvPr id="0" name="Chart 1"/>
        <xdr:cNvGraphicFramePr/>
      </xdr:nvGraphicFramePr>
      <xdr:xfrm>
        <a:off x="758880" y="941076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1</xdr:row>
      <xdr:rowOff>6480</xdr:rowOff>
    </xdr:from>
    <xdr:to>
      <xdr:col>4</xdr:col>
      <xdr:colOff>2160</xdr:colOff>
      <xdr:row>6</xdr:row>
      <xdr:rowOff>7920</xdr:rowOff>
    </xdr:to>
    <xdr:pic>
      <xdr:nvPicPr>
        <xdr:cNvPr id="1" name="Picture 1" descr=""/>
        <xdr:cNvPicPr/>
      </xdr:nvPicPr>
      <xdr:blipFill>
        <a:blip r:embed="rId1"/>
        <a:stretch/>
      </xdr:blipFill>
      <xdr:spPr>
        <a:xfrm>
          <a:off x="781200" y="168480"/>
          <a:ext cx="2319840" cy="811080"/>
        </a:xfrm>
        <a:prstGeom prst="rect">
          <a:avLst/>
        </a:prstGeom>
        <a:ln w="0">
          <a:noFill/>
        </a:ln>
      </xdr:spPr>
    </xdr:pic>
    <xdr:clientData/>
  </xdr:twoCellAnchor>
  <xdr:twoCellAnchor editAs="twoCell">
    <xdr:from>
      <xdr:col>1</xdr:col>
      <xdr:colOff>6480</xdr:colOff>
      <xdr:row>9</xdr:row>
      <xdr:rowOff>14040</xdr:rowOff>
    </xdr:from>
    <xdr:to>
      <xdr:col>13</xdr:col>
      <xdr:colOff>6120</xdr:colOff>
      <xdr:row>49</xdr:row>
      <xdr:rowOff>95760</xdr:rowOff>
    </xdr:to>
    <xdr:sp>
      <xdr:nvSpPr>
        <xdr:cNvPr id="2" name="TextBox 2"/>
        <xdr:cNvSpPr/>
      </xdr:nvSpPr>
      <xdr:spPr>
        <a:xfrm>
          <a:off x="781200" y="1498680"/>
          <a:ext cx="9295920" cy="655884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The Tennessee Department of Transportation Aeronautics Division (Aeronautics) has sponsored the development of an analytical framework that can be used by Aeronautics and its consultants to complete a reasonable life-cycle cost analysis (LCCA) of pavement rehabilitation alternatives. LCCA can be a valuable tool for comparing alternatives of varying costs and service lives. The use of a LCCA methodology helps to shift the focus in project selection away from alternatives with the lowest initial costs and toward those which have the lowest costs over the life of the pavement. This workbook assists in the development of life-cycle cost estimates for TN airport pavement reconstruction projects to assist with pavement type selection. It is not to be considered a complete Engineer's Estimate of Probable Costs.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Applied Pavement Technology, Inc. (APTech) has worked with Aeronautics to develop this LCCA framework to compare feasible reconstruction alternatives to assist with evaluating the most cost-effective options. The developed LCCA framework considers the guidelines provided in the Airfield Asphalt Pavement Technology Program’s </a:t>
          </a:r>
          <a:r>
            <a:rPr b="0" i="1" lang="en-US" sz="1100" spc="-1" strike="noStrike">
              <a:solidFill>
                <a:schemeClr val="dk1"/>
              </a:solidFill>
              <a:latin typeface="Calibri"/>
            </a:rPr>
            <a:t>Life Cycle Cost Analysis for Airport Pavements</a:t>
          </a:r>
          <a:r>
            <a:rPr b="0" lang="en-US" sz="1100" spc="-1" strike="noStrike">
              <a:solidFill>
                <a:schemeClr val="dk1"/>
              </a:solidFill>
              <a:latin typeface="Calibri"/>
            </a:rPr>
            <a:t> study (AAPTP Project 06-06) and Federal Aviation Adminimstration (FAA) guidance in Advisory Circular 150/5320-6G (at the time of this release), </a:t>
          </a:r>
          <a:r>
            <a:rPr b="0" i="1" lang="en-US" sz="1100" spc="-1" strike="noStrike">
              <a:solidFill>
                <a:schemeClr val="dk1"/>
              </a:solidFill>
              <a:latin typeface="Calibri"/>
            </a:rPr>
            <a:t>Airport Pavement Design and Evaluation</a:t>
          </a:r>
          <a:r>
            <a:rPr b="0" lang="en-US" sz="1100" spc="-1" strike="noStrike">
              <a:solidFill>
                <a:schemeClr val="dk1"/>
              </a:solidFill>
              <a:latin typeface="Calibri"/>
            </a:rPr>
            <a:t>. The developed framework considers construction (or initial) costs, future maintenance activities and their costs, intermediate rehabilitation activities and associated costs, salvage value and loss of daily operation revenue associated with pavement clossures to generate a Present Value for the alternatives.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Maintenance policies and timing have been based on analysis of data collected as part of the Tennessee Statewide Pavement Management Program (PMP) and annual maintenance program. As pavement performance data continues to be collected through the PMP, policies will be revisited. Pavement closure associated loss of revenue is accounted for as indirect cost of alternatives. The analysis period has been set to 30 years based on reviewed TN PMP and nationwide data.</a:t>
          </a:r>
          <a:endParaRPr b="0" lang="en-US" sz="1100" spc="-1" strike="noStrike">
            <a:latin typeface="Times New Roman"/>
          </a:endParaRPr>
        </a:p>
        <a:p>
          <a:pPr>
            <a:lnSpc>
              <a:spcPct val="100000"/>
            </a:lnSpc>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Depending on the durations maintenance activities, the framework has been updated to account for lost revenue associeted with limited facility uses or closures to implement repairs and rehabilitation.</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Salvage value for the pavement alternatives is based on the assumed remaining life as a percentage of construction cost. Residual value, the monetary calculation of the worth of the existing pavement at the end of the service life, while certainly adding value to recycling pavement materials at the end of their life, there are enough uncertainties associated with the suitability of the material for reuse, the future demand for the recycled material, and the costs associated with recycling the materials that residual value is not used in these calculations.</a:t>
          </a:r>
          <a:r>
            <a:rPr b="1" lang="en-US" sz="1100" spc="-1" strike="noStrike">
              <a:solidFill>
                <a:srgbClr val="ff0000"/>
              </a:solidFill>
              <a:latin typeface="Calibri"/>
            </a:rPr>
            <a:t> </a:t>
          </a:r>
          <a:endParaRPr b="0" lang="en-US" sz="1100" spc="-1" strike="noStrike">
            <a:latin typeface="Times New Roman"/>
          </a:endParaRPr>
        </a:p>
        <a:p>
          <a:pPr defTabSz="914400">
            <a:lnSpc>
              <a:spcPct val="100000"/>
            </a:lnSpc>
            <a:tabLst>
              <a:tab algn="l" pos="0"/>
            </a:tabLst>
          </a:pPr>
          <a:r>
            <a:rPr b="0" lang="en-US" sz="1200" spc="-1" strike="noStrike">
              <a:solidFill>
                <a:schemeClr val="dk1"/>
              </a:solidFill>
              <a:latin typeface="Calibri"/>
            </a:rPr>
            <a:t> </a:t>
          </a:r>
          <a:endParaRPr b="0" lang="en-US" sz="1200" spc="-1" strike="noStrike">
            <a:latin typeface="Times New Roman"/>
          </a:endParaRPr>
        </a:p>
        <a:p>
          <a:pPr defTabSz="914400">
            <a:lnSpc>
              <a:spcPct val="100000"/>
            </a:lnSpc>
            <a:tabLst>
              <a:tab algn="l" pos="0"/>
            </a:tabLst>
          </a:pPr>
          <a:r>
            <a:rPr b="0" lang="en-US" sz="1100" spc="-1" strike="noStrike">
              <a:solidFill>
                <a:schemeClr val="dk1"/>
              </a:solidFill>
              <a:latin typeface="Calibri"/>
            </a:rPr>
            <a:t>Additional analysis inputs include discount rate and contingency fees (mobilization and engineering). These have been established by Aeronautics and should only be revised after discussion with Aeronautics.</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If interested in the full report produced as part of developing this LCCA framework, contact Aeronautics.</a:t>
          </a:r>
          <a:endParaRPr b="0" lang="en-US"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1</xdr:row>
      <xdr:rowOff>6480</xdr:rowOff>
    </xdr:from>
    <xdr:to>
      <xdr:col>4</xdr:col>
      <xdr:colOff>2160</xdr:colOff>
      <xdr:row>6</xdr:row>
      <xdr:rowOff>6120</xdr:rowOff>
    </xdr:to>
    <xdr:pic>
      <xdr:nvPicPr>
        <xdr:cNvPr id="3" name="Picture 1" descr=""/>
        <xdr:cNvPicPr/>
      </xdr:nvPicPr>
      <xdr:blipFill>
        <a:blip r:embed="rId1"/>
        <a:stretch/>
      </xdr:blipFill>
      <xdr:spPr>
        <a:xfrm>
          <a:off x="781200" y="168480"/>
          <a:ext cx="2319840" cy="809280"/>
        </a:xfrm>
        <a:prstGeom prst="rect">
          <a:avLst/>
        </a:prstGeom>
        <a:ln w="0">
          <a:noFill/>
        </a:ln>
      </xdr:spPr>
    </xdr:pic>
    <xdr:clientData/>
  </xdr:twoCellAnchor>
  <xdr:twoCellAnchor editAs="twoCell">
    <xdr:from>
      <xdr:col>1</xdr:col>
      <xdr:colOff>0</xdr:colOff>
      <xdr:row>9</xdr:row>
      <xdr:rowOff>0</xdr:rowOff>
    </xdr:from>
    <xdr:to>
      <xdr:col>13</xdr:col>
      <xdr:colOff>361440</xdr:colOff>
      <xdr:row>76</xdr:row>
      <xdr:rowOff>114120</xdr:rowOff>
    </xdr:to>
    <xdr:sp>
      <xdr:nvSpPr>
        <xdr:cNvPr id="4" name="TextBox 2"/>
        <xdr:cNvSpPr/>
      </xdr:nvSpPr>
      <xdr:spPr>
        <a:xfrm>
          <a:off x="774720" y="1457280"/>
          <a:ext cx="9657720" cy="109630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This workbook has been set up to automate maintenance cost calculations so as to expedite the overall preparation of life-cycle cost analyses for Aeronautics’ review. This workbook contains privileged information and is intended for use only by consultants authorized by Aeronautics.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use of the workbook is fairly straightforward, and the user should be able to easily work their way through the development of a life-cycle cost estimate. Excluding this "Instructions" worksheet and "Overview" worksheet, the workbook initially contains four worksheets: "General Information," "Pay Items," "Maintenance Policies," and "Summary." The Pay Items and Maintenance Policies worksheets are for reference only and should only be altered after discussion with Aeronautics. From the General Information worksheet, additional worksheets for anticipated reconstruction alternatives are created.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following step-by-step procedures are provided to assist in using the workbook and in understanding how the series of worksheets fit together. Be sure to follow these directions in the logical, step-by-step fashion to avoid problems. Also, don't use the cut and paste feature as this can write over any functions, commands, or equations. Make sure to “Enable Content” in Excel when the file is opened so that functions work properly. There have also been issues with functions running properly when multiple monitors are in use. Opening the file in the main monitor should correct function issue, if they occur. If Excel shows a yellow bar reading "BLOCKED CONTENT: The ActiveX content in this file is blocked", go to File &gt; Options &gt; Trust Center &gt; Trust Center Settings &gt; ActiveX Settings, select "Prompt me before enabling all controls with minimal restrictions", click OK, then close and reopen Excel. If that setting is greyed out, ask your IT department to allow ActiveX for this file.</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Note: Throughout the workbook, cells that require user-supplied inputs are indicated in grey shading. Most other cells are calculated or auto-filled (and should not be modified by users).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1. Go to the "General Information" worksheet and enter in the relevant items in cells D9 through D39.  This is general information (such as project airport, branch information, pavement area, and so on) that is needed to identify the project and complete the cost computations. Ensure the appropriate selection is made in cell D38.</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2. Still in the "General Information" worksheet, click on the “Alternative Setup” button at the bottom of the information list. A separate form will pop up for adding alternatives. The pop-up window includes the list of available alternatives for this LCCA. Select which alternatives will be used, update details and description, if desired, and click on “Add.” The form can also be used to "Copy" or "Delete" alternatives. Alternatives can also be reorganized using the buttons at the bottom of the form. Once completed, click “Close” and a worksheet for each alternative will be created. A "Summary" worksheet is also populated as alternatives are completed.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3. Modify existing Pay Items, or insert new items in Table2 in the Pay_Items worksheet as needed. Note that this LCCA is intended for paving items only and does not include other items, such as electrical, drainage, and so on.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4. To include lost airport revenue during runway closures, set cell D38 on the "General Information" worksheet to Yes before creating alternatives. The average daily revenue for the selected airport is pulled automatically from the hidden RevenueData worksheet, which covers the 17 airports meeting Aeronautics' activity criteria (cell D39 shows the value). If the airport is not in that list, D39 reads "Missing Airport Revenue", lost revenue is carried as $0, and a warning appears on each alternative worksheet; contact Aeronautics to add revenue data. To view the hidden worksheet: Home &gt; Format &gt; Hide &amp; Unhide &gt; Unhide Sheet.</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5. Go to the worksheet for each alternative included in the LCCA and fill in cells C4 through C8, and F4 through F10 (for analyses accounting for indirect costs). Select the appropriate pay items in cells C13 through C22 for the alternative (only select the cells you need; leave extra cells blank). Enter the quantities for each selected pay item in cells E13 through E22. Closure durations in cells F4 through F10 are pre-filled from production-rate defaults (surface treatment 15,000 SY/day, mill and overlay 3,800 SY/day, PCC joint and slab work) and may be overridden with project-specific values.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6. Once the pay items and quantities have been filled in, the Net Present Worth (NPW) table and summary graph below the pay items should be automatically filled in for the alternative. The “Summary” worksheet will also automatically fill with alternative costs as the individual alternative worksheets are completed. The Summary worksheet shows a results table for each alternative (initial construction, maintenance, rehabilitation, lost revenue and salvage present worth, net present worth, closure days), a line naming the lowest-cost alternative and whether it still wins at the FAA AIP rate of 7%, and five charts. It updates by itself whenever an input changes. Use the "View Summary" button under Alternative Setup to open it and the buttons at the top of the Summary to return.</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If there are any issues or questions with the use of the LCCA workbook, please contact Aeronautics.</a:t>
          </a:r>
          <a:endParaRPr b="0" lang="en-US" sz="1100" spc="-1" strike="noStrike">
            <a:latin typeface="Times New Roman"/>
          </a:endParaRPr>
        </a:p>
        <a:p>
          <a:pPr>
            <a:lnSpc>
              <a:spcPct val="100000"/>
            </a:lnSpc>
          </a:pPr>
          <a:endParaRPr b="0" lang="en-US"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1171080</xdr:colOff>
      <xdr:row>5</xdr:row>
      <xdr:rowOff>161640</xdr:rowOff>
    </xdr:to>
    <xdr:pic>
      <xdr:nvPicPr>
        <xdr:cNvPr id="5" name="Picture 1" descr=""/>
        <xdr:cNvPicPr/>
      </xdr:nvPicPr>
      <xdr:blipFill>
        <a:blip r:embed="rId1"/>
        <a:stretch/>
      </xdr:blipFill>
      <xdr:spPr>
        <a:xfrm>
          <a:off x="774720" y="162000"/>
          <a:ext cx="1945800" cy="80928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cmdWsSetup" descr="Alternative Setup" hidden="0"/>
            <xdr:cNvSpPr/>
          </xdr:nvSpPr>
          <xdr:spPr>
            <a:xfrm>
              <a:off x="0" y="0"/>
              <a:ext cx="0" cy="0"/>
            </a:xfrm>
            <a:prstGeom prst="rect">
              <a:avLst/>
            </a:prstGeom>
          </xdr:spPr>
          <xdr:txBody>
            <a:bodyPr anchor="ctr">
              <a:noAutofit/>
            </a:bodyPr>
            <a:p>
              <a:r>
                <a:t>Alternative Setup</a:t>
              </a:r>
            </a:p>
          </xdr:txBody>
        </xdr:sp>
        <xdr:clientData/>
      </xdr:twoCellAnchor>
    </mc:Choice>
  </mc:AlternateContent>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1765440</xdr:colOff>
      <xdr:row>5</xdr:row>
      <xdr:rowOff>161640</xdr:rowOff>
    </xdr:to>
    <xdr:pic>
      <xdr:nvPicPr>
        <xdr:cNvPr id="6" name="Picture 1" descr=""/>
        <xdr:cNvPicPr/>
      </xdr:nvPicPr>
      <xdr:blipFill>
        <a:blip r:embed="rId1"/>
        <a:stretch/>
      </xdr:blipFill>
      <xdr:spPr>
        <a:xfrm>
          <a:off x="774720" y="162000"/>
          <a:ext cx="1765440" cy="8092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66240</xdr:rowOff>
    </xdr:from>
    <xdr:to>
      <xdr:col>4</xdr:col>
      <xdr:colOff>1927080</xdr:colOff>
      <xdr:row>72</xdr:row>
      <xdr:rowOff>171000</xdr:rowOff>
    </xdr:to>
    <xdr:graphicFrame>
      <xdr:nvGraphicFramePr>
        <xdr:cNvPr id="7" name="Chart 1"/>
        <xdr:cNvGraphicFramePr/>
      </xdr:nvGraphicFramePr>
      <xdr:xfrm>
        <a:off x="2978280" y="10782000"/>
        <a:ext cx="12245760" cy="37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3381480</xdr:colOff>
          <xdr:row>16</xdr:row>
          <xdr:rowOff>0</xdr:rowOff>
        </xdr:from>
        <xdr:to>
          <xdr:col>4</xdr:col>
          <xdr:colOff>2622600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47</xdr:row>
      <xdr:rowOff>9360</xdr:rowOff>
    </xdr:from>
    <xdr:to>
      <xdr:col>5</xdr:col>
      <xdr:colOff>834840</xdr:colOff>
      <xdr:row>66</xdr:row>
      <xdr:rowOff>113760</xdr:rowOff>
    </xdr:to>
    <xdr:graphicFrame>
      <xdr:nvGraphicFramePr>
        <xdr:cNvPr id="8" name="Chart 1"/>
        <xdr:cNvGraphicFramePr/>
      </xdr:nvGraphicFramePr>
      <xdr:xfrm>
        <a:off x="1098720" y="9534240"/>
        <a:ext cx="8930880" cy="37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333360</xdr:colOff>
          <xdr:row>16</xdr:row>
          <xdr:rowOff>0</xdr:rowOff>
        </xdr:from>
        <xdr:to>
          <xdr:col>3</xdr:col>
          <xdr:colOff>-594000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-927360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-927360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-927360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-927360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-927360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-927360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-927360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-739440</xdr:colOff>
          <xdr:row>15</xdr:row>
          <xdr:rowOff>-9720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-739440</xdr:colOff>
          <xdr:row>15</xdr:row>
          <xdr:rowOff>-9720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-749160</xdr:colOff>
          <xdr:row>14</xdr:row>
          <xdr:rowOff>-9720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-749160</xdr:colOff>
          <xdr:row>16</xdr:row>
          <xdr:rowOff>-9720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-749160</xdr:colOff>
          <xdr:row>17</xdr:row>
          <xdr:rowOff>-9720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-749160</xdr:colOff>
          <xdr:row>13</xdr:row>
          <xdr:rowOff>-9720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17</xdr:row>
          <xdr:rowOff>0</xdr:rowOff>
        </xdr:from>
        <xdr:to>
          <xdr:col>65</xdr:col>
          <xdr:colOff>-749160</xdr:colOff>
          <xdr:row>18</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-749160</xdr:colOff>
          <xdr:row>15</xdr:row>
          <xdr:rowOff>-9720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-730080</xdr:colOff>
          <xdr:row>14</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-730080</xdr:colOff>
          <xdr:row>15</xdr:row>
          <xdr:rowOff>-9720</xdr:rowOff>
        </xdr:to>
        <xdr:sp>
          <xdr:nvSpPr>
            <xdr:cNvPr id="0" name="ComboBox33"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5</xdr:col>
      <xdr:colOff>396720</xdr:colOff>
      <xdr:row>62</xdr:row>
      <xdr:rowOff>104400</xdr:rowOff>
    </xdr:to>
    <xdr:graphicFrame>
      <xdr:nvGraphicFramePr>
        <xdr:cNvPr id="9" name="Chart 1"/>
        <xdr:cNvGraphicFramePr/>
      </xdr:nvGraphicFramePr>
      <xdr:xfrm>
        <a:off x="758880" y="8763120"/>
        <a:ext cx="83595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-927360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-927360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-927360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-927360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-927360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-927360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-927360</xdr:colOff>
          <xdr:row>19</xdr:row>
          <xdr:rowOff>360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-927360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24</xdr:col>
          <xdr:colOff>418680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24</xdr:col>
          <xdr:colOff>418680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24</xdr:col>
          <xdr:colOff>418680</xdr:colOff>
          <xdr:row>15</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24</xdr:col>
          <xdr:colOff>418680</xdr:colOff>
          <xdr:row>16</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16</xdr:row>
          <xdr:rowOff>0</xdr:rowOff>
        </xdr:from>
        <xdr:to>
          <xdr:col>23</xdr:col>
          <xdr:colOff>-1162080</xdr:colOff>
          <xdr:row>17</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23</xdr:col>
          <xdr:colOff>-1162080</xdr:colOff>
          <xdr:row>13</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23</xdr:col>
          <xdr:colOff>-1162080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23</xdr:col>
          <xdr:colOff>-1162080</xdr:colOff>
          <xdr:row>15</xdr:row>
          <xdr:rowOff>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23</xdr:col>
          <xdr:colOff>-1162080</xdr:colOff>
          <xdr:row>16</xdr:row>
          <xdr:rowOff>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47</xdr:row>
      <xdr:rowOff>9360</xdr:rowOff>
    </xdr:from>
    <xdr:to>
      <xdr:col>5</xdr:col>
      <xdr:colOff>796680</xdr:colOff>
      <xdr:row>66</xdr:row>
      <xdr:rowOff>113760</xdr:rowOff>
    </xdr:to>
    <xdr:graphicFrame>
      <xdr:nvGraphicFramePr>
        <xdr:cNvPr id="10" name="Chart 1"/>
        <xdr:cNvGraphicFramePr/>
      </xdr:nvGraphicFramePr>
      <xdr:xfrm>
        <a:off x="1098720" y="9534240"/>
        <a:ext cx="8140320" cy="37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352440</xdr:colOff>
          <xdr:row>16</xdr:row>
          <xdr:rowOff>0</xdr:rowOff>
        </xdr:from>
        <xdr:to>
          <xdr:col>3</xdr:col>
          <xdr:colOff>343080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12</xdr:row>
          <xdr:rowOff>0</xdr:rowOff>
        </xdr:from>
        <xdr:to>
          <xdr:col>3</xdr:col>
          <xdr:colOff>9720</xdr:colOff>
          <xdr:row>13</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13</xdr:row>
          <xdr:rowOff>0</xdr:rowOff>
        </xdr:from>
        <xdr:to>
          <xdr:col>3</xdr:col>
          <xdr:colOff>9720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14</xdr:row>
          <xdr:rowOff>0</xdr:rowOff>
        </xdr:from>
        <xdr:to>
          <xdr:col>3</xdr:col>
          <xdr:colOff>9720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15</xdr:row>
          <xdr:rowOff>0</xdr:rowOff>
        </xdr:from>
        <xdr:to>
          <xdr:col>3</xdr:col>
          <xdr:colOff>9720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17</xdr:row>
          <xdr:rowOff>0</xdr:rowOff>
        </xdr:from>
        <xdr:to>
          <xdr:col>3</xdr:col>
          <xdr:colOff>9720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18</xdr:row>
          <xdr:rowOff>0</xdr:rowOff>
        </xdr:from>
        <xdr:to>
          <xdr:col>3</xdr:col>
          <xdr:colOff>9720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21</xdr:row>
          <xdr:rowOff>0</xdr:rowOff>
        </xdr:from>
        <xdr:to>
          <xdr:col>3</xdr:col>
          <xdr:colOff>9720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19</xdr:row>
          <xdr:rowOff>0</xdr:rowOff>
        </xdr:from>
        <xdr:to>
          <xdr:col>3</xdr:col>
          <xdr:colOff>9720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20</xdr:row>
          <xdr:rowOff>0</xdr:rowOff>
        </xdr:from>
        <xdr:to>
          <xdr:col>3</xdr:col>
          <xdr:colOff>9720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11</xdr:col>
          <xdr:colOff>19080</xdr:colOff>
          <xdr:row>13</xdr:row>
          <xdr:rowOff>0</xdr:rowOff>
        </xdr:from>
        <xdr:to>
          <xdr:col>12</xdr:col>
          <xdr:colOff>114480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11</xdr:col>
          <xdr:colOff>19080</xdr:colOff>
          <xdr:row>14</xdr:row>
          <xdr:rowOff>0</xdr:rowOff>
        </xdr:from>
        <xdr:to>
          <xdr:col>12</xdr:col>
          <xdr:colOff>114480</xdr:colOff>
          <xdr:row>15</xdr:row>
          <xdr:rowOff>-9720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13</xdr:row>
          <xdr:rowOff>0</xdr:rowOff>
        </xdr:from>
        <xdr:to>
          <xdr:col>20</xdr:col>
          <xdr:colOff>114120</xdr:colOff>
          <xdr:row>14</xdr:row>
          <xdr:rowOff>0</xdr:rowOff>
        </xdr:to>
        <xdr:sp>
          <xdr:nvSpPr>
            <xdr:cNvPr id="0" name="ComboBox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15</xdr:row>
          <xdr:rowOff>0</xdr:rowOff>
        </xdr:from>
        <xdr:to>
          <xdr:col>20</xdr:col>
          <xdr:colOff>114120</xdr:colOff>
          <xdr:row>16</xdr:row>
          <xdr:rowOff>0</xdr:rowOff>
        </xdr:to>
        <xdr:sp>
          <xdr:nvSpPr>
            <xdr:cNvPr id="0" name="ComboBox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16</xdr:row>
          <xdr:rowOff>0</xdr:rowOff>
        </xdr:from>
        <xdr:to>
          <xdr:col>20</xdr:col>
          <xdr:colOff>114120</xdr:colOff>
          <xdr:row>17</xdr:row>
          <xdr:rowOff>0</xdr:rowOff>
        </xdr:to>
        <xdr:sp>
          <xdr:nvSpPr>
            <xdr:cNvPr id="0" name="ComboBox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12</xdr:row>
          <xdr:rowOff>0</xdr:rowOff>
        </xdr:from>
        <xdr:to>
          <xdr:col>20</xdr:col>
          <xdr:colOff>114120</xdr:colOff>
          <xdr:row>13</xdr:row>
          <xdr:rowOff>0</xdr:rowOff>
        </xdr:to>
        <xdr:sp>
          <xdr:nvSpPr>
            <xdr:cNvPr id="0" name="ComboBox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27</xdr:col>
          <xdr:colOff>0</xdr:colOff>
          <xdr:row>13</xdr:row>
          <xdr:rowOff>0</xdr:rowOff>
        </xdr:from>
        <xdr:to>
          <xdr:col>28</xdr:col>
          <xdr:colOff>152280</xdr:colOff>
          <xdr:row>14</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27</xdr:col>
          <xdr:colOff>0</xdr:colOff>
          <xdr:row>14</xdr:row>
          <xdr:rowOff>0</xdr:rowOff>
        </xdr:from>
        <xdr:to>
          <xdr:col>28</xdr:col>
          <xdr:colOff>152280</xdr:colOff>
          <xdr:row>15</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13</xdr:row>
          <xdr:rowOff>0</xdr:rowOff>
        </xdr:from>
        <xdr:to>
          <xdr:col>36</xdr:col>
          <xdr:colOff>142920</xdr:colOff>
          <xdr:row>14</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12</xdr:row>
          <xdr:rowOff>0</xdr:rowOff>
        </xdr:from>
        <xdr:to>
          <xdr:col>36</xdr:col>
          <xdr:colOff>142920</xdr:colOff>
          <xdr:row>13</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15</xdr:row>
          <xdr:rowOff>0</xdr:rowOff>
        </xdr:from>
        <xdr:to>
          <xdr:col>36</xdr:col>
          <xdr:colOff>142920</xdr:colOff>
          <xdr:row>16</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14</xdr:row>
          <xdr:rowOff>0</xdr:rowOff>
        </xdr:from>
        <xdr:to>
          <xdr:col>36</xdr:col>
          <xdr:colOff>142920</xdr:colOff>
          <xdr:row>15</xdr:row>
          <xdr:rowOff>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17</xdr:row>
          <xdr:rowOff>0</xdr:rowOff>
        </xdr:from>
        <xdr:to>
          <xdr:col>36</xdr:col>
          <xdr:colOff>142920</xdr:colOff>
          <xdr:row>18</xdr:row>
          <xdr:rowOff>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16</xdr:row>
          <xdr:rowOff>0</xdr:rowOff>
        </xdr:from>
        <xdr:to>
          <xdr:col>36</xdr:col>
          <xdr:colOff>142920</xdr:colOff>
          <xdr:row>17</xdr:row>
          <xdr:rowOff>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43</xdr:col>
          <xdr:colOff>0</xdr:colOff>
          <xdr:row>14</xdr:row>
          <xdr:rowOff>0</xdr:rowOff>
        </xdr:from>
        <xdr:to>
          <xdr:col>44</xdr:col>
          <xdr:colOff>152280</xdr:colOff>
          <xdr:row>15</xdr:row>
          <xdr:rowOff>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43</xdr:col>
          <xdr:colOff>0</xdr:colOff>
          <xdr:row>13</xdr:row>
          <xdr:rowOff>0</xdr:rowOff>
        </xdr:from>
        <xdr:to>
          <xdr:col>44</xdr:col>
          <xdr:colOff>152280</xdr:colOff>
          <xdr:row>14</xdr:row>
          <xdr:rowOff>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13</xdr:row>
          <xdr:rowOff>0</xdr:rowOff>
        </xdr:from>
        <xdr:to>
          <xdr:col>52</xdr:col>
          <xdr:colOff>152280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12</xdr:row>
          <xdr:rowOff>0</xdr:rowOff>
        </xdr:from>
        <xdr:to>
          <xdr:col>52</xdr:col>
          <xdr:colOff>152280</xdr:colOff>
          <xdr:row>13</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16</xdr:row>
          <xdr:rowOff>0</xdr:rowOff>
        </xdr:from>
        <xdr:to>
          <xdr:col>52</xdr:col>
          <xdr:colOff>152280</xdr:colOff>
          <xdr:row>17</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15</xdr:row>
          <xdr:rowOff>0</xdr:rowOff>
        </xdr:from>
        <xdr:to>
          <xdr:col>52</xdr:col>
          <xdr:colOff>152280</xdr:colOff>
          <xdr:row>16</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59</xdr:col>
          <xdr:colOff>0</xdr:colOff>
          <xdr:row>14</xdr:row>
          <xdr:rowOff>0</xdr:rowOff>
        </xdr:from>
        <xdr:to>
          <xdr:col>60</xdr:col>
          <xdr:colOff>152280</xdr:colOff>
          <xdr:row>15</xdr:row>
          <xdr:rowOff>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59</xdr:col>
          <xdr:colOff>0</xdr:colOff>
          <xdr:row>13</xdr:row>
          <xdr:rowOff>0</xdr:rowOff>
        </xdr:from>
        <xdr:to>
          <xdr:col>60</xdr:col>
          <xdr:colOff>152280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47</xdr:row>
      <xdr:rowOff>156240</xdr:rowOff>
    </xdr:from>
    <xdr:to>
      <xdr:col>19</xdr:col>
      <xdr:colOff>1244160</xdr:colOff>
      <xdr:row>64</xdr:row>
      <xdr:rowOff>155880</xdr:rowOff>
    </xdr:to>
    <xdr:graphicFrame>
      <xdr:nvGraphicFramePr>
        <xdr:cNvPr id="11" name="Chart 1"/>
        <xdr:cNvGraphicFramePr/>
      </xdr:nvGraphicFramePr>
      <xdr:xfrm>
        <a:off x="21247200" y="9420120"/>
        <a:ext cx="871164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12</xdr:row>
      <xdr:rowOff>78120</xdr:rowOff>
    </xdr:from>
    <xdr:to>
      <xdr:col>9</xdr:col>
      <xdr:colOff>423360</xdr:colOff>
      <xdr:row>27</xdr:row>
      <xdr:rowOff>100080</xdr:rowOff>
    </xdr:to>
    <xdr:graphicFrame>
      <xdr:nvGraphicFramePr>
        <xdr:cNvPr id="12" name="Summary Chart 1"/>
        <xdr:cNvGraphicFramePr/>
      </xdr:nvGraphicFramePr>
      <xdr:xfrm>
        <a:off x="11112480" y="2562120"/>
        <a:ext cx="55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12</xdr:row>
      <xdr:rowOff>78120</xdr:rowOff>
    </xdr:from>
    <xdr:to>
      <xdr:col>17</xdr:col>
      <xdr:colOff>601200</xdr:colOff>
      <xdr:row>27</xdr:row>
      <xdr:rowOff>100080</xdr:rowOff>
    </xdr:to>
    <xdr:graphicFrame>
      <xdr:nvGraphicFramePr>
        <xdr:cNvPr id="13" name="Summary Chart 2"/>
        <xdr:cNvGraphicFramePr/>
      </xdr:nvGraphicFramePr>
      <xdr:xfrm>
        <a:off x="21247200" y="2562120"/>
        <a:ext cx="557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30</xdr:row>
      <xdr:rowOff>78120</xdr:rowOff>
    </xdr:from>
    <xdr:to>
      <xdr:col>9</xdr:col>
      <xdr:colOff>423360</xdr:colOff>
      <xdr:row>44</xdr:row>
      <xdr:rowOff>178200</xdr:rowOff>
    </xdr:to>
    <xdr:graphicFrame>
      <xdr:nvGraphicFramePr>
        <xdr:cNvPr id="14" name="Summary Chart 3"/>
        <xdr:cNvGraphicFramePr/>
      </xdr:nvGraphicFramePr>
      <xdr:xfrm>
        <a:off x="11112480" y="5991120"/>
        <a:ext cx="557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30</xdr:row>
      <xdr:rowOff>78120</xdr:rowOff>
    </xdr:from>
    <xdr:to>
      <xdr:col>17</xdr:col>
      <xdr:colOff>601200</xdr:colOff>
      <xdr:row>44</xdr:row>
      <xdr:rowOff>178200</xdr:rowOff>
    </xdr:to>
    <xdr:graphicFrame>
      <xdr:nvGraphicFramePr>
        <xdr:cNvPr id="15" name="Summary Chart 4"/>
        <xdr:cNvGraphicFramePr/>
      </xdr:nvGraphicFramePr>
      <xdr:xfrm>
        <a:off x="21247200" y="5991120"/>
        <a:ext cx="557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0</xdr:colOff>
      <xdr:row>47</xdr:row>
      <xdr:rowOff>156240</xdr:rowOff>
    </xdr:from>
    <xdr:to>
      <xdr:col>9</xdr:col>
      <xdr:colOff>423360</xdr:colOff>
      <xdr:row>62</xdr:row>
      <xdr:rowOff>178200</xdr:rowOff>
    </xdr:to>
    <xdr:graphicFrame>
      <xdr:nvGraphicFramePr>
        <xdr:cNvPr id="16" name="Summary Chart 5"/>
        <xdr:cNvGraphicFramePr/>
      </xdr:nvGraphicFramePr>
      <xdr:xfrm>
        <a:off x="11112480" y="9420120"/>
        <a:ext cx="557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66240</xdr:rowOff>
    </xdr:from>
    <xdr:to>
      <xdr:col>4</xdr:col>
      <xdr:colOff>1927080</xdr:colOff>
      <xdr:row>72</xdr:row>
      <xdr:rowOff>171000</xdr:rowOff>
    </xdr:to>
    <xdr:graphicFrame>
      <xdr:nvGraphicFramePr>
        <xdr:cNvPr id="17" name="Chart 1"/>
        <xdr:cNvGraphicFramePr/>
      </xdr:nvGraphicFramePr>
      <xdr:xfrm>
        <a:off x="2978280" y="10782000"/>
        <a:ext cx="12245760" cy="37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3381480</xdr:colOff>
          <xdr:row>16</xdr:row>
          <xdr:rowOff>0</xdr:rowOff>
        </xdr:from>
        <xdr:to>
          <xdr:col>4</xdr:col>
          <xdr:colOff>2622600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68040</xdr:rowOff>
    </xdr:to>
    <xdr:graphicFrame>
      <xdr:nvGraphicFramePr>
        <xdr:cNvPr id="18" name="Chart 1"/>
        <xdr:cNvGraphicFramePr/>
      </xdr:nvGraphicFramePr>
      <xdr:xfrm>
        <a:off x="758880" y="941076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tables/table1.xml><?xml version="1.0" encoding="utf-8"?>
<table xmlns="http://schemas.openxmlformats.org/spreadsheetml/2006/main" id="1" name="Table17" displayName="Table17" ref="L8:Q88" headerRowCount="1" totalsRowCount="0" totalsRowShown="0">
  <autoFilter ref="L8:Q88"/>
  <tableColumns count="6">
    <tableColumn id="1" name="Name"/>
    <tableColumn id="2" name="ID"/>
    <tableColumn id="3" name="City"/>
    <tableColumn id="4" name="County"/>
    <tableColumn id="5" name="Region"/>
    <tableColumn id="6" name="Owner"/>
  </tableColumns>
</table>
</file>

<file path=xl/tables/table2.xml><?xml version="1.0" encoding="utf-8"?>
<table xmlns="http://schemas.openxmlformats.org/spreadsheetml/2006/main" id="2" name="Table2" displayName="Table2" ref="C2:I59" headerRowCount="1" totalsRowCount="0" totalsRowShown="0">
  <autoFilter ref="C2:I59"/>
  <tableColumns count="7">
    <tableColumn id="1" name="Pay Item No."/>
    <tableColumn id="2" name="Pay Item Description"/>
    <tableColumn id="3" name="Units"/>
    <tableColumn id="4" name="Unit Cost"/>
    <tableColumn id="5" name="Middle"/>
    <tableColumn id="6" name="West"/>
    <tableColumn id="7" name="East"/>
  </tableColumns>
</table>
</file>

<file path=xl/tables/table3.xml><?xml version="1.0" encoding="utf-8"?>
<table xmlns="http://schemas.openxmlformats.org/spreadsheetml/2006/main" id="3" name="Table3" displayName="Table3" ref="S8:S12" headerRowCount="1" totalsRowCount="0" totalsRowShown="0">
  <autoFilter ref="S8:S12"/>
  <tableColumns count="1">
    <tableColumn id="1" name="Branch Use"/>
  </tableColumns>
</table>
</file>

<file path=xl/tables/table4.xml><?xml version="1.0" encoding="utf-8"?>
<table xmlns="http://schemas.openxmlformats.org/spreadsheetml/2006/main" id="4" name="Table4" displayName="Table4" ref="S15:S18" headerRowCount="1" totalsRowCount="0" totalsRowShown="0">
  <autoFilter ref="S15:S18"/>
  <tableColumns count="1">
    <tableColumn id="1" name="Markings Type"/>
  </tableColumns>
</table>
</file>

<file path=xl/tables/table5.xml><?xml version="1.0" encoding="utf-8"?>
<table xmlns="http://schemas.openxmlformats.org/spreadsheetml/2006/main" id="5" name="Table7" displayName="Table7" ref="S21:S25" headerRowCount="1" totalsRowCount="0" totalsRowShown="0">
  <autoFilter ref="S21:S25"/>
  <tableColumns count="1">
    <tableColumn id="1" name="Weight Category"/>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tn.gov/tdot/aeronautics.html"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1.vml"/><Relationship Id="rId4" Type="http://schemas.openxmlformats.org/officeDocument/2006/relationships/ctrlProp" Target="../ctrlProps/ctrlProps5.xml"/><Relationship Id="rId5" Type="http://schemas.openxmlformats.org/officeDocument/2006/relationships/table" Target="../tables/table1.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15" hidden="false" customHeight="false" outlineLevel="0" collapsed="false">
      <c r="C1" s="0" t="str">
        <f aca="false">Pay_Items!D55</f>
        <v>Joint Clean and Reseal, Concrete</v>
      </c>
      <c r="I1" s="0" t="s">
        <v>0</v>
      </c>
    </row>
    <row r="2" customFormat="false" ht="15" hidden="false" customHeight="false" outlineLevel="0" collapsed="false">
      <c r="A2" s="3" t="s">
        <v>1</v>
      </c>
      <c r="E2" s="4" t="s">
        <v>2</v>
      </c>
      <c r="F2" s="5"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3239.39</v>
      </c>
      <c r="G2" s="0" t="str">
        <f aca="false">IF(AND('General Information'!$D$38="Yes",F2=0),"No revenue data for this airport - lost revenue set to $0. Contact Aeronautics.","")</f>
        <v/>
      </c>
      <c r="J2" s="6" t="s">
        <v>3</v>
      </c>
      <c r="R2" s="3" t="s">
        <v>4</v>
      </c>
    </row>
    <row r="3" customFormat="false" ht="15" hidden="false" customHeight="false" outlineLevel="0" collapsed="false">
      <c r="E3" s="7"/>
      <c r="F3" s="8"/>
    </row>
    <row r="4" customFormat="false" ht="15" hidden="false" customHeight="false" outlineLevel="0" collapsed="false">
      <c r="A4" s="0" t="s">
        <v>5</v>
      </c>
      <c r="C4" s="9" t="s">
        <v>6</v>
      </c>
      <c r="E4" s="7" t="s">
        <v>7</v>
      </c>
      <c r="F4" s="10" t="n">
        <f aca="false">ROUNDUP(C5*550/(50*100/9)/10000,0)+ROUNDUP(C5*'Maintenance Policies'!D38/10000,0)+ROUNDUP(C5*'Maintenance Policies'!D39/5000,0)+ROUNDUP(C5*'Maintenance Policies'!D40/5000,0)</f>
        <v>10</v>
      </c>
    </row>
    <row r="5" customFormat="false" ht="15" hidden="false" customHeight="false" outlineLevel="0" collapsed="false">
      <c r="A5" s="0" t="s">
        <v>8</v>
      </c>
      <c r="C5" s="0" t="n">
        <f aca="false">'General Information'!D26</f>
        <v>66667</v>
      </c>
      <c r="D5" s="0" t="s">
        <v>9</v>
      </c>
      <c r="E5" s="11" t="s">
        <v>10</v>
      </c>
      <c r="F5" s="12" t="n">
        <f aca="false">ROUNDUP(C5*550/(50*100/9)/10000,0)+ROUNDUP(C5*'Maintenance Policies'!D44/10000,0)+ROUNDUP(C5*'Maintenance Policies'!D43/5000,0)+ROUNDUP(C5*'Maintenance Policies'!D42/5000,0)+ROUNDUP(C5*'Maintenance Policies'!D41/1000,0)+7</f>
        <v>19</v>
      </c>
    </row>
    <row r="6" customFormat="false" ht="15" hidden="false" customHeight="false" outlineLevel="0" collapsed="false">
      <c r="A6" s="0" t="s">
        <v>11</v>
      </c>
      <c r="C6" s="0" t="n">
        <f aca="false">'General Information'!D25</f>
        <v>2028</v>
      </c>
    </row>
    <row r="7" customFormat="false" ht="15" hidden="false" customHeight="false" outlineLevel="0" collapsed="false">
      <c r="A7" s="0" t="s">
        <v>12</v>
      </c>
      <c r="C7" s="0" t="n">
        <f aca="false">'General Information'!D28</f>
        <v>15000</v>
      </c>
      <c r="D7" s="0" t="s">
        <v>13</v>
      </c>
      <c r="J7" s="1" t="s">
        <v>14</v>
      </c>
      <c r="K7" s="13" t="n">
        <f aca="false">C5/((12.5*12.5)/9)</f>
        <v>3840.0192</v>
      </c>
    </row>
    <row r="8" customFormat="false" ht="15" hidden="false" customHeight="false" outlineLevel="0" collapsed="false">
      <c r="C8" s="14"/>
      <c r="J8" s="1" t="s">
        <v>15</v>
      </c>
      <c r="K8" s="1" t="n">
        <f aca="false">K7*25+((K7/8)*12.5)</f>
        <v>102000.51</v>
      </c>
    </row>
    <row r="9" customFormat="false" ht="15" hidden="false" customHeight="false" outlineLevel="0" collapsed="false">
      <c r="C9" s="14"/>
    </row>
    <row r="10" customFormat="false" ht="15" hidden="false" customHeight="false" outlineLevel="0" collapsed="false">
      <c r="C10" s="14"/>
    </row>
    <row r="12" customFormat="false" ht="15" hidden="false" customHeight="false" outlineLevel="0" collapsed="false">
      <c r="A12" s="0" t="s">
        <v>16</v>
      </c>
      <c r="B12" s="0" t="s">
        <v>17</v>
      </c>
      <c r="C12" s="0" t="s">
        <v>18</v>
      </c>
      <c r="D12" s="0" t="s">
        <v>19</v>
      </c>
      <c r="E12" s="0" t="s">
        <v>20</v>
      </c>
      <c r="F12" s="0" t="s">
        <v>21</v>
      </c>
      <c r="G12" s="0" t="s">
        <v>22</v>
      </c>
      <c r="J12" s="1" t="s">
        <v>16</v>
      </c>
      <c r="K12" s="1" t="s">
        <v>17</v>
      </c>
      <c r="L12" s="2" t="s">
        <v>18</v>
      </c>
      <c r="M12" s="1" t="s">
        <v>19</v>
      </c>
      <c r="N12" s="1" t="s">
        <v>20</v>
      </c>
      <c r="O12" s="1" t="s">
        <v>21</v>
      </c>
      <c r="P12" s="1" t="s">
        <v>22</v>
      </c>
      <c r="R12" s="15" t="s">
        <v>16</v>
      </c>
      <c r="S12" s="15" t="s">
        <v>17</v>
      </c>
      <c r="T12" s="15" t="s">
        <v>18</v>
      </c>
      <c r="U12" s="15" t="s">
        <v>19</v>
      </c>
      <c r="V12" s="15" t="s">
        <v>20</v>
      </c>
      <c r="W12" s="15" t="s">
        <v>21</v>
      </c>
      <c r="X12" s="15" t="s">
        <v>22</v>
      </c>
    </row>
    <row r="13" customFormat="false" ht="19.5" hidden="false" customHeight="true" outlineLevel="0" collapsed="false">
      <c r="A13" s="0" t="n">
        <v>1</v>
      </c>
      <c r="B13" s="16" t="n">
        <f aca="false">IF(C13="",0,VLOOKUP(C13,CHOOSE({1,2},Table2[Pay Item Description],Table2[Pay Item No.]),2,0))</f>
        <v>0</v>
      </c>
      <c r="C13" s="17"/>
      <c r="D13" s="18" t="str">
        <f aca="false">IF(C13="","N/A",VLOOKUP(C13,CHOOSE({1,2},Table2[Pay Item Description],Table2[Units]),2,0))</f>
        <v>N/A</v>
      </c>
      <c r="E13" s="19"/>
      <c r="F13" s="20" t="str">
        <f aca="false">IF(C13="","N/A",VLOOKUP(C13,CHOOSE({1,2},Table2[Pay Item Description],Table2[Unit Cost]),2,0))</f>
        <v>N/A</v>
      </c>
      <c r="G13" s="21" t="n">
        <f aca="false">IF(B13&lt;&gt;0,F13*E13,0)</f>
        <v>0</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2" t="n">
        <f aca="false">K8*'Maintenance Policies'!D37</f>
        <v>102000.51</v>
      </c>
      <c r="O13" s="23" t="n">
        <f aca="false">IF(L13="","N/A",VLOOKUP(L13,CHOOSE({1,2},Table2[Pay Item Description],Table2[Unit Cost]),2,0))</f>
        <v>7</v>
      </c>
      <c r="P13" s="24" t="n">
        <f aca="false">O13*N13</f>
        <v>714003.57</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5" t="n">
        <f aca="false">'Maintenance Policies'!D41*C5</f>
        <v>1333.34</v>
      </c>
      <c r="W13" s="26" t="n">
        <f aca="false">IF(T13="","N/A",VLOOKUP(T13,CHOOSE({1,2},Table2[Pay Item Description],Table2[Unit Cost]),2,0))</f>
        <v>100</v>
      </c>
      <c r="X13" s="27" t="n">
        <f aca="false">W13*V13</f>
        <v>133334</v>
      </c>
    </row>
    <row r="14" customFormat="false" ht="19.5" hidden="false" customHeight="true" outlineLevel="0" collapsed="false">
      <c r="A14" s="0" t="n">
        <v>2</v>
      </c>
      <c r="B14" s="16" t="n">
        <f aca="false">IF(C14="",0,VLOOKUP(C14,CHOOSE({1,2},Table2[Pay Item Description],Table2[Pay Item No.]),2,0))</f>
        <v>0</v>
      </c>
      <c r="C14" s="17"/>
      <c r="D14" s="18" t="str">
        <f aca="false">IF(C14="","N/A",VLOOKUP(C14,CHOOSE({1,2},Table2[Pay Item Description],Table2[Units]),2,0))</f>
        <v>N/A</v>
      </c>
      <c r="E14" s="19"/>
      <c r="F14" s="20" t="str">
        <f aca="false">IF(C14="","N/A",VLOOKUP(C14,CHOOSE({1,2},Table2[Pay Item Description],Table2[Unit Cost]),2,0))</f>
        <v>N/A</v>
      </c>
      <c r="G14" s="21" t="n">
        <f aca="false">IF(B14&lt;&gt;0,F14*E14,0)</f>
        <v>0</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2" t="n">
        <f aca="false">'Maintenance Policies'!D38*(C5*9)</f>
        <v>1500.0075</v>
      </c>
      <c r="O14" s="23" t="n">
        <f aca="false">IF(L14="","N/A",VLOOKUP(L14,CHOOSE({1,2},Table2[Pay Item Description],Table2[Unit Cost]),2,0))</f>
        <v>8</v>
      </c>
      <c r="P14" s="24" t="n">
        <f aca="false">O14*N14</f>
        <v>12000.06</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5" t="n">
        <f aca="false">'Maintenance Policies'!D42*C5</f>
        <v>200.001</v>
      </c>
      <c r="W14" s="26" t="n">
        <f aca="false">IF(T14="","N/A",VLOOKUP(T14,CHOOSE({1,2},Table2[Pay Item Description],Table2[Unit Cost]),2,0))</f>
        <v>120</v>
      </c>
      <c r="X14" s="27" t="n">
        <f aca="false">W14*V14</f>
        <v>24000.12</v>
      </c>
    </row>
    <row r="15" customFormat="false" ht="19.5" hidden="false" customHeight="true" outlineLevel="0" collapsed="false">
      <c r="A15" s="0" t="n">
        <v>3</v>
      </c>
      <c r="B15" s="16" t="n">
        <f aca="false">IF(C15="",0,VLOOKUP(C15,CHOOSE({1,2},Table2[Pay Item Description],Table2[Pay Item No.]),2,0))</f>
        <v>0</v>
      </c>
      <c r="C15" s="17"/>
      <c r="D15" s="18" t="str">
        <f aca="false">IF(C15="","N/A",VLOOKUP(C15,CHOOSE({1,2},Table2[Pay Item Description],Table2[Units]),2,0))</f>
        <v>N/A</v>
      </c>
      <c r="E15" s="19"/>
      <c r="F15" s="20" t="str">
        <f aca="false">IF(C15="","N/A",VLOOKUP(C15,CHOOSE({1,2},Table2[Pay Item Description],Table2[Unit Cost]),2,0))</f>
        <v>N/A</v>
      </c>
      <c r="G15" s="21" t="n">
        <f aca="false">IF(B15&lt;&gt;0,F15*E15,0)</f>
        <v>0</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2" t="n">
        <f aca="false">'Maintenance Policies'!D39*(C5*9)</f>
        <v>780.0039</v>
      </c>
      <c r="O15" s="23" t="n">
        <f aca="false">IF(L15="","N/A",VLOOKUP(L15,CHOOSE({1,2},Table2[Pay Item Description],Table2[Unit Cost]),2,0))</f>
        <v>60</v>
      </c>
      <c r="P15" s="24" t="n">
        <f aca="false">O15*N15</f>
        <v>46800.234</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5" t="n">
        <f aca="false">'Maintenance Policies'!D43*(C5*9)</f>
        <v>780.0039</v>
      </c>
      <c r="W15" s="26" t="n">
        <f aca="false">IF(T15="","N/A",VLOOKUP(T15,CHOOSE({1,2},Table2[Pay Item Description],Table2[Unit Cost]),2,0))</f>
        <v>60</v>
      </c>
      <c r="X15" s="27" t="n">
        <f aca="false">W15*V15</f>
        <v>46800.234</v>
      </c>
    </row>
    <row r="16" customFormat="false" ht="19.5" hidden="false" customHeight="true" outlineLevel="0" collapsed="false">
      <c r="A16" s="0" t="n">
        <v>4</v>
      </c>
      <c r="B16" s="16" t="n">
        <f aca="false">IF(C16="",0,VLOOKUP(C16,CHOOSE({1,2},Table2[Pay Item Description],Table2[Pay Item No.]),2,0))</f>
        <v>0</v>
      </c>
      <c r="C16" s="17"/>
      <c r="D16" s="18" t="str">
        <f aca="false">IF(C16="","N/A",VLOOKUP(C16,CHOOSE({1,2},Table2[Pay Item Description],Table2[Units]),2,0))</f>
        <v>N/A</v>
      </c>
      <c r="E16" s="19"/>
      <c r="F16" s="20" t="str">
        <f aca="false">IF(C16="","N/A",VLOOKUP(C16,CHOOSE({1,2},Table2[Pay Item Description],Table2[Unit Cost]),2,0))</f>
        <v>N/A</v>
      </c>
      <c r="G16" s="21" t="n">
        <f aca="false">IF(B16&lt;&gt;0,F16*E16,0)</f>
        <v>0</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2" t="n">
        <f aca="false">'Maintenance Policies'!D40*C5</f>
        <v>200.001</v>
      </c>
      <c r="O16" s="23" t="n">
        <f aca="false">IF(L16="","N/A",VLOOKUP(L16,CHOOSE({1,2},Table2[Pay Item Description],Table2[Unit Cost]),2,0))</f>
        <v>120</v>
      </c>
      <c r="P16" s="24" t="n">
        <f aca="false">O16*N16</f>
        <v>24000.12</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5" t="n">
        <f aca="false">'Maintenance Policies'!D44*(C5*9)</f>
        <v>1800.009</v>
      </c>
      <c r="W16" s="26" t="n">
        <f aca="false">IF(T16="","N/A",VLOOKUP(T16,CHOOSE({1,2},Table2[Pay Item Description],Table2[Unit Cost]),2,0))</f>
        <v>8</v>
      </c>
      <c r="X16" s="27" t="n">
        <f aca="false">W16*V16</f>
        <v>14400.072</v>
      </c>
    </row>
    <row r="17" customFormat="false" ht="19.5" hidden="false" customHeight="true" outlineLevel="0" collapsed="false">
      <c r="A17" s="0" t="n">
        <v>5</v>
      </c>
      <c r="B17" s="16" t="n">
        <f aca="false">IF(C17="",0,VLOOKUP(C17,CHOOSE({1,2},Table2[Pay Item Description],Table2[Pay Item No.]),2,0))</f>
        <v>0</v>
      </c>
      <c r="C17" s="17"/>
      <c r="D17" s="18" t="str">
        <f aca="false">IF(C17="","N/A",VLOOKUP(C17,CHOOSE({1,2},Table2[Pay Item Description],Table2[Units]),2,0))</f>
        <v>N/A</v>
      </c>
      <c r="E17" s="19"/>
      <c r="F17" s="20" t="str">
        <f aca="false">IF(C17="","N/A",VLOOKUP(C17,CHOOSE({1,2},Table2[Pay Item Description],Table2[Unit Cost]),2,0))</f>
        <v>N/A</v>
      </c>
      <c r="G17" s="21" t="n">
        <f aca="false">IF(B17&lt;&gt;0,F17*E17,0)</f>
        <v>0</v>
      </c>
      <c r="O17" s="1" t="s">
        <v>23</v>
      </c>
      <c r="P17" s="24" t="n">
        <f aca="false">SUM(P13:P16)</f>
        <v>796803.984</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5" t="n">
        <f aca="false">'Maintenance Policies'!D45*K8</f>
        <v>102000.51</v>
      </c>
      <c r="W17" s="26" t="n">
        <f aca="false">IF(T17="","N/A",VLOOKUP(T17,CHOOSE({1,2},Table2[Pay Item Description],Table2[Unit Cost]),2,0))</f>
        <v>7</v>
      </c>
      <c r="X17" s="27" t="n">
        <f aca="false">W17*V17</f>
        <v>714003.57</v>
      </c>
    </row>
    <row r="18" customFormat="false" ht="19.5" hidden="false" customHeight="true" outlineLevel="0" collapsed="false">
      <c r="A18" s="0" t="n">
        <v>6</v>
      </c>
      <c r="B18" s="16" t="n">
        <f aca="false">IF(C18="",0,VLOOKUP(C18,CHOOSE({1,2},Table2[Pay Item Description],Table2[Pay Item No.]),2,0))</f>
        <v>0</v>
      </c>
      <c r="C18" s="17"/>
      <c r="D18" s="18" t="str">
        <f aca="false">IF(C18="","N/A",VLOOKUP(C18,CHOOSE({1,2},Table2[Pay Item Description],Table2[Units]),2,0))</f>
        <v>N/A</v>
      </c>
      <c r="E18" s="19"/>
      <c r="F18" s="20" t="str">
        <f aca="false">IF(C18="","N/A",VLOOKUP(C18,CHOOSE({1,2},Table2[Pay Item Description],Table2[Unit Cost]),2,0))</f>
        <v>N/A</v>
      </c>
      <c r="G18" s="21" t="n">
        <f aca="false">IF(B18&lt;&gt;0,F18*E18,0)</f>
        <v>0</v>
      </c>
      <c r="L18" s="2" t="s">
        <v>24</v>
      </c>
      <c r="P18" s="24" t="n">
        <f aca="false">('General Information'!$D$36/100)*P17</f>
        <v>79680.3984</v>
      </c>
      <c r="W18" s="15" t="s">
        <v>23</v>
      </c>
      <c r="X18" s="27" t="n">
        <f aca="false">SUM(X13:X17)</f>
        <v>932537.996</v>
      </c>
    </row>
    <row r="19" customFormat="false" ht="19.5" hidden="false" customHeight="true" outlineLevel="0" collapsed="false">
      <c r="A19" s="0" t="n">
        <v>7</v>
      </c>
      <c r="B19" s="16" t="n">
        <f aca="false">IF(C19="",0,VLOOKUP(C19,CHOOSE({1,2},Table2[Pay Item Description],Table2[Pay Item No.]),2,0))</f>
        <v>0</v>
      </c>
      <c r="C19" s="17"/>
      <c r="D19" s="18" t="str">
        <f aca="false">IF(C19="","N/A",VLOOKUP(C19,CHOOSE({1,2},Table2[Pay Item Description],Table2[Units]),2,0))</f>
        <v>N/A</v>
      </c>
      <c r="E19" s="19"/>
      <c r="F19" s="20" t="str">
        <f aca="false">IF(C19="","N/A",VLOOKUP(C19,CHOOSE({1,2},Table2[Pay Item Description],Table2[Unit Cost]),2,0))</f>
        <v>N/A</v>
      </c>
      <c r="G19" s="21" t="n">
        <f aca="false">IF(B19&lt;&gt;0,F19*E19,0)</f>
        <v>0</v>
      </c>
      <c r="L19" s="2" t="s">
        <v>25</v>
      </c>
      <c r="P19" s="24" t="n">
        <f aca="false">('General Information'!$D$37/100)*P17</f>
        <v>39840.1992</v>
      </c>
      <c r="T19" s="15" t="s">
        <v>24</v>
      </c>
      <c r="X19" s="27" t="n">
        <f aca="false">('General Information'!$D$36/100)*X18</f>
        <v>93253.7996</v>
      </c>
    </row>
    <row r="20" customFormat="false" ht="19.5" hidden="false" customHeight="true" outlineLevel="0" collapsed="false">
      <c r="A20" s="0" t="n">
        <v>8</v>
      </c>
      <c r="B20" s="16" t="n">
        <f aca="false">IF(C20="",0,VLOOKUP(C20,CHOOSE({1,2},Table2[Pay Item Description],Table2[Pay Item No.]),2,0))</f>
        <v>0</v>
      </c>
      <c r="C20" s="17"/>
      <c r="D20" s="18" t="str">
        <f aca="false">IF(C20="","N/A",VLOOKUP(C20,CHOOSE({1,2},Table2[Pay Item Description],Table2[Units]),2,0))</f>
        <v>N/A</v>
      </c>
      <c r="E20" s="19"/>
      <c r="F20" s="20" t="str">
        <f aca="false">IF(C20="","N/A",VLOOKUP(C20,CHOOSE({1,2},Table2[Pay Item Description],Table2[Unit Cost]),2,0))</f>
        <v>N/A</v>
      </c>
      <c r="G20" s="21" t="n">
        <f aca="false">IF(B20&lt;&gt;0,F20*E20,0)</f>
        <v>0</v>
      </c>
      <c r="O20" s="1" t="s">
        <v>26</v>
      </c>
      <c r="P20" s="24" t="n">
        <f aca="false">SUM(P17:P19)</f>
        <v>916324.5816</v>
      </c>
      <c r="T20" s="15" t="s">
        <v>25</v>
      </c>
      <c r="X20" s="27" t="n">
        <f aca="false">('General Information'!$D$37/100)*X18</f>
        <v>46626.8998</v>
      </c>
    </row>
    <row r="21" customFormat="false" ht="19.5" hidden="false" customHeight="true" outlineLevel="0" collapsed="false">
      <c r="A21" s="0" t="n">
        <v>9</v>
      </c>
      <c r="B21" s="16" t="n">
        <f aca="false">IF(C21="",0,VLOOKUP(C21,CHOOSE({1,2},Table2[Pay Item Description],Table2[Pay Item No.]),2,0))</f>
        <v>0</v>
      </c>
      <c r="C21" s="17"/>
      <c r="D21" s="18" t="str">
        <f aca="false">IF(C21="","N/A",VLOOKUP(C21,CHOOSE({1,2},Table2[Pay Item Description],Table2[Units]),2,0))</f>
        <v>N/A</v>
      </c>
      <c r="E21" s="19"/>
      <c r="F21" s="20" t="str">
        <f aca="false">IF(C21="","N/A",VLOOKUP(C21,CHOOSE({1,2},Table2[Pay Item Description],Table2[Unit Cost]),2,0))</f>
        <v>N/A</v>
      </c>
      <c r="G21" s="21" t="n">
        <f aca="false">IF(B21&lt;&gt;0,F21*E21,0)</f>
        <v>0</v>
      </c>
      <c r="W21" s="15" t="s">
        <v>26</v>
      </c>
      <c r="X21" s="27" t="n">
        <f aca="false">SUM(X18:X20)</f>
        <v>1072418.6954</v>
      </c>
    </row>
    <row r="22" customFormat="false" ht="19.5" hidden="false" customHeight="true" outlineLevel="0" collapsed="false">
      <c r="A22" s="0" t="n">
        <v>10</v>
      </c>
      <c r="B22" s="16" t="n">
        <f aca="false">IF(C22="",0,VLOOKUP(C22,CHOOSE({1,2},Table2[Pay Item Description],Table2[Pay Item No.]),2,0))</f>
        <v>0</v>
      </c>
      <c r="C22" s="17"/>
      <c r="D22" s="18" t="str">
        <f aca="false">IF(C22="","N/A",VLOOKUP(C22,CHOOSE({1,2},Table2[Pay Item Description],Table2[Units]),2,0))</f>
        <v>N/A</v>
      </c>
      <c r="E22" s="19"/>
      <c r="F22" s="20" t="str">
        <f aca="false">IF(C22="","N/A",VLOOKUP(C22,CHOOSE({1,2},Table2[Pay Item Description],Table2[Unit Cost]),2,0))</f>
        <v>N/A</v>
      </c>
      <c r="G22" s="21" t="n">
        <f aca="false">IF(B22&lt;&gt;0,F22*E22,0)</f>
        <v>0</v>
      </c>
    </row>
    <row r="23" customFormat="false" ht="15" hidden="false" customHeight="false" outlineLevel="0" collapsed="false">
      <c r="G23" s="27"/>
    </row>
    <row r="24" customFormat="false" ht="15" hidden="false" customHeight="false" outlineLevel="0" collapsed="false">
      <c r="A24" s="0" t="s">
        <v>23</v>
      </c>
      <c r="G24" s="21" t="n">
        <f aca="false">SUM(G13:G22)</f>
        <v>0</v>
      </c>
    </row>
    <row r="25" customFormat="false" ht="15" hidden="false" customHeight="false" outlineLevel="0" collapsed="false">
      <c r="B25" s="0" t="s">
        <v>24</v>
      </c>
      <c r="G25" s="21" t="n">
        <f aca="false">('General Information'!$D$36/100)*G24</f>
        <v>0</v>
      </c>
    </row>
    <row r="26" customFormat="false" ht="15" hidden="false" customHeight="false" outlineLevel="0" collapsed="false">
      <c r="B26" s="0" t="s">
        <v>25</v>
      </c>
      <c r="G26" s="21" t="n">
        <f aca="false">('General Information'!$D$37/100)*G24</f>
        <v>0</v>
      </c>
    </row>
    <row r="27" s="3" customFormat="true" ht="15" hidden="false" customHeight="false" outlineLevel="0" collapsed="false">
      <c r="A27" s="3" t="s">
        <v>26</v>
      </c>
      <c r="G27" s="28" t="n">
        <f aca="false">SUM(G24:G26)</f>
        <v>0</v>
      </c>
      <c r="J27" s="6"/>
      <c r="K27" s="6"/>
      <c r="L27" s="29"/>
      <c r="M27" s="6"/>
      <c r="N27" s="6"/>
      <c r="O27" s="6"/>
      <c r="P27" s="6"/>
    </row>
    <row r="33" customFormat="false" ht="15" hidden="false" customHeight="false" outlineLevel="0" collapsed="false">
      <c r="A33" s="3" t="s">
        <v>27</v>
      </c>
    </row>
    <row r="34" customFormat="false" ht="15" hidden="false" customHeight="false" outlineLevel="0" collapsed="false">
      <c r="A34" s="3" t="s">
        <v>28</v>
      </c>
      <c r="I34" s="15" t="s">
        <v>0</v>
      </c>
    </row>
    <row r="36" customFormat="false" ht="15" hidden="false" customHeight="false" outlineLevel="0" collapsed="false">
      <c r="B36" s="30" t="s">
        <v>29</v>
      </c>
      <c r="C36" s="31" t="s">
        <v>30</v>
      </c>
      <c r="D36" s="31" t="s">
        <v>31</v>
      </c>
      <c r="E36" s="32" t="s">
        <v>32</v>
      </c>
    </row>
    <row r="37" customFormat="false" ht="15" hidden="false" customHeight="false" outlineLevel="0" collapsed="false">
      <c r="B37" s="33" t="s">
        <v>33</v>
      </c>
      <c r="C37" s="34" t="n">
        <f aca="false">C6</f>
        <v>2028</v>
      </c>
      <c r="D37" s="35" t="n">
        <f aca="false">G27</f>
        <v>0</v>
      </c>
      <c r="E37" s="36" t="n">
        <f aca="false">D37</f>
        <v>0</v>
      </c>
      <c r="K37" s="1" t="s">
        <v>34</v>
      </c>
      <c r="L37" s="2" t="s">
        <v>35</v>
      </c>
      <c r="M37" s="1" t="s">
        <v>36</v>
      </c>
      <c r="N37" s="1" t="s">
        <v>37</v>
      </c>
    </row>
    <row r="38" customFormat="false" ht="15" hidden="false" customHeight="false" outlineLevel="0" collapsed="false">
      <c r="B38" s="37" t="s">
        <v>3</v>
      </c>
      <c r="C38" s="38" t="n">
        <f aca="false">'Maintenance Policies'!E37</f>
        <v>19</v>
      </c>
      <c r="D38" s="39" t="n">
        <f aca="false">P20</f>
        <v>916324.5816</v>
      </c>
      <c r="E38" s="40" t="n">
        <f aca="false">IF(C38&gt;'General Information'!$D$33,0,D38/(1+('General Information'!$D$34/100))^C38)</f>
        <v>522567.104910763</v>
      </c>
      <c r="K38" s="1" t="n">
        <f aca="false">C6</f>
        <v>2028</v>
      </c>
      <c r="L38" s="2" t="n">
        <f aca="false">IF(K38-$C$6&gt;'General Information'!$D$33,0,IF(K38=$C$6,$D$37,0)+SUMIFS($D$38:$D$42,$C$38:$C$42,K38-$C$6,$B$38:$B$42,"&lt;&gt;*Indirect*"))</f>
        <v>0</v>
      </c>
      <c r="M38" s="2" t="n">
        <f aca="false">IF(K38-$C$6&gt;'General Information'!$D$33,0,SUMIFS($D$38:$D$42,$C$38:$C$42,K38-$C$6,$B$38:$B$42,"*Indirect*"))</f>
        <v>0</v>
      </c>
      <c r="N38" s="2" t="n">
        <f aca="false">IF(K38-$C$6&gt;'General Information'!$D$33,0,IF(K38=$C$6,$E$37,0)+SUMIF($C$38:$C$42,K38-$C$6,$E$38:$E$42))</f>
        <v>0</v>
      </c>
    </row>
    <row r="39" customFormat="false" ht="15" hidden="false" customHeight="false" outlineLevel="0" collapsed="false">
      <c r="B39" s="37" t="s">
        <v>38</v>
      </c>
      <c r="C39" s="38" t="n">
        <f aca="false">'Maintenance Policies'!E37</f>
        <v>19</v>
      </c>
      <c r="D39" s="39" t="n">
        <f aca="false">F2*F4</f>
        <v>32393.9</v>
      </c>
      <c r="E39" s="40" t="n">
        <f aca="false">IF(C39&gt;'General Information'!$D$33,0,D39/(1+('General Information'!$D$34/100))^C39)</f>
        <v>18473.7885239428</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37" t="s">
        <v>4</v>
      </c>
      <c r="C40" s="38" t="n">
        <f aca="false">'Maintenance Policies'!E41</f>
        <v>27</v>
      </c>
      <c r="D40" s="39" t="n">
        <f aca="false">X21</f>
        <v>1072418.6954</v>
      </c>
      <c r="E40" s="40" t="n">
        <f aca="false">IF(C40&gt;'General Information'!$D$33,0,D40/(1+('General Information'!$D$34/100))^C40)</f>
        <v>482791.159867436</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37" t="s">
        <v>39</v>
      </c>
      <c r="C41" s="38" t="n">
        <f aca="false">'Maintenance Policies'!E41</f>
        <v>27</v>
      </c>
      <c r="D41" s="39" t="n">
        <f aca="false">F2*F5</f>
        <v>61548.41</v>
      </c>
      <c r="E41" s="40" t="n">
        <f aca="false">IF(C41&gt;'General Information'!$D$33,0,D41/(1+('General Information'!$D$34/100))^C41)</f>
        <v>27708.4205817702</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37" t="s">
        <v>40</v>
      </c>
      <c r="C42" s="38" t="n">
        <f aca="false">'General Information'!D33</f>
        <v>30</v>
      </c>
      <c r="D42" s="39" t="n">
        <f aca="false">-'Maintenance Policies'!D46*G27</f>
        <v>-0</v>
      </c>
      <c r="E42" s="40" t="n">
        <f aca="false">IF(C42&gt;'General Information'!$D$33,0,D42/(1+('General Information'!$D$34/100))^C42)</f>
        <v>-0</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1" t="s">
        <v>27</v>
      </c>
      <c r="C43" s="42"/>
      <c r="D43" s="42"/>
      <c r="E43" s="43" t="n">
        <f aca="false">SUM(E37:E42)</f>
        <v>1051540.47388391</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916324.5816</v>
      </c>
      <c r="M57" s="2" t="n">
        <f aca="false">IF(K57-$C$6&gt;'General Information'!$D$33,0,SUMIFS($D$38:$D$42,$C$38:$C$42,K57-$C$6,$B$38:$B$42,"*Indirect*"))</f>
        <v>32393.9</v>
      </c>
      <c r="N57" s="2" t="n">
        <f aca="false">IF(K57-$C$6&gt;'General Information'!$D$33,0,IF(K57=$C$6,$E$37,0)+SUMIF($C$38:$C$42,K57-$C$6,$E$38:$E$42))</f>
        <v>541040.893434706</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1072418.6954</v>
      </c>
      <c r="M65" s="2" t="n">
        <f aca="false">IF(K65-$C$6&gt;'General Information'!$D$33,0,SUMIFS($D$38:$D$42,$C$38:$C$42,K65-$C$6,$B$38:$B$42,"*Indirect*"))</f>
        <v>61548.41</v>
      </c>
      <c r="N65" s="2" t="n">
        <f aca="false">IF(K65-$C$6&gt;'General Information'!$D$33,0,IF(K65=$C$6,$E$37,0)+SUMIF($C$38:$C$42,K65-$C$6,$E$38:$E$42))</f>
        <v>510499.580449206</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0</v>
      </c>
      <c r="M68" s="2" t="n">
        <f aca="false">IF(K68-$C$6&gt;'General Information'!$D$33,0,SUMIFS($D$38:$D$42,$C$38:$C$42,K68-$C$6,$B$38:$B$42,"*Indirect*"))</f>
        <v>0</v>
      </c>
      <c r="N68" s="2" t="n">
        <f aca="false">IF(K68-$C$6&gt;'General Information'!$D$33,0,IF(K68=$C$6,$E$37,0)+SUMIF($C$38:$C$42,K68-$C$6,$E$38:$E$42))</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2:E28"/>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J7" activeCellId="0" sqref="J7"/>
    </sheetView>
  </sheetViews>
  <sheetFormatPr defaultColWidth="8.71484375" defaultRowHeight="12.75" zeroHeight="false" outlineLevelRow="0" outlineLevelCol="0"/>
  <cols>
    <col collapsed="false" customWidth="false" hidden="false" outlineLevel="0" max="16384" min="1" style="44" width="8.71"/>
  </cols>
  <sheetData>
    <row r="2" customFormat="false" ht="12.75" hidden="false" customHeight="false" outlineLevel="0" collapsed="false">
      <c r="E2" s="44" t="s">
        <v>41</v>
      </c>
    </row>
    <row r="3" customFormat="false" ht="12.75" hidden="false" customHeight="false" outlineLevel="0" collapsed="false">
      <c r="E3" s="44" t="s">
        <v>42</v>
      </c>
    </row>
    <row r="4" customFormat="false" ht="12.75" hidden="false" customHeight="false" outlineLevel="0" collapsed="false">
      <c r="E4" s="44" t="s">
        <v>43</v>
      </c>
    </row>
    <row r="5" customFormat="false" ht="12.75" hidden="false" customHeight="false" outlineLevel="0" collapsed="false">
      <c r="E5" s="44" t="s">
        <v>44</v>
      </c>
    </row>
    <row r="6" customFormat="false" ht="12.75" hidden="false" customHeight="false" outlineLevel="0" collapsed="false">
      <c r="E6" s="44" t="s">
        <v>45</v>
      </c>
    </row>
    <row r="7" customFormat="false" ht="14.9" hidden="false" customHeight="false" outlineLevel="0" collapsed="false">
      <c r="E7" s="45" t="s">
        <v>46</v>
      </c>
    </row>
    <row r="9" customFormat="false" ht="12.75" hidden="false" customHeight="false" outlineLevel="0" collapsed="false">
      <c r="B9" s="46" t="s">
        <v>47</v>
      </c>
    </row>
    <row r="28" customFormat="false" ht="12.75" hidden="false" customHeight="false" outlineLevel="0" collapsed="false">
      <c r="B28" s="46"/>
    </row>
  </sheetData>
  <hyperlinks>
    <hyperlink ref="E7" r:id="rId1" display="https://www.tn.gov/tdot/aeronautics.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2:E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R38" activeCellId="0" sqref="R38"/>
    </sheetView>
  </sheetViews>
  <sheetFormatPr defaultColWidth="8.71484375" defaultRowHeight="12.75" zeroHeight="false" outlineLevelRow="0" outlineLevelCol="0"/>
  <cols>
    <col collapsed="false" customWidth="false" hidden="false" outlineLevel="0" max="16384" min="1" style="44" width="8.71"/>
  </cols>
  <sheetData>
    <row r="2" customFormat="false" ht="12.75" hidden="false" customHeight="false" outlineLevel="0" collapsed="false">
      <c r="E2" s="44" t="s">
        <v>41</v>
      </c>
    </row>
    <row r="3" customFormat="false" ht="12.75" hidden="false" customHeight="false" outlineLevel="0" collapsed="false">
      <c r="E3" s="44" t="s">
        <v>42</v>
      </c>
    </row>
    <row r="4" customFormat="false" ht="12.75" hidden="false" customHeight="false" outlineLevel="0" collapsed="false">
      <c r="E4" s="44" t="s">
        <v>43</v>
      </c>
    </row>
    <row r="5" customFormat="false" ht="12.75" hidden="false" customHeight="false" outlineLevel="0" collapsed="false">
      <c r="E5" s="44" t="s">
        <v>44</v>
      </c>
    </row>
    <row r="6" customFormat="false" ht="12.75" hidden="false" customHeight="false" outlineLevel="0" collapsed="false">
      <c r="E6" s="44" t="s">
        <v>45</v>
      </c>
    </row>
    <row r="7" customFormat="false" ht="12.75" hidden="false" customHeight="false" outlineLevel="0" collapsed="false">
      <c r="E7" s="44" t="s">
        <v>46</v>
      </c>
    </row>
    <row r="9" customFormat="false" ht="12.75" hidden="false" customHeight="false" outlineLevel="0" collapsed="false">
      <c r="B9" s="46" t="s">
        <v>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B7:S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8" activeCellId="0" sqref="D38"/>
    </sheetView>
  </sheetViews>
  <sheetFormatPr defaultColWidth="8.71484375" defaultRowHeight="12.75" zeroHeight="false" outlineLevelRow="0" outlineLevelCol="0"/>
  <cols>
    <col collapsed="false" customWidth="false" hidden="false" outlineLevel="0" max="2" min="1" style="44" width="8.71"/>
    <col collapsed="false" customWidth="true" hidden="false" outlineLevel="0" max="3" min="3" style="44" width="26.71"/>
    <col collapsed="false" customWidth="true" hidden="false" outlineLevel="0" max="4" min="4" style="44" width="35.43"/>
    <col collapsed="false" customWidth="false" hidden="false" outlineLevel="0" max="10" min="5" style="44" width="8.71"/>
    <col collapsed="false" customWidth="true" hidden="true" outlineLevel="0" max="11" min="11" style="44" width="9.14"/>
    <col collapsed="false" customWidth="true" hidden="true" outlineLevel="0" max="12" min="12" style="44" width="35.71"/>
    <col collapsed="false" customWidth="true" hidden="true" outlineLevel="0" max="13" min="13" style="44" width="9.14"/>
    <col collapsed="false" customWidth="true" hidden="true" outlineLevel="0" max="14" min="14" style="44" width="21.28"/>
    <col collapsed="false" customWidth="true" hidden="true" outlineLevel="0" max="15" min="15" style="44" width="9.14"/>
    <col collapsed="false" customWidth="false" hidden="true" outlineLevel="0" max="16" min="16" style="44" width="8.71"/>
    <col collapsed="false" customWidth="true" hidden="true" outlineLevel="0" max="18" min="17" style="44" width="9.14"/>
    <col collapsed="false" customWidth="true" hidden="true" outlineLevel="0" max="19" min="19" style="44" width="16.29"/>
    <col collapsed="false" customWidth="true" hidden="true" outlineLevel="0" max="21" min="20" style="44" width="9.14"/>
    <col collapsed="false" customWidth="false" hidden="false" outlineLevel="0" max="16384" min="22" style="44" width="8.71"/>
  </cols>
  <sheetData>
    <row r="7" customFormat="false" ht="12.75" hidden="false" customHeight="false" outlineLevel="0" collapsed="false">
      <c r="K7" s="44" t="s">
        <v>0</v>
      </c>
    </row>
    <row r="8" customFormat="false" ht="12.75" hidden="false" customHeight="false" outlineLevel="0" collapsed="false">
      <c r="B8" s="46" t="s">
        <v>49</v>
      </c>
      <c r="L8" s="47" t="s">
        <v>50</v>
      </c>
      <c r="M8" s="47" t="s">
        <v>51</v>
      </c>
      <c r="N8" s="47" t="s">
        <v>52</v>
      </c>
      <c r="O8" s="47" t="s">
        <v>53</v>
      </c>
      <c r="P8" s="47" t="s">
        <v>54</v>
      </c>
      <c r="Q8" s="47" t="s">
        <v>55</v>
      </c>
      <c r="S8" s="44" t="s">
        <v>56</v>
      </c>
    </row>
    <row r="9" customFormat="false" ht="12.75" hidden="false" customHeight="false" outlineLevel="0" collapsed="false">
      <c r="C9" s="44" t="s">
        <v>57</v>
      </c>
      <c r="D9" s="48" t="s">
        <v>58</v>
      </c>
      <c r="L9" s="47"/>
      <c r="M9" s="47"/>
      <c r="N9" s="47" t="s">
        <v>59</v>
      </c>
      <c r="O9" s="47" t="s">
        <v>59</v>
      </c>
      <c r="P9" s="47"/>
      <c r="Q9" s="18"/>
    </row>
    <row r="10" customFormat="false" ht="12.75" hidden="false" customHeight="false" outlineLevel="0" collapsed="false">
      <c r="C10" s="44" t="s">
        <v>60</v>
      </c>
      <c r="D10" s="49" t="str">
        <f aca="false">IF(D9="","N/A",VLOOKUP(Airport_Name,Table17[],2))</f>
        <v>CKV</v>
      </c>
      <c r="L10" s="44" t="s">
        <v>61</v>
      </c>
      <c r="M10" s="44" t="s">
        <v>62</v>
      </c>
      <c r="N10" s="44" t="s">
        <v>63</v>
      </c>
      <c r="O10" s="44" t="s">
        <v>64</v>
      </c>
      <c r="P10" s="44" t="s">
        <v>65</v>
      </c>
      <c r="S10" s="44" t="s">
        <v>66</v>
      </c>
    </row>
    <row r="11" customFormat="false" ht="12.75" hidden="false" customHeight="false" outlineLevel="0" collapsed="false">
      <c r="C11" s="44" t="s">
        <v>67</v>
      </c>
      <c r="D11" s="49" t="str">
        <f aca="false">IF(D9="","N/A",VLOOKUP(Airport_Name,Table17[],3))</f>
        <v>Clarksville</v>
      </c>
      <c r="L11" s="44" t="s">
        <v>68</v>
      </c>
      <c r="M11" s="44" t="s">
        <v>69</v>
      </c>
      <c r="N11" s="44" t="s">
        <v>70</v>
      </c>
      <c r="O11" s="44" t="s">
        <v>71</v>
      </c>
      <c r="P11" s="44" t="s">
        <v>72</v>
      </c>
      <c r="S11" s="44" t="s">
        <v>73</v>
      </c>
    </row>
    <row r="12" customFormat="false" ht="12.75" hidden="false" customHeight="false" outlineLevel="0" collapsed="false">
      <c r="C12" s="44" t="s">
        <v>74</v>
      </c>
      <c r="D12" s="49" t="n">
        <f aca="false">IF(D9="","N/A",VLOOKUP(Airport_Name,Table17[],6))</f>
        <v>0</v>
      </c>
      <c r="L12" s="44" t="s">
        <v>75</v>
      </c>
      <c r="M12" s="44" t="s">
        <v>76</v>
      </c>
      <c r="N12" s="44" t="s">
        <v>77</v>
      </c>
      <c r="O12" s="44" t="s">
        <v>78</v>
      </c>
      <c r="P12" s="44" t="s">
        <v>72</v>
      </c>
      <c r="S12" s="44" t="s">
        <v>79</v>
      </c>
    </row>
    <row r="13" customFormat="false" ht="12.75" hidden="false" customHeight="false" outlineLevel="0" collapsed="false">
      <c r="C13" s="44" t="s">
        <v>80</v>
      </c>
      <c r="D13" s="49" t="str">
        <f aca="false">IF(D9="","N/A",VLOOKUP(Airport_Name,Table17[],5))</f>
        <v>Middle</v>
      </c>
      <c r="L13" s="44" t="s">
        <v>81</v>
      </c>
      <c r="M13" s="44" t="s">
        <v>82</v>
      </c>
      <c r="N13" s="44" t="s">
        <v>83</v>
      </c>
      <c r="O13" s="44" t="s">
        <v>84</v>
      </c>
      <c r="P13" s="44" t="s">
        <v>72</v>
      </c>
    </row>
    <row r="14" customFormat="false" ht="12.75" hidden="false" customHeight="false" outlineLevel="0" collapsed="false">
      <c r="C14" s="44" t="s">
        <v>85</v>
      </c>
      <c r="D14" s="48" t="s">
        <v>86</v>
      </c>
      <c r="L14" s="44" t="s">
        <v>87</v>
      </c>
      <c r="M14" s="44" t="s">
        <v>88</v>
      </c>
      <c r="N14" s="44" t="s">
        <v>89</v>
      </c>
      <c r="O14" s="44" t="s">
        <v>90</v>
      </c>
      <c r="P14" s="44" t="s">
        <v>65</v>
      </c>
    </row>
    <row r="15" customFormat="false" ht="12.75" hidden="false" customHeight="false" outlineLevel="0" collapsed="false">
      <c r="C15" s="44" t="s">
        <v>91</v>
      </c>
      <c r="D15" s="50" t="s">
        <v>92</v>
      </c>
      <c r="L15" s="44" t="s">
        <v>93</v>
      </c>
      <c r="M15" s="44" t="s">
        <v>94</v>
      </c>
      <c r="N15" s="44" t="s">
        <v>95</v>
      </c>
      <c r="O15" s="44" t="s">
        <v>96</v>
      </c>
      <c r="P15" s="44" t="s">
        <v>72</v>
      </c>
      <c r="S15" s="44" t="s">
        <v>97</v>
      </c>
    </row>
    <row r="16" customFormat="false" ht="12.75" hidden="false" customHeight="false" outlineLevel="0" collapsed="false">
      <c r="C16" s="44" t="s">
        <v>98</v>
      </c>
      <c r="D16" s="48" t="s">
        <v>99</v>
      </c>
      <c r="L16" s="44" t="s">
        <v>100</v>
      </c>
      <c r="M16" s="44" t="s">
        <v>101</v>
      </c>
      <c r="N16" s="44" t="s">
        <v>102</v>
      </c>
      <c r="O16" s="44" t="s">
        <v>103</v>
      </c>
      <c r="P16" s="44" t="s">
        <v>65</v>
      </c>
    </row>
    <row r="17" customFormat="false" ht="12.75" hidden="false" customHeight="false" outlineLevel="0" collapsed="false">
      <c r="C17" s="44" t="s">
        <v>104</v>
      </c>
      <c r="D17" s="51"/>
      <c r="L17" s="44" t="s">
        <v>105</v>
      </c>
      <c r="M17" s="44" t="s">
        <v>106</v>
      </c>
      <c r="N17" s="44" t="s">
        <v>107</v>
      </c>
      <c r="O17" s="44" t="s">
        <v>108</v>
      </c>
      <c r="P17" s="44" t="s">
        <v>72</v>
      </c>
      <c r="S17" s="44" t="s">
        <v>109</v>
      </c>
    </row>
    <row r="18" customFormat="false" ht="12.75" hidden="false" customHeight="false" outlineLevel="0" collapsed="false">
      <c r="L18" s="44" t="s">
        <v>110</v>
      </c>
      <c r="M18" s="44" t="s">
        <v>111</v>
      </c>
      <c r="N18" s="44" t="s">
        <v>84</v>
      </c>
      <c r="O18" s="44" t="s">
        <v>112</v>
      </c>
      <c r="P18" s="44" t="s">
        <v>113</v>
      </c>
      <c r="S18" s="44" t="s">
        <v>114</v>
      </c>
    </row>
    <row r="19" customFormat="false" ht="12.75" hidden="false" customHeight="false" outlineLevel="0" collapsed="false">
      <c r="L19" s="44" t="s">
        <v>115</v>
      </c>
      <c r="M19" s="44" t="s">
        <v>116</v>
      </c>
      <c r="N19" s="44" t="s">
        <v>117</v>
      </c>
      <c r="O19" s="44" t="s">
        <v>118</v>
      </c>
      <c r="P19" s="44" t="s">
        <v>113</v>
      </c>
    </row>
    <row r="20" customFormat="false" ht="12.75" hidden="false" customHeight="false" outlineLevel="0" collapsed="false">
      <c r="B20" s="46" t="s">
        <v>119</v>
      </c>
      <c r="L20" s="44" t="s">
        <v>120</v>
      </c>
      <c r="M20" s="44" t="s">
        <v>121</v>
      </c>
      <c r="N20" s="44" t="s">
        <v>122</v>
      </c>
      <c r="O20" s="44" t="s">
        <v>123</v>
      </c>
      <c r="P20" s="44" t="s">
        <v>113</v>
      </c>
    </row>
    <row r="21" customFormat="false" ht="12.75" hidden="false" customHeight="false" outlineLevel="0" collapsed="false">
      <c r="C21" s="44" t="s">
        <v>124</v>
      </c>
      <c r="D21" s="48" t="s">
        <v>66</v>
      </c>
      <c r="L21" s="44" t="s">
        <v>125</v>
      </c>
      <c r="M21" s="44" t="s">
        <v>126</v>
      </c>
      <c r="N21" s="44" t="s">
        <v>127</v>
      </c>
      <c r="O21" s="44" t="s">
        <v>128</v>
      </c>
      <c r="P21" s="44" t="s">
        <v>113</v>
      </c>
      <c r="S21" s="44" t="s">
        <v>129</v>
      </c>
    </row>
    <row r="22" customFormat="false" ht="12.75" hidden="false" customHeight="false" outlineLevel="0" collapsed="false">
      <c r="C22" s="44" t="s">
        <v>130</v>
      </c>
      <c r="D22" s="48" t="s">
        <v>131</v>
      </c>
      <c r="L22" s="44" t="s">
        <v>132</v>
      </c>
      <c r="M22" s="44" t="s">
        <v>133</v>
      </c>
      <c r="N22" s="44" t="s">
        <v>134</v>
      </c>
      <c r="O22" s="44" t="s">
        <v>135</v>
      </c>
      <c r="P22" s="44" t="s">
        <v>72</v>
      </c>
    </row>
    <row r="23" customFormat="false" ht="12.75" hidden="false" customHeight="false" outlineLevel="0" collapsed="false">
      <c r="C23" s="44" t="s">
        <v>136</v>
      </c>
      <c r="D23" s="48" t="s">
        <v>137</v>
      </c>
      <c r="L23" s="44" t="s">
        <v>138</v>
      </c>
      <c r="M23" s="44" t="s">
        <v>139</v>
      </c>
      <c r="N23" s="44" t="s">
        <v>140</v>
      </c>
      <c r="O23" s="44" t="s">
        <v>141</v>
      </c>
      <c r="P23" s="44" t="s">
        <v>113</v>
      </c>
      <c r="S23" s="44" t="s">
        <v>142</v>
      </c>
    </row>
    <row r="24" customFormat="false" ht="12.75" hidden="false" customHeight="false" outlineLevel="0" collapsed="false">
      <c r="C24" s="44" t="s">
        <v>143</v>
      </c>
      <c r="D24" s="48" t="s">
        <v>144</v>
      </c>
      <c r="L24" s="44" t="s">
        <v>145</v>
      </c>
      <c r="M24" s="44" t="s">
        <v>146</v>
      </c>
      <c r="N24" s="44" t="s">
        <v>147</v>
      </c>
      <c r="O24" s="44" t="s">
        <v>123</v>
      </c>
      <c r="P24" s="44" t="s">
        <v>113</v>
      </c>
      <c r="S24" s="44" t="s">
        <v>148</v>
      </c>
    </row>
    <row r="25" customFormat="false" ht="12.75" hidden="false" customHeight="false" outlineLevel="0" collapsed="false">
      <c r="C25" s="44" t="s">
        <v>149</v>
      </c>
      <c r="D25" s="48" t="n">
        <v>2028</v>
      </c>
      <c r="L25" s="44" t="s">
        <v>150</v>
      </c>
      <c r="M25" s="44" t="s">
        <v>151</v>
      </c>
      <c r="N25" s="44" t="s">
        <v>152</v>
      </c>
      <c r="O25" s="44" t="s">
        <v>152</v>
      </c>
      <c r="P25" s="44" t="s">
        <v>65</v>
      </c>
      <c r="S25" s="44" t="s">
        <v>153</v>
      </c>
    </row>
    <row r="26" customFormat="false" ht="12.75" hidden="false" customHeight="false" outlineLevel="0" collapsed="false">
      <c r="C26" s="44" t="s">
        <v>154</v>
      </c>
      <c r="D26" s="48" t="n">
        <v>66667</v>
      </c>
      <c r="L26" s="44" t="s">
        <v>155</v>
      </c>
      <c r="M26" s="44" t="s">
        <v>156</v>
      </c>
      <c r="N26" s="44" t="s">
        <v>157</v>
      </c>
      <c r="O26" s="44" t="s">
        <v>158</v>
      </c>
      <c r="P26" s="44" t="s">
        <v>72</v>
      </c>
    </row>
    <row r="27" customFormat="false" ht="12.75" hidden="false" customHeight="false" outlineLevel="0" collapsed="false">
      <c r="C27" s="44" t="s">
        <v>159</v>
      </c>
      <c r="D27" s="48" t="n">
        <v>0</v>
      </c>
      <c r="L27" s="44" t="s">
        <v>160</v>
      </c>
      <c r="M27" s="44" t="s">
        <v>161</v>
      </c>
      <c r="N27" s="44" t="s">
        <v>162</v>
      </c>
      <c r="O27" s="44" t="s">
        <v>163</v>
      </c>
      <c r="P27" s="44" t="s">
        <v>113</v>
      </c>
    </row>
    <row r="28" customFormat="false" ht="12.75" hidden="false" customHeight="false" outlineLevel="0" collapsed="false">
      <c r="C28" s="44" t="s">
        <v>164</v>
      </c>
      <c r="D28" s="48" t="n">
        <v>15000</v>
      </c>
      <c r="L28" s="44" t="s">
        <v>165</v>
      </c>
      <c r="M28" s="44" t="s">
        <v>166</v>
      </c>
      <c r="N28" s="44" t="s">
        <v>167</v>
      </c>
      <c r="O28" s="44" t="s">
        <v>168</v>
      </c>
      <c r="P28" s="44" t="s">
        <v>65</v>
      </c>
    </row>
    <row r="29" customFormat="false" ht="12.75" hidden="false" customHeight="false" outlineLevel="0" collapsed="false">
      <c r="C29" s="44" t="s">
        <v>169</v>
      </c>
      <c r="D29" s="48" t="s">
        <v>109</v>
      </c>
      <c r="L29" s="44" t="s">
        <v>170</v>
      </c>
      <c r="M29" s="44" t="s">
        <v>171</v>
      </c>
      <c r="N29" s="44" t="s">
        <v>172</v>
      </c>
      <c r="O29" s="44" t="s">
        <v>173</v>
      </c>
      <c r="P29" s="44" t="s">
        <v>72</v>
      </c>
    </row>
    <row r="30" customFormat="false" ht="12.75" hidden="false" customHeight="false" outlineLevel="0" collapsed="false">
      <c r="L30" s="44" t="s">
        <v>174</v>
      </c>
      <c r="M30" s="44" t="s">
        <v>175</v>
      </c>
      <c r="N30" s="44" t="s">
        <v>176</v>
      </c>
      <c r="O30" s="44" t="s">
        <v>177</v>
      </c>
      <c r="P30" s="44" t="s">
        <v>72</v>
      </c>
    </row>
    <row r="31" customFormat="false" ht="12.75" hidden="false" customHeight="false" outlineLevel="0" collapsed="false">
      <c r="L31" s="44" t="s">
        <v>178</v>
      </c>
      <c r="M31" s="44" t="s">
        <v>179</v>
      </c>
      <c r="N31" s="44" t="s">
        <v>180</v>
      </c>
      <c r="O31" s="44" t="s">
        <v>181</v>
      </c>
      <c r="P31" s="44" t="s">
        <v>65</v>
      </c>
    </row>
    <row r="32" customFormat="false" ht="12.75" hidden="false" customHeight="false" outlineLevel="0" collapsed="false">
      <c r="B32" s="46" t="s">
        <v>182</v>
      </c>
      <c r="L32" s="44" t="s">
        <v>183</v>
      </c>
      <c r="M32" s="44" t="s">
        <v>184</v>
      </c>
      <c r="N32" s="44" t="s">
        <v>185</v>
      </c>
      <c r="O32" s="44" t="s">
        <v>186</v>
      </c>
      <c r="P32" s="44" t="s">
        <v>65</v>
      </c>
    </row>
    <row r="33" customFormat="false" ht="12.75" hidden="false" customHeight="false" outlineLevel="0" collapsed="false">
      <c r="C33" s="44" t="s">
        <v>187</v>
      </c>
      <c r="D33" s="52" t="n">
        <v>30</v>
      </c>
      <c r="L33" s="44" t="s">
        <v>188</v>
      </c>
      <c r="M33" s="44" t="s">
        <v>189</v>
      </c>
      <c r="N33" s="44" t="s">
        <v>190</v>
      </c>
      <c r="O33" s="44" t="s">
        <v>191</v>
      </c>
      <c r="P33" s="44" t="s">
        <v>113</v>
      </c>
    </row>
    <row r="34" customFormat="false" ht="12.75" hidden="false" customHeight="false" outlineLevel="0" collapsed="false">
      <c r="C34" s="44" t="s">
        <v>192</v>
      </c>
      <c r="D34" s="52" t="n">
        <v>3</v>
      </c>
      <c r="L34" s="44" t="s">
        <v>193</v>
      </c>
      <c r="M34" s="44" t="s">
        <v>194</v>
      </c>
      <c r="N34" s="44" t="s">
        <v>195</v>
      </c>
      <c r="O34" s="44" t="s">
        <v>108</v>
      </c>
      <c r="P34" s="44" t="s">
        <v>72</v>
      </c>
    </row>
    <row r="35" customFormat="false" ht="12.75" hidden="false" customHeight="false" outlineLevel="0" collapsed="false">
      <c r="C35" s="44" t="s">
        <v>196</v>
      </c>
      <c r="D35" s="52" t="s">
        <v>197</v>
      </c>
      <c r="L35" s="44" t="s">
        <v>198</v>
      </c>
      <c r="M35" s="44" t="s">
        <v>199</v>
      </c>
      <c r="N35" s="44" t="s">
        <v>200</v>
      </c>
      <c r="O35" s="44" t="s">
        <v>201</v>
      </c>
      <c r="P35" s="44" t="s">
        <v>72</v>
      </c>
    </row>
    <row r="36" customFormat="false" ht="12.75" hidden="false" customHeight="false" outlineLevel="0" collapsed="false">
      <c r="C36" s="44" t="s">
        <v>202</v>
      </c>
      <c r="D36" s="52" t="n">
        <v>10</v>
      </c>
      <c r="L36" s="44" t="s">
        <v>203</v>
      </c>
      <c r="M36" s="44" t="s">
        <v>204</v>
      </c>
      <c r="N36" s="44" t="s">
        <v>205</v>
      </c>
      <c r="O36" s="44" t="s">
        <v>206</v>
      </c>
      <c r="P36" s="44" t="s">
        <v>113</v>
      </c>
    </row>
    <row r="37" customFormat="false" ht="12.75" hidden="false" customHeight="false" outlineLevel="0" collapsed="false">
      <c r="C37" s="44" t="s">
        <v>207</v>
      </c>
      <c r="D37" s="52" t="n">
        <v>5</v>
      </c>
      <c r="L37" s="44" t="s">
        <v>208</v>
      </c>
      <c r="M37" s="44" t="s">
        <v>209</v>
      </c>
      <c r="N37" s="44" t="s">
        <v>210</v>
      </c>
      <c r="O37" s="44" t="s">
        <v>211</v>
      </c>
      <c r="P37" s="44" t="s">
        <v>65</v>
      </c>
    </row>
    <row r="38" customFormat="false" ht="12.75" hidden="false" customHeight="false" outlineLevel="0" collapsed="false">
      <c r="C38" s="44" t="s">
        <v>212</v>
      </c>
      <c r="D38" s="53" t="s">
        <v>213</v>
      </c>
      <c r="L38" s="44" t="s">
        <v>214</v>
      </c>
      <c r="M38" s="44" t="s">
        <v>215</v>
      </c>
      <c r="N38" s="44" t="s">
        <v>216</v>
      </c>
      <c r="O38" s="44" t="s">
        <v>217</v>
      </c>
      <c r="P38" s="44" t="s">
        <v>113</v>
      </c>
    </row>
    <row r="39" customFormat="false" ht="12.75" hidden="false" customHeight="false" outlineLevel="0" collapsed="false">
      <c r="C39" s="44" t="s">
        <v>218</v>
      </c>
      <c r="D39" s="54" t="n">
        <f aca="false">IF(D38&lt;&gt;"Yes","",IF(COUNTIF(RevenueData!$A:$A,$D$10)=0,"Missing Airport Revenue",SUMIF(RevenueData!$A:$A,$D$10,RevenueData!$B:$B)+SUMIF(RevenueData!$A:$A,$D$10,RevenueData!$C:$C)+SUMIF(RevenueData!$A:$A,$D$10,RevenueData!$D:$D)+SUMIF(RevenueData!$A:$A,$D$10,RevenueData!$E:$E)+SUMIF(RevenueData!$A:$A,$D$10,RevenueData!$F:$F)+SUMIF(RevenueData!$A:$A,$D$10,RevenueData!$G:$G)+SUMIF(RevenueData!$A:$A,$D$10,RevenueData!$H:$H)))</f>
        <v>3239.39</v>
      </c>
      <c r="L39" s="44" t="s">
        <v>219</v>
      </c>
      <c r="M39" s="44" t="s">
        <v>220</v>
      </c>
      <c r="N39" s="44" t="s">
        <v>221</v>
      </c>
      <c r="O39" s="44" t="s">
        <v>222</v>
      </c>
      <c r="P39" s="44" t="s">
        <v>72</v>
      </c>
    </row>
    <row r="40" customFormat="false" ht="12.75" hidden="false" customHeight="false" outlineLevel="0" collapsed="false">
      <c r="L40" s="44" t="s">
        <v>223</v>
      </c>
      <c r="M40" s="44" t="s">
        <v>224</v>
      </c>
      <c r="N40" s="44" t="s">
        <v>225</v>
      </c>
      <c r="O40" s="44" t="s">
        <v>226</v>
      </c>
      <c r="P40" s="44" t="s">
        <v>65</v>
      </c>
    </row>
    <row r="41" customFormat="false" ht="12.75" hidden="false" customHeight="false" outlineLevel="0" collapsed="false">
      <c r="B41" s="46" t="s">
        <v>227</v>
      </c>
      <c r="L41" s="44" t="s">
        <v>228</v>
      </c>
      <c r="M41" s="44" t="s">
        <v>229</v>
      </c>
      <c r="N41" s="44" t="s">
        <v>230</v>
      </c>
      <c r="O41" s="44" t="s">
        <v>201</v>
      </c>
      <c r="P41" s="44" t="s">
        <v>72</v>
      </c>
    </row>
    <row r="42" customFormat="false" ht="12.75" hidden="false" customHeight="false" outlineLevel="0" collapsed="false">
      <c r="L42" s="44" t="s">
        <v>231</v>
      </c>
      <c r="M42" s="44" t="s">
        <v>232</v>
      </c>
      <c r="N42" s="44" t="s">
        <v>233</v>
      </c>
      <c r="O42" s="44" t="s">
        <v>234</v>
      </c>
      <c r="P42" s="44" t="s">
        <v>65</v>
      </c>
    </row>
    <row r="43" customFormat="false" ht="12.75" hidden="false" customHeight="false" outlineLevel="0" collapsed="false">
      <c r="L43" s="44" t="s">
        <v>235</v>
      </c>
      <c r="M43" s="44" t="s">
        <v>236</v>
      </c>
      <c r="N43" s="44" t="s">
        <v>237</v>
      </c>
      <c r="O43" s="44" t="s">
        <v>238</v>
      </c>
      <c r="P43" s="44" t="s">
        <v>65</v>
      </c>
    </row>
    <row r="44" customFormat="false" ht="21" hidden="false" customHeight="true" outlineLevel="0" collapsed="false">
      <c r="B44" s="46" t="s">
        <v>239</v>
      </c>
      <c r="D44" s="55" t="str">
        <f aca="false">HYPERLINK("#Summary!G1","View Summary  ►")</f>
        <v>View Summary  ►</v>
      </c>
      <c r="L44" s="44" t="s">
        <v>240</v>
      </c>
      <c r="M44" s="44" t="s">
        <v>241</v>
      </c>
      <c r="N44" s="44" t="s">
        <v>242</v>
      </c>
      <c r="O44" s="44" t="s">
        <v>243</v>
      </c>
      <c r="P44" s="44" t="s">
        <v>65</v>
      </c>
    </row>
    <row r="45" customFormat="false" ht="12.75" hidden="false" customHeight="false" outlineLevel="0" collapsed="false">
      <c r="L45" s="44" t="s">
        <v>244</v>
      </c>
      <c r="M45" s="44" t="s">
        <v>245</v>
      </c>
      <c r="N45" s="44" t="s">
        <v>246</v>
      </c>
      <c r="O45" s="44" t="s">
        <v>247</v>
      </c>
      <c r="P45" s="44" t="s">
        <v>65</v>
      </c>
    </row>
    <row r="46" customFormat="false" ht="12.75" hidden="false" customHeight="false" outlineLevel="0" collapsed="false">
      <c r="L46" s="44" t="s">
        <v>248</v>
      </c>
      <c r="M46" s="44" t="s">
        <v>249</v>
      </c>
      <c r="N46" s="44" t="s">
        <v>250</v>
      </c>
      <c r="O46" s="44" t="s">
        <v>251</v>
      </c>
      <c r="P46" s="44" t="s">
        <v>65</v>
      </c>
    </row>
    <row r="47" customFormat="false" ht="12.75" hidden="false" customHeight="false" outlineLevel="0" collapsed="false">
      <c r="L47" s="44" t="s">
        <v>252</v>
      </c>
      <c r="M47" s="44" t="s">
        <v>253</v>
      </c>
      <c r="N47" s="44" t="s">
        <v>254</v>
      </c>
      <c r="O47" s="44" t="s">
        <v>255</v>
      </c>
      <c r="P47" s="44" t="s">
        <v>65</v>
      </c>
    </row>
    <row r="48" customFormat="false" ht="12.75" hidden="false" customHeight="false" outlineLevel="0" collapsed="false">
      <c r="L48" s="44" t="s">
        <v>256</v>
      </c>
      <c r="M48" s="44" t="s">
        <v>257</v>
      </c>
      <c r="N48" s="44" t="s">
        <v>258</v>
      </c>
      <c r="O48" s="44" t="s">
        <v>259</v>
      </c>
      <c r="P48" s="44" t="s">
        <v>113</v>
      </c>
    </row>
    <row r="49" customFormat="false" ht="12.75" hidden="false" customHeight="false" outlineLevel="0" collapsed="false">
      <c r="L49" s="44" t="s">
        <v>260</v>
      </c>
      <c r="M49" s="44" t="s">
        <v>261</v>
      </c>
      <c r="N49" s="44" t="s">
        <v>262</v>
      </c>
      <c r="O49" s="44" t="s">
        <v>263</v>
      </c>
      <c r="P49" s="44" t="s">
        <v>113</v>
      </c>
    </row>
    <row r="50" customFormat="false" ht="12.75" hidden="false" customHeight="false" outlineLevel="0" collapsed="false">
      <c r="L50" s="44" t="s">
        <v>264</v>
      </c>
      <c r="M50" s="44" t="s">
        <v>265</v>
      </c>
      <c r="N50" s="44" t="s">
        <v>266</v>
      </c>
      <c r="O50" s="44" t="s">
        <v>267</v>
      </c>
      <c r="P50" s="44" t="s">
        <v>113</v>
      </c>
    </row>
    <row r="51" customFormat="false" ht="12.75" hidden="false" customHeight="false" outlineLevel="0" collapsed="false">
      <c r="L51" s="44" t="s">
        <v>268</v>
      </c>
      <c r="M51" s="44" t="s">
        <v>269</v>
      </c>
      <c r="N51" s="44" t="s">
        <v>270</v>
      </c>
      <c r="O51" s="44" t="s">
        <v>271</v>
      </c>
      <c r="P51" s="44" t="s">
        <v>65</v>
      </c>
    </row>
    <row r="52" customFormat="false" ht="12.75" hidden="false" customHeight="false" outlineLevel="0" collapsed="false">
      <c r="L52" s="44" t="s">
        <v>272</v>
      </c>
      <c r="M52" s="44" t="s">
        <v>273</v>
      </c>
      <c r="N52" s="44" t="s">
        <v>274</v>
      </c>
      <c r="O52" s="44" t="s">
        <v>275</v>
      </c>
      <c r="P52" s="44" t="s">
        <v>65</v>
      </c>
    </row>
    <row r="53" customFormat="false" ht="12.75" hidden="false" customHeight="false" outlineLevel="0" collapsed="false">
      <c r="L53" s="44" t="s">
        <v>276</v>
      </c>
      <c r="M53" s="44" t="s">
        <v>277</v>
      </c>
      <c r="N53" s="44" t="s">
        <v>278</v>
      </c>
      <c r="O53" s="44" t="s">
        <v>279</v>
      </c>
      <c r="P53" s="44" t="s">
        <v>65</v>
      </c>
    </row>
    <row r="54" customFormat="false" ht="12.75" hidden="false" customHeight="false" outlineLevel="0" collapsed="false">
      <c r="L54" s="44" t="s">
        <v>280</v>
      </c>
      <c r="M54" s="44" t="s">
        <v>281</v>
      </c>
      <c r="N54" s="44" t="s">
        <v>282</v>
      </c>
      <c r="O54" s="44" t="s">
        <v>283</v>
      </c>
      <c r="P54" s="44" t="s">
        <v>65</v>
      </c>
    </row>
    <row r="55" customFormat="false" ht="12.75" hidden="false" customHeight="false" outlineLevel="0" collapsed="false">
      <c r="L55" s="44" t="s">
        <v>284</v>
      </c>
      <c r="M55" s="44" t="s">
        <v>285</v>
      </c>
      <c r="N55" s="44" t="s">
        <v>147</v>
      </c>
      <c r="O55" s="44" t="s">
        <v>123</v>
      </c>
      <c r="P55" s="44" t="s">
        <v>113</v>
      </c>
    </row>
    <row r="56" customFormat="false" ht="12.75" hidden="false" customHeight="false" outlineLevel="0" collapsed="false">
      <c r="L56" s="44" t="s">
        <v>286</v>
      </c>
      <c r="M56" s="44" t="s">
        <v>287</v>
      </c>
      <c r="N56" s="44" t="s">
        <v>288</v>
      </c>
      <c r="O56" s="44" t="s">
        <v>289</v>
      </c>
      <c r="P56" s="44" t="s">
        <v>113</v>
      </c>
    </row>
    <row r="57" customFormat="false" ht="12.75" hidden="false" customHeight="false" outlineLevel="0" collapsed="false">
      <c r="L57" s="44" t="s">
        <v>290</v>
      </c>
      <c r="M57" s="44" t="s">
        <v>291</v>
      </c>
      <c r="N57" s="44" t="s">
        <v>292</v>
      </c>
      <c r="O57" s="44" t="s">
        <v>293</v>
      </c>
      <c r="P57" s="44" t="s">
        <v>113</v>
      </c>
    </row>
    <row r="58" customFormat="false" ht="12.75" hidden="false" customHeight="false" outlineLevel="0" collapsed="false">
      <c r="L58" s="44" t="s">
        <v>294</v>
      </c>
      <c r="M58" s="44" t="s">
        <v>295</v>
      </c>
      <c r="N58" s="44" t="s">
        <v>296</v>
      </c>
      <c r="O58" s="44" t="s">
        <v>112</v>
      </c>
      <c r="P58" s="44" t="s">
        <v>113</v>
      </c>
    </row>
    <row r="59" customFormat="false" ht="12.75" hidden="false" customHeight="false" outlineLevel="0" collapsed="false">
      <c r="L59" s="44" t="s">
        <v>297</v>
      </c>
      <c r="M59" s="44" t="s">
        <v>298</v>
      </c>
      <c r="N59" s="44" t="s">
        <v>299</v>
      </c>
      <c r="O59" s="44" t="s">
        <v>300</v>
      </c>
      <c r="P59" s="44" t="s">
        <v>65</v>
      </c>
    </row>
    <row r="60" customFormat="false" ht="12.75" hidden="false" customHeight="false" outlineLevel="0" collapsed="false">
      <c r="L60" s="44" t="s">
        <v>301</v>
      </c>
      <c r="M60" s="44" t="s">
        <v>302</v>
      </c>
      <c r="N60" s="44" t="s">
        <v>266</v>
      </c>
      <c r="O60" s="44" t="s">
        <v>303</v>
      </c>
      <c r="P60" s="44" t="s">
        <v>113</v>
      </c>
    </row>
    <row r="61" customFormat="false" ht="12.75" hidden="false" customHeight="false" outlineLevel="0" collapsed="false">
      <c r="L61" s="44" t="s">
        <v>304</v>
      </c>
      <c r="M61" s="44" t="s">
        <v>305</v>
      </c>
      <c r="N61" s="44" t="s">
        <v>238</v>
      </c>
      <c r="O61" s="44" t="s">
        <v>306</v>
      </c>
      <c r="P61" s="44" t="s">
        <v>72</v>
      </c>
    </row>
    <row r="62" customFormat="false" ht="12.75" hidden="false" customHeight="false" outlineLevel="0" collapsed="false">
      <c r="L62" s="44" t="s">
        <v>307</v>
      </c>
      <c r="M62" s="44" t="s">
        <v>308</v>
      </c>
      <c r="N62" s="44" t="s">
        <v>309</v>
      </c>
      <c r="O62" s="44" t="s">
        <v>310</v>
      </c>
      <c r="P62" s="44" t="s">
        <v>113</v>
      </c>
    </row>
    <row r="63" customFormat="false" ht="12.75" hidden="false" customHeight="false" outlineLevel="0" collapsed="false">
      <c r="L63" s="44" t="s">
        <v>311</v>
      </c>
      <c r="M63" s="44" t="s">
        <v>312</v>
      </c>
      <c r="N63" s="44" t="s">
        <v>195</v>
      </c>
      <c r="O63" s="44" t="s">
        <v>108</v>
      </c>
      <c r="P63" s="44" t="s">
        <v>72</v>
      </c>
    </row>
    <row r="64" customFormat="false" ht="12.75" hidden="false" customHeight="false" outlineLevel="0" collapsed="false">
      <c r="L64" s="44" t="s">
        <v>313</v>
      </c>
      <c r="M64" s="44" t="s">
        <v>314</v>
      </c>
      <c r="N64" s="44" t="s">
        <v>107</v>
      </c>
      <c r="O64" s="44" t="s">
        <v>108</v>
      </c>
      <c r="P64" s="44" t="s">
        <v>72</v>
      </c>
    </row>
    <row r="65" customFormat="false" ht="12.75" hidden="false" customHeight="false" outlineLevel="0" collapsed="false">
      <c r="L65" s="44" t="s">
        <v>315</v>
      </c>
      <c r="M65" s="44" t="s">
        <v>316</v>
      </c>
      <c r="N65" s="44" t="s">
        <v>317</v>
      </c>
      <c r="O65" s="44" t="s">
        <v>318</v>
      </c>
      <c r="P65" s="44" t="s">
        <v>113</v>
      </c>
    </row>
    <row r="66" customFormat="false" ht="12.75" hidden="false" customHeight="false" outlineLevel="0" collapsed="false">
      <c r="L66" s="44" t="s">
        <v>319</v>
      </c>
      <c r="M66" s="44" t="s">
        <v>320</v>
      </c>
      <c r="N66" s="44" t="s">
        <v>321</v>
      </c>
      <c r="O66" s="44" t="s">
        <v>322</v>
      </c>
      <c r="P66" s="44" t="s">
        <v>113</v>
      </c>
    </row>
    <row r="67" customFormat="false" ht="12.75" hidden="false" customHeight="false" outlineLevel="0" collapsed="false">
      <c r="L67" s="44" t="s">
        <v>323</v>
      </c>
      <c r="M67" s="44" t="s">
        <v>324</v>
      </c>
      <c r="N67" s="44" t="s">
        <v>325</v>
      </c>
      <c r="O67" s="44" t="s">
        <v>326</v>
      </c>
      <c r="P67" s="44" t="s">
        <v>65</v>
      </c>
    </row>
    <row r="68" customFormat="false" ht="12.75" hidden="false" customHeight="false" outlineLevel="0" collapsed="false">
      <c r="L68" s="44" t="s">
        <v>327</v>
      </c>
      <c r="M68" s="44" t="s">
        <v>328</v>
      </c>
      <c r="N68" s="44" t="s">
        <v>329</v>
      </c>
      <c r="O68" s="44" t="s">
        <v>330</v>
      </c>
      <c r="P68" s="44" t="s">
        <v>65</v>
      </c>
    </row>
    <row r="69" customFormat="false" ht="12.75" hidden="false" customHeight="false" outlineLevel="0" collapsed="false">
      <c r="L69" s="44" t="s">
        <v>331</v>
      </c>
      <c r="M69" s="44" t="s">
        <v>332</v>
      </c>
      <c r="N69" s="44" t="s">
        <v>254</v>
      </c>
      <c r="O69" s="44" t="s">
        <v>255</v>
      </c>
      <c r="P69" s="44" t="s">
        <v>65</v>
      </c>
    </row>
    <row r="70" customFormat="false" ht="12.75" hidden="false" customHeight="false" outlineLevel="0" collapsed="false">
      <c r="L70" s="44" t="s">
        <v>333</v>
      </c>
      <c r="M70" s="44" t="s">
        <v>334</v>
      </c>
      <c r="N70" s="44" t="s">
        <v>335</v>
      </c>
      <c r="O70" s="44" t="s">
        <v>336</v>
      </c>
      <c r="P70" s="44" t="s">
        <v>113</v>
      </c>
    </row>
    <row r="71" customFormat="false" ht="12.75" hidden="false" customHeight="false" outlineLevel="0" collapsed="false">
      <c r="L71" s="44" t="s">
        <v>58</v>
      </c>
      <c r="M71" s="44" t="s">
        <v>337</v>
      </c>
      <c r="N71" s="44" t="s">
        <v>338</v>
      </c>
      <c r="O71" s="44" t="s">
        <v>339</v>
      </c>
      <c r="P71" s="44" t="s">
        <v>65</v>
      </c>
    </row>
    <row r="72" customFormat="false" ht="12.75" hidden="false" customHeight="false" outlineLevel="0" collapsed="false">
      <c r="L72" s="44" t="s">
        <v>340</v>
      </c>
      <c r="M72" s="44" t="s">
        <v>341</v>
      </c>
      <c r="N72" s="44" t="s">
        <v>342</v>
      </c>
      <c r="O72" s="44" t="s">
        <v>330</v>
      </c>
      <c r="P72" s="44" t="s">
        <v>65</v>
      </c>
    </row>
    <row r="73" customFormat="false" ht="12.75" hidden="false" customHeight="false" outlineLevel="0" collapsed="false">
      <c r="L73" s="44" t="s">
        <v>343</v>
      </c>
      <c r="M73" s="44" t="s">
        <v>344</v>
      </c>
      <c r="N73" s="44" t="s">
        <v>345</v>
      </c>
      <c r="O73" s="44" t="s">
        <v>90</v>
      </c>
      <c r="P73" s="44" t="s">
        <v>65</v>
      </c>
    </row>
    <row r="74" customFormat="false" ht="12.75" hidden="false" customHeight="false" outlineLevel="0" collapsed="false">
      <c r="L74" s="44" t="s">
        <v>346</v>
      </c>
      <c r="M74" s="44" t="s">
        <v>347</v>
      </c>
      <c r="N74" s="44" t="s">
        <v>348</v>
      </c>
      <c r="O74" s="44" t="s">
        <v>349</v>
      </c>
      <c r="P74" s="44" t="s">
        <v>72</v>
      </c>
    </row>
    <row r="75" customFormat="false" ht="12.75" hidden="false" customHeight="false" outlineLevel="0" collapsed="false">
      <c r="L75" s="44" t="s">
        <v>350</v>
      </c>
      <c r="M75" s="44" t="s">
        <v>351</v>
      </c>
      <c r="N75" s="44" t="s">
        <v>352</v>
      </c>
      <c r="O75" s="44" t="s">
        <v>353</v>
      </c>
      <c r="P75" s="44" t="s">
        <v>72</v>
      </c>
    </row>
    <row r="76" customFormat="false" ht="12.75" hidden="false" customHeight="false" outlineLevel="0" collapsed="false">
      <c r="L76" s="44" t="s">
        <v>354</v>
      </c>
      <c r="M76" s="44" t="s">
        <v>355</v>
      </c>
      <c r="N76" s="44" t="s">
        <v>356</v>
      </c>
      <c r="O76" s="44" t="s">
        <v>357</v>
      </c>
      <c r="P76" s="44" t="s">
        <v>113</v>
      </c>
    </row>
    <row r="77" customFormat="false" ht="12.75" hidden="false" customHeight="false" outlineLevel="0" collapsed="false">
      <c r="L77" s="44" t="s">
        <v>358</v>
      </c>
      <c r="M77" s="44" t="s">
        <v>359</v>
      </c>
      <c r="N77" s="44" t="s">
        <v>360</v>
      </c>
      <c r="O77" s="44" t="s">
        <v>361</v>
      </c>
      <c r="P77" s="44" t="s">
        <v>72</v>
      </c>
    </row>
    <row r="78" customFormat="false" ht="12.75" hidden="false" customHeight="false" outlineLevel="0" collapsed="false">
      <c r="L78" s="44" t="s">
        <v>362</v>
      </c>
      <c r="M78" s="44" t="s">
        <v>363</v>
      </c>
      <c r="N78" s="44" t="s">
        <v>364</v>
      </c>
      <c r="O78" s="44" t="s">
        <v>365</v>
      </c>
      <c r="P78" s="44" t="s">
        <v>113</v>
      </c>
    </row>
    <row r="79" customFormat="false" ht="12.75" hidden="false" customHeight="false" outlineLevel="0" collapsed="false">
      <c r="L79" s="44" t="s">
        <v>366</v>
      </c>
      <c r="M79" s="44" t="s">
        <v>367</v>
      </c>
      <c r="N79" s="44" t="s">
        <v>368</v>
      </c>
      <c r="O79" s="44" t="s">
        <v>369</v>
      </c>
      <c r="P79" s="44" t="s">
        <v>65</v>
      </c>
    </row>
    <row r="80" customFormat="false" ht="12.75" hidden="false" customHeight="false" outlineLevel="0" collapsed="false">
      <c r="L80" s="44" t="s">
        <v>370</v>
      </c>
      <c r="M80" s="44" t="s">
        <v>371</v>
      </c>
      <c r="N80" s="44" t="s">
        <v>372</v>
      </c>
      <c r="O80" s="44" t="s">
        <v>326</v>
      </c>
      <c r="P80" s="44" t="s">
        <v>65</v>
      </c>
    </row>
    <row r="81" customFormat="false" ht="12.75" hidden="false" customHeight="false" outlineLevel="0" collapsed="false">
      <c r="L81" s="44" t="s">
        <v>373</v>
      </c>
      <c r="M81" s="44" t="s">
        <v>374</v>
      </c>
      <c r="N81" s="44" t="s">
        <v>375</v>
      </c>
      <c r="O81" s="44" t="s">
        <v>376</v>
      </c>
      <c r="P81" s="44" t="s">
        <v>65</v>
      </c>
    </row>
    <row r="82" customFormat="false" ht="12.75" hidden="false" customHeight="false" outlineLevel="0" collapsed="false">
      <c r="L82" s="44" t="s">
        <v>377</v>
      </c>
      <c r="M82" s="44" t="s">
        <v>378</v>
      </c>
      <c r="N82" s="44" t="s">
        <v>379</v>
      </c>
      <c r="O82" s="44" t="s">
        <v>380</v>
      </c>
      <c r="P82" s="44" t="s">
        <v>113</v>
      </c>
    </row>
    <row r="83" customFormat="false" ht="12.75" hidden="false" customHeight="false" outlineLevel="0" collapsed="false">
      <c r="L83" s="44" t="s">
        <v>381</v>
      </c>
      <c r="M83" s="44" t="s">
        <v>382</v>
      </c>
      <c r="N83" s="44" t="s">
        <v>383</v>
      </c>
      <c r="O83" s="44" t="s">
        <v>384</v>
      </c>
      <c r="P83" s="44" t="s">
        <v>65</v>
      </c>
    </row>
    <row r="84" customFormat="false" ht="12.75" hidden="false" customHeight="false" outlineLevel="0" collapsed="false">
      <c r="L84" s="44" t="s">
        <v>385</v>
      </c>
      <c r="M84" s="44" t="s">
        <v>386</v>
      </c>
      <c r="N84" s="44" t="s">
        <v>387</v>
      </c>
      <c r="O84" s="44" t="s">
        <v>388</v>
      </c>
      <c r="P84" s="44" t="s">
        <v>65</v>
      </c>
    </row>
    <row r="85" customFormat="false" ht="12.75" hidden="false" customHeight="false" outlineLevel="0" collapsed="false">
      <c r="L85" s="44" t="s">
        <v>389</v>
      </c>
      <c r="M85" s="44" t="s">
        <v>390</v>
      </c>
      <c r="N85" s="44" t="s">
        <v>391</v>
      </c>
      <c r="O85" s="44" t="s">
        <v>392</v>
      </c>
      <c r="P85" s="44" t="s">
        <v>65</v>
      </c>
    </row>
    <row r="86" customFormat="false" ht="12.75" hidden="false" customHeight="false" outlineLevel="0" collapsed="false">
      <c r="L86" s="44" t="s">
        <v>393</v>
      </c>
      <c r="M86" s="44" t="s">
        <v>394</v>
      </c>
      <c r="N86" s="44" t="s">
        <v>395</v>
      </c>
      <c r="O86" s="44" t="s">
        <v>396</v>
      </c>
      <c r="P86" s="44" t="s">
        <v>72</v>
      </c>
    </row>
    <row r="87" customFormat="false" ht="12.75" hidden="false" customHeight="false" outlineLevel="0" collapsed="false">
      <c r="L87" s="44" t="s">
        <v>397</v>
      </c>
      <c r="M87" s="44" t="s">
        <v>398</v>
      </c>
      <c r="N87" s="44" t="s">
        <v>399</v>
      </c>
      <c r="O87" s="44" t="s">
        <v>186</v>
      </c>
      <c r="P87" s="44" t="s">
        <v>65</v>
      </c>
    </row>
    <row r="88" customFormat="false" ht="12.75" hidden="false" customHeight="false" outlineLevel="0" collapsed="false">
      <c r="L88" s="44" t="s">
        <v>400</v>
      </c>
      <c r="M88" s="44" t="s">
        <v>401</v>
      </c>
      <c r="N88" s="44" t="s">
        <v>402</v>
      </c>
      <c r="O88" s="44" t="s">
        <v>177</v>
      </c>
      <c r="P88" s="44" t="s">
        <v>72</v>
      </c>
    </row>
  </sheetData>
  <dataValidations count="4">
    <dataValidation allowBlank="true" errorStyle="stop" operator="between" prompt="Select Branch Use" promptTitle="Branch Use" showDropDown="false" showErrorMessage="true" showInputMessage="true" sqref="D21" type="list">
      <formula1>$S$9:$S$12</formula1>
      <formula2>0</formula2>
    </dataValidation>
    <dataValidation allowBlank="true" errorStyle="stop" operator="between" prompt="Select Markings Type" promptTitle="Select Type" showDropDown="false" showErrorMessage="true" showInputMessage="true" sqref="D29" type="list">
      <formula1>$S$16:$S$18</formula1>
      <formula2>0</formula2>
    </dataValidation>
    <dataValidation allowBlank="false" error="Select Airport Name from List" errorStyle="stop" operator="between" prompt="Select Airport" promptTitle="Airport Name" showDropDown="false" showErrorMessage="true" showInputMessage="true" sqref="D9" type="list">
      <formula1>$L$10:$L$88</formula1>
      <formula2>0</formula2>
    </dataValidation>
    <dataValidation allowBlank="true" errorStyle="stop" operator="between" showDropDown="false" showErrorMessage="true" showInputMessage="true" sqref="D38" type="list">
      <formula1>"No,Yes"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cmdWsSetup">
              <controlPr defaultSize="0" print="true" autoFill="0" autoPict="0">
                <anchor moveWithCells="true" sizeWithCells="false">
                  <from>
                    <xdr:col>3</xdr:col>
                    <xdr:colOff>133200</xdr:colOff>
                    <xdr:row>39</xdr:row>
                    <xdr:rowOff>104760</xdr:rowOff>
                  </from>
                  <to>
                    <xdr:col>4</xdr:col>
                    <xdr:colOff>-1911600</xdr:colOff>
                    <xdr:row>41</xdr:row>
                    <xdr:rowOff>142920</xdr:rowOff>
                  </to>
                </anchor>
              </controlPr>
            </control>
          </mc:Choice>
        </mc:AlternateContent>
      </controls>
    </mc:Choice>
  </mc:AlternateContent>
  <tableParts>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59"/>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7" activeCellId="0" sqref="D7"/>
    </sheetView>
  </sheetViews>
  <sheetFormatPr defaultColWidth="8.71484375" defaultRowHeight="12.75" zeroHeight="false" outlineLevelRow="0" outlineLevelCol="0"/>
  <cols>
    <col collapsed="false" customWidth="true" hidden="false" outlineLevel="0" max="1" min="1" style="44" width="29.29"/>
    <col collapsed="false" customWidth="true" hidden="false" outlineLevel="0" max="2" min="2" style="44" width="19.57"/>
    <col collapsed="false" customWidth="true" hidden="false" outlineLevel="0" max="3" min="3" style="44" width="18.57"/>
    <col collapsed="false" customWidth="true" hidden="false" outlineLevel="0" max="4" min="4" style="44" width="65.72"/>
    <col collapsed="false" customWidth="false" hidden="false" outlineLevel="0" max="5" min="5" style="44" width="8.71"/>
    <col collapsed="false" customWidth="true" hidden="false" outlineLevel="0" max="6" min="6" style="44" width="10.71"/>
    <col collapsed="false" customWidth="false" hidden="false" outlineLevel="0" max="16384" min="7" style="44" width="8.71"/>
  </cols>
  <sheetData>
    <row r="1" customFormat="false" ht="12.75" hidden="false" customHeight="false" outlineLevel="0" collapsed="false">
      <c r="G1" s="56" t="s">
        <v>403</v>
      </c>
      <c r="H1" s="56"/>
      <c r="I1" s="56"/>
    </row>
    <row r="2" customFormat="false" ht="12.75" hidden="false" customHeight="false" outlineLevel="0" collapsed="false">
      <c r="A2" s="46" t="s">
        <v>404</v>
      </c>
      <c r="B2" s="44" t="s">
        <v>405</v>
      </c>
      <c r="C2" s="46" t="s">
        <v>406</v>
      </c>
      <c r="D2" s="46" t="s">
        <v>407</v>
      </c>
      <c r="E2" s="46" t="s">
        <v>408</v>
      </c>
      <c r="F2" s="46" t="s">
        <v>21</v>
      </c>
      <c r="G2" s="47" t="s">
        <v>65</v>
      </c>
      <c r="H2" s="47" t="s">
        <v>72</v>
      </c>
      <c r="I2" s="47" t="s">
        <v>113</v>
      </c>
    </row>
    <row r="3" customFormat="false" ht="12.75" hidden="false" customHeight="false" outlineLevel="0" collapsed="false">
      <c r="A3" s="46"/>
      <c r="B3" s="44" t="s">
        <v>409</v>
      </c>
      <c r="C3" s="46"/>
      <c r="D3" s="46"/>
      <c r="E3" s="46" t="s">
        <v>59</v>
      </c>
      <c r="F3" s="46" t="s">
        <v>59</v>
      </c>
      <c r="G3" s="47"/>
      <c r="H3" s="47"/>
      <c r="I3" s="47"/>
    </row>
    <row r="4" customFormat="false" ht="12.75" hidden="false" customHeight="false" outlineLevel="0" collapsed="false">
      <c r="A4" s="46" t="s">
        <v>410</v>
      </c>
      <c r="B4" s="44" t="s">
        <v>411</v>
      </c>
      <c r="C4" s="57" t="s">
        <v>412</v>
      </c>
      <c r="D4" s="58" t="s">
        <v>413</v>
      </c>
      <c r="E4" s="18" t="s">
        <v>9</v>
      </c>
      <c r="F4" s="59" t="n">
        <v>4.2</v>
      </c>
      <c r="J4" s="44" t="s">
        <v>414</v>
      </c>
    </row>
    <row r="5" customFormat="false" ht="12.75" hidden="false" customHeight="false" outlineLevel="0" collapsed="false">
      <c r="B5" s="44" t="s">
        <v>411</v>
      </c>
      <c r="C5" s="57" t="s">
        <v>415</v>
      </c>
      <c r="D5" s="58" t="s">
        <v>416</v>
      </c>
      <c r="E5" s="18" t="s">
        <v>9</v>
      </c>
      <c r="F5" s="59"/>
      <c r="J5" s="44" t="s">
        <v>414</v>
      </c>
    </row>
    <row r="6" customFormat="false" ht="12.75" hidden="false" customHeight="false" outlineLevel="0" collapsed="false">
      <c r="B6" s="44" t="s">
        <v>411</v>
      </c>
      <c r="C6" s="57" t="s">
        <v>417</v>
      </c>
      <c r="D6" s="58" t="s">
        <v>418</v>
      </c>
      <c r="E6" s="18" t="s">
        <v>419</v>
      </c>
      <c r="F6" s="59" t="n">
        <v>4</v>
      </c>
    </row>
    <row r="7" customFormat="false" ht="12.75" hidden="false" customHeight="false" outlineLevel="0" collapsed="false">
      <c r="B7" s="44" t="s">
        <v>411</v>
      </c>
      <c r="C7" s="57" t="s">
        <v>420</v>
      </c>
      <c r="D7" s="58" t="s">
        <v>421</v>
      </c>
      <c r="E7" s="18" t="s">
        <v>419</v>
      </c>
      <c r="F7" s="59" t="n">
        <v>6.5</v>
      </c>
    </row>
    <row r="8" customFormat="false" ht="12.75" hidden="false" customHeight="false" outlineLevel="0" collapsed="false">
      <c r="B8" s="44" t="s">
        <v>411</v>
      </c>
      <c r="C8" s="57" t="s">
        <v>422</v>
      </c>
      <c r="D8" s="58" t="s">
        <v>423</v>
      </c>
      <c r="E8" s="18" t="s">
        <v>419</v>
      </c>
      <c r="F8" s="59" t="n">
        <v>8</v>
      </c>
    </row>
    <row r="9" customFormat="false" ht="12.75" hidden="false" customHeight="false" outlineLevel="0" collapsed="false">
      <c r="B9" s="44" t="s">
        <v>411</v>
      </c>
      <c r="C9" s="57" t="s">
        <v>424</v>
      </c>
      <c r="D9" s="58" t="s">
        <v>425</v>
      </c>
      <c r="E9" s="18" t="s">
        <v>419</v>
      </c>
      <c r="F9" s="59" t="n">
        <v>8.5</v>
      </c>
    </row>
    <row r="10" customFormat="false" ht="12.75" hidden="false" customHeight="false" outlineLevel="0" collapsed="false">
      <c r="B10" s="44" t="s">
        <v>411</v>
      </c>
      <c r="C10" s="57" t="s">
        <v>426</v>
      </c>
      <c r="D10" s="58" t="s">
        <v>427</v>
      </c>
      <c r="E10" s="18" t="s">
        <v>13</v>
      </c>
      <c r="F10" s="59" t="n">
        <f aca="false">7/9</f>
        <v>0.777777777777778</v>
      </c>
    </row>
    <row r="11" customFormat="false" ht="12.75" hidden="false" customHeight="false" outlineLevel="0" collapsed="false">
      <c r="B11" s="44" t="s">
        <v>411</v>
      </c>
      <c r="C11" s="57" t="s">
        <v>428</v>
      </c>
      <c r="D11" s="58" t="s">
        <v>429</v>
      </c>
      <c r="E11" s="18" t="s">
        <v>13</v>
      </c>
      <c r="F11" s="59" t="n">
        <v>8.5</v>
      </c>
      <c r="J11" s="44" t="s">
        <v>414</v>
      </c>
    </row>
    <row r="12" customFormat="false" ht="12.75" hidden="false" customHeight="false" outlineLevel="0" collapsed="false">
      <c r="B12" s="44" t="s">
        <v>411</v>
      </c>
      <c r="C12" s="57" t="s">
        <v>430</v>
      </c>
      <c r="D12" s="58" t="s">
        <v>431</v>
      </c>
      <c r="E12" s="18" t="s">
        <v>13</v>
      </c>
      <c r="F12" s="59"/>
      <c r="J12" s="44" t="s">
        <v>432</v>
      </c>
    </row>
    <row r="13" customFormat="false" ht="12.75" hidden="false" customHeight="false" outlineLevel="0" collapsed="false">
      <c r="B13" s="44" t="s">
        <v>411</v>
      </c>
      <c r="C13" s="57" t="s">
        <v>433</v>
      </c>
      <c r="D13" s="58" t="s">
        <v>434</v>
      </c>
      <c r="E13" s="18" t="s">
        <v>13</v>
      </c>
      <c r="F13" s="59" t="n">
        <v>60</v>
      </c>
      <c r="J13" s="44" t="s">
        <v>414</v>
      </c>
    </row>
    <row r="14" customFormat="false" ht="12.75" hidden="false" customHeight="false" outlineLevel="0" collapsed="false">
      <c r="B14" s="44" t="s">
        <v>411</v>
      </c>
      <c r="C14" s="57" t="s">
        <v>435</v>
      </c>
      <c r="D14" s="58" t="s">
        <v>436</v>
      </c>
      <c r="E14" s="18" t="s">
        <v>9</v>
      </c>
      <c r="F14" s="59" t="n">
        <v>120</v>
      </c>
      <c r="J14" s="44" t="s">
        <v>414</v>
      </c>
    </row>
    <row r="15" customFormat="false" ht="12.75" hidden="false" customHeight="false" outlineLevel="0" collapsed="false">
      <c r="B15" s="44" t="s">
        <v>411</v>
      </c>
      <c r="C15" s="57" t="s">
        <v>437</v>
      </c>
      <c r="D15" s="58" t="s">
        <v>438</v>
      </c>
      <c r="E15" s="18" t="s">
        <v>9</v>
      </c>
      <c r="F15" s="59" t="n">
        <v>100</v>
      </c>
    </row>
    <row r="16" customFormat="false" ht="12.75" hidden="false" customHeight="false" outlineLevel="0" collapsed="false">
      <c r="B16" s="44" t="s">
        <v>411</v>
      </c>
      <c r="C16" s="57" t="s">
        <v>439</v>
      </c>
      <c r="D16" s="58" t="s">
        <v>440</v>
      </c>
      <c r="E16" s="18" t="s">
        <v>9</v>
      </c>
      <c r="F16" s="59" t="n">
        <f aca="false">10/2</f>
        <v>5</v>
      </c>
      <c r="J16" s="44" t="s">
        <v>414</v>
      </c>
    </row>
    <row r="17" customFormat="false" ht="12.75" hidden="false" customHeight="false" outlineLevel="0" collapsed="false">
      <c r="B17" s="44" t="s">
        <v>411</v>
      </c>
      <c r="C17" s="57" t="s">
        <v>441</v>
      </c>
      <c r="D17" s="58" t="s">
        <v>442</v>
      </c>
      <c r="E17" s="18" t="s">
        <v>443</v>
      </c>
      <c r="F17" s="59"/>
    </row>
    <row r="18" customFormat="false" ht="12.75" hidden="false" customHeight="false" outlineLevel="0" collapsed="false">
      <c r="B18" s="44" t="s">
        <v>411</v>
      </c>
      <c r="C18" s="57" t="s">
        <v>444</v>
      </c>
      <c r="D18" s="58" t="s">
        <v>445</v>
      </c>
      <c r="E18" s="18" t="s">
        <v>443</v>
      </c>
      <c r="F18" s="59"/>
    </row>
    <row r="19" customFormat="false" ht="12.75" hidden="false" customHeight="false" outlineLevel="0" collapsed="false">
      <c r="B19" s="44" t="s">
        <v>411</v>
      </c>
      <c r="C19" s="57" t="s">
        <v>446</v>
      </c>
      <c r="D19" s="58" t="s">
        <v>447</v>
      </c>
      <c r="E19" s="18" t="s">
        <v>443</v>
      </c>
      <c r="F19" s="59" t="n">
        <v>55</v>
      </c>
    </row>
    <row r="20" customFormat="false" ht="12.75" hidden="false" customHeight="false" outlineLevel="0" collapsed="false">
      <c r="B20" s="44" t="s">
        <v>411</v>
      </c>
      <c r="C20" s="57" t="s">
        <v>448</v>
      </c>
      <c r="D20" s="58" t="s">
        <v>449</v>
      </c>
      <c r="E20" s="18" t="s">
        <v>9</v>
      </c>
      <c r="F20" s="59"/>
    </row>
    <row r="21" customFormat="false" ht="12.75" hidden="false" customHeight="false" outlineLevel="0" collapsed="false">
      <c r="B21" s="44" t="s">
        <v>411</v>
      </c>
      <c r="C21" s="57" t="s">
        <v>450</v>
      </c>
      <c r="D21" s="58" t="s">
        <v>451</v>
      </c>
      <c r="E21" s="18" t="s">
        <v>9</v>
      </c>
      <c r="F21" s="59" t="n">
        <v>10</v>
      </c>
      <c r="J21" s="44" t="s">
        <v>414</v>
      </c>
    </row>
    <row r="22" customFormat="false" ht="12.75" hidden="false" customHeight="false" outlineLevel="0" collapsed="false">
      <c r="B22" s="44" t="s">
        <v>411</v>
      </c>
      <c r="C22" s="57" t="s">
        <v>452</v>
      </c>
      <c r="D22" s="58" t="s">
        <v>453</v>
      </c>
      <c r="E22" s="18" t="s">
        <v>9</v>
      </c>
      <c r="F22" s="59"/>
      <c r="J22" s="44" t="s">
        <v>414</v>
      </c>
    </row>
    <row r="23" customFormat="false" ht="12.75" hidden="false" customHeight="false" outlineLevel="0" collapsed="false">
      <c r="B23" s="44" t="s">
        <v>411</v>
      </c>
      <c r="C23" s="57" t="s">
        <v>454</v>
      </c>
      <c r="D23" s="58" t="s">
        <v>455</v>
      </c>
      <c r="E23" s="18" t="s">
        <v>9</v>
      </c>
      <c r="F23" s="59"/>
      <c r="J23" s="44" t="s">
        <v>414</v>
      </c>
    </row>
    <row r="24" customFormat="false" ht="12.75" hidden="false" customHeight="false" outlineLevel="0" collapsed="false">
      <c r="B24" s="44" t="s">
        <v>411</v>
      </c>
      <c r="C24" s="57" t="s">
        <v>456</v>
      </c>
      <c r="D24" s="58" t="s">
        <v>457</v>
      </c>
      <c r="E24" s="18" t="s">
        <v>9</v>
      </c>
      <c r="F24" s="59"/>
      <c r="J24" s="44" t="s">
        <v>414</v>
      </c>
    </row>
    <row r="25" customFormat="false" ht="12.75" hidden="false" customHeight="false" outlineLevel="0" collapsed="false">
      <c r="B25" s="44" t="s">
        <v>411</v>
      </c>
      <c r="C25" s="57" t="s">
        <v>458</v>
      </c>
      <c r="D25" s="58" t="s">
        <v>459</v>
      </c>
      <c r="E25" s="18" t="s">
        <v>9</v>
      </c>
      <c r="F25" s="59"/>
      <c r="J25" s="44" t="s">
        <v>414</v>
      </c>
    </row>
    <row r="26" customFormat="false" ht="12" hidden="false" customHeight="true" outlineLevel="0" collapsed="false">
      <c r="A26" s="46" t="s">
        <v>460</v>
      </c>
      <c r="B26" s="44" t="s">
        <v>461</v>
      </c>
      <c r="C26" s="57" t="s">
        <v>462</v>
      </c>
      <c r="D26" s="58" t="s">
        <v>463</v>
      </c>
      <c r="E26" s="18" t="s">
        <v>9</v>
      </c>
      <c r="F26" s="59"/>
      <c r="J26" s="44" t="s">
        <v>414</v>
      </c>
    </row>
    <row r="27" customFormat="false" ht="12.75" hidden="false" customHeight="false" outlineLevel="0" collapsed="false">
      <c r="B27" s="44" t="s">
        <v>461</v>
      </c>
      <c r="C27" s="57" t="s">
        <v>464</v>
      </c>
      <c r="D27" s="58" t="s">
        <v>465</v>
      </c>
      <c r="E27" s="18" t="s">
        <v>443</v>
      </c>
      <c r="F27" s="59"/>
    </row>
    <row r="28" customFormat="false" ht="12.75" hidden="false" customHeight="false" outlineLevel="0" collapsed="false">
      <c r="B28" s="44" t="s">
        <v>461</v>
      </c>
      <c r="C28" s="57" t="s">
        <v>466</v>
      </c>
      <c r="D28" s="58" t="s">
        <v>467</v>
      </c>
      <c r="E28" s="18" t="s">
        <v>9</v>
      </c>
      <c r="F28" s="59"/>
    </row>
    <row r="29" customFormat="false" ht="12.75" hidden="false" customHeight="false" outlineLevel="0" collapsed="false">
      <c r="B29" s="44" t="s">
        <v>461</v>
      </c>
      <c r="C29" s="57" t="s">
        <v>468</v>
      </c>
      <c r="D29" s="58" t="s">
        <v>469</v>
      </c>
      <c r="E29" s="18" t="s">
        <v>443</v>
      </c>
      <c r="F29" s="59" t="n">
        <v>65</v>
      </c>
    </row>
    <row r="30" customFormat="false" ht="12.75" hidden="false" customHeight="false" outlineLevel="0" collapsed="false">
      <c r="B30" s="44" t="s">
        <v>461</v>
      </c>
      <c r="C30" s="57" t="s">
        <v>470</v>
      </c>
      <c r="D30" s="58" t="s">
        <v>471</v>
      </c>
      <c r="E30" s="18" t="s">
        <v>9</v>
      </c>
      <c r="F30" s="59"/>
    </row>
    <row r="31" customFormat="false" ht="12.75" hidden="false" customHeight="false" outlineLevel="0" collapsed="false">
      <c r="B31" s="44" t="s">
        <v>461</v>
      </c>
      <c r="C31" s="57" t="s">
        <v>472</v>
      </c>
      <c r="D31" s="58" t="s">
        <v>473</v>
      </c>
      <c r="E31" s="18" t="s">
        <v>443</v>
      </c>
      <c r="F31" s="59"/>
    </row>
    <row r="32" customFormat="false" ht="12.75" hidden="false" customHeight="false" outlineLevel="0" collapsed="false">
      <c r="B32" s="44" t="s">
        <v>461</v>
      </c>
      <c r="C32" s="57" t="s">
        <v>474</v>
      </c>
      <c r="D32" s="58" t="s">
        <v>475</v>
      </c>
      <c r="E32" s="18" t="s">
        <v>9</v>
      </c>
      <c r="F32" s="59"/>
    </row>
    <row r="33" customFormat="false" ht="12.75" hidden="false" customHeight="false" outlineLevel="0" collapsed="false">
      <c r="B33" s="44" t="s">
        <v>461</v>
      </c>
      <c r="C33" s="57" t="s">
        <v>476</v>
      </c>
      <c r="D33" s="58" t="s">
        <v>477</v>
      </c>
      <c r="E33" s="18" t="s">
        <v>9</v>
      </c>
      <c r="F33" s="59"/>
      <c r="J33" s="44" t="s">
        <v>414</v>
      </c>
    </row>
    <row r="34" customFormat="false" ht="12.75" hidden="false" customHeight="false" outlineLevel="0" collapsed="false">
      <c r="A34" s="46" t="s">
        <v>478</v>
      </c>
      <c r="B34" s="44" t="s">
        <v>479</v>
      </c>
      <c r="C34" s="57" t="s">
        <v>480</v>
      </c>
      <c r="D34" s="58" t="s">
        <v>481</v>
      </c>
      <c r="E34" s="18" t="s">
        <v>443</v>
      </c>
      <c r="F34" s="59"/>
      <c r="J34" s="44" t="s">
        <v>482</v>
      </c>
    </row>
    <row r="35" customFormat="false" ht="12.75" hidden="false" customHeight="false" outlineLevel="0" collapsed="false">
      <c r="B35" s="44" t="s">
        <v>479</v>
      </c>
      <c r="C35" s="57" t="s">
        <v>483</v>
      </c>
      <c r="D35" s="58" t="s">
        <v>484</v>
      </c>
      <c r="E35" s="18" t="s">
        <v>443</v>
      </c>
      <c r="F35" s="59"/>
      <c r="J35" s="44" t="s">
        <v>482</v>
      </c>
    </row>
    <row r="36" customFormat="false" ht="12.75" hidden="false" customHeight="false" outlineLevel="0" collapsed="false">
      <c r="B36" s="44" t="s">
        <v>479</v>
      </c>
      <c r="C36" s="57" t="s">
        <v>485</v>
      </c>
      <c r="D36" s="58" t="s">
        <v>486</v>
      </c>
      <c r="E36" s="18" t="s">
        <v>443</v>
      </c>
      <c r="F36" s="59"/>
      <c r="J36" s="44" t="s">
        <v>482</v>
      </c>
    </row>
    <row r="37" customFormat="false" ht="12.75" hidden="false" customHeight="false" outlineLevel="0" collapsed="false">
      <c r="A37" s="46" t="s">
        <v>487</v>
      </c>
      <c r="B37" s="44" t="s">
        <v>488</v>
      </c>
      <c r="C37" s="57" t="s">
        <v>489</v>
      </c>
      <c r="D37" s="58" t="s">
        <v>490</v>
      </c>
      <c r="E37" s="18" t="s">
        <v>491</v>
      </c>
      <c r="F37" s="59" t="n">
        <v>130</v>
      </c>
    </row>
    <row r="38" customFormat="false" ht="12.75" hidden="false" customHeight="false" outlineLevel="0" collapsed="false">
      <c r="B38" s="44" t="s">
        <v>488</v>
      </c>
      <c r="C38" s="57" t="s">
        <v>492</v>
      </c>
      <c r="D38" s="58" t="s">
        <v>493</v>
      </c>
      <c r="E38" s="18" t="s">
        <v>491</v>
      </c>
      <c r="F38" s="59" t="n">
        <v>120</v>
      </c>
    </row>
    <row r="39" customFormat="false" ht="12.75" hidden="false" customHeight="false" outlineLevel="0" collapsed="false">
      <c r="B39" s="44" t="s">
        <v>488</v>
      </c>
      <c r="C39" s="57" t="s">
        <v>494</v>
      </c>
      <c r="D39" s="58" t="s">
        <v>495</v>
      </c>
      <c r="E39" s="18" t="s">
        <v>491</v>
      </c>
      <c r="F39" s="59" t="n">
        <v>110</v>
      </c>
    </row>
    <row r="40" customFormat="false" ht="12.75" hidden="false" customHeight="false" outlineLevel="0" collapsed="false">
      <c r="B40" s="44" t="s">
        <v>488</v>
      </c>
      <c r="C40" s="57" t="s">
        <v>496</v>
      </c>
      <c r="D40" s="58" t="s">
        <v>497</v>
      </c>
      <c r="E40" s="18" t="s">
        <v>491</v>
      </c>
      <c r="F40" s="59"/>
    </row>
    <row r="41" customFormat="false" ht="12.75" hidden="false" customHeight="false" outlineLevel="0" collapsed="false">
      <c r="B41" s="44" t="s">
        <v>488</v>
      </c>
      <c r="C41" s="57" t="s">
        <v>498</v>
      </c>
      <c r="D41" s="58" t="s">
        <v>499</v>
      </c>
      <c r="E41" s="18" t="s">
        <v>491</v>
      </c>
      <c r="F41" s="59"/>
    </row>
    <row r="42" customFormat="false" ht="12.75" hidden="false" customHeight="false" outlineLevel="0" collapsed="false">
      <c r="B42" s="44" t="s">
        <v>488</v>
      </c>
      <c r="C42" s="57" t="s">
        <v>500</v>
      </c>
      <c r="D42" s="58" t="s">
        <v>501</v>
      </c>
      <c r="E42" s="18" t="s">
        <v>491</v>
      </c>
      <c r="F42" s="59"/>
    </row>
    <row r="43" customFormat="false" ht="12.75" hidden="false" customHeight="false" outlineLevel="0" collapsed="false">
      <c r="B43" s="44" t="s">
        <v>488</v>
      </c>
      <c r="C43" s="57" t="s">
        <v>502</v>
      </c>
      <c r="D43" s="58" t="s">
        <v>503</v>
      </c>
      <c r="E43" s="18" t="s">
        <v>491</v>
      </c>
      <c r="F43" s="59"/>
    </row>
    <row r="44" customFormat="false" ht="12.75" hidden="false" customHeight="false" outlineLevel="0" collapsed="false">
      <c r="A44" s="46" t="s">
        <v>504</v>
      </c>
      <c r="B44" s="44" t="s">
        <v>505</v>
      </c>
      <c r="C44" s="57" t="s">
        <v>506</v>
      </c>
      <c r="D44" s="58" t="s">
        <v>507</v>
      </c>
      <c r="E44" s="18" t="s">
        <v>9</v>
      </c>
      <c r="F44" s="59" t="n">
        <v>79</v>
      </c>
      <c r="J44" s="44" t="s">
        <v>414</v>
      </c>
    </row>
    <row r="45" customFormat="false" ht="12.75" hidden="false" customHeight="false" outlineLevel="0" collapsed="false">
      <c r="A45" s="46"/>
      <c r="B45" s="44" t="s">
        <v>505</v>
      </c>
      <c r="C45" s="57" t="s">
        <v>508</v>
      </c>
      <c r="D45" s="58" t="s">
        <v>509</v>
      </c>
      <c r="E45" s="18" t="s">
        <v>9</v>
      </c>
      <c r="F45" s="59" t="n">
        <v>82</v>
      </c>
      <c r="J45" s="44" t="s">
        <v>414</v>
      </c>
    </row>
    <row r="46" customFormat="false" ht="12.75" hidden="false" customHeight="false" outlineLevel="0" collapsed="false">
      <c r="A46" s="46"/>
      <c r="B46" s="44" t="s">
        <v>505</v>
      </c>
      <c r="C46" s="57" t="s">
        <v>510</v>
      </c>
      <c r="D46" s="58" t="s">
        <v>511</v>
      </c>
      <c r="E46" s="18" t="s">
        <v>9</v>
      </c>
      <c r="F46" s="59" t="n">
        <v>85</v>
      </c>
      <c r="J46" s="44" t="s">
        <v>414</v>
      </c>
    </row>
    <row r="47" customFormat="false" ht="12.75" hidden="false" customHeight="false" outlineLevel="0" collapsed="false">
      <c r="A47" s="46"/>
      <c r="B47" s="44" t="s">
        <v>505</v>
      </c>
      <c r="C47" s="57" t="s">
        <v>512</v>
      </c>
      <c r="D47" s="58" t="s">
        <v>513</v>
      </c>
      <c r="E47" s="18" t="s">
        <v>9</v>
      </c>
      <c r="F47" s="59" t="n">
        <v>91</v>
      </c>
      <c r="J47" s="44" t="s">
        <v>414</v>
      </c>
    </row>
    <row r="48" customFormat="false" ht="12.75" hidden="false" customHeight="false" outlineLevel="0" collapsed="false">
      <c r="A48" s="46" t="s">
        <v>514</v>
      </c>
      <c r="B48" s="44" t="s">
        <v>515</v>
      </c>
      <c r="C48" s="57" t="s">
        <v>516</v>
      </c>
      <c r="D48" s="58" t="s">
        <v>517</v>
      </c>
      <c r="E48" s="18" t="s">
        <v>9</v>
      </c>
      <c r="F48" s="59" t="n">
        <v>4</v>
      </c>
    </row>
    <row r="49" customFormat="false" ht="12.75" hidden="false" customHeight="false" outlineLevel="0" collapsed="false">
      <c r="B49" s="44" t="s">
        <v>515</v>
      </c>
      <c r="C49" s="57" t="s">
        <v>518</v>
      </c>
      <c r="D49" s="58" t="s">
        <v>519</v>
      </c>
      <c r="E49" s="18" t="s">
        <v>9</v>
      </c>
      <c r="F49" s="59" t="n">
        <v>5</v>
      </c>
    </row>
    <row r="50" customFormat="false" ht="12.75" hidden="false" customHeight="false" outlineLevel="0" collapsed="false">
      <c r="B50" s="44" t="s">
        <v>515</v>
      </c>
      <c r="C50" s="57" t="s">
        <v>520</v>
      </c>
      <c r="D50" s="58" t="s">
        <v>521</v>
      </c>
      <c r="E50" s="18" t="s">
        <v>9</v>
      </c>
      <c r="F50" s="59" t="n">
        <v>7</v>
      </c>
    </row>
    <row r="51" customFormat="false" ht="12.75" hidden="false" customHeight="false" outlineLevel="0" collapsed="false">
      <c r="B51" s="44" t="s">
        <v>515</v>
      </c>
      <c r="C51" s="57" t="s">
        <v>522</v>
      </c>
      <c r="D51" s="58" t="s">
        <v>523</v>
      </c>
      <c r="E51" s="18" t="s">
        <v>9</v>
      </c>
      <c r="F51" s="59"/>
    </row>
    <row r="52" customFormat="false" ht="12" hidden="false" customHeight="true" outlineLevel="0" collapsed="false">
      <c r="B52" s="44" t="s">
        <v>515</v>
      </c>
      <c r="C52" s="57" t="s">
        <v>524</v>
      </c>
      <c r="D52" s="58" t="s">
        <v>525</v>
      </c>
      <c r="E52" s="18" t="s">
        <v>9</v>
      </c>
      <c r="F52" s="59"/>
    </row>
    <row r="53" customFormat="false" ht="12" hidden="false" customHeight="true" outlineLevel="0" collapsed="false">
      <c r="B53" s="44" t="s">
        <v>515</v>
      </c>
      <c r="C53" s="57" t="s">
        <v>526</v>
      </c>
      <c r="D53" s="58" t="s">
        <v>527</v>
      </c>
      <c r="E53" s="18" t="s">
        <v>9</v>
      </c>
      <c r="F53" s="59"/>
    </row>
    <row r="54" customFormat="false" ht="12.75" hidden="false" customHeight="false" outlineLevel="0" collapsed="false">
      <c r="A54" s="46" t="s">
        <v>528</v>
      </c>
      <c r="B54" s="44" t="s">
        <v>529</v>
      </c>
      <c r="C54" s="57" t="s">
        <v>530</v>
      </c>
      <c r="D54" s="58" t="s">
        <v>531</v>
      </c>
      <c r="E54" s="18" t="s">
        <v>532</v>
      </c>
      <c r="F54" s="59" t="n">
        <v>4.5</v>
      </c>
      <c r="J54" s="44" t="s">
        <v>533</v>
      </c>
    </row>
    <row r="55" customFormat="false" ht="12.75" hidden="false" customHeight="false" outlineLevel="0" collapsed="false">
      <c r="B55" s="44" t="s">
        <v>534</v>
      </c>
      <c r="C55" s="57" t="s">
        <v>535</v>
      </c>
      <c r="D55" s="58" t="s">
        <v>536</v>
      </c>
      <c r="E55" s="18" t="s">
        <v>419</v>
      </c>
      <c r="F55" s="59" t="n">
        <v>7</v>
      </c>
      <c r="J55" s="44" t="s">
        <v>537</v>
      </c>
    </row>
    <row r="56" customFormat="false" ht="12.75" hidden="false" customHeight="false" outlineLevel="0" collapsed="false">
      <c r="B56" s="44" t="s">
        <v>538</v>
      </c>
      <c r="C56" s="57" t="s">
        <v>539</v>
      </c>
      <c r="D56" s="58" t="s">
        <v>540</v>
      </c>
      <c r="E56" s="18" t="s">
        <v>13</v>
      </c>
      <c r="F56" s="59" t="n">
        <f aca="false">6/9</f>
        <v>0.666666666666667</v>
      </c>
    </row>
    <row r="57" customFormat="false" ht="12.75" hidden="false" customHeight="false" outlineLevel="0" collapsed="false">
      <c r="B57" s="44" t="s">
        <v>538</v>
      </c>
      <c r="C57" s="57" t="s">
        <v>541</v>
      </c>
      <c r="D57" s="58" t="s">
        <v>542</v>
      </c>
      <c r="E57" s="18" t="s">
        <v>13</v>
      </c>
      <c r="F57" s="59"/>
    </row>
    <row r="58" customFormat="false" ht="12.75" hidden="false" customHeight="false" outlineLevel="0" collapsed="false">
      <c r="B58" s="44" t="s">
        <v>543</v>
      </c>
      <c r="C58" s="57" t="s">
        <v>544</v>
      </c>
      <c r="D58" s="58" t="s">
        <v>545</v>
      </c>
      <c r="E58" s="18" t="s">
        <v>9</v>
      </c>
      <c r="F58" s="59"/>
    </row>
    <row r="59" customFormat="false" ht="12.75" hidden="false" customHeight="false" outlineLevel="0" collapsed="false">
      <c r="B59" s="44" t="s">
        <v>543</v>
      </c>
      <c r="C59" s="57" t="s">
        <v>546</v>
      </c>
      <c r="D59" s="58" t="s">
        <v>547</v>
      </c>
      <c r="E59" s="18" t="s">
        <v>9</v>
      </c>
      <c r="F59" s="59"/>
    </row>
  </sheetData>
  <mergeCells count="1">
    <mergeCell ref="G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5" zeroHeight="false" outlineLevelRow="0" outlineLevelCol="0"/>
  <cols>
    <col collapsed="false" customWidth="true" hidden="false" outlineLevel="0" max="1" min="1" style="0" width="40.43"/>
    <col collapsed="false" customWidth="true" hidden="false" outlineLevel="0" max="2" min="2" style="0" width="26.71"/>
    <col collapsed="false" customWidth="true" hidden="false" outlineLevel="0" max="6" min="3" style="0" width="15"/>
  </cols>
  <sheetData>
    <row r="1" customFormat="false" ht="15" hidden="false" customHeight="false" outlineLevel="0" collapsed="false">
      <c r="A1" s="3" t="s">
        <v>548</v>
      </c>
    </row>
    <row r="3" s="60" customFormat="true" ht="28.35" hidden="false" customHeight="false" outlineLevel="0" collapsed="false">
      <c r="A3" s="60" t="s">
        <v>50</v>
      </c>
      <c r="B3" s="60" t="s">
        <v>549</v>
      </c>
      <c r="C3" s="60" t="s">
        <v>18</v>
      </c>
      <c r="D3" s="60" t="s">
        <v>550</v>
      </c>
    </row>
    <row r="4" customFormat="false" ht="15" hidden="false" customHeight="false" outlineLevel="0" collapsed="false">
      <c r="A4" s="0" t="s">
        <v>551</v>
      </c>
      <c r="B4" s="0" t="s">
        <v>552</v>
      </c>
      <c r="C4" s="0" t="s">
        <v>553</v>
      </c>
      <c r="D4" s="0" t="s">
        <v>554</v>
      </c>
    </row>
    <row r="5" customFormat="false" ht="15" hidden="false" customHeight="false" outlineLevel="0" collapsed="false">
      <c r="A5" s="0" t="s">
        <v>555</v>
      </c>
      <c r="B5" s="0" t="s">
        <v>556</v>
      </c>
      <c r="C5" s="0" t="s">
        <v>6</v>
      </c>
      <c r="D5" s="0" t="s">
        <v>557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8:E86"/>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G27" activeCellId="0" sqref="G27"/>
    </sheetView>
  </sheetViews>
  <sheetFormatPr defaultColWidth="8.71484375" defaultRowHeight="12.75" zeroHeight="false" outlineLevelRow="0" outlineLevelCol="0"/>
  <cols>
    <col collapsed="false" customWidth="false" hidden="false" outlineLevel="0" max="1" min="1" style="44" width="8.71"/>
    <col collapsed="false" customWidth="true" hidden="false" outlineLevel="0" max="2" min="2" style="44" width="29.43"/>
    <col collapsed="false" customWidth="true" hidden="false" outlineLevel="0" max="3" min="3" style="44" width="54"/>
    <col collapsed="false" customWidth="true" hidden="false" outlineLevel="0" max="4" min="4" style="44" width="13.72"/>
    <col collapsed="false" customWidth="false" hidden="false" outlineLevel="0" max="16384" min="5" style="44" width="8.71"/>
  </cols>
  <sheetData>
    <row r="8" customFormat="false" ht="12.75" hidden="false" customHeight="false" outlineLevel="0" collapsed="false">
      <c r="B8" s="46" t="s">
        <v>558</v>
      </c>
    </row>
    <row r="9" customFormat="false" ht="23.85" hidden="false" customHeight="false" outlineLevel="0" collapsed="false">
      <c r="B9" s="61" t="s">
        <v>559</v>
      </c>
      <c r="C9" s="62" t="s">
        <v>560</v>
      </c>
      <c r="D9" s="62" t="s">
        <v>561</v>
      </c>
      <c r="E9" s="62" t="s">
        <v>30</v>
      </c>
    </row>
    <row r="10" customFormat="false" ht="12.75" hidden="false" customHeight="true" outlineLevel="0" collapsed="false">
      <c r="B10" s="63" t="s">
        <v>3</v>
      </c>
      <c r="C10" s="64" t="s">
        <v>562</v>
      </c>
      <c r="D10" s="65" t="n">
        <v>1</v>
      </c>
      <c r="E10" s="66" t="n">
        <v>4</v>
      </c>
    </row>
    <row r="11" customFormat="false" ht="12.75" hidden="false" customHeight="true" outlineLevel="0" collapsed="false">
      <c r="B11" s="67"/>
      <c r="C11" s="68" t="s">
        <v>563</v>
      </c>
      <c r="D11" s="69" t="n">
        <v>1</v>
      </c>
      <c r="E11" s="70"/>
    </row>
    <row r="12" customFormat="false" ht="12" hidden="false" customHeight="true" outlineLevel="0" collapsed="false">
      <c r="B12" s="71" t="s">
        <v>564</v>
      </c>
      <c r="C12" s="64" t="s">
        <v>562</v>
      </c>
      <c r="D12" s="65" t="n">
        <v>1</v>
      </c>
      <c r="E12" s="72" t="n">
        <v>8</v>
      </c>
    </row>
    <row r="13" customFormat="false" ht="12.75" hidden="false" customHeight="true" outlineLevel="0" collapsed="false">
      <c r="B13" s="67"/>
      <c r="C13" s="68" t="s">
        <v>563</v>
      </c>
      <c r="D13" s="69" t="n">
        <v>1</v>
      </c>
      <c r="E13" s="70"/>
    </row>
    <row r="14" customFormat="false" ht="12" hidden="false" customHeight="true" outlineLevel="0" collapsed="false">
      <c r="B14" s="71" t="s">
        <v>565</v>
      </c>
      <c r="C14" s="64" t="s">
        <v>566</v>
      </c>
      <c r="D14" s="65" t="n">
        <v>0.0075</v>
      </c>
      <c r="E14" s="72" t="n">
        <v>12</v>
      </c>
    </row>
    <row r="15" customFormat="false" ht="12" hidden="false" customHeight="true" outlineLevel="0" collapsed="false">
      <c r="B15" s="73"/>
      <c r="C15" s="64" t="s">
        <v>567</v>
      </c>
      <c r="D15" s="65" t="n">
        <v>0.0325</v>
      </c>
      <c r="E15" s="74"/>
    </row>
    <row r="16" customFormat="false" ht="12" hidden="false" customHeight="true" outlineLevel="0" collapsed="false">
      <c r="B16" s="73"/>
      <c r="C16" s="64" t="s">
        <v>568</v>
      </c>
      <c r="D16" s="65" t="n">
        <v>1</v>
      </c>
      <c r="E16" s="74"/>
    </row>
    <row r="17" customFormat="false" ht="12.75" hidden="false" customHeight="true" outlineLevel="0" collapsed="false">
      <c r="B17" s="67"/>
      <c r="C17" s="68" t="s">
        <v>569</v>
      </c>
      <c r="D17" s="69" t="n">
        <v>1</v>
      </c>
      <c r="E17" s="70"/>
    </row>
    <row r="18" customFormat="false" ht="12" hidden="false" customHeight="true" outlineLevel="0" collapsed="false">
      <c r="B18" s="71" t="s">
        <v>570</v>
      </c>
      <c r="C18" s="64" t="s">
        <v>571</v>
      </c>
      <c r="D18" s="65" t="n">
        <v>0.01</v>
      </c>
      <c r="E18" s="72" t="n">
        <v>16</v>
      </c>
    </row>
    <row r="19" customFormat="false" ht="12" hidden="false" customHeight="true" outlineLevel="0" collapsed="false">
      <c r="B19" s="73"/>
      <c r="C19" s="64" t="s">
        <v>572</v>
      </c>
      <c r="D19" s="65" t="n">
        <v>0.035</v>
      </c>
      <c r="E19" s="74"/>
    </row>
    <row r="20" customFormat="false" ht="12" hidden="false" customHeight="true" outlineLevel="0" collapsed="false">
      <c r="B20" s="73"/>
      <c r="C20" s="64" t="s">
        <v>568</v>
      </c>
      <c r="D20" s="65" t="n">
        <v>1</v>
      </c>
      <c r="E20" s="74"/>
    </row>
    <row r="21" customFormat="false" ht="12.75" hidden="false" customHeight="true" outlineLevel="0" collapsed="false">
      <c r="B21" s="67"/>
      <c r="C21" s="68" t="s">
        <v>569</v>
      </c>
      <c r="D21" s="69" t="n">
        <v>1</v>
      </c>
      <c r="E21" s="70"/>
    </row>
    <row r="22" customFormat="false" ht="12" hidden="false" customHeight="true" outlineLevel="0" collapsed="false">
      <c r="B22" s="71" t="s">
        <v>4</v>
      </c>
      <c r="C22" s="64" t="s">
        <v>573</v>
      </c>
      <c r="D22" s="65" t="n">
        <v>1</v>
      </c>
      <c r="E22" s="72" t="n">
        <v>20</v>
      </c>
    </row>
    <row r="23" customFormat="false" ht="12" hidden="false" customHeight="true" outlineLevel="0" collapsed="false">
      <c r="B23" s="73"/>
      <c r="C23" s="64" t="s">
        <v>574</v>
      </c>
      <c r="D23" s="65" t="n">
        <v>0.015</v>
      </c>
      <c r="E23" s="74"/>
    </row>
    <row r="24" customFormat="false" ht="12" hidden="false" customHeight="true" outlineLevel="0" collapsed="false">
      <c r="B24" s="73"/>
      <c r="C24" s="64" t="s">
        <v>575</v>
      </c>
      <c r="D24" s="65" t="n">
        <v>0.005</v>
      </c>
      <c r="E24" s="74"/>
    </row>
    <row r="25" customFormat="false" ht="12.75" hidden="false" customHeight="true" outlineLevel="0" collapsed="false">
      <c r="B25" s="67"/>
      <c r="C25" s="68" t="s">
        <v>569</v>
      </c>
      <c r="D25" s="69" t="n">
        <v>1</v>
      </c>
      <c r="E25" s="70"/>
    </row>
    <row r="26" customFormat="false" ht="12" hidden="false" customHeight="true" outlineLevel="0" collapsed="false">
      <c r="B26" s="71" t="s">
        <v>576</v>
      </c>
      <c r="C26" s="64" t="s">
        <v>568</v>
      </c>
      <c r="D26" s="65" t="n">
        <v>1</v>
      </c>
      <c r="E26" s="72" t="n">
        <v>24</v>
      </c>
    </row>
    <row r="27" customFormat="false" ht="12.75" hidden="false" customHeight="true" outlineLevel="0" collapsed="false">
      <c r="B27" s="67"/>
      <c r="C27" s="68" t="s">
        <v>569</v>
      </c>
      <c r="D27" s="69" t="n">
        <v>1</v>
      </c>
      <c r="E27" s="70"/>
    </row>
    <row r="28" customFormat="false" ht="12" hidden="false" customHeight="true" outlineLevel="0" collapsed="false">
      <c r="B28" s="71" t="s">
        <v>577</v>
      </c>
      <c r="C28" s="64" t="s">
        <v>578</v>
      </c>
      <c r="D28" s="65" t="n">
        <v>0.0125</v>
      </c>
      <c r="E28" s="72" t="n">
        <v>28</v>
      </c>
    </row>
    <row r="29" customFormat="false" ht="12" hidden="false" customHeight="true" outlineLevel="0" collapsed="false">
      <c r="B29" s="73"/>
      <c r="C29" s="64" t="s">
        <v>579</v>
      </c>
      <c r="D29" s="65" t="n">
        <v>0.04</v>
      </c>
      <c r="E29" s="74"/>
    </row>
    <row r="30" customFormat="false" ht="12" hidden="false" customHeight="true" outlineLevel="0" collapsed="false">
      <c r="B30" s="73"/>
      <c r="C30" s="64" t="s">
        <v>568</v>
      </c>
      <c r="D30" s="65" t="n">
        <v>1</v>
      </c>
      <c r="E30" s="74"/>
    </row>
    <row r="31" customFormat="false" ht="12.75" hidden="false" customHeight="true" outlineLevel="0" collapsed="false">
      <c r="B31" s="67"/>
      <c r="C31" s="68" t="s">
        <v>569</v>
      </c>
      <c r="D31" s="69" t="n">
        <v>1</v>
      </c>
      <c r="E31" s="70"/>
    </row>
    <row r="32" customFormat="false" ht="12.75" hidden="false" customHeight="false" outlineLevel="0" collapsed="false">
      <c r="B32" s="75" t="s">
        <v>40</v>
      </c>
      <c r="C32" s="76" t="s">
        <v>580</v>
      </c>
      <c r="D32" s="77" t="n">
        <v>0.125</v>
      </c>
      <c r="E32" s="78" t="n">
        <v>30</v>
      </c>
    </row>
    <row r="35" customFormat="false" ht="12.75" hidden="false" customHeight="false" outlineLevel="0" collapsed="false">
      <c r="B35" s="46" t="s">
        <v>581</v>
      </c>
    </row>
    <row r="36" customFormat="false" ht="23.85" hidden="false" customHeight="false" outlineLevel="0" collapsed="false">
      <c r="B36" s="79" t="s">
        <v>582</v>
      </c>
      <c r="C36" s="80" t="s">
        <v>560</v>
      </c>
      <c r="D36" s="80" t="s">
        <v>561</v>
      </c>
      <c r="E36" s="80" t="s">
        <v>30</v>
      </c>
    </row>
    <row r="37" customFormat="false" ht="12.75" hidden="false" customHeight="true" outlineLevel="0" collapsed="false">
      <c r="B37" s="81" t="s">
        <v>3</v>
      </c>
      <c r="C37" s="82" t="s">
        <v>583</v>
      </c>
      <c r="D37" s="83" t="n">
        <v>1</v>
      </c>
      <c r="E37" s="84" t="n">
        <v>19</v>
      </c>
    </row>
    <row r="38" customFormat="false" ht="12" hidden="false" customHeight="true" outlineLevel="0" collapsed="false">
      <c r="B38" s="85"/>
      <c r="C38" s="82" t="s">
        <v>584</v>
      </c>
      <c r="D38" s="83" t="n">
        <v>0.0025</v>
      </c>
      <c r="E38" s="86"/>
    </row>
    <row r="39" customFormat="false" ht="12" hidden="false" customHeight="true" outlineLevel="0" collapsed="false">
      <c r="B39" s="85"/>
      <c r="C39" s="82" t="s">
        <v>585</v>
      </c>
      <c r="D39" s="83" t="n">
        <v>0.0013</v>
      </c>
      <c r="E39" s="86"/>
    </row>
    <row r="40" customFormat="false" ht="12.75" hidden="false" customHeight="true" outlineLevel="0" collapsed="false">
      <c r="B40" s="87"/>
      <c r="C40" s="88" t="s">
        <v>586</v>
      </c>
      <c r="D40" s="89" t="n">
        <v>0.003</v>
      </c>
      <c r="E40" s="90"/>
    </row>
    <row r="41" customFormat="false" ht="12" hidden="false" customHeight="true" outlineLevel="0" collapsed="false">
      <c r="B41" s="91" t="s">
        <v>4</v>
      </c>
      <c r="C41" s="82" t="s">
        <v>587</v>
      </c>
      <c r="D41" s="83" t="n">
        <v>0.02</v>
      </c>
      <c r="E41" s="92" t="n">
        <v>27</v>
      </c>
    </row>
    <row r="42" customFormat="false" ht="12" hidden="false" customHeight="true" outlineLevel="0" collapsed="false">
      <c r="B42" s="85"/>
      <c r="C42" s="82" t="s">
        <v>586</v>
      </c>
      <c r="D42" s="83" t="n">
        <v>0.003</v>
      </c>
      <c r="E42" s="86"/>
    </row>
    <row r="43" customFormat="false" ht="12" hidden="false" customHeight="true" outlineLevel="0" collapsed="false">
      <c r="B43" s="85"/>
      <c r="C43" s="82" t="s">
        <v>585</v>
      </c>
      <c r="D43" s="83" t="n">
        <v>0.0013</v>
      </c>
      <c r="E43" s="86"/>
    </row>
    <row r="44" customFormat="false" ht="12" hidden="false" customHeight="true" outlineLevel="0" collapsed="false">
      <c r="B44" s="85"/>
      <c r="C44" s="82" t="s">
        <v>588</v>
      </c>
      <c r="D44" s="83" t="n">
        <v>0.003</v>
      </c>
      <c r="E44" s="86"/>
    </row>
    <row r="45" customFormat="false" ht="12.75" hidden="false" customHeight="true" outlineLevel="0" collapsed="false">
      <c r="B45" s="87"/>
      <c r="C45" s="88" t="s">
        <v>589</v>
      </c>
      <c r="D45" s="89" t="n">
        <v>1</v>
      </c>
      <c r="E45" s="90"/>
    </row>
    <row r="46" customFormat="false" ht="12.75" hidden="false" customHeight="false" outlineLevel="0" collapsed="false">
      <c r="B46" s="93" t="s">
        <v>40</v>
      </c>
      <c r="C46" s="94" t="s">
        <v>590</v>
      </c>
      <c r="D46" s="95" t="n">
        <v>0.25</v>
      </c>
      <c r="E46" s="96" t="n">
        <v>30</v>
      </c>
    </row>
    <row r="49" customFormat="false" ht="12.75" hidden="false" customHeight="false" outlineLevel="0" collapsed="false">
      <c r="B49" s="46" t="s">
        <v>591</v>
      </c>
    </row>
    <row r="50" customFormat="false" ht="23.85" hidden="false" customHeight="false" outlineLevel="0" collapsed="false">
      <c r="B50" s="61" t="s">
        <v>559</v>
      </c>
      <c r="C50" s="62" t="s">
        <v>560</v>
      </c>
      <c r="D50" s="62" t="s">
        <v>561</v>
      </c>
      <c r="E50" s="62" t="s">
        <v>30</v>
      </c>
    </row>
    <row r="51" customFormat="false" ht="12.75" hidden="false" customHeight="false" outlineLevel="0" collapsed="false">
      <c r="B51" s="71" t="s">
        <v>3</v>
      </c>
      <c r="C51" s="64" t="s">
        <v>568</v>
      </c>
      <c r="D51" s="65" t="n">
        <v>1</v>
      </c>
      <c r="E51" s="72" t="n">
        <v>4</v>
      </c>
    </row>
    <row r="52" customFormat="false" ht="12.75" hidden="false" customHeight="false" outlineLevel="0" collapsed="false">
      <c r="B52" s="67"/>
      <c r="C52" s="68" t="s">
        <v>569</v>
      </c>
      <c r="D52" s="69" t="n">
        <v>1</v>
      </c>
      <c r="E52" s="70"/>
    </row>
    <row r="53" customFormat="false" ht="12.75" hidden="false" customHeight="false" outlineLevel="0" collapsed="false">
      <c r="B53" s="71" t="s">
        <v>564</v>
      </c>
      <c r="C53" s="64" t="s">
        <v>578</v>
      </c>
      <c r="D53" s="65" t="n">
        <v>0.0125</v>
      </c>
      <c r="E53" s="72" t="n">
        <v>8</v>
      </c>
    </row>
    <row r="54" customFormat="false" ht="12.75" hidden="false" customHeight="false" outlineLevel="0" collapsed="false">
      <c r="B54" s="73"/>
      <c r="C54" s="64" t="s">
        <v>579</v>
      </c>
      <c r="D54" s="65" t="n">
        <v>0.04</v>
      </c>
      <c r="E54" s="74"/>
    </row>
    <row r="55" customFormat="false" ht="12.75" hidden="false" customHeight="false" outlineLevel="0" collapsed="false">
      <c r="B55" s="73"/>
      <c r="C55" s="64" t="s">
        <v>568</v>
      </c>
      <c r="D55" s="65" t="n">
        <v>1</v>
      </c>
      <c r="E55" s="74"/>
    </row>
    <row r="56" customFormat="false" ht="12.75" hidden="false" customHeight="false" outlineLevel="0" collapsed="false">
      <c r="B56" s="67"/>
      <c r="C56" s="68" t="s">
        <v>569</v>
      </c>
      <c r="D56" s="69" t="n">
        <v>1</v>
      </c>
      <c r="E56" s="70"/>
    </row>
    <row r="57" customFormat="false" ht="12.75" hidden="false" customHeight="false" outlineLevel="0" collapsed="false">
      <c r="B57" s="71" t="s">
        <v>565</v>
      </c>
      <c r="C57" s="64" t="s">
        <v>562</v>
      </c>
      <c r="D57" s="65" t="n">
        <v>1</v>
      </c>
      <c r="E57" s="97" t="n">
        <v>12</v>
      </c>
    </row>
    <row r="58" customFormat="false" ht="12.75" hidden="false" customHeight="false" outlineLevel="0" collapsed="false">
      <c r="B58" s="67"/>
      <c r="C58" s="68" t="s">
        <v>563</v>
      </c>
      <c r="D58" s="69" t="n">
        <v>1</v>
      </c>
      <c r="E58" s="70"/>
    </row>
    <row r="59" customFormat="false" ht="12.75" hidden="false" customHeight="false" outlineLevel="0" collapsed="false">
      <c r="B59" s="71" t="s">
        <v>592</v>
      </c>
      <c r="C59" s="64" t="s">
        <v>573</v>
      </c>
      <c r="D59" s="65" t="n">
        <v>1</v>
      </c>
      <c r="E59" s="72" t="n">
        <v>16</v>
      </c>
    </row>
    <row r="60" customFormat="false" ht="12.75" hidden="false" customHeight="false" outlineLevel="0" collapsed="false">
      <c r="B60" s="73"/>
      <c r="C60" s="64" t="s">
        <v>593</v>
      </c>
      <c r="D60" s="65" t="n">
        <v>0.015</v>
      </c>
      <c r="E60" s="74"/>
    </row>
    <row r="61" customFormat="false" ht="12.75" hidden="false" customHeight="false" outlineLevel="0" collapsed="false">
      <c r="B61" s="73"/>
      <c r="C61" s="64" t="s">
        <v>594</v>
      </c>
      <c r="D61" s="65" t="n">
        <v>0.005</v>
      </c>
      <c r="E61" s="74"/>
    </row>
    <row r="62" customFormat="false" ht="12.75" hidden="false" customHeight="false" outlineLevel="0" collapsed="false">
      <c r="B62" s="67"/>
      <c r="C62" s="68" t="s">
        <v>569</v>
      </c>
      <c r="D62" s="69" t="n">
        <v>1</v>
      </c>
      <c r="E62" s="70"/>
    </row>
    <row r="63" customFormat="false" ht="12.75" hidden="false" customHeight="false" outlineLevel="0" collapsed="false">
      <c r="B63" s="71" t="s">
        <v>570</v>
      </c>
      <c r="C63" s="64" t="s">
        <v>568</v>
      </c>
      <c r="D63" s="65" t="n">
        <v>1</v>
      </c>
      <c r="E63" s="72" t="n">
        <v>20</v>
      </c>
    </row>
    <row r="64" customFormat="false" ht="12.75" hidden="false" customHeight="false" outlineLevel="0" collapsed="false">
      <c r="B64" s="67"/>
      <c r="C64" s="68" t="s">
        <v>569</v>
      </c>
      <c r="D64" s="69" t="n">
        <v>1</v>
      </c>
      <c r="E64" s="70"/>
    </row>
    <row r="65" customFormat="false" ht="12.75" hidden="false" customHeight="false" outlineLevel="0" collapsed="false">
      <c r="B65" s="71" t="s">
        <v>576</v>
      </c>
      <c r="C65" s="64" t="s">
        <v>578</v>
      </c>
      <c r="D65" s="65" t="n">
        <v>0.0125</v>
      </c>
      <c r="E65" s="72" t="n">
        <v>24</v>
      </c>
    </row>
    <row r="66" customFormat="false" ht="12.75" hidden="false" customHeight="false" outlineLevel="0" collapsed="false">
      <c r="B66" s="73"/>
      <c r="C66" s="64" t="s">
        <v>579</v>
      </c>
      <c r="D66" s="65" t="n">
        <v>0.04</v>
      </c>
      <c r="E66" s="74"/>
    </row>
    <row r="67" customFormat="false" ht="12.75" hidden="false" customHeight="false" outlineLevel="0" collapsed="false">
      <c r="B67" s="73"/>
      <c r="C67" s="64" t="s">
        <v>568</v>
      </c>
      <c r="D67" s="65" t="n">
        <v>1</v>
      </c>
      <c r="E67" s="74"/>
    </row>
    <row r="68" customFormat="false" ht="12.75" hidden="false" customHeight="false" outlineLevel="0" collapsed="false">
      <c r="B68" s="67"/>
      <c r="C68" s="68" t="s">
        <v>569</v>
      </c>
      <c r="D68" s="69" t="n">
        <v>1</v>
      </c>
      <c r="E68" s="70"/>
    </row>
    <row r="69" customFormat="false" ht="12.75" hidden="false" customHeight="false" outlineLevel="0" collapsed="false">
      <c r="B69" s="71" t="s">
        <v>577</v>
      </c>
      <c r="C69" s="64" t="s">
        <v>568</v>
      </c>
      <c r="D69" s="65" t="n">
        <v>1</v>
      </c>
      <c r="E69" s="72" t="n">
        <v>28</v>
      </c>
    </row>
    <row r="70" customFormat="false" ht="12.75" hidden="false" customHeight="false" outlineLevel="0" collapsed="false">
      <c r="B70" s="67"/>
      <c r="C70" s="68" t="s">
        <v>569</v>
      </c>
      <c r="D70" s="69" t="n">
        <v>1</v>
      </c>
      <c r="E70" s="70"/>
    </row>
    <row r="71" customFormat="false" ht="12.75" hidden="false" customHeight="false" outlineLevel="0" collapsed="false">
      <c r="B71" s="75" t="s">
        <v>40</v>
      </c>
      <c r="C71" s="76" t="s">
        <v>595</v>
      </c>
      <c r="D71" s="77" t="n">
        <v>0</v>
      </c>
      <c r="E71" s="78" t="n">
        <v>30</v>
      </c>
    </row>
    <row r="74" customFormat="false" ht="12.75" hidden="false" customHeight="false" outlineLevel="0" collapsed="false">
      <c r="B74" s="46" t="s">
        <v>596</v>
      </c>
    </row>
    <row r="75" customFormat="false" ht="23.85" hidden="false" customHeight="false" outlineLevel="0" collapsed="false">
      <c r="B75" s="79" t="s">
        <v>582</v>
      </c>
      <c r="C75" s="80" t="s">
        <v>560</v>
      </c>
      <c r="D75" s="80" t="s">
        <v>561</v>
      </c>
      <c r="E75" s="80" t="s">
        <v>30</v>
      </c>
    </row>
    <row r="76" customFormat="false" ht="12.75" hidden="false" customHeight="false" outlineLevel="0" collapsed="false">
      <c r="B76" s="81" t="s">
        <v>3</v>
      </c>
      <c r="C76" s="82" t="s">
        <v>583</v>
      </c>
      <c r="D76" s="83" t="n">
        <v>1</v>
      </c>
      <c r="E76" s="84" t="n">
        <v>15</v>
      </c>
    </row>
    <row r="77" customFormat="false" ht="12.75" hidden="false" customHeight="false" outlineLevel="0" collapsed="false">
      <c r="B77" s="85"/>
      <c r="C77" s="82" t="s">
        <v>597</v>
      </c>
      <c r="D77" s="83" t="n">
        <v>0.0035</v>
      </c>
      <c r="E77" s="86"/>
    </row>
    <row r="78" customFormat="false" ht="12.75" hidden="false" customHeight="false" outlineLevel="0" collapsed="false">
      <c r="B78" s="85"/>
      <c r="C78" s="82" t="s">
        <v>598</v>
      </c>
      <c r="D78" s="83" t="n">
        <v>0.002</v>
      </c>
      <c r="E78" s="86"/>
    </row>
    <row r="79" customFormat="false" ht="12.75" hidden="false" customHeight="false" outlineLevel="0" collapsed="false">
      <c r="B79" s="87"/>
      <c r="C79" s="88" t="s">
        <v>586</v>
      </c>
      <c r="D79" s="89" t="n">
        <v>0.003</v>
      </c>
      <c r="E79" s="90"/>
    </row>
    <row r="80" customFormat="false" ht="12.75" hidden="false" customHeight="false" outlineLevel="0" collapsed="false">
      <c r="B80" s="91" t="s">
        <v>4</v>
      </c>
      <c r="C80" s="82" t="s">
        <v>599</v>
      </c>
      <c r="D80" s="83" t="n">
        <v>0.05</v>
      </c>
      <c r="E80" s="92" t="n">
        <v>25</v>
      </c>
    </row>
    <row r="81" customFormat="false" ht="12.75" hidden="false" customHeight="false" outlineLevel="0" collapsed="false">
      <c r="B81" s="85"/>
      <c r="C81" s="82" t="s">
        <v>586</v>
      </c>
      <c r="D81" s="83" t="n">
        <v>0.003</v>
      </c>
      <c r="E81" s="86"/>
    </row>
    <row r="82" customFormat="false" ht="12.75" hidden="false" customHeight="false" outlineLevel="0" collapsed="false">
      <c r="B82" s="85"/>
      <c r="C82" s="82" t="s">
        <v>600</v>
      </c>
      <c r="D82" s="83" t="n">
        <v>0.0015</v>
      </c>
      <c r="E82" s="86"/>
    </row>
    <row r="83" customFormat="false" ht="12.75" hidden="false" customHeight="false" outlineLevel="0" collapsed="false">
      <c r="B83" s="85"/>
      <c r="C83" s="82" t="s">
        <v>588</v>
      </c>
      <c r="D83" s="83" t="n">
        <v>0.003</v>
      </c>
      <c r="E83" s="86"/>
    </row>
    <row r="84" customFormat="false" ht="12.75" hidden="false" customHeight="false" outlineLevel="0" collapsed="false">
      <c r="B84" s="87"/>
      <c r="C84" s="88" t="s">
        <v>589</v>
      </c>
      <c r="D84" s="89" t="n">
        <v>1</v>
      </c>
      <c r="E84" s="90"/>
    </row>
    <row r="85" customFormat="false" ht="12.75" hidden="false" customHeight="false" outlineLevel="0" collapsed="false">
      <c r="B85" s="93" t="s">
        <v>40</v>
      </c>
      <c r="C85" s="94" t="s">
        <v>595</v>
      </c>
      <c r="D85" s="95" t="n">
        <v>0</v>
      </c>
      <c r="E85" s="96" t="n">
        <v>30</v>
      </c>
    </row>
    <row r="86" customFormat="false" ht="13.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33.43"/>
    <col collapsed="false" customWidth="true" hidden="false" outlineLevel="0" max="2" min="2" style="0" width="32.86"/>
    <col collapsed="false" customWidth="true" hidden="false" outlineLevel="0" max="3" min="3" style="0" width="41.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15" hidden="false" customHeight="false" outlineLevel="0" collapsed="false">
      <c r="I1" s="0" t="s">
        <v>0</v>
      </c>
    </row>
    <row r="2" customFormat="false" ht="15" hidden="false" customHeight="false" outlineLevel="0" collapsed="false">
      <c r="A2" s="3" t="s">
        <v>1</v>
      </c>
      <c r="E2" s="4" t="s">
        <v>601</v>
      </c>
      <c r="F2" s="5"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3239.39</v>
      </c>
      <c r="G2" s="0" t="str">
        <f aca="false">IF(AND('General Information'!$D$38="Yes",F2=0),"No revenue data for this airport - lost revenue set to $0. Contact Aeronautics.","")</f>
        <v/>
      </c>
      <c r="J2" s="6" t="s">
        <v>3</v>
      </c>
      <c r="R2" s="3" t="s">
        <v>564</v>
      </c>
      <c r="Z2" s="6" t="s">
        <v>565</v>
      </c>
      <c r="AH2" s="3" t="s">
        <v>570</v>
      </c>
      <c r="AP2" s="6" t="s">
        <v>4</v>
      </c>
      <c r="AX2" s="3" t="s">
        <v>576</v>
      </c>
      <c r="BF2" s="6" t="s">
        <v>577</v>
      </c>
    </row>
    <row r="3" customFormat="false" ht="15" hidden="false" customHeight="false" outlineLevel="0" collapsed="false">
      <c r="E3" s="7"/>
      <c r="F3" s="8"/>
    </row>
    <row r="4" customFormat="false" ht="15" hidden="false" customHeight="false" outlineLevel="0" collapsed="false">
      <c r="A4" s="0" t="s">
        <v>5</v>
      </c>
      <c r="C4" s="9" t="s">
        <v>553</v>
      </c>
      <c r="E4" s="7" t="s">
        <v>7</v>
      </c>
      <c r="F4" s="10" t="n">
        <f aca="false">ROUNDUP((C5/15000),0)+ROUNDUP((C8/20000),0)+ROUNDUP((C8/50000),0)</f>
        <v>7</v>
      </c>
    </row>
    <row r="5" customFormat="false" ht="15" hidden="false" customHeight="false" outlineLevel="0" collapsed="false">
      <c r="A5" s="0" t="s">
        <v>8</v>
      </c>
      <c r="C5" s="0" t="n">
        <f aca="false">'General Information'!D26</f>
        <v>66667</v>
      </c>
      <c r="D5" s="0" t="s">
        <v>9</v>
      </c>
      <c r="E5" s="7" t="s">
        <v>602</v>
      </c>
      <c r="F5" s="10" t="n">
        <f aca="false">ROUNDUP((C5/15000),0)+ROUNDUP((C8/20000),0)+ROUNDUP((C8/50000),0)</f>
        <v>7</v>
      </c>
    </row>
    <row r="6" customFormat="false" ht="15" hidden="false" customHeight="false" outlineLevel="0" collapsed="false">
      <c r="A6" s="0" t="s">
        <v>11</v>
      </c>
      <c r="C6" s="0" t="n">
        <f aca="false">'General Information'!D25</f>
        <v>2028</v>
      </c>
      <c r="E6" s="7" t="s">
        <v>603</v>
      </c>
      <c r="F6" s="10" t="n">
        <f aca="false">ROUNDUP((C5/15000),0)+ROUNDUP((C8/20000),0)+ROUNDUP((C8/50000),0)+ROUNDUP((C5*'Maintenance Policies'!D15/10000),0)+ROUNDUP((C5*'Maintenance Policies'!D14/5000),0)</f>
        <v>9</v>
      </c>
      <c r="AP6" s="1" t="s">
        <v>604</v>
      </c>
      <c r="AQ6" s="1" t="n">
        <v>2</v>
      </c>
      <c r="AR6" s="1" t="s">
        <v>605</v>
      </c>
    </row>
    <row r="7" customFormat="false" ht="15" hidden="false" customHeight="false" outlineLevel="0" collapsed="false">
      <c r="A7" s="0" t="s">
        <v>606</v>
      </c>
      <c r="C7" s="98" t="s">
        <v>517</v>
      </c>
      <c r="D7" s="15" t="s">
        <v>607</v>
      </c>
      <c r="E7" s="7" t="s">
        <v>608</v>
      </c>
      <c r="F7" s="10" t="n">
        <f aca="false">ROUNDUP((C5/15000),0)+ROUNDUP((C8/20000),0)+ROUNDUP((C8/50000),0)+ROUNDUP((C5*'Maintenance Policies'!D18/10000),0)+ROUNDUP((C5*'Maintenance Policies'!D19/5000),0)</f>
        <v>9</v>
      </c>
      <c r="AP7" s="1" t="s">
        <v>609</v>
      </c>
      <c r="AQ7" s="1" t="n">
        <v>120</v>
      </c>
      <c r="AR7" s="1" t="s">
        <v>610</v>
      </c>
    </row>
    <row r="8" customFormat="false" ht="15" hidden="false" customHeight="false" outlineLevel="0" collapsed="false">
      <c r="A8" s="0" t="s">
        <v>12</v>
      </c>
      <c r="C8" s="0" t="n">
        <f aca="false">'General Information'!D28</f>
        <v>15000</v>
      </c>
      <c r="D8" s="0" t="s">
        <v>13</v>
      </c>
      <c r="E8" s="7" t="s">
        <v>10</v>
      </c>
      <c r="F8" s="10" t="n">
        <f aca="false">ROUNDUP((C5/3800),0)+ROUNDUP((C8/50000),0)</f>
        <v>19</v>
      </c>
    </row>
    <row r="9" customFormat="false" ht="15" hidden="false" customHeight="false" outlineLevel="0" collapsed="false">
      <c r="C9" s="9"/>
      <c r="E9" s="7" t="s">
        <v>611</v>
      </c>
      <c r="F9" s="10" t="n">
        <f aca="false">ROUNDUP((C5/15000),0)+ROUNDUP((C8/20000),0)+ROUNDUP((C8/50000),0)</f>
        <v>7</v>
      </c>
      <c r="AP9" s="1" t="s">
        <v>612</v>
      </c>
      <c r="AQ9" s="1" t="n">
        <v>0.1</v>
      </c>
      <c r="AR9" s="1" t="s">
        <v>613</v>
      </c>
    </row>
    <row r="10" customFormat="false" ht="15" hidden="false" customHeight="false" outlineLevel="0" collapsed="false">
      <c r="D10" s="14"/>
      <c r="E10" s="11" t="s">
        <v>614</v>
      </c>
      <c r="F10" s="12" t="n">
        <f aca="false">ROUNDUP((C5/15000),0)+ROUNDUP((C8/20000),0)+ROUNDUP((C8/50000),0)+ROUNDUP((C5*'Maintenance Policies'!D28/10000),0)+ROUNDUP((C5*'Maintenance Policies'!D29/5000),0)</f>
        <v>9</v>
      </c>
    </row>
    <row r="12" customFormat="false" ht="15" hidden="false" customHeight="false" outlineLevel="0" collapsed="false">
      <c r="A12" s="0" t="s">
        <v>16</v>
      </c>
      <c r="B12" s="0" t="s">
        <v>17</v>
      </c>
      <c r="C12" s="0" t="s">
        <v>18</v>
      </c>
      <c r="D12" s="0" t="s">
        <v>19</v>
      </c>
      <c r="E12" s="0" t="s">
        <v>20</v>
      </c>
      <c r="F12" s="0" t="s">
        <v>21</v>
      </c>
      <c r="G12" s="0" t="s">
        <v>22</v>
      </c>
      <c r="J12" s="1" t="s">
        <v>16</v>
      </c>
      <c r="K12" s="1" t="s">
        <v>17</v>
      </c>
      <c r="L12" s="1" t="s">
        <v>18</v>
      </c>
      <c r="M12" s="1" t="s">
        <v>19</v>
      </c>
      <c r="N12" s="1" t="s">
        <v>20</v>
      </c>
      <c r="O12" s="1" t="s">
        <v>21</v>
      </c>
      <c r="P12" s="1" t="s">
        <v>22</v>
      </c>
      <c r="R12" s="15" t="s">
        <v>16</v>
      </c>
      <c r="S12" s="15" t="s">
        <v>17</v>
      </c>
      <c r="T12" s="15" t="s">
        <v>18</v>
      </c>
      <c r="U12" s="15" t="s">
        <v>19</v>
      </c>
      <c r="V12" s="15" t="s">
        <v>20</v>
      </c>
      <c r="W12" s="15" t="s">
        <v>21</v>
      </c>
      <c r="X12" s="15" t="s">
        <v>22</v>
      </c>
      <c r="Z12" s="1" t="s">
        <v>16</v>
      </c>
      <c r="AA12" s="1" t="s">
        <v>17</v>
      </c>
      <c r="AB12" s="1" t="s">
        <v>18</v>
      </c>
      <c r="AC12" s="1" t="s">
        <v>19</v>
      </c>
      <c r="AD12" s="1" t="s">
        <v>20</v>
      </c>
      <c r="AE12" s="1" t="s">
        <v>21</v>
      </c>
      <c r="AF12" s="1" t="s">
        <v>22</v>
      </c>
      <c r="AH12" s="15" t="s">
        <v>16</v>
      </c>
      <c r="AI12" s="15" t="s">
        <v>17</v>
      </c>
      <c r="AJ12" s="15" t="s">
        <v>18</v>
      </c>
      <c r="AK12" s="15" t="s">
        <v>19</v>
      </c>
      <c r="AL12" s="15" t="s">
        <v>20</v>
      </c>
      <c r="AM12" s="15" t="s">
        <v>21</v>
      </c>
      <c r="AN12" s="15" t="s">
        <v>22</v>
      </c>
      <c r="AP12" s="1" t="s">
        <v>16</v>
      </c>
      <c r="AQ12" s="1" t="s">
        <v>17</v>
      </c>
      <c r="AR12" s="1" t="s">
        <v>18</v>
      </c>
      <c r="AS12" s="1" t="s">
        <v>19</v>
      </c>
      <c r="AT12" s="1" t="s">
        <v>20</v>
      </c>
      <c r="AU12" s="1" t="s">
        <v>21</v>
      </c>
      <c r="AV12" s="1" t="s">
        <v>22</v>
      </c>
      <c r="AX12" s="15" t="s">
        <v>16</v>
      </c>
      <c r="AY12" s="15" t="s">
        <v>17</v>
      </c>
      <c r="AZ12" s="15" t="s">
        <v>18</v>
      </c>
      <c r="BA12" s="15" t="s">
        <v>19</v>
      </c>
      <c r="BB12" s="15" t="s">
        <v>20</v>
      </c>
      <c r="BC12" s="15" t="s">
        <v>21</v>
      </c>
      <c r="BD12" s="15" t="s">
        <v>22</v>
      </c>
      <c r="BF12" s="1" t="s">
        <v>16</v>
      </c>
      <c r="BG12" s="1" t="s">
        <v>17</v>
      </c>
      <c r="BH12" s="1" t="s">
        <v>18</v>
      </c>
      <c r="BI12" s="1" t="s">
        <v>19</v>
      </c>
      <c r="BJ12" s="1" t="s">
        <v>20</v>
      </c>
      <c r="BK12" s="1" t="s">
        <v>21</v>
      </c>
      <c r="BL12" s="1" t="s">
        <v>22</v>
      </c>
    </row>
    <row r="13" customFormat="false" ht="19.5" hidden="false" customHeight="true" outlineLevel="0" collapsed="false">
      <c r="A13" s="0" t="n">
        <v>1</v>
      </c>
      <c r="B13" s="16" t="n">
        <f aca="false">IF(C13="",0,VLOOKUP(C13,CHOOSE({1,2},Table2[Pay Item Description],Table2[Pay Item No.]),2,0))</f>
        <v>0</v>
      </c>
      <c r="C13" s="17"/>
      <c r="D13" s="18" t="str">
        <f aca="false">IF(C13="","N/A",VLOOKUP(C13,CHOOSE({1,2},Table2[Pay Item Description],Table2[Units]),2,0))</f>
        <v>N/A</v>
      </c>
      <c r="E13" s="99"/>
      <c r="F13" s="20" t="str">
        <f aca="false">IF(C13="","N/A",VLOOKUP(C13,CHOOSE({1,2},Table2[Pay Item Description],Table2[Unit Cost]),2,0))</f>
        <v>N/A</v>
      </c>
      <c r="G13" s="21" t="n">
        <f aca="false">IF(B13&lt;&gt;0,F13*E13,0)</f>
        <v>0</v>
      </c>
      <c r="J13" s="1" t="n">
        <v>1</v>
      </c>
      <c r="K13" s="100" t="str">
        <f aca="false">IF(L13="",0,VLOOKUP(L13,CHOOSE({1,2},Table2[Pay Item Description],Table2[Pay Item No.]),2,0))</f>
        <v>P-608-8.1</v>
      </c>
      <c r="L13" s="1" t="str">
        <f aca="false">C7</f>
        <v>Emulsified Asphalt Surface Treatment</v>
      </c>
      <c r="M13" s="101" t="str">
        <f aca="false">VLOOKUP(L13,CHOOSE({1,2},Table2[Pay Item Description],Table2[Units]),2,0)</f>
        <v>S.Y.</v>
      </c>
      <c r="N13" s="102" t="n">
        <f aca="false">'Maintenance Policies'!D10*$C$5</f>
        <v>66667</v>
      </c>
      <c r="O13" s="103" t="n">
        <f aca="false">IF(L13="","N/A",VLOOKUP(L13,CHOOSE({1,2},Table2[Pay Item Description],Table2[Unit Cost]),2,0))</f>
        <v>4</v>
      </c>
      <c r="P13" s="24" t="n">
        <f aca="false">O13*N13</f>
        <v>266668</v>
      </c>
      <c r="R13" s="0" t="n">
        <v>1</v>
      </c>
      <c r="S13" s="16" t="str">
        <f aca="false">IF(T13="",0,VLOOKUP(T13,CHOOSE({1,2},Table2[Pay Item Description],Table2[Pay Item No.]),2,0))</f>
        <v>P-608-8.1</v>
      </c>
      <c r="T13" s="0" t="str">
        <f aca="false">C7</f>
        <v>Emulsified Asphalt Surface Treatment</v>
      </c>
      <c r="U13" s="18" t="str">
        <f aca="false">VLOOKUP(T13,CHOOSE({1,2},Table2[Pay Item Description],Table2[Units]),2,0)</f>
        <v>S.Y.</v>
      </c>
      <c r="V13" s="104" t="n">
        <f aca="false">'Maintenance Policies'!D12*$C$5</f>
        <v>66667</v>
      </c>
      <c r="W13" s="59" t="n">
        <f aca="false">IF(T13="","N/A",VLOOKUP(T13,CHOOSE({1,2},Table2[Pay Item Description],Table2[Unit Cost]),2,0))</f>
        <v>4</v>
      </c>
      <c r="X13" s="27" t="n">
        <f aca="false">W13*V13</f>
        <v>266668</v>
      </c>
      <c r="Z13" s="1" t="n">
        <v>1</v>
      </c>
      <c r="AA13" s="1" t="str">
        <f aca="false">IF(AB13="",0,VLOOKUP(AB13,CHOOSE({1,2},Table2[Pay Item Description],Table2[Pay Item No.]),2,0))</f>
        <v>P-101-5.4a</v>
      </c>
      <c r="AB13" s="1" t="str">
        <f aca="false">Pay_Items!D11</f>
        <v>Spall Repair, Asphalt</v>
      </c>
      <c r="AC13" s="105" t="str">
        <f aca="false">IF(AB13="","N/A",VLOOKUP(AB13,CHOOSE({1,2},Table2[Pay Item Description],Table2[Units]),2,0))</f>
        <v>S.F.</v>
      </c>
      <c r="AD13" s="102" t="n">
        <f aca="false">'Maintenance Policies'!D14*($C$5*9)</f>
        <v>4500.0225</v>
      </c>
      <c r="AE13" s="106" t="n">
        <f aca="false">IF(AB13="","N/A",VLOOKUP(AB13,CHOOSE({1,2},Table2[Pay Item Description],Table2[Unit Cost]),2,0))</f>
        <v>8.5</v>
      </c>
      <c r="AF13" s="24" t="n">
        <f aca="false">AE13*AD13</f>
        <v>38250.19125</v>
      </c>
      <c r="AH13" s="0" t="n">
        <v>1</v>
      </c>
      <c r="AI13" s="0" t="str">
        <f aca="false">IF(AJ13="",0,VLOOKUP(AJ13,CHOOSE({1,2},Table2[Pay Item Description],Table2[Pay Item No.]),2,0))</f>
        <v>P-101-5.4a</v>
      </c>
      <c r="AJ13" s="0" t="str">
        <f aca="false">Pay_Items!D11</f>
        <v>Spall Repair, Asphalt</v>
      </c>
      <c r="AK13" s="107" t="str">
        <f aca="false">IF(AJ13="","N/A",VLOOKUP(AJ13,CHOOSE({1,2},Table2[Pay Item Description],Table2[Units]),2,0))</f>
        <v>S.F.</v>
      </c>
      <c r="AL13" s="104" t="n">
        <f aca="false">'Maintenance Policies'!D18*($C$5*9)</f>
        <v>6000.03</v>
      </c>
      <c r="AM13" s="108" t="n">
        <f aca="false">IF(AJ13="","N/A",VLOOKUP(AJ13,CHOOSE({1,2},Table2[Pay Item Description],Table2[Unit Cost]),2,0))</f>
        <v>8.5</v>
      </c>
      <c r="AN13" s="27" t="n">
        <f aca="false">AM13*AL13</f>
        <v>51000.255</v>
      </c>
      <c r="AP13" s="1" t="n">
        <v>1</v>
      </c>
      <c r="AQ13" s="1" t="str">
        <f aca="false">IF(AR13="",0,VLOOKUP(AR13,CHOOSE({1,2},Table2[Pay Item Description],Table2[Pay Item No.]),2,0))</f>
        <v>P-101-5.6</v>
      </c>
      <c r="AR13" s="1" t="str">
        <f aca="false">Pay_Items!D16</f>
        <v>Cold Milling</v>
      </c>
      <c r="AS13" s="105" t="str">
        <f aca="false">IF(AR13="","N/A",VLOOKUP(AR13,CHOOSE({1,2},Table2[Pay Item Description],Table2[Units]),2,0))</f>
        <v>S.Y.</v>
      </c>
      <c r="AT13" s="102" t="n">
        <f aca="false">'Maintenance Policies'!D22*$C$5</f>
        <v>66667</v>
      </c>
      <c r="AU13" s="106" t="n">
        <f aca="false">IF(AR13="","N/A",VLOOKUP(AR13,CHOOSE({1,2},Table2[Pay Item Description],Table2[Unit Cost]),2,0))</f>
        <v>5</v>
      </c>
      <c r="AV13" s="24" t="n">
        <f aca="false">AU13*AT13</f>
        <v>333335</v>
      </c>
      <c r="AX13" s="0" t="n">
        <v>1</v>
      </c>
      <c r="AY13" s="16" t="str">
        <f aca="false">IF(AZ13="",0,VLOOKUP(AZ13,CHOOSE({1,2},Table2[Pay Item Description],Table2[Pay Item No.]),2,0))</f>
        <v>P-608-8.1</v>
      </c>
      <c r="AZ13" s="0" t="str">
        <f aca="false">C7</f>
        <v>Emulsified Asphalt Surface Treatment</v>
      </c>
      <c r="BA13" s="18" t="str">
        <f aca="false">IF(AZ13="","N/A",VLOOKUP(AZ13,CHOOSE({1,2},Table2[Pay Item Description],Table2[Units]),2,0))</f>
        <v>S.Y.</v>
      </c>
      <c r="BB13" s="104" t="n">
        <f aca="false">'Maintenance Policies'!D26*$C$5</f>
        <v>66667</v>
      </c>
      <c r="BC13" s="59" t="n">
        <f aca="false">IF(AZ13="","N/A",VLOOKUP(AZ13,CHOOSE({1,2},Table2[Pay Item Description],Table2[Unit Cost]),2,0))</f>
        <v>4</v>
      </c>
      <c r="BD13" s="27" t="n">
        <f aca="false">BC13*BB13</f>
        <v>266668</v>
      </c>
      <c r="BF13" s="1" t="n">
        <v>1</v>
      </c>
      <c r="BG13" s="1" t="str">
        <f aca="false">IF(BH13="",0,VLOOKUP(BH13,CHOOSE({1,2},Table2[Pay Item Description],Table2[Pay Item No.]),2,0))</f>
        <v>P-101-5.4a</v>
      </c>
      <c r="BH13" s="1" t="str">
        <f aca="false">Pay_Items!D11</f>
        <v>Spall Repair, Asphalt</v>
      </c>
      <c r="BI13" s="105" t="str">
        <f aca="false">IF(BH13="","N/A",VLOOKUP(BH13,CHOOSE({1,2},Table2[Pay Item Description],Table2[Units]),2,0))</f>
        <v>S.F.</v>
      </c>
      <c r="BJ13" s="102" t="n">
        <f aca="false">'Maintenance Policies'!D28*($C$5*9)</f>
        <v>7500.0375</v>
      </c>
      <c r="BK13" s="106" t="n">
        <f aca="false">IF(BH13="","N/A",VLOOKUP(BH13,CHOOSE({1,2},Table2[Pay Item Description],Table2[Unit Cost]),2,0))</f>
        <v>8.5</v>
      </c>
      <c r="BL13" s="24" t="n">
        <f aca="false">BK13*BJ13</f>
        <v>63750.31875</v>
      </c>
    </row>
    <row r="14" customFormat="false" ht="19.5" hidden="false" customHeight="true" outlineLevel="0" collapsed="false">
      <c r="A14" s="0" t="n">
        <v>2</v>
      </c>
      <c r="B14" s="16" t="n">
        <f aca="false">IF(C14="",0,VLOOKUP(C14,CHOOSE({1,2},Table2[Pay Item Description],Table2[Pay Item No.]),2,0))</f>
        <v>0</v>
      </c>
      <c r="C14" s="17"/>
      <c r="D14" s="18" t="str">
        <f aca="false">IF(C14="","N/A",VLOOKUP(C14,CHOOSE({1,2},Table2[Pay Item Description],Table2[Units]),2,0))</f>
        <v>N/A</v>
      </c>
      <c r="E14" s="99"/>
      <c r="F14" s="20" t="str">
        <f aca="false">IF(C14="","N/A",VLOOKUP(C14,CHOOSE({1,2},Table2[Pay Item Description],Table2[Unit Cost]),2,0))</f>
        <v>N/A</v>
      </c>
      <c r="G14" s="21" t="n">
        <f aca="false">IF(B14&lt;&gt;0,F14*E14,0)</f>
        <v>0</v>
      </c>
      <c r="J14" s="1" t="n">
        <v>2</v>
      </c>
      <c r="K14" s="1" t="str">
        <f aca="false">IF(L14="",0,VLOOKUP(L14,CHOOSE({1,2},Table2[Pay Item Description],Table2[Pay Item No.]),2,0))</f>
        <v>P-101-5.3</v>
      </c>
      <c r="L14" s="1" t="str">
        <f aca="false">Pay_Items!D10</f>
        <v>Markings Removal</v>
      </c>
      <c r="M14" s="105" t="str">
        <f aca="false">IF(L14="","N/A",VLOOKUP(L14,CHOOSE({1,2},Table2[Pay Item Description],Table2[Units]),2,0))</f>
        <v>S.F.</v>
      </c>
      <c r="N14" s="102" t="n">
        <f aca="false">'Maintenance Policies'!D10*$C$8</f>
        <v>15000</v>
      </c>
      <c r="O14" s="106" t="n">
        <f aca="false">IF(L14="","N/A",VLOOKUP(L14,CHOOSE({1,2},Table2[Pay Item Description],Table2[Unit Cost]),2,0))</f>
        <v>0.777777777777778</v>
      </c>
      <c r="P14" s="24" t="n">
        <f aca="false">O14*N14</f>
        <v>11666.6666666667</v>
      </c>
      <c r="R14" s="0" t="n">
        <v>2</v>
      </c>
      <c r="S14" s="0" t="str">
        <f aca="false">IF(T14="",0,VLOOKUP(T14,CHOOSE({1,2},Table2[Pay Item Description],Table2[Pay Item No.]),2,0))</f>
        <v>P-101-5.3</v>
      </c>
      <c r="T14" s="0" t="str">
        <f aca="false">Pay_Items!D10</f>
        <v>Markings Removal</v>
      </c>
      <c r="U14" s="107" t="str">
        <f aca="false">IF(T14="","N/A",VLOOKUP(T14,CHOOSE({1,2},Table2[Pay Item Description],Table2[Units]),2,0))</f>
        <v>S.F.</v>
      </c>
      <c r="V14" s="104" t="n">
        <f aca="false">'Maintenance Policies'!D12*$C$8</f>
        <v>15000</v>
      </c>
      <c r="W14" s="108" t="n">
        <f aca="false">IF(T14="","N/A",VLOOKUP(T14,CHOOSE({1,2},Table2[Pay Item Description],Table2[Unit Cost]),2,0))</f>
        <v>0.777777777777778</v>
      </c>
      <c r="X14" s="27" t="n">
        <f aca="false">W14*V14</f>
        <v>11666.6666666667</v>
      </c>
      <c r="Z14" s="1" t="n">
        <v>2</v>
      </c>
      <c r="AA14" s="1" t="str">
        <f aca="false">IF(AB14="",0,VLOOKUP(AB14,CHOOSE({1,2},Table2[Pay Item Description],Table2[Pay Item No.]),2,0))</f>
        <v>P-101-5.2a</v>
      </c>
      <c r="AB14" s="1" t="str">
        <f aca="false">Pay_Items!D6</f>
        <v>Crack Repair (Type I), Asphalt</v>
      </c>
      <c r="AC14" s="105" t="str">
        <f aca="false">IF(AB14="","N/A",VLOOKUP(AB14,CHOOSE({1,2},Table2[Pay Item Description],Table2[Units]),2,0))</f>
        <v>L.F.</v>
      </c>
      <c r="AD14" s="102" t="n">
        <f aca="false">'Maintenance Policies'!D15*($C$5*9)</f>
        <v>19500.0975</v>
      </c>
      <c r="AE14" s="106" t="n">
        <f aca="false">IF(AB14="","N/A",VLOOKUP(AB14,CHOOSE({1,2},Table2[Pay Item Description],Table2[Unit Cost]),2,0))</f>
        <v>4</v>
      </c>
      <c r="AF14" s="24" t="n">
        <f aca="false">AE14*AD14</f>
        <v>78000.39</v>
      </c>
      <c r="AH14" s="0" t="n">
        <v>2</v>
      </c>
      <c r="AI14" s="0" t="str">
        <f aca="false">IF(AJ14="",0,VLOOKUP(AJ14,CHOOSE({1,2},Table2[Pay Item Description],Table2[Pay Item No.]),2,0))</f>
        <v>P-101-5.2a</v>
      </c>
      <c r="AJ14" s="0" t="str">
        <f aca="false">Pay_Items!D6</f>
        <v>Crack Repair (Type I), Asphalt</v>
      </c>
      <c r="AK14" s="107" t="str">
        <f aca="false">IF(AJ14="","N/A",VLOOKUP(AJ14,CHOOSE({1,2},Table2[Pay Item Description],Table2[Units]),2,0))</f>
        <v>L.F.</v>
      </c>
      <c r="AL14" s="104" t="n">
        <f aca="false">'Maintenance Policies'!D19*($C$5*9)</f>
        <v>21000.105</v>
      </c>
      <c r="AM14" s="108" t="n">
        <f aca="false">IF(AJ14="","N/A",VLOOKUP(AJ14,CHOOSE({1,2},Table2[Pay Item Description],Table2[Unit Cost]),2,0))</f>
        <v>4</v>
      </c>
      <c r="AN14" s="27" t="n">
        <f aca="false">AM14*AL14</f>
        <v>84000.42</v>
      </c>
      <c r="AP14" s="1" t="n">
        <v>2</v>
      </c>
      <c r="AQ14" s="1" t="str">
        <f aca="false">IF(AR14="",0,VLOOKUP(AR14,CHOOSE({1,2},Table2[Pay Item Description],Table2[Pay Item No.]),2,0))</f>
        <v>P-603-5.1</v>
      </c>
      <c r="AR14" s="1" t="str">
        <f aca="false">Pay_Items!D54</f>
        <v>Emulsified Asphalt Tack Coat</v>
      </c>
      <c r="AS14" s="105" t="str">
        <f aca="false">IF(AR14="","N/A",VLOOKUP(AR14,CHOOSE({1,2},Table2[Pay Item Description],Table2[Units]),2,0))</f>
        <v>GAL</v>
      </c>
      <c r="AT14" s="102" t="n">
        <f aca="false">'Maintenance Policies'!D22*$C$5*AQ9</f>
        <v>6666.7</v>
      </c>
      <c r="AU14" s="106" t="n">
        <f aca="false">IF(AR14="","N/A",VLOOKUP(AR14,CHOOSE({1,2},Table2[Pay Item Description],Table2[Unit Cost]),2,0))</f>
        <v>4.5</v>
      </c>
      <c r="AV14" s="24" t="n">
        <f aca="false">AU14*AT14</f>
        <v>30000.15</v>
      </c>
      <c r="AX14" s="0" t="n">
        <v>2</v>
      </c>
      <c r="AY14" s="0" t="str">
        <f aca="false">IF(AZ14="",0,VLOOKUP(AZ14,CHOOSE({1,2},Table2[Pay Item Description],Table2[Pay Item No.]),2,0))</f>
        <v>P-101-5.3</v>
      </c>
      <c r="AZ14" s="0" t="str">
        <f aca="false">Pay_Items!D10</f>
        <v>Markings Removal</v>
      </c>
      <c r="BA14" s="107" t="str">
        <f aca="false">IF(AZ14="","N/A",VLOOKUP(AZ14,CHOOSE({1,2},Table2[Pay Item Description],Table2[Units]),2,0))</f>
        <v>S.F.</v>
      </c>
      <c r="BB14" s="104" t="n">
        <f aca="false">'Maintenance Policies'!D26*$C$8</f>
        <v>15000</v>
      </c>
      <c r="BC14" s="108" t="n">
        <f aca="false">IF(AZ14="","N/A",VLOOKUP(AZ14,CHOOSE({1,2},Table2[Pay Item Description],Table2[Unit Cost]),2,0))</f>
        <v>0.777777777777778</v>
      </c>
      <c r="BD14" s="27" t="n">
        <f aca="false">BC14*BB14</f>
        <v>11666.6666666667</v>
      </c>
      <c r="BF14" s="1" t="n">
        <v>2</v>
      </c>
      <c r="BG14" s="1" t="str">
        <f aca="false">IF(BH14="",0,VLOOKUP(BH14,CHOOSE({1,2},Table2[Pay Item Description],Table2[Pay Item No.]),2,0))</f>
        <v>P-101-5.2a</v>
      </c>
      <c r="BH14" s="1" t="str">
        <f aca="false">Pay_Items!D6</f>
        <v>Crack Repair (Type I), Asphalt</v>
      </c>
      <c r="BI14" s="105" t="str">
        <f aca="false">IF(BH14="","N/A",VLOOKUP(BH14,CHOOSE({1,2},Table2[Pay Item Description],Table2[Units]),2,0))</f>
        <v>L.F.</v>
      </c>
      <c r="BJ14" s="102" t="n">
        <f aca="false">'Maintenance Policies'!D29*($C$5*9)</f>
        <v>24000.12</v>
      </c>
      <c r="BK14" s="106" t="n">
        <f aca="false">IF(BH14="","N/A",VLOOKUP(BH14,CHOOSE({1,2},Table2[Pay Item Description],Table2[Unit Cost]),2,0))</f>
        <v>4</v>
      </c>
      <c r="BL14" s="24" t="n">
        <f aca="false">BK14*BJ14</f>
        <v>96000.48</v>
      </c>
    </row>
    <row r="15" customFormat="false" ht="19.5" hidden="false" customHeight="true" outlineLevel="0" collapsed="false">
      <c r="A15" s="0" t="n">
        <v>3</v>
      </c>
      <c r="B15" s="16" t="n">
        <f aca="false">IF(C15="",0,VLOOKUP(C15,CHOOSE({1,2},Table2[Pay Item Description],Table2[Pay Item No.]),2,0))</f>
        <v>0</v>
      </c>
      <c r="C15" s="17"/>
      <c r="D15" s="18" t="str">
        <f aca="false">IF(C15="","N/A",VLOOKUP(C15,CHOOSE({1,2},Table2[Pay Item Description],Table2[Units]),2,0))</f>
        <v>N/A</v>
      </c>
      <c r="E15" s="99"/>
      <c r="F15" s="20" t="str">
        <f aca="false">IF(C15="","N/A",VLOOKUP(C15,CHOOSE({1,2},Table2[Pay Item Description],Table2[Unit Cost]),2,0))</f>
        <v>N/A</v>
      </c>
      <c r="G15" s="21" t="n">
        <f aca="false">IF(B15&lt;&gt;0,F15*E15,0)</f>
        <v>0</v>
      </c>
      <c r="J15" s="1" t="n">
        <v>3</v>
      </c>
      <c r="K15" s="1" t="str">
        <f aca="false">IF(L15="",0,VLOOKUP(L15,CHOOSE({1,2},Table2[Pay Item Description],Table2[Pay Item No.]),2,0))</f>
        <v>P-620-5.1a</v>
      </c>
      <c r="L15" s="1" t="str">
        <f aca="false">Pay_Items!D56</f>
        <v>Markings (prep, markings, reflective media)</v>
      </c>
      <c r="M15" s="105" t="str">
        <f aca="false">IF(L15="","N/A",VLOOKUP(L15,CHOOSE({1,2},Table2[Pay Item Description],Table2[Units]),2,0))</f>
        <v>S.F.</v>
      </c>
      <c r="N15" s="102" t="n">
        <f aca="false">'Maintenance Policies'!D11*$C$8</f>
        <v>15000</v>
      </c>
      <c r="O15" s="106" t="n">
        <f aca="false">IF(L15="","N/A",VLOOKUP(L15,CHOOSE({1,2},Table2[Pay Item Description],Table2[Unit Cost]),2,0))</f>
        <v>0.666666666666667</v>
      </c>
      <c r="P15" s="24" t="n">
        <f aca="false">O15*N15</f>
        <v>10000</v>
      </c>
      <c r="R15" s="0" t="n">
        <v>3</v>
      </c>
      <c r="S15" s="0" t="str">
        <f aca="false">IF(T15="",0,VLOOKUP(T15,CHOOSE({1,2},Table2[Pay Item Description],Table2[Pay Item No.]),2,0))</f>
        <v>P-620-5.1a</v>
      </c>
      <c r="T15" s="0" t="str">
        <f aca="false">Pay_Items!D56</f>
        <v>Markings (prep, markings, reflective media)</v>
      </c>
      <c r="U15" s="107" t="str">
        <f aca="false">Pay_Items!E56</f>
        <v>S.F.</v>
      </c>
      <c r="V15" s="104" t="n">
        <f aca="false">'Maintenance Policies'!D13*$C$8</f>
        <v>15000</v>
      </c>
      <c r="W15" s="108" t="n">
        <f aca="false">IF(T15="","N/A",VLOOKUP(T15,CHOOSE({1,2},Table2[Pay Item Description],Table2[Unit Cost]),2,0))</f>
        <v>0.666666666666667</v>
      </c>
      <c r="X15" s="27" t="n">
        <f aca="false">W15*V15</f>
        <v>10000</v>
      </c>
      <c r="Z15" s="1" t="n">
        <v>3</v>
      </c>
      <c r="AA15" s="100" t="str">
        <f aca="false">IF(AB15="",0,VLOOKUP(AB15,CHOOSE({1,2},Table2[Pay Item Description],Table2[Pay Item No.]),2,0))</f>
        <v>P-608-8.1</v>
      </c>
      <c r="AB15" s="1" t="str">
        <f aca="false">C7</f>
        <v>Emulsified Asphalt Surface Treatment</v>
      </c>
      <c r="AC15" s="101" t="str">
        <f aca="false">IF(AB15="","N/A",VLOOKUP(AB15,CHOOSE({1,2},Table2[Pay Item Description],Table2[Units]),2,0))</f>
        <v>S.Y.</v>
      </c>
      <c r="AD15" s="102" t="n">
        <f aca="false">'Maintenance Policies'!D16*$C$5</f>
        <v>66667</v>
      </c>
      <c r="AE15" s="103" t="n">
        <f aca="false">IF(AB15="","N/A",VLOOKUP(AB15,CHOOSE({1,2},Table2[Pay Item Description],Table2[Unit Cost]),2,0))</f>
        <v>4</v>
      </c>
      <c r="AF15" s="24" t="n">
        <f aca="false">AE15*AD15</f>
        <v>266668</v>
      </c>
      <c r="AH15" s="0" t="n">
        <v>3</v>
      </c>
      <c r="AI15" s="16" t="str">
        <f aca="false">IF(AJ15="",0,VLOOKUP(AJ15,CHOOSE({1,2},Table2[Pay Item Description],Table2[Pay Item No.]),2,0))</f>
        <v>P-608-8.1</v>
      </c>
      <c r="AJ15" s="0" t="str">
        <f aca="false">C7</f>
        <v>Emulsified Asphalt Surface Treatment</v>
      </c>
      <c r="AK15" s="18" t="str">
        <f aca="false">IF(AJ15="","N/A",VLOOKUP(AJ15,CHOOSE({1,2},Table2[Pay Item Description],Table2[Units]),2,0))</f>
        <v>S.Y.</v>
      </c>
      <c r="AL15" s="104" t="n">
        <f aca="false">'Maintenance Policies'!D20*$C$5</f>
        <v>66667</v>
      </c>
      <c r="AM15" s="59" t="n">
        <f aca="false">IF(AJ15="","N/A",VLOOKUP(AJ15,CHOOSE({1,2},Table2[Pay Item Description],Table2[Unit Cost]),2,0))</f>
        <v>4</v>
      </c>
      <c r="AN15" s="27" t="n">
        <f aca="false">AM15*AL15</f>
        <v>266668</v>
      </c>
      <c r="AP15" s="1" t="n">
        <v>3</v>
      </c>
      <c r="AQ15" s="1" t="str">
        <f aca="false">IF(AR15="",0,VLOOKUP(AR15,CHOOSE({1,2},Table2[Pay Item Description],Table2[Pay Item No.]),2,0))</f>
        <v>P-401-8.1a</v>
      </c>
      <c r="AR15" s="1" t="str">
        <f aca="false">Pay_Items!D37</f>
        <v>Asphalt Surface Course</v>
      </c>
      <c r="AS15" s="105" t="str">
        <f aca="false">IF(AR15="","N/A",VLOOKUP(AR15,CHOOSE({1,2},Table2[Pay Item Description],Table2[Units]),2,0))</f>
        <v>TON</v>
      </c>
      <c r="AT15" s="102" t="n">
        <f aca="false">'Maintenance Policies'!D22*$C$5*AQ6*AQ7/2000</f>
        <v>8000.04</v>
      </c>
      <c r="AU15" s="106" t="n">
        <f aca="false">IF(AR15="","N/A",VLOOKUP(AR15,CHOOSE({1,2},Table2[Pay Item Description],Table2[Unit Cost]),2,0))</f>
        <v>130</v>
      </c>
      <c r="AV15" s="24" t="n">
        <f aca="false">AU15*AT15</f>
        <v>1040005.2</v>
      </c>
      <c r="AX15" s="0" t="n">
        <v>3</v>
      </c>
      <c r="AY15" s="0" t="str">
        <f aca="false">IF(AZ15="",0,VLOOKUP(AZ15,CHOOSE({1,2},Table2[Pay Item Description],Table2[Pay Item No.]),2,0))</f>
        <v>P-620-5.1a</v>
      </c>
      <c r="AZ15" s="0" t="str">
        <f aca="false">Pay_Items!D56</f>
        <v>Markings (prep, markings, reflective media)</v>
      </c>
      <c r="BA15" s="107" t="str">
        <f aca="false">IF(AZ15="","N/A",VLOOKUP(AZ15,CHOOSE({1,2},Table2[Pay Item Description],Table2[Units]),2,0))</f>
        <v>S.F.</v>
      </c>
      <c r="BB15" s="104" t="n">
        <f aca="false">'Maintenance Policies'!D27*$C$8</f>
        <v>15000</v>
      </c>
      <c r="BC15" s="108" t="n">
        <f aca="false">IF(AZ15="","N/A",VLOOKUP(AZ15,CHOOSE({1,2},Table2[Pay Item Description],Table2[Unit Cost]),2,0))</f>
        <v>0.666666666666667</v>
      </c>
      <c r="BD15" s="27" t="n">
        <f aca="false">BC15*BB15</f>
        <v>10000</v>
      </c>
      <c r="BF15" s="1" t="n">
        <v>3</v>
      </c>
      <c r="BG15" s="100" t="str">
        <f aca="false">IF(BH15="",0,VLOOKUP(BH15,CHOOSE({1,2},Table2[Pay Item Description],Table2[Pay Item No.]),2,0))</f>
        <v>P-608-8.1</v>
      </c>
      <c r="BH15" s="1" t="str">
        <f aca="false">C7</f>
        <v>Emulsified Asphalt Surface Treatment</v>
      </c>
      <c r="BI15" s="101" t="str">
        <f aca="false">IF(BH15="","N/A",VLOOKUP(BH15,CHOOSE({1,2},Table2[Pay Item Description],Table2[Units]),2,0))</f>
        <v>S.Y.</v>
      </c>
      <c r="BJ15" s="102" t="n">
        <f aca="false">'Maintenance Policies'!D30*$C$5</f>
        <v>66667</v>
      </c>
      <c r="BK15" s="103" t="n">
        <f aca="false">IF(BH15="","N/A",VLOOKUP(BH15,CHOOSE({1,2},Table2[Pay Item Description],Table2[Unit Cost]),2,0))</f>
        <v>4</v>
      </c>
      <c r="BL15" s="24" t="n">
        <f aca="false">BK15*BJ15</f>
        <v>266668</v>
      </c>
    </row>
    <row r="16" customFormat="false" ht="19.5" hidden="false" customHeight="true" outlineLevel="0" collapsed="false">
      <c r="A16" s="0" t="n">
        <v>4</v>
      </c>
      <c r="B16" s="16" t="n">
        <f aca="false">IF(C16="",0,VLOOKUP(C16,CHOOSE({1,2},Table2[Pay Item Description],Table2[Pay Item No.]),2,0))</f>
        <v>0</v>
      </c>
      <c r="C16" s="17"/>
      <c r="D16" s="18" t="str">
        <f aca="false">IF(C16="","N/A",VLOOKUP(C16,CHOOSE({1,2},Table2[Pay Item Description],Table2[Units]),2,0))</f>
        <v>N/A</v>
      </c>
      <c r="E16" s="99"/>
      <c r="F16" s="20" t="str">
        <f aca="false">IF(C16="","N/A",VLOOKUP(C16,CHOOSE({1,2},Table2[Pay Item Description],Table2[Unit Cost]),2,0))</f>
        <v>N/A</v>
      </c>
      <c r="G16" s="21" t="n">
        <f aca="false">IF(B16&lt;&gt;0,F16*E16,0)</f>
        <v>0</v>
      </c>
      <c r="O16" s="1" t="s">
        <v>23</v>
      </c>
      <c r="P16" s="24" t="n">
        <f aca="false">SUM(P13:P15)</f>
        <v>288334.666666667</v>
      </c>
      <c r="W16" s="15" t="s">
        <v>23</v>
      </c>
      <c r="X16" s="27" t="n">
        <f aca="false">SUM(X13:X15)</f>
        <v>288334.666666667</v>
      </c>
      <c r="Z16" s="1" t="n">
        <v>4</v>
      </c>
      <c r="AA16" s="1" t="str">
        <f aca="false">IF(AB16="",0,VLOOKUP(AB16,CHOOSE({1,2},Table2[Pay Item Description],Table2[Pay Item No.]),2,0))</f>
        <v>P-101-5.3</v>
      </c>
      <c r="AB16" s="1" t="str">
        <f aca="false">Pay_Items!D10</f>
        <v>Markings Removal</v>
      </c>
      <c r="AC16" s="105" t="str">
        <f aca="false">IF(AB16="","N/A",VLOOKUP(AB16,CHOOSE({1,2},Table2[Pay Item Description],Table2[Units]),2,0))</f>
        <v>S.F.</v>
      </c>
      <c r="AD16" s="102" t="n">
        <f aca="false">'Maintenance Policies'!D16*$C$8</f>
        <v>15000</v>
      </c>
      <c r="AE16" s="106" t="n">
        <f aca="false">IF(AB16="","N/A",VLOOKUP(AB16,CHOOSE({1,2},Table2[Pay Item Description],Table2[Unit Cost]),2,0))</f>
        <v>0.777777777777778</v>
      </c>
      <c r="AF16" s="24" t="n">
        <f aca="false">AE16*AD16</f>
        <v>11666.6666666667</v>
      </c>
      <c r="AH16" s="0" t="n">
        <v>4</v>
      </c>
      <c r="AI16" s="0" t="str">
        <f aca="false">IF(AJ16="",0,VLOOKUP(AJ16,CHOOSE({1,2},Table2[Pay Item Description],Table2[Pay Item No.]),2,0))</f>
        <v>P-101-5.3</v>
      </c>
      <c r="AJ16" s="0" t="str">
        <f aca="false">Pay_Items!D10</f>
        <v>Markings Removal</v>
      </c>
      <c r="AK16" s="107" t="str">
        <f aca="false">IF(AJ16="","N/A",VLOOKUP(AJ16,CHOOSE({1,2},Table2[Pay Item Description],Table2[Units]),2,0))</f>
        <v>S.F.</v>
      </c>
      <c r="AL16" s="104" t="n">
        <f aca="false">'Maintenance Policies'!D20*$C$8</f>
        <v>15000</v>
      </c>
      <c r="AM16" s="108" t="n">
        <f aca="false">IF(AJ16="","N/A",VLOOKUP(AJ16,CHOOSE({1,2},Table2[Pay Item Description],Table2[Unit Cost]),2,0))</f>
        <v>0.777777777777778</v>
      </c>
      <c r="AN16" s="27" t="n">
        <f aca="false">AM16*AL16</f>
        <v>11666.6666666667</v>
      </c>
      <c r="AP16" s="1" t="n">
        <v>4</v>
      </c>
      <c r="AQ16" s="1" t="str">
        <f aca="false">IF(AR16="",0,VLOOKUP(AR16,CHOOSE({1,2},Table2[Pay Item Description],Table2[Pay Item No.]),2,0))</f>
        <v>P-101-5.2a</v>
      </c>
      <c r="AR16" s="1" t="str">
        <f aca="false">Pay_Items!D6</f>
        <v>Crack Repair (Type I), Asphalt</v>
      </c>
      <c r="AS16" s="105" t="str">
        <f aca="false">IF(AR16="","N/A",VLOOKUP(AR16,CHOOSE({1,2},Table2[Pay Item Description],Table2[Units]),2,0))</f>
        <v>L.F.</v>
      </c>
      <c r="AT16" s="102" t="n">
        <f aca="false">'Maintenance Policies'!D23*($C$5*9)</f>
        <v>9000.045</v>
      </c>
      <c r="AU16" s="106" t="n">
        <f aca="false">IF(AR16="","N/A",VLOOKUP(AR16,CHOOSE({1,2},Table2[Pay Item Description],Table2[Unit Cost]),2,0))</f>
        <v>4</v>
      </c>
      <c r="AV16" s="24" t="n">
        <f aca="false">AU16*AT16</f>
        <v>36000.18</v>
      </c>
      <c r="BC16" s="15" t="s">
        <v>23</v>
      </c>
      <c r="BD16" s="27" t="n">
        <f aca="false">SUM(BD13:BD15)</f>
        <v>288334.666666667</v>
      </c>
      <c r="BF16" s="1" t="n">
        <v>4</v>
      </c>
      <c r="BG16" s="1" t="str">
        <f aca="false">IF(BH16="",0,VLOOKUP(BH16,CHOOSE({1,2},Table2[Pay Item Description],Table2[Pay Item No.]),2,0))</f>
        <v>P-101-5.3</v>
      </c>
      <c r="BH16" s="1" t="str">
        <f aca="false">Pay_Items!D10</f>
        <v>Markings Removal</v>
      </c>
      <c r="BI16" s="105" t="str">
        <f aca="false">IF(BH16="","N/A",VLOOKUP(BH16,CHOOSE({1,2},Table2[Pay Item Description],Table2[Units]),2,0))</f>
        <v>S.F.</v>
      </c>
      <c r="BJ16" s="102" t="n">
        <f aca="false">C8</f>
        <v>15000</v>
      </c>
      <c r="BK16" s="106" t="n">
        <f aca="false">IF(BH16="","N/A",VLOOKUP(BH16,CHOOSE({1,2},Table2[Pay Item Description],Table2[Unit Cost]),2,0))</f>
        <v>0.777777777777778</v>
      </c>
      <c r="BL16" s="24" t="n">
        <f aca="false">BK16*BJ16</f>
        <v>11666.6666666667</v>
      </c>
    </row>
    <row r="17" customFormat="false" ht="19.5" hidden="false" customHeight="true" outlineLevel="0" collapsed="false">
      <c r="A17" s="0" t="n">
        <v>5</v>
      </c>
      <c r="B17" s="16" t="n">
        <f aca="false">IF(C17="",0,VLOOKUP(C17,CHOOSE({1,2},Table2[Pay Item Description],Table2[Pay Item No.]),2,0))</f>
        <v>0</v>
      </c>
      <c r="C17" s="17"/>
      <c r="D17" s="18" t="str">
        <f aca="false">IF(C17="","N/A",VLOOKUP(C17,CHOOSE({1,2},Table2[Pay Item Description],Table2[Units]),2,0))</f>
        <v>N/A</v>
      </c>
      <c r="E17" s="99"/>
      <c r="F17" s="20" t="str">
        <f aca="false">IF(C17="","N/A",VLOOKUP(C17,CHOOSE({1,2},Table2[Pay Item Description],Table2[Unit Cost]),2,0))</f>
        <v>N/A</v>
      </c>
      <c r="G17" s="21" t="n">
        <f aca="false">IF(B17&lt;&gt;0,F17*E17,0)</f>
        <v>0</v>
      </c>
      <c r="L17" s="1" t="s">
        <v>24</v>
      </c>
      <c r="P17" s="24" t="n">
        <f aca="false">('General Information'!$D$36/100)*P16</f>
        <v>28833.4666666667</v>
      </c>
      <c r="T17" s="15" t="s">
        <v>24</v>
      </c>
      <c r="X17" s="27" t="n">
        <f aca="false">('General Information'!$D$36/100)*X16</f>
        <v>28833.4666666667</v>
      </c>
      <c r="Z17" s="1" t="n">
        <v>5</v>
      </c>
      <c r="AA17" s="1" t="str">
        <f aca="false">IF(AB17="",0,VLOOKUP(AB17,CHOOSE({1,2},Table2[Pay Item Description],Table2[Pay Item No.]),2,0))</f>
        <v>P-620-5.1a</v>
      </c>
      <c r="AB17" s="1" t="str">
        <f aca="false">Pay_Items!D56</f>
        <v>Markings (prep, markings, reflective media)</v>
      </c>
      <c r="AC17" s="105" t="str">
        <f aca="false">IF(AB17="","N/A",VLOOKUP(AB17,CHOOSE({1,2},Table2[Pay Item Description],Table2[Units]),2,0))</f>
        <v>S.F.</v>
      </c>
      <c r="AD17" s="102" t="n">
        <f aca="false">'Maintenance Policies'!D17*$C$8</f>
        <v>15000</v>
      </c>
      <c r="AE17" s="106" t="n">
        <f aca="false">IF(AB17="","N/A",VLOOKUP(AB17,CHOOSE({1,2},Table2[Pay Item Description],Table2[Unit Cost]),2,0))</f>
        <v>0.666666666666667</v>
      </c>
      <c r="AF17" s="24" t="n">
        <f aca="false">AE17*AD17</f>
        <v>10000</v>
      </c>
      <c r="AH17" s="0" t="n">
        <v>5</v>
      </c>
      <c r="AI17" s="0" t="str">
        <f aca="false">IF(AJ17="",0,VLOOKUP(AJ17,CHOOSE({1,2},Table2[Pay Item Description],Table2[Pay Item No.]),2,0))</f>
        <v>P-620-5.1a</v>
      </c>
      <c r="AJ17" s="0" t="str">
        <f aca="false">Pay_Items!D56</f>
        <v>Markings (prep, markings, reflective media)</v>
      </c>
      <c r="AK17" s="107" t="str">
        <f aca="false">IF(AJ17="","N/A",VLOOKUP(AJ17,CHOOSE({1,2},Table2[Pay Item Description],Table2[Units]),2,0))</f>
        <v>S.F.</v>
      </c>
      <c r="AL17" s="104" t="n">
        <f aca="false">'Maintenance Policies'!D21*$C$8</f>
        <v>15000</v>
      </c>
      <c r="AM17" s="108" t="n">
        <f aca="false">IF(AJ17="","N/A",VLOOKUP(AJ17,CHOOSE({1,2},Table2[Pay Item Description],Table2[Unit Cost]),2,0))</f>
        <v>0.666666666666667</v>
      </c>
      <c r="AN17" s="27" t="n">
        <f aca="false">AM17*AL17</f>
        <v>10000</v>
      </c>
      <c r="AP17" s="1" t="n">
        <v>5</v>
      </c>
      <c r="AQ17" s="1" t="str">
        <f aca="false">IF(AR17="",0,VLOOKUP(AR17,CHOOSE({1,2},Table2[Pay Item Description],Table2[Pay Item No.]),2,0))</f>
        <v>P-101-5.4a</v>
      </c>
      <c r="AR17" s="1" t="str">
        <f aca="false">Pay_Items!D11</f>
        <v>Spall Repair, Asphalt</v>
      </c>
      <c r="AS17" s="105" t="str">
        <f aca="false">IF(AR17="","N/A",VLOOKUP(AR17,CHOOSE({1,2},Table2[Pay Item Description],Table2[Units]),2,0))</f>
        <v>S.F.</v>
      </c>
      <c r="AT17" s="102" t="n">
        <f aca="false">'Maintenance Policies'!D24*($C$5*9)</f>
        <v>3000.015</v>
      </c>
      <c r="AU17" s="106" t="n">
        <f aca="false">IF(AR17="","N/A",VLOOKUP(AR17,CHOOSE({1,2},Table2[Pay Item Description],Table2[Unit Cost]),2,0))</f>
        <v>8.5</v>
      </c>
      <c r="AV17" s="24" t="n">
        <f aca="false">AU17*AT17</f>
        <v>25500.1275</v>
      </c>
      <c r="AZ17" s="15" t="s">
        <v>24</v>
      </c>
      <c r="BD17" s="27" t="n">
        <f aca="false">('General Information'!$D$36/100)*BD16</f>
        <v>28833.4666666667</v>
      </c>
      <c r="BF17" s="1" t="n">
        <v>5</v>
      </c>
      <c r="BG17" s="1" t="str">
        <f aca="false">IF(BH17="",0,VLOOKUP(BH17,CHOOSE({1,2},Table2[Pay Item Description],Table2[Pay Item No.]),2,0))</f>
        <v>P-620-5.1a</v>
      </c>
      <c r="BH17" s="1" t="str">
        <f aca="false">Pay_Items!D56</f>
        <v>Markings (prep, markings, reflective media)</v>
      </c>
      <c r="BI17" s="105" t="str">
        <f aca="false">IF(BH17="","N/A",VLOOKUP(BH17,CHOOSE({1,2},Table2[Pay Item Description],Table2[Units]),2,0))</f>
        <v>S.F.</v>
      </c>
      <c r="BJ17" s="102" t="n">
        <f aca="false">'Maintenance Policies'!D31*$C$8</f>
        <v>15000</v>
      </c>
      <c r="BK17" s="106" t="n">
        <f aca="false">IF(BH17="","N/A",VLOOKUP(BH17,CHOOSE({1,2},Table2[Pay Item Description],Table2[Unit Cost]),2,0))</f>
        <v>0.666666666666667</v>
      </c>
      <c r="BL17" s="24" t="n">
        <f aca="false">BK17*BJ17</f>
        <v>10000</v>
      </c>
    </row>
    <row r="18" customFormat="false" ht="19.5" hidden="false" customHeight="true" outlineLevel="0" collapsed="false">
      <c r="A18" s="0" t="n">
        <v>6</v>
      </c>
      <c r="B18" s="16" t="n">
        <f aca="false">IF(C18="",0,VLOOKUP(C18,CHOOSE({1,2},Table2[Pay Item Description],Table2[Pay Item No.]),2,0))</f>
        <v>0</v>
      </c>
      <c r="C18" s="17"/>
      <c r="D18" s="18" t="str">
        <f aca="false">IF(C18="","N/A",VLOOKUP(C18,CHOOSE({1,2},Table2[Pay Item Description],Table2[Units]),2,0))</f>
        <v>N/A</v>
      </c>
      <c r="E18" s="99"/>
      <c r="F18" s="20" t="str">
        <f aca="false">IF(C18="","N/A",VLOOKUP(C18,CHOOSE({1,2},Table2[Pay Item Description],Table2[Unit Cost]),2,0))</f>
        <v>N/A</v>
      </c>
      <c r="G18" s="21" t="n">
        <f aca="false">IF(B18&lt;&gt;0,F18*E18,0)</f>
        <v>0</v>
      </c>
      <c r="L18" s="1" t="s">
        <v>25</v>
      </c>
      <c r="P18" s="24" t="n">
        <f aca="false">('General Information'!$D$37/100)*P16</f>
        <v>14416.7333333333</v>
      </c>
      <c r="T18" s="15" t="s">
        <v>25</v>
      </c>
      <c r="X18" s="27" t="n">
        <f aca="false">('General Information'!$D$37/100)*X16</f>
        <v>14416.7333333333</v>
      </c>
      <c r="AE18" s="1" t="s">
        <v>23</v>
      </c>
      <c r="AF18" s="24" t="n">
        <f aca="false">SUM(AF13:AF17)</f>
        <v>404585.247916667</v>
      </c>
      <c r="AM18" s="15" t="s">
        <v>23</v>
      </c>
      <c r="AN18" s="27" t="n">
        <f aca="false">SUM(AN13:AN17)</f>
        <v>423335.341666667</v>
      </c>
      <c r="AP18" s="1" t="n">
        <v>6</v>
      </c>
      <c r="AQ18" s="1" t="str">
        <f aca="false">IF(AR18="",0,VLOOKUP(AR18,CHOOSE({1,2},Table2[Pay Item Description],Table2[Pay Item No.]),2,0))</f>
        <v>P-620-5.1a</v>
      </c>
      <c r="AR18" s="1" t="str">
        <f aca="false">Pay_Items!D56</f>
        <v>Markings (prep, markings, reflective media)</v>
      </c>
      <c r="AS18" s="105" t="str">
        <f aca="false">IF(AR18="","N/A",VLOOKUP(AR18,CHOOSE({1,2},Table2[Pay Item Description],Table2[Units]),2,0))</f>
        <v>S.F.</v>
      </c>
      <c r="AT18" s="102" t="n">
        <f aca="false">'Maintenance Policies'!D25*$C$8</f>
        <v>15000</v>
      </c>
      <c r="AU18" s="106" t="n">
        <f aca="false">IF(AR18="","N/A",VLOOKUP(AR18,CHOOSE({1,2},Table2[Pay Item Description],Table2[Unit Cost]),2,0))</f>
        <v>0.666666666666667</v>
      </c>
      <c r="AV18" s="24" t="n">
        <f aca="false">AU18*AT18</f>
        <v>10000</v>
      </c>
      <c r="AZ18" s="15" t="s">
        <v>25</v>
      </c>
      <c r="BD18" s="27" t="n">
        <f aca="false">('General Information'!$D$37/100)*BD16</f>
        <v>14416.7333333333</v>
      </c>
      <c r="BK18" s="1" t="s">
        <v>23</v>
      </c>
      <c r="BL18" s="24" t="n">
        <f aca="false">SUM(BL13:BL17)</f>
        <v>448085.465416667</v>
      </c>
    </row>
    <row r="19" customFormat="false" ht="19.5" hidden="false" customHeight="true" outlineLevel="0" collapsed="false">
      <c r="A19" s="0" t="n">
        <v>7</v>
      </c>
      <c r="B19" s="16" t="n">
        <f aca="false">IF(C19="",0,VLOOKUP(C19,CHOOSE({1,2},Table2[Pay Item Description],Table2[Pay Item No.]),2,0))</f>
        <v>0</v>
      </c>
      <c r="C19" s="17"/>
      <c r="D19" s="18" t="str">
        <f aca="false">IF(C19="","N/A",VLOOKUP(C19,CHOOSE({1,2},Table2[Pay Item Description],Table2[Units]),2,0))</f>
        <v>N/A</v>
      </c>
      <c r="E19" s="99"/>
      <c r="F19" s="20" t="str">
        <f aca="false">IF(C19="","N/A",VLOOKUP(C19,CHOOSE({1,2},Table2[Pay Item Description],Table2[Unit Cost]),2,0))</f>
        <v>N/A</v>
      </c>
      <c r="G19" s="21" t="n">
        <f aca="false">IF(B19&lt;&gt;0,F19*E19,0)</f>
        <v>0</v>
      </c>
      <c r="O19" s="1" t="s">
        <v>26</v>
      </c>
      <c r="P19" s="24" t="n">
        <f aca="false">SUM(P16:P18)</f>
        <v>331584.866666667</v>
      </c>
      <c r="W19" s="15" t="s">
        <v>26</v>
      </c>
      <c r="X19" s="27" t="n">
        <f aca="false">SUM(X16:X18)</f>
        <v>331584.866666667</v>
      </c>
      <c r="AB19" s="1" t="s">
        <v>24</v>
      </c>
      <c r="AF19" s="24" t="n">
        <f aca="false">('General Information'!$D$36/100)*AF18</f>
        <v>40458.5247916667</v>
      </c>
      <c r="AJ19" s="15" t="s">
        <v>24</v>
      </c>
      <c r="AN19" s="27" t="n">
        <f aca="false">('General Information'!$D$36/100)*AN18</f>
        <v>42333.5341666667</v>
      </c>
      <c r="AU19" s="1" t="s">
        <v>23</v>
      </c>
      <c r="AV19" s="24" t="n">
        <f aca="false">SUM(AV13:AV18)</f>
        <v>1474840.6575</v>
      </c>
      <c r="BC19" s="15" t="s">
        <v>26</v>
      </c>
      <c r="BD19" s="27" t="n">
        <f aca="false">SUM(BD16:BD18)</f>
        <v>331584.866666667</v>
      </c>
      <c r="BH19" s="1" t="s">
        <v>24</v>
      </c>
      <c r="BL19" s="24" t="n">
        <f aca="false">('General Information'!$D$36/100)*BL18</f>
        <v>44808.5465416667</v>
      </c>
    </row>
    <row r="20" customFormat="false" ht="19.5" hidden="false" customHeight="true" outlineLevel="0" collapsed="false">
      <c r="A20" s="0" t="n">
        <v>8</v>
      </c>
      <c r="B20" s="16" t="n">
        <f aca="false">IF(C20="",0,VLOOKUP(C20,CHOOSE({1,2},Table2[Pay Item Description],Table2[Pay Item No.]),2,0))</f>
        <v>0</v>
      </c>
      <c r="C20" s="17"/>
      <c r="D20" s="18" t="str">
        <f aca="false">IF(C20="","N/A",VLOOKUP(C20,CHOOSE({1,2},Table2[Pay Item Description],Table2[Units]),2,0))</f>
        <v>N/A</v>
      </c>
      <c r="E20" s="99"/>
      <c r="F20" s="20" t="str">
        <f aca="false">IF(C20="","N/A",VLOOKUP(C20,CHOOSE({1,2},Table2[Pay Item Description],Table2[Unit Cost]),2,0))</f>
        <v>N/A</v>
      </c>
      <c r="G20" s="21" t="n">
        <f aca="false">IF(B20&lt;&gt;0,F20*E20,0)</f>
        <v>0</v>
      </c>
      <c r="P20" s="24"/>
      <c r="X20" s="27"/>
      <c r="AB20" s="1" t="s">
        <v>25</v>
      </c>
      <c r="AF20" s="24" t="n">
        <f aca="false">('General Information'!$D$37/100)*AF18</f>
        <v>20229.2623958333</v>
      </c>
      <c r="AJ20" s="15" t="s">
        <v>25</v>
      </c>
      <c r="AN20" s="27" t="n">
        <f aca="false">('General Information'!$D$37/100)*AN18</f>
        <v>21166.7670833333</v>
      </c>
      <c r="AR20" s="1" t="s">
        <v>24</v>
      </c>
      <c r="AV20" s="24" t="n">
        <f aca="false">('General Information'!$D$36/100)*AV19</f>
        <v>147484.06575</v>
      </c>
      <c r="BH20" s="1" t="s">
        <v>25</v>
      </c>
      <c r="BL20" s="24" t="n">
        <f aca="false">('General Information'!$D$37/100)*BL18</f>
        <v>22404.2732708333</v>
      </c>
    </row>
    <row r="21" customFormat="false" ht="19.5" hidden="false" customHeight="true" outlineLevel="0" collapsed="false">
      <c r="A21" s="0" t="n">
        <v>9</v>
      </c>
      <c r="B21" s="16" t="n">
        <f aca="false">IF(C21="",0,VLOOKUP(C21,CHOOSE({1,2},Table2[Pay Item Description],Table2[Pay Item No.]),2,0))</f>
        <v>0</v>
      </c>
      <c r="C21" s="17"/>
      <c r="D21" s="18" t="str">
        <f aca="false">IF(C21="","N/A",VLOOKUP(C21,CHOOSE({1,2},Table2[Pay Item Description],Table2[Units]),2,0))</f>
        <v>N/A</v>
      </c>
      <c r="E21" s="99"/>
      <c r="F21" s="20" t="str">
        <f aca="false">IF(C21="","N/A",VLOOKUP(C21,CHOOSE({1,2},Table2[Pay Item Description],Table2[Unit Cost]),2,0))</f>
        <v>N/A</v>
      </c>
      <c r="G21" s="21" t="n">
        <f aca="false">IF(B21&lt;&gt;0,F21*E21,0)</f>
        <v>0</v>
      </c>
      <c r="P21" s="24"/>
      <c r="X21" s="27"/>
      <c r="AE21" s="1" t="s">
        <v>26</v>
      </c>
      <c r="AF21" s="24" t="n">
        <f aca="false">SUM(AF18:AF20)</f>
        <v>465273.035104167</v>
      </c>
      <c r="AM21" s="15" t="s">
        <v>26</v>
      </c>
      <c r="AN21" s="27" t="n">
        <f aca="false">SUM(AN18:AN20)</f>
        <v>486835.642916667</v>
      </c>
      <c r="AR21" s="1" t="s">
        <v>25</v>
      </c>
      <c r="AV21" s="24" t="n">
        <f aca="false">('General Information'!$D$37/100)*AV19</f>
        <v>73742.032875</v>
      </c>
      <c r="BK21" s="1" t="s">
        <v>26</v>
      </c>
      <c r="BL21" s="24" t="n">
        <f aca="false">SUM(BL18:BL20)</f>
        <v>515298.285229167</v>
      </c>
    </row>
    <row r="22" customFormat="false" ht="19.5" hidden="false" customHeight="true" outlineLevel="0" collapsed="false">
      <c r="A22" s="0" t="n">
        <v>10</v>
      </c>
      <c r="B22" s="16" t="n">
        <f aca="false">IF(C22="",0,VLOOKUP(C22,CHOOSE({1,2},Table2[Pay Item Description],Table2[Pay Item No.]),2,0))</f>
        <v>0</v>
      </c>
      <c r="C22" s="17"/>
      <c r="D22" s="18" t="str">
        <f aca="false">IF(C22="","N/A",VLOOKUP(C22,CHOOSE({1,2},Table2[Pay Item Description],Table2[Units]),2,0))</f>
        <v>N/A</v>
      </c>
      <c r="E22" s="99"/>
      <c r="F22" s="20" t="str">
        <f aca="false">IF(C22="","N/A",VLOOKUP(C22,CHOOSE({1,2},Table2[Pay Item Description],Table2[Unit Cost]),2,0))</f>
        <v>N/A</v>
      </c>
      <c r="G22" s="21" t="n">
        <f aca="false">IF(B22&lt;&gt;0,F22*E22,0)</f>
        <v>0</v>
      </c>
      <c r="AU22" s="1" t="s">
        <v>26</v>
      </c>
      <c r="AV22" s="24" t="n">
        <f aca="false">SUM(AV19:AV21)</f>
        <v>1696066.756125</v>
      </c>
    </row>
    <row r="23" customFormat="false" ht="15" hidden="false" customHeight="false" outlineLevel="0" collapsed="false">
      <c r="G23" s="27"/>
    </row>
    <row r="24" customFormat="false" ht="15" hidden="false" customHeight="false" outlineLevel="0" collapsed="false">
      <c r="A24" s="0" t="s">
        <v>23</v>
      </c>
      <c r="G24" s="27" t="n">
        <f aca="false">SUM(G13:G22)</f>
        <v>0</v>
      </c>
    </row>
    <row r="25" customFormat="false" ht="15" hidden="false" customHeight="false" outlineLevel="0" collapsed="false">
      <c r="B25" s="0" t="s">
        <v>24</v>
      </c>
      <c r="G25" s="27" t="n">
        <f aca="false">('General Information'!$D$36/100)*G24</f>
        <v>0</v>
      </c>
    </row>
    <row r="26" customFormat="false" ht="15" hidden="false" customHeight="false" outlineLevel="0" collapsed="false">
      <c r="B26" s="0" t="s">
        <v>25</v>
      </c>
      <c r="G26" s="27" t="n">
        <f aca="false">('General Information'!$D$37/100)*G24</f>
        <v>0</v>
      </c>
    </row>
    <row r="27" customFormat="false" ht="15" hidden="false" customHeight="false" outlineLevel="0" collapsed="false">
      <c r="A27" s="3" t="s">
        <v>26</v>
      </c>
      <c r="G27" s="109" t="n">
        <f aca="false">SUM(G24:G26)</f>
        <v>0</v>
      </c>
    </row>
    <row r="32" customFormat="false" ht="15" hidden="false" customHeight="false" outlineLevel="0" collapsed="false">
      <c r="A32" s="3" t="s">
        <v>27</v>
      </c>
    </row>
    <row r="33" customFormat="false" ht="15" hidden="false" customHeight="false" outlineLevel="0" collapsed="false">
      <c r="A33" s="3" t="s">
        <v>615</v>
      </c>
      <c r="I33" s="15" t="s">
        <v>0</v>
      </c>
    </row>
    <row r="35" customFormat="false" ht="15" hidden="false" customHeight="false" outlineLevel="0" collapsed="false">
      <c r="B35" s="30" t="s">
        <v>29</v>
      </c>
      <c r="C35" s="31" t="s">
        <v>30</v>
      </c>
      <c r="D35" s="31" t="s">
        <v>31</v>
      </c>
      <c r="E35" s="32" t="s">
        <v>32</v>
      </c>
    </row>
    <row r="36" customFormat="false" ht="15" hidden="false" customHeight="false" outlineLevel="0" collapsed="false">
      <c r="B36" s="33" t="s">
        <v>33</v>
      </c>
      <c r="C36" s="34" t="n">
        <f aca="false">C6</f>
        <v>2028</v>
      </c>
      <c r="D36" s="35" t="n">
        <f aca="false">G27</f>
        <v>0</v>
      </c>
      <c r="E36" s="36" t="n">
        <f aca="false">D36</f>
        <v>0</v>
      </c>
      <c r="K36" s="1" t="s">
        <v>34</v>
      </c>
      <c r="L36" s="110" t="s">
        <v>35</v>
      </c>
      <c r="M36" s="110" t="s">
        <v>36</v>
      </c>
      <c r="N36" s="110" t="s">
        <v>37</v>
      </c>
    </row>
    <row r="37" customFormat="false" ht="15" hidden="false" customHeight="false" outlineLevel="0" collapsed="false">
      <c r="B37" s="37" t="s">
        <v>3</v>
      </c>
      <c r="C37" s="38" t="n">
        <f aca="false">'Maintenance Policies'!E10</f>
        <v>4</v>
      </c>
      <c r="D37" s="39" t="n">
        <f aca="false">P19</f>
        <v>331584.866666667</v>
      </c>
      <c r="E37" s="40" t="n">
        <f aca="false">IF(C37&gt;'General Information'!$D$33,0,D37/(1+('General Information'!$D$34/100))^C37)</f>
        <v>294608.859318184</v>
      </c>
      <c r="K37" s="1" t="n">
        <f aca="false">C6</f>
        <v>2028</v>
      </c>
      <c r="L37" s="111" t="n">
        <f aca="false">IF(K37-$C$6&gt;'General Information'!$D$33,0,IF(K37=$C$6,$D$36,0)+SUMIFS($D$37:$D$51,$C$37:$C$51,K37-$C$6,$B$37:$B$51,"&lt;&gt;*Indirect*"))</f>
        <v>0</v>
      </c>
      <c r="M37" s="111" t="n">
        <f aca="false">IF(K37-$C$6&gt;'General Information'!$D$33,0,SUMIFS($D$37:$D$51,$C$37:$C$51,K37-$C$6,$B$37:$B$51,"*Indirect*"))</f>
        <v>0</v>
      </c>
      <c r="N37" s="111" t="n">
        <f aca="false">IF(K37-$C$6&gt;'General Information'!$D$33,0,IF(K37=$C$6,$E$36,0)+SUMIF($C$37:$C$51,K37-$C$6,$E$37:$E$51))</f>
        <v>0</v>
      </c>
    </row>
    <row r="38" customFormat="false" ht="18.75" hidden="false" customHeight="true" outlineLevel="0" collapsed="false">
      <c r="B38" s="37" t="s">
        <v>38</v>
      </c>
      <c r="C38" s="38" t="n">
        <f aca="false">'Maintenance Policies'!E10</f>
        <v>4</v>
      </c>
      <c r="D38" s="39" t="n">
        <f aca="false">F2*F4</f>
        <v>22675.73</v>
      </c>
      <c r="E38" s="40" t="n">
        <f aca="false">IF(C38&gt;'General Information'!$D$33,0,D38/(1+('General Information'!$D$34/100))^C38)</f>
        <v>20147.0924070332</v>
      </c>
      <c r="K38" s="1" t="n">
        <f aca="false">K37+1</f>
        <v>2029</v>
      </c>
      <c r="L38" s="111" t="n">
        <f aca="false">IF(K38-$C$6&gt;'General Information'!$D$33,0,IF(K38=$C$6,$D$36,0)+SUMIFS($D$37:$D$51,$C$37:$C$51,K38-$C$6,$B$37:$B$51,"&lt;&gt;*Indirect*"))</f>
        <v>0</v>
      </c>
      <c r="M38" s="111" t="n">
        <f aca="false">IF(K38-$C$6&gt;'General Information'!$D$33,0,SUMIFS($D$37:$D$51,$C$37:$C$51,K38-$C$6,$B$37:$B$51,"*Indirect*"))</f>
        <v>0</v>
      </c>
      <c r="N38" s="111" t="n">
        <f aca="false">IF(K38-$C$6&gt;'General Information'!$D$33,0,IF(K38=$C$6,$E$36,0)+SUMIF($C$37:$C$51,K38-$C$6,$E$37:$E$51))</f>
        <v>0</v>
      </c>
    </row>
    <row r="39" customFormat="false" ht="15" hidden="false" customHeight="false" outlineLevel="0" collapsed="false">
      <c r="B39" s="37" t="s">
        <v>564</v>
      </c>
      <c r="C39" s="38" t="n">
        <f aca="false">'Maintenance Policies'!E12</f>
        <v>8</v>
      </c>
      <c r="D39" s="39" t="n">
        <f aca="false">X19</f>
        <v>331584.866666667</v>
      </c>
      <c r="E39" s="40" t="n">
        <f aca="false">IF(C39&gt;'General Information'!$D$33,0,D39/(1+('General Information'!$D$34/100))^C39)</f>
        <v>261756.155705422</v>
      </c>
      <c r="K39" s="1" t="n">
        <f aca="false">K38+1</f>
        <v>2030</v>
      </c>
      <c r="L39" s="111" t="n">
        <f aca="false">IF(K39-$C$6&gt;'General Information'!$D$33,0,IF(K39=$C$6,$D$36,0)+SUMIFS($D$37:$D$51,$C$37:$C$51,K39-$C$6,$B$37:$B$51,"&lt;&gt;*Indirect*"))</f>
        <v>0</v>
      </c>
      <c r="M39" s="111" t="n">
        <f aca="false">IF(K39-$C$6&gt;'General Information'!$D$33,0,SUMIFS($D$37:$D$51,$C$37:$C$51,K39-$C$6,$B$37:$B$51,"*Indirect*"))</f>
        <v>0</v>
      </c>
      <c r="N39" s="111" t="n">
        <f aca="false">IF(K39-$C$6&gt;'General Information'!$D$33,0,IF(K39=$C$6,$E$36,0)+SUMIF($C$37:$C$51,K39-$C$6,$E$37:$E$51))</f>
        <v>0</v>
      </c>
    </row>
    <row r="40" customFormat="false" ht="15" hidden="false" customHeight="false" outlineLevel="0" collapsed="false">
      <c r="B40" s="37" t="s">
        <v>616</v>
      </c>
      <c r="C40" s="38" t="n">
        <f aca="false">'Maintenance Policies'!E12</f>
        <v>8</v>
      </c>
      <c r="D40" s="39" t="n">
        <f aca="false">F2*F5</f>
        <v>22675.73</v>
      </c>
      <c r="E40" s="40" t="n">
        <f aca="false">IF(C40&gt;'General Information'!$D$33,0,D40/(1+('General Information'!$D$34/100))^C40)</f>
        <v>17900.4306568095</v>
      </c>
      <c r="K40" s="1" t="n">
        <f aca="false">K39+1</f>
        <v>2031</v>
      </c>
      <c r="L40" s="111" t="n">
        <f aca="false">IF(K40-$C$6&gt;'General Information'!$D$33,0,IF(K40=$C$6,$D$36,0)+SUMIFS($D$37:$D$51,$C$37:$C$51,K40-$C$6,$B$37:$B$51,"&lt;&gt;*Indirect*"))</f>
        <v>0</v>
      </c>
      <c r="M40" s="111" t="n">
        <f aca="false">IF(K40-$C$6&gt;'General Information'!$D$33,0,SUMIFS($D$37:$D$51,$C$37:$C$51,K40-$C$6,$B$37:$B$51,"*Indirect*"))</f>
        <v>0</v>
      </c>
      <c r="N40" s="111" t="n">
        <f aca="false">IF(K40-$C$6&gt;'General Information'!$D$33,0,IF(K40=$C$6,$E$36,0)+SUMIF($C$37:$C$51,K40-$C$6,$E$37:$E$51))</f>
        <v>0</v>
      </c>
    </row>
    <row r="41" customFormat="false" ht="15" hidden="false" customHeight="false" outlineLevel="0" collapsed="false">
      <c r="B41" s="37" t="s">
        <v>565</v>
      </c>
      <c r="C41" s="38" t="n">
        <f aca="false">'Maintenance Policies'!E14</f>
        <v>12</v>
      </c>
      <c r="D41" s="39" t="n">
        <f aca="false">AF21</f>
        <v>465273.035104167</v>
      </c>
      <c r="E41" s="40" t="n">
        <f aca="false">IF(C41&gt;'General Information'!$D$33,0,D41/(1+('General Information'!$D$34/100))^C41)</f>
        <v>326333.145618381</v>
      </c>
      <c r="K41" s="1" t="n">
        <f aca="false">K40+1</f>
        <v>2032</v>
      </c>
      <c r="L41" s="111" t="n">
        <f aca="false">IF(K41-$C$6&gt;'General Information'!$D$33,0,IF(K41=$C$6,$D$36,0)+SUMIFS($D$37:$D$51,$C$37:$C$51,K41-$C$6,$B$37:$B$51,"&lt;&gt;*Indirect*"))</f>
        <v>331584.866666667</v>
      </c>
      <c r="M41" s="111" t="n">
        <f aca="false">IF(K41-$C$6&gt;'General Information'!$D$33,0,SUMIFS($D$37:$D$51,$C$37:$C$51,K41-$C$6,$B$37:$B$51,"*Indirect*"))</f>
        <v>22675.73</v>
      </c>
      <c r="N41" s="111" t="n">
        <f aca="false">IF(K41-$C$6&gt;'General Information'!$D$33,0,IF(K41=$C$6,$E$36,0)+SUMIF($C$37:$C$51,K41-$C$6,$E$37:$E$51))</f>
        <v>314755.951725217</v>
      </c>
    </row>
    <row r="42" customFormat="false" ht="15" hidden="false" customHeight="false" outlineLevel="0" collapsed="false">
      <c r="B42" s="37" t="s">
        <v>617</v>
      </c>
      <c r="C42" s="38" t="n">
        <f aca="false">'Maintenance Policies'!E14</f>
        <v>12</v>
      </c>
      <c r="D42" s="39" t="n">
        <f aca="false">F2*F6</f>
        <v>29154.51</v>
      </c>
      <c r="E42" s="40" t="n">
        <f aca="false">IF(C42&gt;'General Information'!$D$33,0,D42/(1+('General Information'!$D$34/100))^C42)</f>
        <v>20448.3867308848</v>
      </c>
      <c r="K42" s="1" t="n">
        <f aca="false">K41+1</f>
        <v>2033</v>
      </c>
      <c r="L42" s="111" t="n">
        <f aca="false">IF(K42-$C$6&gt;'General Information'!$D$33,0,IF(K42=$C$6,$D$36,0)+SUMIFS($D$37:$D$51,$C$37:$C$51,K42-$C$6,$B$37:$B$51,"&lt;&gt;*Indirect*"))</f>
        <v>0</v>
      </c>
      <c r="M42" s="111" t="n">
        <f aca="false">IF(K42-$C$6&gt;'General Information'!$D$33,0,SUMIFS($D$37:$D$51,$C$37:$C$51,K42-$C$6,$B$37:$B$51,"*Indirect*"))</f>
        <v>0</v>
      </c>
      <c r="N42" s="111" t="n">
        <f aca="false">IF(K42-$C$6&gt;'General Information'!$D$33,0,IF(K42=$C$6,$E$36,0)+SUMIF($C$37:$C$51,K42-$C$6,$E$37:$E$51))</f>
        <v>0</v>
      </c>
    </row>
    <row r="43" customFormat="false" ht="15" hidden="false" customHeight="false" outlineLevel="0" collapsed="false">
      <c r="B43" s="37" t="s">
        <v>570</v>
      </c>
      <c r="C43" s="38" t="n">
        <f aca="false">'Maintenance Policies'!E18</f>
        <v>16</v>
      </c>
      <c r="D43" s="39" t="n">
        <f aca="false">AN21</f>
        <v>486835.642916667</v>
      </c>
      <c r="E43" s="40" t="n">
        <f aca="false">IF(C43&gt;'General Information'!$D$33,0,D43/(1+('General Information'!$D$34/100))^C43)</f>
        <v>303379.877499636</v>
      </c>
      <c r="K43" s="1" t="n">
        <f aca="false">K42+1</f>
        <v>2034</v>
      </c>
      <c r="L43" s="111" t="n">
        <f aca="false">IF(K43-$C$6&gt;'General Information'!$D$33,0,IF(K43=$C$6,$D$36,0)+SUMIFS($D$37:$D$51,$C$37:$C$51,K43-$C$6,$B$37:$B$51,"&lt;&gt;*Indirect*"))</f>
        <v>0</v>
      </c>
      <c r="M43" s="111" t="n">
        <f aca="false">IF(K43-$C$6&gt;'General Information'!$D$33,0,SUMIFS($D$37:$D$51,$C$37:$C$51,K43-$C$6,$B$37:$B$51,"*Indirect*"))</f>
        <v>0</v>
      </c>
      <c r="N43" s="111" t="n">
        <f aca="false">IF(K43-$C$6&gt;'General Information'!$D$33,0,IF(K43=$C$6,$E$36,0)+SUMIF($C$37:$C$51,K43-$C$6,$E$37:$E$51))</f>
        <v>0</v>
      </c>
    </row>
    <row r="44" customFormat="false" ht="15" hidden="false" customHeight="false" outlineLevel="0" collapsed="false">
      <c r="B44" s="37" t="s">
        <v>618</v>
      </c>
      <c r="C44" s="38" t="n">
        <f aca="false">'Maintenance Policies'!E18</f>
        <v>16</v>
      </c>
      <c r="D44" s="39" t="n">
        <f aca="false">F2*F7</f>
        <v>29154.51</v>
      </c>
      <c r="E44" s="40" t="n">
        <f aca="false">IF(C44&gt;'General Information'!$D$33,0,D44/(1+('General Information'!$D$34/100))^C44)</f>
        <v>18168.1267611622</v>
      </c>
      <c r="K44" s="1" t="n">
        <f aca="false">K43+1</f>
        <v>2035</v>
      </c>
      <c r="L44" s="111" t="n">
        <f aca="false">IF(K44-$C$6&gt;'General Information'!$D$33,0,IF(K44=$C$6,$D$36,0)+SUMIFS($D$37:$D$51,$C$37:$C$51,K44-$C$6,$B$37:$B$51,"&lt;&gt;*Indirect*"))</f>
        <v>0</v>
      </c>
      <c r="M44" s="111" t="n">
        <f aca="false">IF(K44-$C$6&gt;'General Information'!$D$33,0,SUMIFS($D$37:$D$51,$C$37:$C$51,K44-$C$6,$B$37:$B$51,"*Indirect*"))</f>
        <v>0</v>
      </c>
      <c r="N44" s="111" t="n">
        <f aca="false">IF(K44-$C$6&gt;'General Information'!$D$33,0,IF(K44=$C$6,$E$36,0)+SUMIF($C$37:$C$51,K44-$C$6,$E$37:$E$51))</f>
        <v>0</v>
      </c>
    </row>
    <row r="45" customFormat="false" ht="15" hidden="false" customHeight="false" outlineLevel="0" collapsed="false">
      <c r="B45" s="37" t="s">
        <v>4</v>
      </c>
      <c r="C45" s="38" t="n">
        <f aca="false">'Maintenance Policies'!E22</f>
        <v>20</v>
      </c>
      <c r="D45" s="39" t="n">
        <f aca="false">AV22</f>
        <v>1696066.756125</v>
      </c>
      <c r="E45" s="40" t="n">
        <f aca="false">IF(C45&gt;'General Information'!$D$33,0,D45/(1+('General Information'!$D$34/100))^C45)</f>
        <v>939071.040347879</v>
      </c>
      <c r="K45" s="1" t="n">
        <f aca="false">K44+1</f>
        <v>2036</v>
      </c>
      <c r="L45" s="111" t="n">
        <f aca="false">IF(K45-$C$6&gt;'General Information'!$D$33,0,IF(K45=$C$6,$D$36,0)+SUMIFS($D$37:$D$51,$C$37:$C$51,K45-$C$6,$B$37:$B$51,"&lt;&gt;*Indirect*"))</f>
        <v>331584.866666667</v>
      </c>
      <c r="M45" s="111" t="n">
        <f aca="false">IF(K45-$C$6&gt;'General Information'!$D$33,0,SUMIFS($D$37:$D$51,$C$37:$C$51,K45-$C$6,$B$37:$B$51,"*Indirect*"))</f>
        <v>22675.73</v>
      </c>
      <c r="N45" s="111" t="n">
        <f aca="false">IF(K45-$C$6&gt;'General Information'!$D$33,0,IF(K45=$C$6,$E$36,0)+SUMIF($C$37:$C$51,K45-$C$6,$E$37:$E$51))</f>
        <v>279656.586362231</v>
      </c>
    </row>
    <row r="46" customFormat="false" ht="15" hidden="false" customHeight="false" outlineLevel="0" collapsed="false">
      <c r="B46" s="37" t="s">
        <v>39</v>
      </c>
      <c r="C46" s="38" t="n">
        <f aca="false">'Maintenance Policies'!E22</f>
        <v>20</v>
      </c>
      <c r="D46" s="39" t="n">
        <f aca="false">F2*F8</f>
        <v>61548.41</v>
      </c>
      <c r="E46" s="40" t="n">
        <f aca="false">IF(C46&gt;'General Information'!$D$33,0,D46/(1+('General Information'!$D$34/100))^C46)</f>
        <v>34077.8623257197</v>
      </c>
      <c r="K46" s="1" t="n">
        <f aca="false">K45+1</f>
        <v>2037</v>
      </c>
      <c r="L46" s="111" t="n">
        <f aca="false">IF(K46-$C$6&gt;'General Information'!$D$33,0,IF(K46=$C$6,$D$36,0)+SUMIFS($D$37:$D$51,$C$37:$C$51,K46-$C$6,$B$37:$B$51,"&lt;&gt;*Indirect*"))</f>
        <v>0</v>
      </c>
      <c r="M46" s="111" t="n">
        <f aca="false">IF(K46-$C$6&gt;'General Information'!$D$33,0,SUMIFS($D$37:$D$51,$C$37:$C$51,K46-$C$6,$B$37:$B$51,"*Indirect*"))</f>
        <v>0</v>
      </c>
      <c r="N46" s="111" t="n">
        <f aca="false">IF(K46-$C$6&gt;'General Information'!$D$33,0,IF(K46=$C$6,$E$36,0)+SUMIF($C$37:$C$51,K46-$C$6,$E$37:$E$51))</f>
        <v>0</v>
      </c>
    </row>
    <row r="47" customFormat="false" ht="15" hidden="false" customHeight="false" outlineLevel="0" collapsed="false">
      <c r="B47" s="37" t="s">
        <v>576</v>
      </c>
      <c r="C47" s="38" t="n">
        <f aca="false">'Maintenance Policies'!E26</f>
        <v>24</v>
      </c>
      <c r="D47" s="39" t="n">
        <f aca="false">BD19</f>
        <v>331584.866666667</v>
      </c>
      <c r="E47" s="40" t="n">
        <f aca="false">IF(C47&gt;'General Information'!$D$33,0,D47/(1+('General Information'!$D$34/100))^C47)</f>
        <v>163117.782372971</v>
      </c>
      <c r="K47" s="1" t="n">
        <f aca="false">K46+1</f>
        <v>2038</v>
      </c>
      <c r="L47" s="111" t="n">
        <f aca="false">IF(K47-$C$6&gt;'General Information'!$D$33,0,IF(K47=$C$6,$D$36,0)+SUMIFS($D$37:$D$51,$C$37:$C$51,K47-$C$6,$B$37:$B$51,"&lt;&gt;*Indirect*"))</f>
        <v>0</v>
      </c>
      <c r="M47" s="111" t="n">
        <f aca="false">IF(K47-$C$6&gt;'General Information'!$D$33,0,SUMIFS($D$37:$D$51,$C$37:$C$51,K47-$C$6,$B$37:$B$51,"*Indirect*"))</f>
        <v>0</v>
      </c>
      <c r="N47" s="111" t="n">
        <f aca="false">IF(K47-$C$6&gt;'General Information'!$D$33,0,IF(K47=$C$6,$E$36,0)+SUMIF($C$37:$C$51,K47-$C$6,$E$37:$E$51))</f>
        <v>0</v>
      </c>
    </row>
    <row r="48" customFormat="false" ht="15" hidden="false" customHeight="false" outlineLevel="0" collapsed="false">
      <c r="B48" s="37" t="s">
        <v>619</v>
      </c>
      <c r="C48" s="38" t="n">
        <f aca="false">'Maintenance Policies'!E26</f>
        <v>24</v>
      </c>
      <c r="D48" s="39" t="n">
        <f aca="false">F2*F9</f>
        <v>22675.73</v>
      </c>
      <c r="E48" s="40" t="n">
        <f aca="false">IF(C48&gt;'General Information'!$D$33,0,D48/(1+('General Information'!$D$34/100))^C48)</f>
        <v>11154.9565831259</v>
      </c>
      <c r="K48" s="1" t="n">
        <f aca="false">K47+1</f>
        <v>2039</v>
      </c>
      <c r="L48" s="111" t="n">
        <f aca="false">IF(K48-$C$6&gt;'General Information'!$D$33,0,IF(K48=$C$6,$D$36,0)+SUMIFS($D$37:$D$51,$C$37:$C$51,K48-$C$6,$B$37:$B$51,"&lt;&gt;*Indirect*"))</f>
        <v>0</v>
      </c>
      <c r="M48" s="111" t="n">
        <f aca="false">IF(K48-$C$6&gt;'General Information'!$D$33,0,SUMIFS($D$37:$D$51,$C$37:$C$51,K48-$C$6,$B$37:$B$51,"*Indirect*"))</f>
        <v>0</v>
      </c>
      <c r="N48" s="111" t="n">
        <f aca="false">IF(K48-$C$6&gt;'General Information'!$D$33,0,IF(K48=$C$6,$E$36,0)+SUMIF($C$37:$C$51,K48-$C$6,$E$37:$E$51))</f>
        <v>0</v>
      </c>
    </row>
    <row r="49" customFormat="false" ht="15" hidden="false" customHeight="false" outlineLevel="0" collapsed="false">
      <c r="B49" s="37" t="s">
        <v>577</v>
      </c>
      <c r="C49" s="38" t="n">
        <f aca="false">'Maintenance Policies'!E28</f>
        <v>28</v>
      </c>
      <c r="D49" s="39" t="n">
        <f aca="false">BL21</f>
        <v>515298.285229167</v>
      </c>
      <c r="E49" s="40" t="n">
        <f aca="false">IF(C49&gt;'General Information'!$D$33,0,D49/(1+('General Information'!$D$34/100))^C49)</f>
        <v>225224.901422252</v>
      </c>
      <c r="K49" s="1" t="n">
        <f aca="false">K48+1</f>
        <v>2040</v>
      </c>
      <c r="L49" s="111" t="n">
        <f aca="false">IF(K49-$C$6&gt;'General Information'!$D$33,0,IF(K49=$C$6,$D$36,0)+SUMIFS($D$37:$D$51,$C$37:$C$51,K49-$C$6,$B$37:$B$51,"&lt;&gt;*Indirect*"))</f>
        <v>465273.035104167</v>
      </c>
      <c r="M49" s="111" t="n">
        <f aca="false">IF(K49-$C$6&gt;'General Information'!$D$33,0,SUMIFS($D$37:$D$51,$C$37:$C$51,K49-$C$6,$B$37:$B$51,"*Indirect*"))</f>
        <v>29154.51</v>
      </c>
      <c r="N49" s="111" t="n">
        <f aca="false">IF(K49-$C$6&gt;'General Information'!$D$33,0,IF(K49=$C$6,$E$36,0)+SUMIF($C$37:$C$51,K49-$C$6,$E$37:$E$51))</f>
        <v>346781.532349266</v>
      </c>
    </row>
    <row r="50" customFormat="false" ht="15" hidden="false" customHeight="false" outlineLevel="0" collapsed="false">
      <c r="B50" s="37" t="s">
        <v>620</v>
      </c>
      <c r="C50" s="38" t="n">
        <f aca="false">'Maintenance Policies'!E28</f>
        <v>28</v>
      </c>
      <c r="D50" s="39" t="n">
        <f aca="false">F2*F10</f>
        <v>29154.51</v>
      </c>
      <c r="E50" s="40" t="n">
        <f aca="false">IF(C50&gt;'General Information'!$D$33,0,D50/(1+('General Information'!$D$34/100))^C50)</f>
        <v>12742.7585710747</v>
      </c>
      <c r="K50" s="1" t="n">
        <f aca="false">K49+1</f>
        <v>2041</v>
      </c>
      <c r="L50" s="111" t="n">
        <f aca="false">IF(K50-$C$6&gt;'General Information'!$D$33,0,IF(K50=$C$6,$D$36,0)+SUMIFS($D$37:$D$51,$C$37:$C$51,K50-$C$6,$B$37:$B$51,"&lt;&gt;*Indirect*"))</f>
        <v>0</v>
      </c>
      <c r="M50" s="111" t="n">
        <f aca="false">IF(K50-$C$6&gt;'General Information'!$D$33,0,SUMIFS($D$37:$D$51,$C$37:$C$51,K50-$C$6,$B$37:$B$51,"*Indirect*"))</f>
        <v>0</v>
      </c>
      <c r="N50" s="111" t="n">
        <f aca="false">IF(K50-$C$6&gt;'General Information'!$D$33,0,IF(K50=$C$6,$E$36,0)+SUMIF($C$37:$C$51,K50-$C$6,$E$37:$E$51))</f>
        <v>0</v>
      </c>
    </row>
    <row r="51" customFormat="false" ht="15" hidden="false" customHeight="false" outlineLevel="0" collapsed="false">
      <c r="B51" s="37" t="s">
        <v>40</v>
      </c>
      <c r="C51" s="38" t="n">
        <f aca="false">'General Information'!D33</f>
        <v>30</v>
      </c>
      <c r="D51" s="39" t="n">
        <f aca="false">-'Maintenance Policies'!D32*AV22</f>
        <v>-212008.344515625</v>
      </c>
      <c r="E51" s="40" t="n">
        <f aca="false">IF(C51&gt;'General Information'!$D$33,0,D51/(1+('General Information'!$D$34/100))^C51)</f>
        <v>-87344.6308473242</v>
      </c>
      <c r="K51" s="1" t="n">
        <f aca="false">K50+1</f>
        <v>2042</v>
      </c>
      <c r="L51" s="111" t="n">
        <f aca="false">IF(K51-$C$6&gt;'General Information'!$D$33,0,IF(K51=$C$6,$D$36,0)+SUMIFS($D$37:$D$51,$C$37:$C$51,K51-$C$6,$B$37:$B$51,"&lt;&gt;*Indirect*"))</f>
        <v>0</v>
      </c>
      <c r="M51" s="111" t="n">
        <f aca="false">IF(K51-$C$6&gt;'General Information'!$D$33,0,SUMIFS($D$37:$D$51,$C$37:$C$51,K51-$C$6,$B$37:$B$51,"*Indirect*"))</f>
        <v>0</v>
      </c>
      <c r="N51" s="111" t="n">
        <f aca="false">IF(K51-$C$6&gt;'General Information'!$D$33,0,IF(K51=$C$6,$E$36,0)+SUMIF($C$37:$C$51,K51-$C$6,$E$37:$E$51))</f>
        <v>0</v>
      </c>
    </row>
    <row r="52" customFormat="false" ht="15" hidden="false" customHeight="false" outlineLevel="0" collapsed="false">
      <c r="B52" s="41" t="s">
        <v>27</v>
      </c>
      <c r="C52" s="42"/>
      <c r="D52" s="42"/>
      <c r="E52" s="43" t="n">
        <f aca="false">SUM(E36:E51)</f>
        <v>2560786.74547321</v>
      </c>
      <c r="K52" s="1" t="n">
        <f aca="false">K51+1</f>
        <v>2043</v>
      </c>
      <c r="L52" s="111" t="n">
        <f aca="false">IF(K52-$C$6&gt;'General Information'!$D$33,0,IF(K52=$C$6,$D$36,0)+SUMIFS($D$37:$D$51,$C$37:$C$51,K52-$C$6,$B$37:$B$51,"&lt;&gt;*Indirect*"))</f>
        <v>0</v>
      </c>
      <c r="M52" s="111" t="n">
        <f aca="false">IF(K52-$C$6&gt;'General Information'!$D$33,0,SUMIFS($D$37:$D$51,$C$37:$C$51,K52-$C$6,$B$37:$B$51,"*Indirect*"))</f>
        <v>0</v>
      </c>
      <c r="N52" s="111" t="n">
        <f aca="false">IF(K52-$C$6&gt;'General Information'!$D$33,0,IF(K52=$C$6,$E$36,0)+SUMIF($C$37:$C$51,K52-$C$6,$E$37:$E$51))</f>
        <v>0</v>
      </c>
    </row>
    <row r="53" customFormat="false" ht="15" hidden="false" customHeight="false" outlineLevel="0" collapsed="false">
      <c r="K53" s="1" t="n">
        <f aca="false">K52+1</f>
        <v>2044</v>
      </c>
      <c r="L53" s="111" t="n">
        <f aca="false">IF(K53-$C$6&gt;'General Information'!$D$33,0,IF(K53=$C$6,$D$36,0)+SUMIFS($D$37:$D$51,$C$37:$C$51,K53-$C$6,$B$37:$B$51,"&lt;&gt;*Indirect*"))</f>
        <v>486835.642916667</v>
      </c>
      <c r="M53" s="111" t="n">
        <f aca="false">IF(K53-$C$6&gt;'General Information'!$D$33,0,SUMIFS($D$37:$D$51,$C$37:$C$51,K53-$C$6,$B$37:$B$51,"*Indirect*"))</f>
        <v>29154.51</v>
      </c>
      <c r="N53" s="111" t="n">
        <f aca="false">IF(K53-$C$6&gt;'General Information'!$D$33,0,IF(K53=$C$6,$E$36,0)+SUMIF($C$37:$C$51,K53-$C$6,$E$37:$E$51))</f>
        <v>321548.004260798</v>
      </c>
    </row>
    <row r="54" customFormat="false" ht="15" hidden="false" customHeight="false" outlineLevel="0" collapsed="false">
      <c r="K54" s="1" t="n">
        <f aca="false">K53+1</f>
        <v>2045</v>
      </c>
      <c r="L54" s="111" t="n">
        <f aca="false">IF(K54-$C$6&gt;'General Information'!$D$33,0,IF(K54=$C$6,$D$36,0)+SUMIFS($D$37:$D$51,$C$37:$C$51,K54-$C$6,$B$37:$B$51,"&lt;&gt;*Indirect*"))</f>
        <v>0</v>
      </c>
      <c r="M54" s="111" t="n">
        <f aca="false">IF(K54-$C$6&gt;'General Information'!$D$33,0,SUMIFS($D$37:$D$51,$C$37:$C$51,K54-$C$6,$B$37:$B$51,"*Indirect*"))</f>
        <v>0</v>
      </c>
      <c r="N54" s="111" t="n">
        <f aca="false">IF(K54-$C$6&gt;'General Information'!$D$33,0,IF(K54=$C$6,$E$36,0)+SUMIF($C$37:$C$51,K54-$C$6,$E$37:$E$51))</f>
        <v>0</v>
      </c>
    </row>
    <row r="55" customFormat="false" ht="15" hidden="false" customHeight="false" outlineLevel="0" collapsed="false">
      <c r="K55" s="1" t="n">
        <f aca="false">K54+1</f>
        <v>2046</v>
      </c>
      <c r="L55" s="111" t="n">
        <f aca="false">IF(K55-$C$6&gt;'General Information'!$D$33,0,IF(K55=$C$6,$D$36,0)+SUMIFS($D$37:$D$51,$C$37:$C$51,K55-$C$6,$B$37:$B$51,"&lt;&gt;*Indirect*"))</f>
        <v>0</v>
      </c>
      <c r="M55" s="111" t="n">
        <f aca="false">IF(K55-$C$6&gt;'General Information'!$D$33,0,SUMIFS($D$37:$D$51,$C$37:$C$51,K55-$C$6,$B$37:$B$51,"*Indirect*"))</f>
        <v>0</v>
      </c>
      <c r="N55" s="111" t="n">
        <f aca="false">IF(K55-$C$6&gt;'General Information'!$D$33,0,IF(K55=$C$6,$E$36,0)+SUMIF($C$37:$C$51,K55-$C$6,$E$37:$E$51))</f>
        <v>0</v>
      </c>
    </row>
    <row r="56" customFormat="false" ht="15" hidden="false" customHeight="false" outlineLevel="0" collapsed="false">
      <c r="K56" s="1" t="n">
        <f aca="false">K55+1</f>
        <v>2047</v>
      </c>
      <c r="L56" s="111" t="n">
        <f aca="false">IF(K56-$C$6&gt;'General Information'!$D$33,0,IF(K56=$C$6,$D$36,0)+SUMIFS($D$37:$D$51,$C$37:$C$51,K56-$C$6,$B$37:$B$51,"&lt;&gt;*Indirect*"))</f>
        <v>0</v>
      </c>
      <c r="M56" s="111" t="n">
        <f aca="false">IF(K56-$C$6&gt;'General Information'!$D$33,0,SUMIFS($D$37:$D$51,$C$37:$C$51,K56-$C$6,$B$37:$B$51,"*Indirect*"))</f>
        <v>0</v>
      </c>
      <c r="N56" s="111" t="n">
        <f aca="false">IF(K56-$C$6&gt;'General Information'!$D$33,0,IF(K56=$C$6,$E$36,0)+SUMIF($C$37:$C$51,K56-$C$6,$E$37:$E$51))</f>
        <v>0</v>
      </c>
    </row>
    <row r="57" customFormat="false" ht="15" hidden="false" customHeight="false" outlineLevel="0" collapsed="false">
      <c r="K57" s="1" t="n">
        <f aca="false">K56+1</f>
        <v>2048</v>
      </c>
      <c r="L57" s="111" t="n">
        <f aca="false">IF(K57-$C$6&gt;'General Information'!$D$33,0,IF(K57=$C$6,$D$36,0)+SUMIFS($D$37:$D$51,$C$37:$C$51,K57-$C$6,$B$37:$B$51,"&lt;&gt;*Indirect*"))</f>
        <v>1696066.756125</v>
      </c>
      <c r="M57" s="111" t="n">
        <f aca="false">IF(K57-$C$6&gt;'General Information'!$D$33,0,SUMIFS($D$37:$D$51,$C$37:$C$51,K57-$C$6,$B$37:$B$51,"*Indirect*"))</f>
        <v>61548.41</v>
      </c>
      <c r="N57" s="111" t="n">
        <f aca="false">IF(K57-$C$6&gt;'General Information'!$D$33,0,IF(K57=$C$6,$E$36,0)+SUMIF($C$37:$C$51,K57-$C$6,$E$37:$E$51))</f>
        <v>973148.902673599</v>
      </c>
    </row>
    <row r="58" customFormat="false" ht="15" hidden="false" customHeight="false" outlineLevel="0" collapsed="false">
      <c r="K58" s="1" t="n">
        <f aca="false">K57+1</f>
        <v>2049</v>
      </c>
      <c r="L58" s="111" t="n">
        <f aca="false">IF(K58-$C$6&gt;'General Information'!$D$33,0,IF(K58=$C$6,$D$36,0)+SUMIFS($D$37:$D$51,$C$37:$C$51,K58-$C$6,$B$37:$B$51,"&lt;&gt;*Indirect*"))</f>
        <v>0</v>
      </c>
      <c r="M58" s="111" t="n">
        <f aca="false">IF(K58-$C$6&gt;'General Information'!$D$33,0,SUMIFS($D$37:$D$51,$C$37:$C$51,K58-$C$6,$B$37:$B$51,"*Indirect*"))</f>
        <v>0</v>
      </c>
      <c r="N58" s="111" t="n">
        <f aca="false">IF(K58-$C$6&gt;'General Information'!$D$33,0,IF(K58=$C$6,$E$36,0)+SUMIF($C$37:$C$51,K58-$C$6,$E$37:$E$51))</f>
        <v>0</v>
      </c>
    </row>
    <row r="59" customFormat="false" ht="15" hidden="false" customHeight="false" outlineLevel="0" collapsed="false">
      <c r="K59" s="1" t="n">
        <f aca="false">K58+1</f>
        <v>2050</v>
      </c>
      <c r="L59" s="111" t="n">
        <f aca="false">IF(K59-$C$6&gt;'General Information'!$D$33,0,IF(K59=$C$6,$D$36,0)+SUMIFS($D$37:$D$51,$C$37:$C$51,K59-$C$6,$B$37:$B$51,"&lt;&gt;*Indirect*"))</f>
        <v>0</v>
      </c>
      <c r="M59" s="111" t="n">
        <f aca="false">IF(K59-$C$6&gt;'General Information'!$D$33,0,SUMIFS($D$37:$D$51,$C$37:$C$51,K59-$C$6,$B$37:$B$51,"*Indirect*"))</f>
        <v>0</v>
      </c>
      <c r="N59" s="111" t="n">
        <f aca="false">IF(K59-$C$6&gt;'General Information'!$D$33,0,IF(K59=$C$6,$E$36,0)+SUMIF($C$37:$C$51,K59-$C$6,$E$37:$E$51))</f>
        <v>0</v>
      </c>
    </row>
    <row r="60" customFormat="false" ht="15" hidden="false" customHeight="false" outlineLevel="0" collapsed="false">
      <c r="K60" s="1" t="n">
        <f aca="false">K59+1</f>
        <v>2051</v>
      </c>
      <c r="L60" s="111" t="n">
        <f aca="false">IF(K60-$C$6&gt;'General Information'!$D$33,0,IF(K60=$C$6,$D$36,0)+SUMIFS($D$37:$D$51,$C$37:$C$51,K60-$C$6,$B$37:$B$51,"&lt;&gt;*Indirect*"))</f>
        <v>0</v>
      </c>
      <c r="M60" s="111" t="n">
        <f aca="false">IF(K60-$C$6&gt;'General Information'!$D$33,0,SUMIFS($D$37:$D$51,$C$37:$C$51,K60-$C$6,$B$37:$B$51,"*Indirect*"))</f>
        <v>0</v>
      </c>
      <c r="N60" s="111" t="n">
        <f aca="false">IF(K60-$C$6&gt;'General Information'!$D$33,0,IF(K60=$C$6,$E$36,0)+SUMIF($C$37:$C$51,K60-$C$6,$E$37:$E$51))</f>
        <v>0</v>
      </c>
    </row>
    <row r="61" customFormat="false" ht="15" hidden="false" customHeight="false" outlineLevel="0" collapsed="false">
      <c r="K61" s="1" t="n">
        <f aca="false">K60+1</f>
        <v>2052</v>
      </c>
      <c r="L61" s="111" t="n">
        <f aca="false">IF(K61-$C$6&gt;'General Information'!$D$33,0,IF(K61=$C$6,$D$36,0)+SUMIFS($D$37:$D$51,$C$37:$C$51,K61-$C$6,$B$37:$B$51,"&lt;&gt;*Indirect*"))</f>
        <v>331584.866666667</v>
      </c>
      <c r="M61" s="111" t="n">
        <f aca="false">IF(K61-$C$6&gt;'General Information'!$D$33,0,SUMIFS($D$37:$D$51,$C$37:$C$51,K61-$C$6,$B$37:$B$51,"*Indirect*"))</f>
        <v>22675.73</v>
      </c>
      <c r="N61" s="111" t="n">
        <f aca="false">IF(K61-$C$6&gt;'General Information'!$D$33,0,IF(K61=$C$6,$E$36,0)+SUMIF($C$37:$C$51,K61-$C$6,$E$37:$E$51))</f>
        <v>174272.738956097</v>
      </c>
    </row>
    <row r="62" customFormat="false" ht="15" hidden="false" customHeight="false" outlineLevel="0" collapsed="false">
      <c r="K62" s="1" t="n">
        <f aca="false">K61+1</f>
        <v>2053</v>
      </c>
      <c r="L62" s="111" t="n">
        <f aca="false">IF(K62-$C$6&gt;'General Information'!$D$33,0,IF(K62=$C$6,$D$36,0)+SUMIFS($D$37:$D$51,$C$37:$C$51,K62-$C$6,$B$37:$B$51,"&lt;&gt;*Indirect*"))</f>
        <v>0</v>
      </c>
      <c r="M62" s="111" t="n">
        <f aca="false">IF(K62-$C$6&gt;'General Information'!$D$33,0,SUMIFS($D$37:$D$51,$C$37:$C$51,K62-$C$6,$B$37:$B$51,"*Indirect*"))</f>
        <v>0</v>
      </c>
      <c r="N62" s="111" t="n">
        <f aca="false">IF(K62-$C$6&gt;'General Information'!$D$33,0,IF(K62=$C$6,$E$36,0)+SUMIF($C$37:$C$51,K62-$C$6,$E$37:$E$51))</f>
        <v>0</v>
      </c>
    </row>
    <row r="63" customFormat="false" ht="15" hidden="false" customHeight="false" outlineLevel="0" collapsed="false">
      <c r="K63" s="1" t="n">
        <f aca="false">K62+1</f>
        <v>2054</v>
      </c>
      <c r="L63" s="111" t="n">
        <f aca="false">IF(K63-$C$6&gt;'General Information'!$D$33,0,IF(K63=$C$6,$D$36,0)+SUMIFS($D$37:$D$51,$C$37:$C$51,K63-$C$6,$B$37:$B$51,"&lt;&gt;*Indirect*"))</f>
        <v>0</v>
      </c>
      <c r="M63" s="111" t="n">
        <f aca="false">IF(K63-$C$6&gt;'General Information'!$D$33,0,SUMIFS($D$37:$D$51,$C$37:$C$51,K63-$C$6,$B$37:$B$51,"*Indirect*"))</f>
        <v>0</v>
      </c>
      <c r="N63" s="111" t="n">
        <f aca="false">IF(K63-$C$6&gt;'General Information'!$D$33,0,IF(K63=$C$6,$E$36,0)+SUMIF($C$37:$C$51,K63-$C$6,$E$37:$E$51))</f>
        <v>0</v>
      </c>
    </row>
    <row r="64" customFormat="false" ht="15" hidden="false" customHeight="false" outlineLevel="0" collapsed="false">
      <c r="K64" s="1" t="n">
        <f aca="false">K63+1</f>
        <v>2055</v>
      </c>
      <c r="L64" s="111" t="n">
        <f aca="false">IF(K64-$C$6&gt;'General Information'!$D$33,0,IF(K64=$C$6,$D$36,0)+SUMIFS($D$37:$D$51,$C$37:$C$51,K64-$C$6,$B$37:$B$51,"&lt;&gt;*Indirect*"))</f>
        <v>0</v>
      </c>
      <c r="M64" s="111" t="n">
        <f aca="false">IF(K64-$C$6&gt;'General Information'!$D$33,0,SUMIFS($D$37:$D$51,$C$37:$C$51,K64-$C$6,$B$37:$B$51,"*Indirect*"))</f>
        <v>0</v>
      </c>
      <c r="N64" s="111" t="n">
        <f aca="false">IF(K64-$C$6&gt;'General Information'!$D$33,0,IF(K64=$C$6,$E$36,0)+SUMIF($C$37:$C$51,K64-$C$6,$E$37:$E$51))</f>
        <v>0</v>
      </c>
    </row>
    <row r="65" customFormat="false" ht="15" hidden="false" customHeight="false" outlineLevel="0" collapsed="false">
      <c r="K65" s="1" t="n">
        <f aca="false">K64+1</f>
        <v>2056</v>
      </c>
      <c r="L65" s="111" t="n">
        <f aca="false">IF(K65-$C$6&gt;'General Information'!$D$33,0,IF(K65=$C$6,$D$36,0)+SUMIFS($D$37:$D$51,$C$37:$C$51,K65-$C$6,$B$37:$B$51,"&lt;&gt;*Indirect*"))</f>
        <v>515298.285229167</v>
      </c>
      <c r="M65" s="111" t="n">
        <f aca="false">IF(K65-$C$6&gt;'General Information'!$D$33,0,SUMIFS($D$37:$D$51,$C$37:$C$51,K65-$C$6,$B$37:$B$51,"*Indirect*"))</f>
        <v>29154.51</v>
      </c>
      <c r="N65" s="111" t="n">
        <f aca="false">IF(K65-$C$6&gt;'General Information'!$D$33,0,IF(K65=$C$6,$E$36,0)+SUMIF($C$37:$C$51,K65-$C$6,$E$37:$E$51))</f>
        <v>237967.659993326</v>
      </c>
    </row>
    <row r="66" customFormat="false" ht="15" hidden="false" customHeight="false" outlineLevel="0" collapsed="false">
      <c r="K66" s="1" t="n">
        <f aca="false">K65+1</f>
        <v>2057</v>
      </c>
      <c r="L66" s="111" t="n">
        <f aca="false">IF(K66-$C$6&gt;'General Information'!$D$33,0,IF(K66=$C$6,$D$36,0)+SUMIFS($D$37:$D$51,$C$37:$C$51,K66-$C$6,$B$37:$B$51,"&lt;&gt;*Indirect*"))</f>
        <v>0</v>
      </c>
      <c r="M66" s="111" t="n">
        <f aca="false">IF(K66-$C$6&gt;'General Information'!$D$33,0,SUMIFS($D$37:$D$51,$C$37:$C$51,K66-$C$6,$B$37:$B$51,"*Indirect*"))</f>
        <v>0</v>
      </c>
      <c r="N66" s="111" t="n">
        <f aca="false">IF(K66-$C$6&gt;'General Information'!$D$33,0,IF(K66=$C$6,$E$36,0)+SUMIF($C$37:$C$51,K66-$C$6,$E$37:$E$51))</f>
        <v>0</v>
      </c>
    </row>
    <row r="67" customFormat="false" ht="15" hidden="false" customHeight="false" outlineLevel="0" collapsed="false">
      <c r="K67" s="1" t="n">
        <f aca="false">K66+1</f>
        <v>2058</v>
      </c>
      <c r="L67" s="111" t="n">
        <f aca="false">IF(K67-$C$6&gt;'General Information'!$D$33,0,IF(K67=$C$6,$D$36,0)+SUMIFS($D$37:$D$51,$C$37:$C$51,K67-$C$6,$B$37:$B$51,"&lt;&gt;*Indirect*"))</f>
        <v>-212008.344515625</v>
      </c>
      <c r="M67" s="111" t="n">
        <f aca="false">IF(K67-$C$6&gt;'General Information'!$D$33,0,SUMIFS($D$37:$D$51,$C$37:$C$51,K67-$C$6,$B$37:$B$51,"*Indirect*"))</f>
        <v>0</v>
      </c>
      <c r="N67" s="111" t="n">
        <f aca="false">IF(K67-$C$6&gt;'General Information'!$D$33,0,IF(K67=$C$6,$E$36,0)+SUMIF($C$37:$C$51,K67-$C$6,$E$37:$E$51))</f>
        <v>-87344.6308473242</v>
      </c>
    </row>
  </sheetData>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5390625" defaultRowHeight="15" zeroHeight="false" outlineLevelRow="0" outlineLevelCol="0"/>
  <cols>
    <col collapsed="false" customWidth="true" hidden="false" outlineLevel="0" max="2" min="2" style="0" width="15.14"/>
    <col collapsed="false" customWidth="true" hidden="false" outlineLevel="0" max="3" min="3" style="0" width="17.43"/>
    <col collapsed="false" customWidth="true" hidden="false" outlineLevel="0" max="4" min="4" style="0" width="27"/>
    <col collapsed="false" customWidth="true" hidden="false" outlineLevel="0" max="5" min="5" style="0" width="32.72"/>
    <col collapsed="false" customWidth="true" hidden="false" outlineLevel="0" max="6" min="6" style="0" width="23.71"/>
    <col collapsed="false" customWidth="true" hidden="false" outlineLevel="0" max="7" min="7" style="0" width="53.86"/>
    <col collapsed="false" customWidth="true" hidden="false" outlineLevel="0" max="8" min="8" style="0" width="45"/>
  </cols>
  <sheetData>
    <row r="1" customFormat="false" ht="15" hidden="false" customHeight="false" outlineLevel="0" collapsed="false">
      <c r="A1" s="112" t="s">
        <v>621</v>
      </c>
      <c r="B1" s="113" t="s">
        <v>622</v>
      </c>
      <c r="C1" s="114" t="s">
        <v>623</v>
      </c>
      <c r="D1" s="113" t="s">
        <v>624</v>
      </c>
      <c r="E1" s="113" t="s">
        <v>625</v>
      </c>
      <c r="F1" s="113" t="s">
        <v>626</v>
      </c>
      <c r="G1" s="113" t="s">
        <v>627</v>
      </c>
      <c r="H1" s="113" t="s">
        <v>628</v>
      </c>
    </row>
    <row r="2" customFormat="false" ht="15" hidden="false" customHeight="false" outlineLevel="0" collapsed="false">
      <c r="A2" s="115" t="s">
        <v>305</v>
      </c>
      <c r="B2" s="116" t="n">
        <v>946.42</v>
      </c>
      <c r="C2" s="116" t="n">
        <v>7293.08</v>
      </c>
      <c r="D2" s="116" t="n">
        <v>60.53</v>
      </c>
      <c r="E2" s="116" t="n">
        <v>3</v>
      </c>
      <c r="F2" s="116" t="n">
        <v>94.64</v>
      </c>
      <c r="G2" s="116" t="n">
        <v>108.27</v>
      </c>
      <c r="H2" s="116" t="s">
        <v>629</v>
      </c>
    </row>
    <row r="3" customFormat="false" ht="15" hidden="false" customHeight="false" outlineLevel="0" collapsed="false">
      <c r="A3" s="115" t="s">
        <v>386</v>
      </c>
      <c r="B3" s="116" t="n">
        <v>794.52</v>
      </c>
      <c r="C3" s="116" t="n">
        <v>2153.43</v>
      </c>
      <c r="D3" s="116" t="n">
        <v>13.7</v>
      </c>
      <c r="E3" s="116" t="n">
        <v>1101.37</v>
      </c>
      <c r="F3" s="116" t="n">
        <v>26.3</v>
      </c>
      <c r="G3" s="116" t="n">
        <v>254.8</v>
      </c>
      <c r="H3" s="116" t="s">
        <v>630</v>
      </c>
    </row>
    <row r="4" customFormat="false" ht="15" hidden="false" customHeight="false" outlineLevel="0" collapsed="false">
      <c r="A4" s="115" t="s">
        <v>324</v>
      </c>
      <c r="B4" s="116" t="n">
        <v>4939.57</v>
      </c>
      <c r="C4" s="116" t="n">
        <v>1517.81</v>
      </c>
      <c r="D4" s="116" t="n">
        <v>30</v>
      </c>
      <c r="E4" s="116" t="n">
        <v>10</v>
      </c>
      <c r="F4" s="116" t="s">
        <v>630</v>
      </c>
      <c r="G4" s="116" t="n">
        <v>2344</v>
      </c>
      <c r="H4" s="116" t="s">
        <v>630</v>
      </c>
    </row>
    <row r="5" customFormat="false" ht="15" hidden="false" customHeight="false" outlineLevel="0" collapsed="false">
      <c r="A5" s="115" t="s">
        <v>314</v>
      </c>
      <c r="B5" s="116" t="n">
        <v>592</v>
      </c>
      <c r="C5" s="116" t="n">
        <v>1410</v>
      </c>
      <c r="D5" s="116" t="n">
        <v>1</v>
      </c>
      <c r="E5" s="116" t="n">
        <v>7</v>
      </c>
      <c r="F5" s="116" t="s">
        <v>630</v>
      </c>
      <c r="G5" s="116" t="n">
        <v>2250</v>
      </c>
      <c r="H5" s="116" t="n">
        <v>2031</v>
      </c>
    </row>
    <row r="6" customFormat="false" ht="15" hidden="false" customHeight="false" outlineLevel="0" collapsed="false">
      <c r="A6" s="115" t="s">
        <v>265</v>
      </c>
      <c r="B6" s="116" t="n">
        <v>2630</v>
      </c>
      <c r="C6" s="116" t="n">
        <v>1044</v>
      </c>
      <c r="D6" s="116" t="n">
        <v>42</v>
      </c>
      <c r="E6" s="116" t="n">
        <v>15</v>
      </c>
      <c r="F6" s="116" t="s">
        <v>630</v>
      </c>
      <c r="G6" s="116" t="n">
        <v>110</v>
      </c>
      <c r="H6" s="116" t="n">
        <v>2862</v>
      </c>
    </row>
    <row r="7" customFormat="false" ht="15" hidden="false" customHeight="false" outlineLevel="0" collapsed="false">
      <c r="A7" s="115" t="s">
        <v>88</v>
      </c>
      <c r="B7" s="116" t="n">
        <v>1924.14</v>
      </c>
      <c r="C7" s="116" t="n">
        <v>923.66</v>
      </c>
      <c r="D7" s="116" t="s">
        <v>630</v>
      </c>
      <c r="E7" s="116" t="s">
        <v>630</v>
      </c>
      <c r="F7" s="116" t="s">
        <v>630</v>
      </c>
      <c r="G7" s="116" t="n">
        <v>27397.26</v>
      </c>
      <c r="H7" s="116" t="n">
        <v>571.58</v>
      </c>
    </row>
    <row r="8" customFormat="false" ht="15" hidden="false" customHeight="false" outlineLevel="0" collapsed="false">
      <c r="A8" s="115" t="s">
        <v>204</v>
      </c>
      <c r="B8" s="116" t="n">
        <v>1000</v>
      </c>
      <c r="C8" s="116" t="n">
        <v>725</v>
      </c>
      <c r="D8" s="116" t="n">
        <v>10</v>
      </c>
      <c r="E8" s="116" t="n">
        <v>5</v>
      </c>
      <c r="F8" s="116" t="n">
        <v>40</v>
      </c>
      <c r="G8" s="116" t="s">
        <v>631</v>
      </c>
      <c r="H8" s="116" t="n">
        <v>20</v>
      </c>
    </row>
    <row r="9" customFormat="false" ht="15" hidden="false" customHeight="false" outlineLevel="0" collapsed="false">
      <c r="A9" s="115" t="s">
        <v>382</v>
      </c>
      <c r="B9" s="116" t="n">
        <v>635.26</v>
      </c>
      <c r="C9" s="116" t="n">
        <v>279</v>
      </c>
      <c r="D9" s="116" t="s">
        <v>630</v>
      </c>
      <c r="E9" s="116" t="s">
        <v>630</v>
      </c>
      <c r="F9" s="116" t="s">
        <v>630</v>
      </c>
      <c r="G9" s="116" t="s">
        <v>630</v>
      </c>
      <c r="H9" s="116" t="n">
        <v>25</v>
      </c>
    </row>
    <row r="10" customFormat="false" ht="15" hidden="false" customHeight="true" outlineLevel="0" collapsed="false">
      <c r="A10" s="115" t="s">
        <v>189</v>
      </c>
      <c r="B10" s="116" t="n">
        <v>1660.27</v>
      </c>
      <c r="C10" s="116" t="n">
        <v>3427.4</v>
      </c>
      <c r="D10" s="116" t="n">
        <v>3.5</v>
      </c>
      <c r="E10" s="116" t="n">
        <v>350</v>
      </c>
      <c r="F10" s="116" t="s">
        <v>630</v>
      </c>
      <c r="G10" s="116" t="s">
        <v>630</v>
      </c>
      <c r="H10" s="116" t="s">
        <v>630</v>
      </c>
    </row>
    <row r="11" customFormat="false" ht="15" hidden="false" customHeight="true" outlineLevel="0" collapsed="false">
      <c r="A11" s="115" t="s">
        <v>253</v>
      </c>
      <c r="B11" s="116" t="n">
        <v>8400</v>
      </c>
      <c r="C11" s="116" t="n">
        <v>70000</v>
      </c>
      <c r="D11" s="116" t="n">
        <v>1000</v>
      </c>
      <c r="E11" s="116" t="s">
        <v>630</v>
      </c>
      <c r="F11" s="116" t="n">
        <v>625</v>
      </c>
      <c r="G11" s="116" t="s">
        <v>630</v>
      </c>
      <c r="H11" s="116" t="n">
        <v>9215</v>
      </c>
    </row>
    <row r="12" customFormat="false" ht="15" hidden="false" customHeight="true" outlineLevel="0" collapsed="false">
      <c r="A12" s="115" t="s">
        <v>320</v>
      </c>
      <c r="B12" s="116" t="n">
        <v>4604</v>
      </c>
      <c r="C12" s="116" t="n">
        <v>4057</v>
      </c>
      <c r="D12" s="116" t="s">
        <v>630</v>
      </c>
      <c r="E12" s="116" t="s">
        <v>630</v>
      </c>
      <c r="F12" s="116" t="n">
        <v>140.4</v>
      </c>
      <c r="G12" s="116" t="s">
        <v>630</v>
      </c>
      <c r="H12" s="116" t="s">
        <v>630</v>
      </c>
    </row>
    <row r="13" customFormat="false" ht="15" hidden="false" customHeight="true" outlineLevel="0" collapsed="false">
      <c r="A13" s="115" t="s">
        <v>371</v>
      </c>
      <c r="B13" s="116" t="n">
        <v>4939.57</v>
      </c>
      <c r="C13" s="116" t="n">
        <v>1517.81</v>
      </c>
      <c r="D13" s="116" t="n">
        <v>30</v>
      </c>
      <c r="E13" s="116" t="n">
        <v>10</v>
      </c>
      <c r="F13" s="116" t="s">
        <v>630</v>
      </c>
      <c r="G13" s="116" t="n">
        <v>2344</v>
      </c>
      <c r="H13" s="116" t="s">
        <v>630</v>
      </c>
    </row>
    <row r="14" customFormat="false" ht="15" hidden="false" customHeight="false" outlineLevel="0" collapsed="false">
      <c r="A14" s="115" t="s">
        <v>116</v>
      </c>
      <c r="B14" s="117" t="n">
        <v>794</v>
      </c>
      <c r="C14" s="117" t="n">
        <v>2431</v>
      </c>
      <c r="D14" s="116" t="n">
        <v>300</v>
      </c>
      <c r="E14" s="116" t="n">
        <v>150</v>
      </c>
      <c r="F14" s="116" t="n">
        <v>100</v>
      </c>
      <c r="G14" s="116" t="n">
        <v>300</v>
      </c>
      <c r="H14" s="116" t="n">
        <v>25</v>
      </c>
    </row>
    <row r="15" customFormat="false" ht="15" hidden="false" customHeight="false" outlineLevel="0" collapsed="false">
      <c r="A15" s="115" t="s">
        <v>328</v>
      </c>
      <c r="B15" s="116" t="n">
        <v>5.26</v>
      </c>
      <c r="C15" s="116" t="n">
        <v>76.71</v>
      </c>
      <c r="D15" s="116" t="s">
        <v>632</v>
      </c>
      <c r="E15" s="116" t="s">
        <v>633</v>
      </c>
      <c r="F15" s="116" t="s">
        <v>634</v>
      </c>
      <c r="G15" s="116" t="s">
        <v>635</v>
      </c>
      <c r="H15" s="116" t="s">
        <v>636</v>
      </c>
    </row>
    <row r="16" customFormat="false" ht="15" hidden="false" customHeight="false" outlineLevel="0" collapsed="false">
      <c r="A16" s="115" t="s">
        <v>374</v>
      </c>
      <c r="B16" s="117" t="n">
        <v>727</v>
      </c>
      <c r="C16" s="117" t="n">
        <v>388</v>
      </c>
      <c r="D16" s="116" t="n">
        <v>6</v>
      </c>
      <c r="E16" s="116" t="s">
        <v>630</v>
      </c>
      <c r="F16" s="116" t="s">
        <v>630</v>
      </c>
      <c r="G16" s="116" t="n">
        <v>368</v>
      </c>
      <c r="H16" s="116" t="n">
        <v>569</v>
      </c>
    </row>
    <row r="17" customFormat="false" ht="15" hidden="false" customHeight="false" outlineLevel="0" collapsed="false">
      <c r="A17" s="115" t="s">
        <v>337</v>
      </c>
      <c r="B17" s="116" t="n">
        <v>1184.59</v>
      </c>
      <c r="C17" s="116" t="n">
        <v>1267.07</v>
      </c>
      <c r="D17" s="116" t="n">
        <v>120</v>
      </c>
      <c r="E17" s="116" t="n">
        <v>667.73</v>
      </c>
      <c r="F17" s="116" t="s">
        <v>630</v>
      </c>
      <c r="G17" s="116" t="s">
        <v>630</v>
      </c>
      <c r="H17" s="116" t="s">
        <v>630</v>
      </c>
    </row>
    <row r="18" customFormat="false" ht="15" hidden="false" customHeight="false" outlineLevel="0" collapsed="false">
      <c r="A18" s="115" t="s">
        <v>277</v>
      </c>
      <c r="B18" s="118" t="s">
        <v>637</v>
      </c>
      <c r="C18" s="118"/>
      <c r="D18" s="116" t="s">
        <v>630</v>
      </c>
      <c r="E18" s="116" t="s">
        <v>630</v>
      </c>
      <c r="F18" s="116" t="n">
        <v>71.88</v>
      </c>
      <c r="G18" s="116" t="n">
        <v>915.33</v>
      </c>
      <c r="H18" s="116" t="n">
        <v>40.6</v>
      </c>
    </row>
  </sheetData>
  <mergeCells count="1">
    <mergeCell ref="B18:C18"/>
  </mergeCells>
  <conditionalFormatting sqref="A1:A18">
    <cfRule type="duplicateValues" priority="2" aboveAverage="0" equalAverage="0" bottom="0" percent="0" rank="0" text="" dxfId="2"/>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L67"/>
  <sheetViews>
    <sheetView showFormulas="false" showGridLines="true" showRowColHeaders="true" showZeros="true" rightToLeft="false" tabSelected="false" showOutlineSymbols="true" defaultGridColor="true" view="normal" topLeftCell="A5" colorId="64" zoomScale="80" zoomScaleNormal="80" zoomScalePageLayoutView="100" workbookViewId="0">
      <selection pane="topLeft" activeCell="BQ20" activeCellId="0" sqref="BQ20"/>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41.71"/>
    <col collapsed="false" customWidth="true" hidden="false" outlineLevel="0" max="4" min="4" style="0" width="17.43"/>
    <col collapsed="false" customWidth="true" hidden="false" outlineLevel="0" max="5" min="5" style="0" width="12.29"/>
    <col collapsed="false" customWidth="true" hidden="false" outlineLevel="0" max="6" min="6" style="0" width="10.57"/>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41.43"/>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15" hidden="false" customHeight="false" outlineLevel="0" collapsed="false">
      <c r="I1" s="0" t="s">
        <v>0</v>
      </c>
    </row>
    <row r="2" customFormat="false" ht="15" hidden="false" customHeight="false" outlineLevel="0" collapsed="false">
      <c r="A2" s="3" t="s">
        <v>1</v>
      </c>
      <c r="J2" s="6" t="s">
        <v>3</v>
      </c>
      <c r="R2" s="3" t="s">
        <v>564</v>
      </c>
      <c r="Z2" s="6" t="s">
        <v>565</v>
      </c>
      <c r="AH2" s="3" t="s">
        <v>570</v>
      </c>
      <c r="AP2" s="6" t="s">
        <v>4</v>
      </c>
      <c r="AX2" s="3" t="s">
        <v>576</v>
      </c>
      <c r="BF2" s="6" t="s">
        <v>577</v>
      </c>
    </row>
    <row r="4" customFormat="false" ht="15" hidden="false" customHeight="false" outlineLevel="0" collapsed="false">
      <c r="A4" s="0" t="s">
        <v>5</v>
      </c>
      <c r="C4" s="9" t="s">
        <v>553</v>
      </c>
    </row>
    <row r="5" customFormat="false" ht="15" hidden="false" customHeight="false" outlineLevel="0" collapsed="false">
      <c r="A5" s="0" t="s">
        <v>8</v>
      </c>
      <c r="C5" s="0" t="n">
        <f aca="false">'General Information'!D26</f>
        <v>66667</v>
      </c>
      <c r="D5" s="0" t="s">
        <v>9</v>
      </c>
    </row>
    <row r="6" customFormat="false" ht="15" hidden="false" customHeight="false" outlineLevel="0" collapsed="false">
      <c r="A6" s="0" t="s">
        <v>11</v>
      </c>
      <c r="C6" s="0" t="n">
        <f aca="false">'General Information'!D25</f>
        <v>2028</v>
      </c>
      <c r="AP6" s="1" t="s">
        <v>604</v>
      </c>
      <c r="AQ6" s="1" t="n">
        <v>2</v>
      </c>
      <c r="AR6" s="1" t="s">
        <v>605</v>
      </c>
    </row>
    <row r="7" customFormat="false" ht="15" hidden="false" customHeight="false" outlineLevel="0" collapsed="false">
      <c r="A7" s="0" t="s">
        <v>606</v>
      </c>
      <c r="C7" s="98" t="s">
        <v>517</v>
      </c>
      <c r="D7" s="15" t="s">
        <v>607</v>
      </c>
      <c r="AP7" s="1" t="s">
        <v>609</v>
      </c>
      <c r="AQ7" s="1" t="n">
        <v>120</v>
      </c>
      <c r="AR7" s="1" t="s">
        <v>610</v>
      </c>
    </row>
    <row r="8" customFormat="false" ht="15" hidden="false" customHeight="false" outlineLevel="0" collapsed="false">
      <c r="A8" s="0" t="s">
        <v>12</v>
      </c>
      <c r="C8" s="0" t="n">
        <f aca="false">'General Information'!D28</f>
        <v>15000</v>
      </c>
      <c r="D8" s="0" t="s">
        <v>13</v>
      </c>
    </row>
    <row r="9" customFormat="false" ht="15" hidden="false" customHeight="false" outlineLevel="0" collapsed="false">
      <c r="C9" s="9"/>
      <c r="AP9" s="1" t="s">
        <v>612</v>
      </c>
      <c r="AQ9" s="1" t="n">
        <v>0.1</v>
      </c>
      <c r="AR9" s="1" t="s">
        <v>613</v>
      </c>
    </row>
    <row r="10" customFormat="false" ht="15" hidden="false" customHeight="false" outlineLevel="0" collapsed="false">
      <c r="D10" s="14"/>
    </row>
    <row r="12" customFormat="false" ht="15" hidden="false" customHeight="false" outlineLevel="0" collapsed="false">
      <c r="A12" s="0" t="s">
        <v>16</v>
      </c>
      <c r="B12" s="0" t="s">
        <v>17</v>
      </c>
      <c r="C12" s="0" t="s">
        <v>18</v>
      </c>
      <c r="D12" s="0" t="s">
        <v>19</v>
      </c>
      <c r="E12" s="0" t="s">
        <v>20</v>
      </c>
      <c r="F12" s="0" t="s">
        <v>21</v>
      </c>
      <c r="G12" s="0" t="s">
        <v>22</v>
      </c>
      <c r="J12" s="1" t="s">
        <v>16</v>
      </c>
      <c r="K12" s="1" t="s">
        <v>17</v>
      </c>
      <c r="L12" s="1" t="s">
        <v>18</v>
      </c>
      <c r="M12" s="1" t="s">
        <v>19</v>
      </c>
      <c r="N12" s="1" t="s">
        <v>20</v>
      </c>
      <c r="O12" s="1" t="s">
        <v>21</v>
      </c>
      <c r="P12" s="1" t="s">
        <v>22</v>
      </c>
      <c r="R12" s="15" t="s">
        <v>16</v>
      </c>
      <c r="S12" s="15" t="s">
        <v>17</v>
      </c>
      <c r="T12" s="15" t="s">
        <v>18</v>
      </c>
      <c r="U12" s="15" t="s">
        <v>19</v>
      </c>
      <c r="V12" s="15" t="s">
        <v>20</v>
      </c>
      <c r="W12" s="15" t="s">
        <v>21</v>
      </c>
      <c r="X12" s="15" t="s">
        <v>22</v>
      </c>
      <c r="Z12" s="1" t="s">
        <v>16</v>
      </c>
      <c r="AA12" s="1" t="s">
        <v>17</v>
      </c>
      <c r="AB12" s="1" t="s">
        <v>18</v>
      </c>
      <c r="AC12" s="1" t="s">
        <v>19</v>
      </c>
      <c r="AD12" s="1" t="s">
        <v>20</v>
      </c>
      <c r="AE12" s="1" t="s">
        <v>21</v>
      </c>
      <c r="AF12" s="1" t="s">
        <v>22</v>
      </c>
      <c r="AH12" s="15" t="s">
        <v>16</v>
      </c>
      <c r="AI12" s="15" t="s">
        <v>17</v>
      </c>
      <c r="AJ12" s="15" t="s">
        <v>18</v>
      </c>
      <c r="AK12" s="15" t="s">
        <v>19</v>
      </c>
      <c r="AL12" s="15" t="s">
        <v>20</v>
      </c>
      <c r="AM12" s="15" t="s">
        <v>21</v>
      </c>
      <c r="AN12" s="15" t="s">
        <v>22</v>
      </c>
      <c r="AP12" s="1" t="s">
        <v>16</v>
      </c>
      <c r="AQ12" s="1" t="s">
        <v>17</v>
      </c>
      <c r="AR12" s="1" t="s">
        <v>18</v>
      </c>
      <c r="AS12" s="1" t="s">
        <v>19</v>
      </c>
      <c r="AT12" s="1" t="s">
        <v>20</v>
      </c>
      <c r="AU12" s="1" t="s">
        <v>21</v>
      </c>
      <c r="AV12" s="1" t="s">
        <v>22</v>
      </c>
      <c r="AX12" s="15" t="s">
        <v>16</v>
      </c>
      <c r="AY12" s="15" t="s">
        <v>17</v>
      </c>
      <c r="AZ12" s="15" t="s">
        <v>18</v>
      </c>
      <c r="BA12" s="15" t="s">
        <v>19</v>
      </c>
      <c r="BB12" s="15" t="s">
        <v>20</v>
      </c>
      <c r="BC12" s="15" t="s">
        <v>21</v>
      </c>
      <c r="BD12" s="15" t="s">
        <v>22</v>
      </c>
      <c r="BF12" s="1" t="s">
        <v>16</v>
      </c>
      <c r="BG12" s="1" t="s">
        <v>17</v>
      </c>
      <c r="BH12" s="1" t="s">
        <v>18</v>
      </c>
      <c r="BI12" s="1" t="s">
        <v>19</v>
      </c>
      <c r="BJ12" s="1" t="s">
        <v>20</v>
      </c>
      <c r="BK12" s="1" t="s">
        <v>21</v>
      </c>
      <c r="BL12" s="1" t="s">
        <v>22</v>
      </c>
    </row>
    <row r="13" customFormat="false" ht="19.5" hidden="false" customHeight="true" outlineLevel="0" collapsed="false">
      <c r="A13" s="0" t="n">
        <v>1</v>
      </c>
      <c r="B13" s="16" t="n">
        <f aca="false">IF(C13="",0,VLOOKUP(C13,CHOOSE({1,2},Table2[Pay Item Description],Table2[Pay Item No.]),2,0))</f>
        <v>0</v>
      </c>
      <c r="C13" s="17"/>
      <c r="D13" s="18" t="str">
        <f aca="false">IF(C13="","N/A",VLOOKUP(C13,CHOOSE({1,2},Table2[Pay Item Description],Table2[Units]),2,0))</f>
        <v>N/A</v>
      </c>
      <c r="E13" s="99"/>
      <c r="F13" s="20" t="str">
        <f aca="false">IF(C13="","N/A",VLOOKUP(C13,CHOOSE({1,2},Table2[Pay Item Description],Table2[Unit Cost]),2,0))</f>
        <v>N/A</v>
      </c>
      <c r="G13" s="21" t="n">
        <f aca="false">IF(B13&lt;&gt;0,F13*E13,0)</f>
        <v>0</v>
      </c>
      <c r="J13" s="1" t="n">
        <v>1</v>
      </c>
      <c r="K13" s="100" t="str">
        <f aca="false">IF(L13="",0,VLOOKUP(L13,CHOOSE({1,2},Table2[Pay Item Description],Table2[Pay Item No.]),2,0))</f>
        <v>P-608-8.1</v>
      </c>
      <c r="L13" s="1" t="str">
        <f aca="false">C7</f>
        <v>Emulsified Asphalt Surface Treatment</v>
      </c>
      <c r="M13" s="101" t="str">
        <f aca="false">VLOOKUP(L13,CHOOSE({1,2},Table2[Pay Item Description],Table2[Units]),2,0)</f>
        <v>S.Y.</v>
      </c>
      <c r="N13" s="102" t="n">
        <f aca="false">'Maintenance Policies'!D10*$C$5</f>
        <v>66667</v>
      </c>
      <c r="O13" s="103" t="n">
        <f aca="false">IF(L13="","N/A",VLOOKUP(L13,CHOOSE({1,2},Table2[Pay Item Description],Table2[Unit Cost]),2,0))</f>
        <v>4</v>
      </c>
      <c r="P13" s="24" t="n">
        <f aca="false">O13*N13</f>
        <v>266668</v>
      </c>
      <c r="R13" s="0" t="n">
        <v>1</v>
      </c>
      <c r="S13" s="16" t="str">
        <f aca="false">IF(T13="",0,VLOOKUP(T13,CHOOSE({1,2},Table2[Pay Item Description],Table2[Pay Item No.]),2,0))</f>
        <v>P-608-8.1</v>
      </c>
      <c r="T13" s="0" t="str">
        <f aca="false">C7</f>
        <v>Emulsified Asphalt Surface Treatment</v>
      </c>
      <c r="U13" s="18" t="str">
        <f aca="false">VLOOKUP(T13,CHOOSE({1,2},Table2[Pay Item Description],Table2[Units]),2,0)</f>
        <v>S.Y.</v>
      </c>
      <c r="V13" s="104" t="n">
        <f aca="false">'Maintenance Policies'!D12*$C$5</f>
        <v>66667</v>
      </c>
      <c r="W13" s="59" t="n">
        <f aca="false">IF(T13="","N/A",VLOOKUP(T13,CHOOSE({1,2},Table2[Pay Item Description],Table2[Unit Cost]),2,0))</f>
        <v>4</v>
      </c>
      <c r="X13" s="27" t="n">
        <f aca="false">W13*V13</f>
        <v>266668</v>
      </c>
      <c r="Z13" s="1" t="n">
        <v>1</v>
      </c>
      <c r="AA13" s="1" t="str">
        <f aca="false">IF(AB13="",0,VLOOKUP(AB13,CHOOSE({1,2},Table2[Pay Item Description],Table2[Pay Item No.]),2,0))</f>
        <v>P-101-5.4a</v>
      </c>
      <c r="AB13" s="1" t="str">
        <f aca="false">Pay_Items!D11</f>
        <v>Spall Repair, Asphalt</v>
      </c>
      <c r="AC13" s="105" t="str">
        <f aca="false">IF(AB13="","N/A",VLOOKUP(AB13,CHOOSE({1,2},Table2[Pay Item Description],Table2[Units]),2,0))</f>
        <v>S.F.</v>
      </c>
      <c r="AD13" s="102" t="n">
        <f aca="false">'Maintenance Policies'!D14*($C$5*9)</f>
        <v>4500.0225</v>
      </c>
      <c r="AE13" s="106" t="n">
        <f aca="false">IF(AB13="","N/A",VLOOKUP(AB13,CHOOSE({1,2},Table2[Pay Item Description],Table2[Unit Cost]),2,0))</f>
        <v>8.5</v>
      </c>
      <c r="AF13" s="24" t="n">
        <f aca="false">AE13*AD13</f>
        <v>38250.19125</v>
      </c>
      <c r="AH13" s="0" t="n">
        <v>1</v>
      </c>
      <c r="AI13" s="0" t="str">
        <f aca="false">IF(AJ13="",0,VLOOKUP(AJ13,CHOOSE({1,2},Table2[Pay Item Description],Table2[Pay Item No.]),2,0))</f>
        <v>P-101-5.4a</v>
      </c>
      <c r="AJ13" s="0" t="str">
        <f aca="false">Pay_Items!D11</f>
        <v>Spall Repair, Asphalt</v>
      </c>
      <c r="AK13" s="107" t="str">
        <f aca="false">IF(AJ13="","N/A",VLOOKUP(AJ13,CHOOSE({1,2},Table2[Pay Item Description],Table2[Units]),2,0))</f>
        <v>S.F.</v>
      </c>
      <c r="AL13" s="104" t="n">
        <f aca="false">'Maintenance Policies'!D18*($C$5*9)</f>
        <v>6000.03</v>
      </c>
      <c r="AM13" s="108" t="n">
        <f aca="false">IF(AJ13="","N/A",VLOOKUP(AJ13,CHOOSE({1,2},Table2[Pay Item Description],Table2[Unit Cost]),2,0))</f>
        <v>8.5</v>
      </c>
      <c r="AN13" s="27" t="n">
        <f aca="false">AM13*AL13</f>
        <v>51000.255</v>
      </c>
      <c r="AP13" s="1" t="n">
        <v>1</v>
      </c>
      <c r="AQ13" s="1" t="str">
        <f aca="false">IF(AR13="",0,VLOOKUP(AR13,CHOOSE({1,2},Table2[Pay Item Description],Table2[Pay Item No.]),2,0))</f>
        <v>P-101-5.6</v>
      </c>
      <c r="AR13" s="1" t="str">
        <f aca="false">Pay_Items!D16</f>
        <v>Cold Milling</v>
      </c>
      <c r="AS13" s="105" t="str">
        <f aca="false">IF(AR13="","N/A",VLOOKUP(AR13,CHOOSE({1,2},Table2[Pay Item Description],Table2[Units]),2,0))</f>
        <v>S.Y.</v>
      </c>
      <c r="AT13" s="102" t="n">
        <f aca="false">'Maintenance Policies'!D22*$C$5</f>
        <v>66667</v>
      </c>
      <c r="AU13" s="106" t="n">
        <f aca="false">IF(AR13="","N/A",VLOOKUP(AR13,CHOOSE({1,2},Table2[Pay Item Description],Table2[Unit Cost]),2,0))</f>
        <v>5</v>
      </c>
      <c r="AV13" s="24" t="n">
        <f aca="false">AU13*AT13</f>
        <v>333335</v>
      </c>
      <c r="AX13" s="0" t="n">
        <v>1</v>
      </c>
      <c r="AY13" s="16" t="str">
        <f aca="false">IF(AZ13="",0,VLOOKUP(AZ13,CHOOSE({1,2},Table2[Pay Item Description],Table2[Pay Item No.]),2,0))</f>
        <v>P-608-8.1</v>
      </c>
      <c r="AZ13" s="0" t="str">
        <f aca="false">C7</f>
        <v>Emulsified Asphalt Surface Treatment</v>
      </c>
      <c r="BA13" s="18" t="str">
        <f aca="false">IF(AZ13="","N/A",VLOOKUP(AZ13,CHOOSE({1,2},Table2[Pay Item Description],Table2[Units]),2,0))</f>
        <v>S.Y.</v>
      </c>
      <c r="BB13" s="104" t="n">
        <f aca="false">'Maintenance Policies'!D26*$C$5</f>
        <v>66667</v>
      </c>
      <c r="BC13" s="59" t="n">
        <f aca="false">IF(AZ13="","N/A",VLOOKUP(AZ13,CHOOSE({1,2},Table2[Pay Item Description],Table2[Unit Cost]),2,0))</f>
        <v>4</v>
      </c>
      <c r="BD13" s="27" t="n">
        <f aca="false">BC13*BB13</f>
        <v>266668</v>
      </c>
      <c r="BF13" s="1" t="n">
        <v>1</v>
      </c>
      <c r="BG13" s="1" t="str">
        <f aca="false">IF(BH13="",0,VLOOKUP(BH13,CHOOSE({1,2},Table2[Pay Item Description],Table2[Pay Item No.]),2,0))</f>
        <v>P-101-5.4a</v>
      </c>
      <c r="BH13" s="1" t="str">
        <f aca="false">Pay_Items!D11</f>
        <v>Spall Repair, Asphalt</v>
      </c>
      <c r="BI13" s="105" t="str">
        <f aca="false">IF(BH13="","N/A",VLOOKUP(BH13,CHOOSE({1,2},Table2[Pay Item Description],Table2[Units]),2,0))</f>
        <v>S.F.</v>
      </c>
      <c r="BJ13" s="102" t="n">
        <f aca="false">'Maintenance Policies'!D28*($C$5*9)</f>
        <v>7500.0375</v>
      </c>
      <c r="BK13" s="106" t="n">
        <f aca="false">IF(BH13="","N/A",VLOOKUP(BH13,CHOOSE({1,2},Table2[Pay Item Description],Table2[Unit Cost]),2,0))</f>
        <v>8.5</v>
      </c>
      <c r="BL13" s="24" t="n">
        <f aca="false">BK13*BJ13</f>
        <v>63750.31875</v>
      </c>
    </row>
    <row r="14" customFormat="false" ht="19.5" hidden="false" customHeight="true" outlineLevel="0" collapsed="false">
      <c r="A14" s="0" t="n">
        <v>2</v>
      </c>
      <c r="B14" s="16" t="n">
        <f aca="false">IF(C14="",0,VLOOKUP(C14,CHOOSE({1,2},Table2[Pay Item Description],Table2[Pay Item No.]),2,0))</f>
        <v>0</v>
      </c>
      <c r="C14" s="17"/>
      <c r="D14" s="18" t="str">
        <f aca="false">IF(C14="","N/A",VLOOKUP(C14,CHOOSE({1,2},Table2[Pay Item Description],Table2[Units]),2,0))</f>
        <v>N/A</v>
      </c>
      <c r="E14" s="99"/>
      <c r="F14" s="20" t="str">
        <f aca="false">IF(C14="","N/A",VLOOKUP(C14,CHOOSE({1,2},Table2[Pay Item Description],Table2[Unit Cost]),2,0))</f>
        <v>N/A</v>
      </c>
      <c r="G14" s="21" t="n">
        <f aca="false">IF(B14&lt;&gt;0,F14*E14,0)</f>
        <v>0</v>
      </c>
      <c r="J14" s="1" t="n">
        <v>2</v>
      </c>
      <c r="K14" s="1" t="str">
        <f aca="false">IF(L14="",0,VLOOKUP(L14,CHOOSE({1,2},Table2[Pay Item Description],Table2[Pay Item No.]),2,0))</f>
        <v>P-101-5.3</v>
      </c>
      <c r="L14" s="1" t="str">
        <f aca="false">Pay_Items!D10</f>
        <v>Markings Removal</v>
      </c>
      <c r="M14" s="105" t="str">
        <f aca="false">IF(L14="","N/A",VLOOKUP(L14,CHOOSE({1,2},Table2[Pay Item Description],Table2[Units]),2,0))</f>
        <v>S.F.</v>
      </c>
      <c r="N14" s="102" t="n">
        <f aca="false">'Maintenance Policies'!D10*$C$8</f>
        <v>15000</v>
      </c>
      <c r="O14" s="106" t="n">
        <f aca="false">IF(L14="","N/A",VLOOKUP(L14,CHOOSE({1,2},Table2[Pay Item Description],Table2[Unit Cost]),2,0))</f>
        <v>0.777777777777778</v>
      </c>
      <c r="P14" s="24" t="n">
        <f aca="false">O14*N14</f>
        <v>11666.6666666667</v>
      </c>
      <c r="R14" s="0" t="n">
        <v>2</v>
      </c>
      <c r="S14" s="0" t="str">
        <f aca="false">IF(T14="",0,VLOOKUP(T14,CHOOSE({1,2},Table2[Pay Item Description],Table2[Pay Item No.]),2,0))</f>
        <v>P-101-5.3</v>
      </c>
      <c r="T14" s="0" t="str">
        <f aca="false">Pay_Items!D10</f>
        <v>Markings Removal</v>
      </c>
      <c r="U14" s="107" t="str">
        <f aca="false">IF(T14="","N/A",VLOOKUP(T14,CHOOSE({1,2},Table2[Pay Item Description],Table2[Units]),2,0))</f>
        <v>S.F.</v>
      </c>
      <c r="V14" s="104" t="n">
        <f aca="false">'Maintenance Policies'!D12*$C$8</f>
        <v>15000</v>
      </c>
      <c r="W14" s="108" t="n">
        <f aca="false">IF(T14="","N/A",VLOOKUP(T14,CHOOSE({1,2},Table2[Pay Item Description],Table2[Unit Cost]),2,0))</f>
        <v>0.777777777777778</v>
      </c>
      <c r="X14" s="27" t="n">
        <f aca="false">W14*V14</f>
        <v>11666.6666666667</v>
      </c>
      <c r="Z14" s="1" t="n">
        <v>2</v>
      </c>
      <c r="AA14" s="1" t="str">
        <f aca="false">IF(AB14="",0,VLOOKUP(AB14,CHOOSE({1,2},Table2[Pay Item Description],Table2[Pay Item No.]),2,0))</f>
        <v>P-101-5.2a</v>
      </c>
      <c r="AB14" s="1" t="str">
        <f aca="false">Pay_Items!D6</f>
        <v>Crack Repair (Type I), Asphalt</v>
      </c>
      <c r="AC14" s="105" t="str">
        <f aca="false">IF(AB14="","N/A",VLOOKUP(AB14,CHOOSE({1,2},Table2[Pay Item Description],Table2[Units]),2,0))</f>
        <v>L.F.</v>
      </c>
      <c r="AD14" s="102" t="n">
        <f aca="false">'Maintenance Policies'!D15*($C$5*9)</f>
        <v>19500.0975</v>
      </c>
      <c r="AE14" s="106" t="n">
        <f aca="false">IF(AB14="","N/A",VLOOKUP(AB14,CHOOSE({1,2},Table2[Pay Item Description],Table2[Unit Cost]),2,0))</f>
        <v>4</v>
      </c>
      <c r="AF14" s="24" t="n">
        <f aca="false">AE14*AD14</f>
        <v>78000.39</v>
      </c>
      <c r="AH14" s="0" t="n">
        <v>2</v>
      </c>
      <c r="AI14" s="0" t="str">
        <f aca="false">IF(AJ14="",0,VLOOKUP(AJ14,CHOOSE({1,2},Table2[Pay Item Description],Table2[Pay Item No.]),2,0))</f>
        <v>P-101-5.2a</v>
      </c>
      <c r="AJ14" s="0" t="str">
        <f aca="false">Pay_Items!D6</f>
        <v>Crack Repair (Type I), Asphalt</v>
      </c>
      <c r="AK14" s="107" t="str">
        <f aca="false">IF(AJ14="","N/A",VLOOKUP(AJ14,CHOOSE({1,2},Table2[Pay Item Description],Table2[Units]),2,0))</f>
        <v>L.F.</v>
      </c>
      <c r="AL14" s="104" t="n">
        <f aca="false">'Maintenance Policies'!D19*($C$5*9)</f>
        <v>21000.105</v>
      </c>
      <c r="AM14" s="108" t="n">
        <f aca="false">IF(AJ14="","N/A",VLOOKUP(AJ14,CHOOSE({1,2},Table2[Pay Item Description],Table2[Unit Cost]),2,0))</f>
        <v>4</v>
      </c>
      <c r="AN14" s="27" t="n">
        <f aca="false">AM14*AL14</f>
        <v>84000.42</v>
      </c>
      <c r="AP14" s="1" t="n">
        <v>2</v>
      </c>
      <c r="AQ14" s="1" t="str">
        <f aca="false">IF(AR14="",0,VLOOKUP(AR14,CHOOSE({1,2},Table2[Pay Item Description],Table2[Pay Item No.]),2,0))</f>
        <v>P-603-5.1</v>
      </c>
      <c r="AR14" s="1" t="str">
        <f aca="false">Pay_Items!D54</f>
        <v>Emulsified Asphalt Tack Coat</v>
      </c>
      <c r="AS14" s="105" t="str">
        <f aca="false">IF(AR14="","N/A",VLOOKUP(AR14,CHOOSE({1,2},Table2[Pay Item Description],Table2[Units]),2,0))</f>
        <v>GAL</v>
      </c>
      <c r="AT14" s="102" t="n">
        <f aca="false">'Maintenance Policies'!D22*$C$5*AQ9</f>
        <v>6666.7</v>
      </c>
      <c r="AU14" s="106" t="n">
        <f aca="false">IF(AR14="","N/A",VLOOKUP(AR14,CHOOSE({1,2},Table2[Pay Item Description],Table2[Unit Cost]),2,0))</f>
        <v>4.5</v>
      </c>
      <c r="AV14" s="24" t="n">
        <f aca="false">AU14*AT14</f>
        <v>30000.15</v>
      </c>
      <c r="AX14" s="0" t="n">
        <v>2</v>
      </c>
      <c r="AY14" s="0" t="str">
        <f aca="false">IF(AZ14="",0,VLOOKUP(AZ14,CHOOSE({1,2},Table2[Pay Item Description],Table2[Pay Item No.]),2,0))</f>
        <v>P-101-5.3</v>
      </c>
      <c r="AZ14" s="0" t="str">
        <f aca="false">Pay_Items!D10</f>
        <v>Markings Removal</v>
      </c>
      <c r="BA14" s="107" t="str">
        <f aca="false">IF(AZ14="","N/A",VLOOKUP(AZ14,CHOOSE({1,2},Table2[Pay Item Description],Table2[Units]),2,0))</f>
        <v>S.F.</v>
      </c>
      <c r="BB14" s="104" t="n">
        <f aca="false">'Maintenance Policies'!D26*$C$8</f>
        <v>15000</v>
      </c>
      <c r="BC14" s="108" t="n">
        <f aca="false">IF(AZ14="","N/A",VLOOKUP(AZ14,CHOOSE({1,2},Table2[Pay Item Description],Table2[Unit Cost]),2,0))</f>
        <v>0.777777777777778</v>
      </c>
      <c r="BD14" s="27" t="n">
        <f aca="false">BC14*BB14</f>
        <v>11666.6666666667</v>
      </c>
      <c r="BF14" s="1" t="n">
        <v>2</v>
      </c>
      <c r="BG14" s="1" t="str">
        <f aca="false">IF(BH14="",0,VLOOKUP(BH14,CHOOSE({1,2},Table2[Pay Item Description],Table2[Pay Item No.]),2,0))</f>
        <v>P-101-5.2a</v>
      </c>
      <c r="BH14" s="1" t="str">
        <f aca="false">Pay_Items!D6</f>
        <v>Crack Repair (Type I), Asphalt</v>
      </c>
      <c r="BI14" s="105" t="str">
        <f aca="false">IF(BH14="","N/A",VLOOKUP(BH14,CHOOSE({1,2},Table2[Pay Item Description],Table2[Units]),2,0))</f>
        <v>L.F.</v>
      </c>
      <c r="BJ14" s="102" t="n">
        <f aca="false">'Maintenance Policies'!D29*($C$5*9)</f>
        <v>24000.12</v>
      </c>
      <c r="BK14" s="106" t="n">
        <f aca="false">IF(BH14="","N/A",VLOOKUP(BH14,CHOOSE({1,2},Table2[Pay Item Description],Table2[Unit Cost]),2,0))</f>
        <v>4</v>
      </c>
      <c r="BL14" s="24" t="n">
        <f aca="false">BK14*BJ14</f>
        <v>96000.48</v>
      </c>
    </row>
    <row r="15" customFormat="false" ht="19.5" hidden="false" customHeight="true" outlineLevel="0" collapsed="false">
      <c r="A15" s="0" t="n">
        <v>3</v>
      </c>
      <c r="B15" s="16" t="n">
        <f aca="false">IF(C15="",0,VLOOKUP(C15,CHOOSE({1,2},Table2[Pay Item Description],Table2[Pay Item No.]),2,0))</f>
        <v>0</v>
      </c>
      <c r="C15" s="17"/>
      <c r="D15" s="18" t="str">
        <f aca="false">IF(C15="","N/A",VLOOKUP(C15,CHOOSE({1,2},Table2[Pay Item Description],Table2[Units]),2,0))</f>
        <v>N/A</v>
      </c>
      <c r="E15" s="99"/>
      <c r="F15" s="20" t="str">
        <f aca="false">IF(C15="","N/A",VLOOKUP(C15,CHOOSE({1,2},Table2[Pay Item Description],Table2[Unit Cost]),2,0))</f>
        <v>N/A</v>
      </c>
      <c r="G15" s="21" t="n">
        <f aca="false">IF(B15&lt;&gt;0,F15*E15,0)</f>
        <v>0</v>
      </c>
      <c r="J15" s="1" t="n">
        <v>3</v>
      </c>
      <c r="K15" s="1" t="str">
        <f aca="false">IF(L15="",0,VLOOKUP(L15,CHOOSE({1,2},Table2[Pay Item Description],Table2[Pay Item No.]),2,0))</f>
        <v>P-620-5.1a</v>
      </c>
      <c r="L15" s="1" t="str">
        <f aca="false">Pay_Items!D56</f>
        <v>Markings (prep, markings, reflective media)</v>
      </c>
      <c r="M15" s="105" t="str">
        <f aca="false">IF(L15="","N/A",VLOOKUP(L15,CHOOSE({1,2},Table2[Pay Item Description],Table2[Units]),2,0))</f>
        <v>S.F.</v>
      </c>
      <c r="N15" s="102" t="n">
        <f aca="false">'Maintenance Policies'!D11*$C$8</f>
        <v>15000</v>
      </c>
      <c r="O15" s="106" t="n">
        <f aca="false">IF(L15="","N/A",VLOOKUP(L15,CHOOSE({1,2},Table2[Pay Item Description],Table2[Unit Cost]),2,0))</f>
        <v>0.666666666666667</v>
      </c>
      <c r="P15" s="24" t="n">
        <f aca="false">O15*N15</f>
        <v>10000</v>
      </c>
      <c r="R15" s="0" t="n">
        <v>3</v>
      </c>
      <c r="S15" s="0" t="str">
        <f aca="false">IF(T15="",0,VLOOKUP(T15,CHOOSE({1,2},Table2[Pay Item Description],Table2[Pay Item No.]),2,0))</f>
        <v>P-620-5.1a</v>
      </c>
      <c r="T15" s="0" t="str">
        <f aca="false">Pay_Items!D56</f>
        <v>Markings (prep, markings, reflective media)</v>
      </c>
      <c r="U15" s="107" t="str">
        <f aca="false">Pay_Items!E56</f>
        <v>S.F.</v>
      </c>
      <c r="V15" s="104" t="n">
        <f aca="false">'Maintenance Policies'!D13*$C$8</f>
        <v>15000</v>
      </c>
      <c r="W15" s="108" t="n">
        <f aca="false">IF(T15="","N/A",VLOOKUP(T15,CHOOSE({1,2},Table2[Pay Item Description],Table2[Unit Cost]),2,0))</f>
        <v>0.666666666666667</v>
      </c>
      <c r="X15" s="27" t="n">
        <f aca="false">W15*V15</f>
        <v>10000</v>
      </c>
      <c r="Z15" s="1" t="n">
        <v>3</v>
      </c>
      <c r="AA15" s="100" t="str">
        <f aca="false">IF(AB15="",0,VLOOKUP(AB15,CHOOSE({1,2},Table2[Pay Item Description],Table2[Pay Item No.]),2,0))</f>
        <v>P-608-8.1</v>
      </c>
      <c r="AB15" s="1" t="str">
        <f aca="false">C7</f>
        <v>Emulsified Asphalt Surface Treatment</v>
      </c>
      <c r="AC15" s="101" t="str">
        <f aca="false">IF(AB15="","N/A",VLOOKUP(AB15,CHOOSE({1,2},Table2[Pay Item Description],Table2[Units]),2,0))</f>
        <v>S.Y.</v>
      </c>
      <c r="AD15" s="102" t="n">
        <f aca="false">'Maintenance Policies'!D16*$C$5</f>
        <v>66667</v>
      </c>
      <c r="AE15" s="103" t="n">
        <f aca="false">IF(AB15="","N/A",VLOOKUP(AB15,CHOOSE({1,2},Table2[Pay Item Description],Table2[Unit Cost]),2,0))</f>
        <v>4</v>
      </c>
      <c r="AF15" s="24" t="n">
        <f aca="false">AE15*AD15</f>
        <v>266668</v>
      </c>
      <c r="AH15" s="0" t="n">
        <v>3</v>
      </c>
      <c r="AI15" s="16" t="str">
        <f aca="false">IF(AJ15="",0,VLOOKUP(AJ15,CHOOSE({1,2},Table2[Pay Item Description],Table2[Pay Item No.]),2,0))</f>
        <v>P-608-8.1</v>
      </c>
      <c r="AJ15" s="0" t="str">
        <f aca="false">C7</f>
        <v>Emulsified Asphalt Surface Treatment</v>
      </c>
      <c r="AK15" s="18" t="str">
        <f aca="false">IF(AJ15="","N/A",VLOOKUP(AJ15,CHOOSE({1,2},Table2[Pay Item Description],Table2[Units]),2,0))</f>
        <v>S.Y.</v>
      </c>
      <c r="AL15" s="104" t="n">
        <f aca="false">'Maintenance Policies'!D20*$C$5</f>
        <v>66667</v>
      </c>
      <c r="AM15" s="59" t="n">
        <f aca="false">IF(AJ15="","N/A",VLOOKUP(AJ15,CHOOSE({1,2},Table2[Pay Item Description],Table2[Unit Cost]),2,0))</f>
        <v>4</v>
      </c>
      <c r="AN15" s="27" t="n">
        <f aca="false">AM15*AL15</f>
        <v>266668</v>
      </c>
      <c r="AP15" s="1" t="n">
        <v>3</v>
      </c>
      <c r="AQ15" s="1" t="str">
        <f aca="false">IF(AR15="",0,VLOOKUP(AR15,CHOOSE({1,2},Table2[Pay Item Description],Table2[Pay Item No.]),2,0))</f>
        <v>P-401-8.1a</v>
      </c>
      <c r="AR15" s="1" t="str">
        <f aca="false">Pay_Items!D37</f>
        <v>Asphalt Surface Course</v>
      </c>
      <c r="AS15" s="105" t="str">
        <f aca="false">IF(AR15="","N/A",VLOOKUP(AR15,CHOOSE({1,2},Table2[Pay Item Description],Table2[Units]),2,0))</f>
        <v>TON</v>
      </c>
      <c r="AT15" s="102" t="n">
        <f aca="false">'Maintenance Policies'!D22*$C$5*AQ6*AQ7/2000</f>
        <v>8000.04</v>
      </c>
      <c r="AU15" s="106" t="n">
        <f aca="false">IF(AR15="","N/A",VLOOKUP(AR15,CHOOSE({1,2},Table2[Pay Item Description],Table2[Unit Cost]),2,0))</f>
        <v>130</v>
      </c>
      <c r="AV15" s="24" t="n">
        <f aca="false">AU15*AT15</f>
        <v>1040005.2</v>
      </c>
      <c r="AX15" s="0" t="n">
        <v>3</v>
      </c>
      <c r="AY15" s="0" t="str">
        <f aca="false">IF(AZ15="",0,VLOOKUP(AZ15,CHOOSE({1,2},Table2[Pay Item Description],Table2[Pay Item No.]),2,0))</f>
        <v>P-620-5.1a</v>
      </c>
      <c r="AZ15" s="0" t="str">
        <f aca="false">Pay_Items!D56</f>
        <v>Markings (prep, markings, reflective media)</v>
      </c>
      <c r="BA15" s="107" t="str">
        <f aca="false">IF(AZ15="","N/A",VLOOKUP(AZ15,CHOOSE({1,2},Table2[Pay Item Description],Table2[Units]),2,0))</f>
        <v>S.F.</v>
      </c>
      <c r="BB15" s="104" t="n">
        <f aca="false">'Maintenance Policies'!D27*$C$8</f>
        <v>15000</v>
      </c>
      <c r="BC15" s="108" t="n">
        <f aca="false">IF(AZ15="","N/A",VLOOKUP(AZ15,CHOOSE({1,2},Table2[Pay Item Description],Table2[Unit Cost]),2,0))</f>
        <v>0.666666666666667</v>
      </c>
      <c r="BD15" s="27" t="n">
        <f aca="false">BC15*BB15</f>
        <v>10000</v>
      </c>
      <c r="BF15" s="1" t="n">
        <v>3</v>
      </c>
      <c r="BG15" s="100" t="str">
        <f aca="false">IF(BH15="",0,VLOOKUP(BH15,CHOOSE({1,2},Table2[Pay Item Description],Table2[Pay Item No.]),2,0))</f>
        <v>P-608-8.1</v>
      </c>
      <c r="BH15" s="1" t="str">
        <f aca="false">C7</f>
        <v>Emulsified Asphalt Surface Treatment</v>
      </c>
      <c r="BI15" s="101" t="str">
        <f aca="false">IF(BH15="","N/A",VLOOKUP(BH15,CHOOSE({1,2},Table2[Pay Item Description],Table2[Units]),2,0))</f>
        <v>S.Y.</v>
      </c>
      <c r="BJ15" s="102" t="n">
        <f aca="false">'Maintenance Policies'!D30*$C$5</f>
        <v>66667</v>
      </c>
      <c r="BK15" s="103" t="n">
        <f aca="false">IF(BH15="","N/A",VLOOKUP(BH15,CHOOSE({1,2},Table2[Pay Item Description],Table2[Unit Cost]),2,0))</f>
        <v>4</v>
      </c>
      <c r="BL15" s="24" t="n">
        <f aca="false">BK15*BJ15</f>
        <v>266668</v>
      </c>
    </row>
    <row r="16" customFormat="false" ht="19.5" hidden="false" customHeight="true" outlineLevel="0" collapsed="false">
      <c r="A16" s="0" t="n">
        <v>4</v>
      </c>
      <c r="B16" s="16" t="n">
        <f aca="false">IF(C16="",0,VLOOKUP(C16,CHOOSE({1,2},Table2[Pay Item Description],Table2[Pay Item No.]),2,0))</f>
        <v>0</v>
      </c>
      <c r="C16" s="17"/>
      <c r="D16" s="18" t="str">
        <f aca="false">IF(C16="","N/A",VLOOKUP(C16,CHOOSE({1,2},Table2[Pay Item Description],Table2[Units]),2,0))</f>
        <v>N/A</v>
      </c>
      <c r="E16" s="99"/>
      <c r="F16" s="20" t="str">
        <f aca="false">IF(C16="","N/A",VLOOKUP(C16,CHOOSE({1,2},Table2[Pay Item Description],Table2[Unit Cost]),2,0))</f>
        <v>N/A</v>
      </c>
      <c r="G16" s="21" t="n">
        <f aca="false">IF(B16&lt;&gt;0,F16*E16,0)</f>
        <v>0</v>
      </c>
      <c r="O16" s="1" t="s">
        <v>23</v>
      </c>
      <c r="P16" s="24" t="n">
        <f aca="false">SUM(P13:P15)</f>
        <v>288334.666666667</v>
      </c>
      <c r="W16" s="15" t="s">
        <v>23</v>
      </c>
      <c r="X16" s="27" t="n">
        <f aca="false">SUM(X13:X15)</f>
        <v>288334.666666667</v>
      </c>
      <c r="Z16" s="1" t="n">
        <v>4</v>
      </c>
      <c r="AA16" s="1" t="str">
        <f aca="false">IF(AB16="",0,VLOOKUP(AB16,CHOOSE({1,2},Table2[Pay Item Description],Table2[Pay Item No.]),2,0))</f>
        <v>P-101-5.3</v>
      </c>
      <c r="AB16" s="1" t="str">
        <f aca="false">Pay_Items!D10</f>
        <v>Markings Removal</v>
      </c>
      <c r="AC16" s="105" t="str">
        <f aca="false">IF(AB16="","N/A",VLOOKUP(AB16,CHOOSE({1,2},Table2[Pay Item Description],Table2[Units]),2,0))</f>
        <v>S.F.</v>
      </c>
      <c r="AD16" s="102" t="n">
        <f aca="false">'Maintenance Policies'!D16*$C$8</f>
        <v>15000</v>
      </c>
      <c r="AE16" s="106" t="n">
        <f aca="false">IF(AB16="","N/A",VLOOKUP(AB16,CHOOSE({1,2},Table2[Pay Item Description],Table2[Unit Cost]),2,0))</f>
        <v>0.777777777777778</v>
      </c>
      <c r="AF16" s="24" t="n">
        <f aca="false">AE16*AD16</f>
        <v>11666.6666666667</v>
      </c>
      <c r="AH16" s="0" t="n">
        <v>4</v>
      </c>
      <c r="AI16" s="0" t="str">
        <f aca="false">IF(AJ16="",0,VLOOKUP(AJ16,CHOOSE({1,2},Table2[Pay Item Description],Table2[Pay Item No.]),2,0))</f>
        <v>P-101-5.3</v>
      </c>
      <c r="AJ16" s="0" t="str">
        <f aca="false">Pay_Items!D10</f>
        <v>Markings Removal</v>
      </c>
      <c r="AK16" s="107" t="str">
        <f aca="false">IF(AJ16="","N/A",VLOOKUP(AJ16,CHOOSE({1,2},Table2[Pay Item Description],Table2[Units]),2,0))</f>
        <v>S.F.</v>
      </c>
      <c r="AL16" s="104" t="n">
        <f aca="false">'Maintenance Policies'!D20*$C$8</f>
        <v>15000</v>
      </c>
      <c r="AM16" s="108" t="n">
        <f aca="false">IF(AJ16="","N/A",VLOOKUP(AJ16,CHOOSE({1,2},Table2[Pay Item Description],Table2[Unit Cost]),2,0))</f>
        <v>0.777777777777778</v>
      </c>
      <c r="AN16" s="27" t="n">
        <f aca="false">AM16*AL16</f>
        <v>11666.6666666667</v>
      </c>
      <c r="AP16" s="1" t="n">
        <v>4</v>
      </c>
      <c r="AQ16" s="1" t="str">
        <f aca="false">IF(AR16="",0,VLOOKUP(AR16,CHOOSE({1,2},Table2[Pay Item Description],Table2[Pay Item No.]),2,0))</f>
        <v>P-101-5.2a</v>
      </c>
      <c r="AR16" s="1" t="str">
        <f aca="false">Pay_Items!D6</f>
        <v>Crack Repair (Type I), Asphalt</v>
      </c>
      <c r="AS16" s="105" t="str">
        <f aca="false">IF(AR16="","N/A",VLOOKUP(AR16,CHOOSE({1,2},Table2[Pay Item Description],Table2[Units]),2,0))</f>
        <v>L.F.</v>
      </c>
      <c r="AT16" s="102" t="n">
        <f aca="false">'Maintenance Policies'!D23*($C$5*9)</f>
        <v>9000.045</v>
      </c>
      <c r="AU16" s="106" t="n">
        <f aca="false">IF(AR16="","N/A",VLOOKUP(AR16,CHOOSE({1,2},Table2[Pay Item Description],Table2[Unit Cost]),2,0))</f>
        <v>4</v>
      </c>
      <c r="AV16" s="24" t="n">
        <f aca="false">AU16*AT16</f>
        <v>36000.18</v>
      </c>
      <c r="BC16" s="15" t="s">
        <v>23</v>
      </c>
      <c r="BD16" s="27" t="n">
        <f aca="false">SUM(BD13:BD15)</f>
        <v>288334.666666667</v>
      </c>
      <c r="BF16" s="1" t="n">
        <v>4</v>
      </c>
      <c r="BG16" s="1" t="str">
        <f aca="false">IF(BH16="",0,VLOOKUP(BH16,CHOOSE({1,2},Table2[Pay Item Description],Table2[Pay Item No.]),2,0))</f>
        <v>P-101-5.3</v>
      </c>
      <c r="BH16" s="1" t="str">
        <f aca="false">Pay_Items!D10</f>
        <v>Markings Removal</v>
      </c>
      <c r="BI16" s="105" t="str">
        <f aca="false">IF(BH16="","N/A",VLOOKUP(BH16,CHOOSE({1,2},Table2[Pay Item Description],Table2[Units]),2,0))</f>
        <v>S.F.</v>
      </c>
      <c r="BJ16" s="102" t="n">
        <f aca="false">C8</f>
        <v>15000</v>
      </c>
      <c r="BK16" s="106" t="n">
        <f aca="false">IF(BH16="","N/A",VLOOKUP(BH16,CHOOSE({1,2},Table2[Pay Item Description],Table2[Unit Cost]),2,0))</f>
        <v>0.777777777777778</v>
      </c>
      <c r="BL16" s="24" t="n">
        <f aca="false">BK16*BJ16</f>
        <v>11666.6666666667</v>
      </c>
    </row>
    <row r="17" customFormat="false" ht="19.5" hidden="false" customHeight="true" outlineLevel="0" collapsed="false">
      <c r="A17" s="0" t="n">
        <v>5</v>
      </c>
      <c r="B17" s="16" t="n">
        <f aca="false">IF(C17="",0,VLOOKUP(C17,CHOOSE({1,2},Table2[Pay Item Description],Table2[Pay Item No.]),2,0))</f>
        <v>0</v>
      </c>
      <c r="C17" s="17"/>
      <c r="D17" s="18" t="str">
        <f aca="false">IF(C17="","N/A",VLOOKUP(C17,CHOOSE({1,2},Table2[Pay Item Description],Table2[Units]),2,0))</f>
        <v>N/A</v>
      </c>
      <c r="E17" s="99"/>
      <c r="F17" s="20" t="str">
        <f aca="false">IF(C17="","N/A",VLOOKUP(C17,CHOOSE({1,2},Table2[Pay Item Description],Table2[Unit Cost]),2,0))</f>
        <v>N/A</v>
      </c>
      <c r="G17" s="21" t="n">
        <f aca="false">IF(B17&lt;&gt;0,F17*E17,0)</f>
        <v>0</v>
      </c>
      <c r="L17" s="1" t="s">
        <v>24</v>
      </c>
      <c r="P17" s="24" t="n">
        <f aca="false">('General Information'!$D$36/100)*P16</f>
        <v>28833.4666666667</v>
      </c>
      <c r="T17" s="15" t="s">
        <v>24</v>
      </c>
      <c r="X17" s="27" t="n">
        <f aca="false">('General Information'!$D$36/100)*X16</f>
        <v>28833.4666666667</v>
      </c>
      <c r="Z17" s="1" t="n">
        <v>5</v>
      </c>
      <c r="AA17" s="1" t="str">
        <f aca="false">IF(AB17="",0,VLOOKUP(AB17,CHOOSE({1,2},Table2[Pay Item Description],Table2[Pay Item No.]),2,0))</f>
        <v>P-620-5.1a</v>
      </c>
      <c r="AB17" s="1" t="str">
        <f aca="false">Pay_Items!D56</f>
        <v>Markings (prep, markings, reflective media)</v>
      </c>
      <c r="AC17" s="105" t="str">
        <f aca="false">IF(AB17="","N/A",VLOOKUP(AB17,CHOOSE({1,2},Table2[Pay Item Description],Table2[Units]),2,0))</f>
        <v>S.F.</v>
      </c>
      <c r="AD17" s="102" t="n">
        <f aca="false">'Maintenance Policies'!D17*$C$8</f>
        <v>15000</v>
      </c>
      <c r="AE17" s="106" t="n">
        <f aca="false">IF(AB17="","N/A",VLOOKUP(AB17,CHOOSE({1,2},Table2[Pay Item Description],Table2[Unit Cost]),2,0))</f>
        <v>0.666666666666667</v>
      </c>
      <c r="AF17" s="24" t="n">
        <f aca="false">AE17*AD17</f>
        <v>10000</v>
      </c>
      <c r="AH17" s="0" t="n">
        <v>5</v>
      </c>
      <c r="AI17" s="0" t="str">
        <f aca="false">IF(AJ17="",0,VLOOKUP(AJ17,CHOOSE({1,2},Table2[Pay Item Description],Table2[Pay Item No.]),2,0))</f>
        <v>P-620-5.1a</v>
      </c>
      <c r="AJ17" s="0" t="str">
        <f aca="false">Pay_Items!D56</f>
        <v>Markings (prep, markings, reflective media)</v>
      </c>
      <c r="AK17" s="107" t="str">
        <f aca="false">IF(AJ17="","N/A",VLOOKUP(AJ17,CHOOSE({1,2},Table2[Pay Item Description],Table2[Units]),2,0))</f>
        <v>S.F.</v>
      </c>
      <c r="AL17" s="104" t="n">
        <f aca="false">'Maintenance Policies'!D21*$C$8</f>
        <v>15000</v>
      </c>
      <c r="AM17" s="108" t="n">
        <f aca="false">IF(AJ17="","N/A",VLOOKUP(AJ17,CHOOSE({1,2},Table2[Pay Item Description],Table2[Unit Cost]),2,0))</f>
        <v>0.666666666666667</v>
      </c>
      <c r="AN17" s="27" t="n">
        <f aca="false">AM17*AL17</f>
        <v>10000</v>
      </c>
      <c r="AP17" s="1" t="n">
        <v>5</v>
      </c>
      <c r="AQ17" s="1" t="str">
        <f aca="false">IF(AR17="",0,VLOOKUP(AR17,CHOOSE({1,2},Table2[Pay Item Description],Table2[Pay Item No.]),2,0))</f>
        <v>P-101-5.4a</v>
      </c>
      <c r="AR17" s="1" t="str">
        <f aca="false">Pay_Items!D11</f>
        <v>Spall Repair, Asphalt</v>
      </c>
      <c r="AS17" s="105" t="str">
        <f aca="false">IF(AR17="","N/A",VLOOKUP(AR17,CHOOSE({1,2},Table2[Pay Item Description],Table2[Units]),2,0))</f>
        <v>S.F.</v>
      </c>
      <c r="AT17" s="102" t="n">
        <f aca="false">'Maintenance Policies'!D24*($C$5*9)</f>
        <v>3000.015</v>
      </c>
      <c r="AU17" s="106" t="n">
        <f aca="false">IF(AR17="","N/A",VLOOKUP(AR17,CHOOSE({1,2},Table2[Pay Item Description],Table2[Unit Cost]),2,0))</f>
        <v>8.5</v>
      </c>
      <c r="AV17" s="24" t="n">
        <f aca="false">AU17*AT17</f>
        <v>25500.1275</v>
      </c>
      <c r="AZ17" s="15" t="s">
        <v>24</v>
      </c>
      <c r="BD17" s="27" t="n">
        <f aca="false">('General Information'!$D$36/100)*BD16</f>
        <v>28833.4666666667</v>
      </c>
      <c r="BF17" s="1" t="n">
        <v>5</v>
      </c>
      <c r="BG17" s="1" t="str">
        <f aca="false">IF(BH17="",0,VLOOKUP(BH17,CHOOSE({1,2},Table2[Pay Item Description],Table2[Pay Item No.]),2,0))</f>
        <v>P-620-5.1a</v>
      </c>
      <c r="BH17" s="1" t="str">
        <f aca="false">Pay_Items!D56</f>
        <v>Markings (prep, markings, reflective media)</v>
      </c>
      <c r="BI17" s="105" t="str">
        <f aca="false">IF(BH17="","N/A",VLOOKUP(BH17,CHOOSE({1,2},Table2[Pay Item Description],Table2[Units]),2,0))</f>
        <v>S.F.</v>
      </c>
      <c r="BJ17" s="102" t="n">
        <f aca="false">'Maintenance Policies'!D31*$C$8</f>
        <v>15000</v>
      </c>
      <c r="BK17" s="106" t="n">
        <f aca="false">IF(BH17="","N/A",VLOOKUP(BH17,CHOOSE({1,2},Table2[Pay Item Description],Table2[Unit Cost]),2,0))</f>
        <v>0.666666666666667</v>
      </c>
      <c r="BL17" s="24" t="n">
        <f aca="false">BK17*BJ17</f>
        <v>10000</v>
      </c>
    </row>
    <row r="18" customFormat="false" ht="19.5" hidden="false" customHeight="true" outlineLevel="0" collapsed="false">
      <c r="A18" s="0" t="n">
        <v>6</v>
      </c>
      <c r="B18" s="16" t="n">
        <f aca="false">IF(C18="",0,VLOOKUP(C18,CHOOSE({1,2},Table2[Pay Item Description],Table2[Pay Item No.]),2,0))</f>
        <v>0</v>
      </c>
      <c r="C18" s="17"/>
      <c r="D18" s="18" t="str">
        <f aca="false">IF(C18="","N/A",VLOOKUP(C18,CHOOSE({1,2},Table2[Pay Item Description],Table2[Units]),2,0))</f>
        <v>N/A</v>
      </c>
      <c r="E18" s="99"/>
      <c r="F18" s="20" t="str">
        <f aca="false">IF(C18="","N/A",VLOOKUP(C18,CHOOSE({1,2},Table2[Pay Item Description],Table2[Unit Cost]),2,0))</f>
        <v>N/A</v>
      </c>
      <c r="G18" s="21" t="n">
        <f aca="false">IF(B18&lt;&gt;0,F18*E18,0)</f>
        <v>0</v>
      </c>
      <c r="L18" s="1" t="s">
        <v>25</v>
      </c>
      <c r="P18" s="24" t="n">
        <f aca="false">('General Information'!$D$37/100)*P16</f>
        <v>14416.7333333333</v>
      </c>
      <c r="T18" s="15" t="s">
        <v>25</v>
      </c>
      <c r="X18" s="27" t="n">
        <f aca="false">('General Information'!$D$37/100)*X16</f>
        <v>14416.7333333333</v>
      </c>
      <c r="AE18" s="1" t="s">
        <v>23</v>
      </c>
      <c r="AF18" s="24" t="n">
        <f aca="false">SUM(AF13:AF17)</f>
        <v>404585.247916667</v>
      </c>
      <c r="AM18" s="15" t="s">
        <v>23</v>
      </c>
      <c r="AN18" s="27" t="n">
        <f aca="false">SUM(AN13:AN17)</f>
        <v>423335.341666667</v>
      </c>
      <c r="AP18" s="1" t="n">
        <v>6</v>
      </c>
      <c r="AQ18" s="1" t="str">
        <f aca="false">IF(AR18="",0,VLOOKUP(AR18,CHOOSE({1,2},Table2[Pay Item Description],Table2[Pay Item No.]),2,0))</f>
        <v>P-620-5.1a</v>
      </c>
      <c r="AR18" s="1" t="str">
        <f aca="false">Pay_Items!D56</f>
        <v>Markings (prep, markings, reflective media)</v>
      </c>
      <c r="AS18" s="105" t="str">
        <f aca="false">IF(AR18="","N/A",VLOOKUP(AR18,CHOOSE({1,2},Table2[Pay Item Description],Table2[Units]),2,0))</f>
        <v>S.F.</v>
      </c>
      <c r="AT18" s="102" t="n">
        <f aca="false">'Maintenance Policies'!D25*$C$8</f>
        <v>15000</v>
      </c>
      <c r="AU18" s="106" t="n">
        <f aca="false">IF(AR18="","N/A",VLOOKUP(AR18,CHOOSE({1,2},Table2[Pay Item Description],Table2[Unit Cost]),2,0))</f>
        <v>0.666666666666667</v>
      </c>
      <c r="AV18" s="24" t="n">
        <f aca="false">AU18*AT18</f>
        <v>10000</v>
      </c>
      <c r="AZ18" s="15" t="s">
        <v>25</v>
      </c>
      <c r="BD18" s="27" t="n">
        <f aca="false">('General Information'!$D$37/100)*BD16</f>
        <v>14416.7333333333</v>
      </c>
      <c r="BK18" s="1" t="s">
        <v>23</v>
      </c>
      <c r="BL18" s="24" t="n">
        <f aca="false">SUM(BL13:BL17)</f>
        <v>448085.465416667</v>
      </c>
    </row>
    <row r="19" customFormat="false" ht="19.5" hidden="false" customHeight="true" outlineLevel="0" collapsed="false">
      <c r="A19" s="0" t="n">
        <v>7</v>
      </c>
      <c r="B19" s="16" t="n">
        <f aca="false">IF(C19="",0,VLOOKUP(C19,CHOOSE({1,2},Table2[Pay Item Description],Table2[Pay Item No.]),2,0))</f>
        <v>0</v>
      </c>
      <c r="C19" s="17"/>
      <c r="D19" s="18" t="str">
        <f aca="false">IF(C19="","N/A",VLOOKUP(C19,CHOOSE({1,2},Table2[Pay Item Description],Table2[Units]),2,0))</f>
        <v>N/A</v>
      </c>
      <c r="E19" s="99"/>
      <c r="F19" s="20" t="str">
        <f aca="false">IF(C19="","N/A",VLOOKUP(C19,CHOOSE({1,2},Table2[Pay Item Description],Table2[Unit Cost]),2,0))</f>
        <v>N/A</v>
      </c>
      <c r="G19" s="21" t="n">
        <f aca="false">IF(B19&lt;&gt;0,F19*E19,0)</f>
        <v>0</v>
      </c>
      <c r="O19" s="1" t="s">
        <v>26</v>
      </c>
      <c r="P19" s="24" t="n">
        <f aca="false">SUM(P16:P18)</f>
        <v>331584.866666667</v>
      </c>
      <c r="W19" s="15" t="s">
        <v>26</v>
      </c>
      <c r="X19" s="27" t="n">
        <f aca="false">SUM(X16:X18)</f>
        <v>331584.866666667</v>
      </c>
      <c r="AB19" s="1" t="s">
        <v>24</v>
      </c>
      <c r="AF19" s="24" t="n">
        <f aca="false">('General Information'!$D$36/100)*AF18</f>
        <v>40458.5247916667</v>
      </c>
      <c r="AJ19" s="15" t="s">
        <v>24</v>
      </c>
      <c r="AN19" s="27" t="n">
        <f aca="false">('General Information'!$D$36/100)*AN18</f>
        <v>42333.5341666667</v>
      </c>
      <c r="AU19" s="1" t="s">
        <v>23</v>
      </c>
      <c r="AV19" s="24" t="n">
        <f aca="false">SUM(AV13:AV18)</f>
        <v>1474840.6575</v>
      </c>
      <c r="BC19" s="15" t="s">
        <v>26</v>
      </c>
      <c r="BD19" s="27" t="n">
        <f aca="false">SUM(BD16:BD18)</f>
        <v>331584.866666667</v>
      </c>
      <c r="BH19" s="1" t="s">
        <v>24</v>
      </c>
      <c r="BL19" s="24" t="n">
        <f aca="false">('General Information'!$D$36/100)*BL18</f>
        <v>44808.5465416667</v>
      </c>
    </row>
    <row r="20" customFormat="false" ht="19.5" hidden="false" customHeight="true" outlineLevel="0" collapsed="false">
      <c r="A20" s="0" t="n">
        <v>8</v>
      </c>
      <c r="B20" s="16" t="n">
        <f aca="false">IF(C20="",0,VLOOKUP(C20,CHOOSE({1,2},Table2[Pay Item Description],Table2[Pay Item No.]),2,0))</f>
        <v>0</v>
      </c>
      <c r="C20" s="17"/>
      <c r="D20" s="18" t="str">
        <f aca="false">IF(C20="","N/A",VLOOKUP(C20,CHOOSE({1,2},Table2[Pay Item Description],Table2[Units]),2,0))</f>
        <v>N/A</v>
      </c>
      <c r="E20" s="99"/>
      <c r="F20" s="20" t="str">
        <f aca="false">IF(C20="","N/A",VLOOKUP(C20,CHOOSE({1,2},Table2[Pay Item Description],Table2[Unit Cost]),2,0))</f>
        <v>N/A</v>
      </c>
      <c r="G20" s="21" t="n">
        <f aca="false">IF(B20&lt;&gt;0,F20*E20,0)</f>
        <v>0</v>
      </c>
      <c r="P20" s="24"/>
      <c r="X20" s="27"/>
      <c r="AB20" s="1" t="s">
        <v>25</v>
      </c>
      <c r="AF20" s="24" t="n">
        <f aca="false">('General Information'!$D$37/100)*AF18</f>
        <v>20229.2623958333</v>
      </c>
      <c r="AJ20" s="15" t="s">
        <v>25</v>
      </c>
      <c r="AN20" s="27" t="n">
        <f aca="false">('General Information'!$D$37/100)*AN18</f>
        <v>21166.7670833333</v>
      </c>
      <c r="AR20" s="1" t="s">
        <v>24</v>
      </c>
      <c r="AV20" s="24" t="n">
        <f aca="false">('General Information'!$D$36/100)*AV19</f>
        <v>147484.06575</v>
      </c>
      <c r="BH20" s="1" t="s">
        <v>25</v>
      </c>
      <c r="BL20" s="24" t="n">
        <f aca="false">('General Information'!$D$37/100)*BL18</f>
        <v>22404.2732708333</v>
      </c>
    </row>
    <row r="21" customFormat="false" ht="19.5" hidden="false" customHeight="true" outlineLevel="0" collapsed="false">
      <c r="A21" s="0" t="n">
        <v>9</v>
      </c>
      <c r="B21" s="16" t="n">
        <f aca="false">IF(C21="",0,VLOOKUP(C21,CHOOSE({1,2},Table2[Pay Item Description],Table2[Pay Item No.]),2,0))</f>
        <v>0</v>
      </c>
      <c r="C21" s="17"/>
      <c r="D21" s="18" t="str">
        <f aca="false">IF(C21="","N/A",VLOOKUP(C21,CHOOSE({1,2},Table2[Pay Item Description],Table2[Units]),2,0))</f>
        <v>N/A</v>
      </c>
      <c r="E21" s="99"/>
      <c r="F21" s="20" t="str">
        <f aca="false">IF(C21="","N/A",VLOOKUP(C21,CHOOSE({1,2},Table2[Pay Item Description],Table2[Unit Cost]),2,0))</f>
        <v>N/A</v>
      </c>
      <c r="G21" s="21" t="n">
        <f aca="false">IF(B21&lt;&gt;0,F21*E21,0)</f>
        <v>0</v>
      </c>
      <c r="P21" s="24"/>
      <c r="X21" s="27"/>
      <c r="AE21" s="1" t="s">
        <v>26</v>
      </c>
      <c r="AF21" s="24" t="n">
        <f aca="false">SUM(AF18:AF20)</f>
        <v>465273.035104167</v>
      </c>
      <c r="AM21" s="15" t="s">
        <v>26</v>
      </c>
      <c r="AN21" s="27" t="n">
        <f aca="false">SUM(AN18:AN20)</f>
        <v>486835.642916667</v>
      </c>
      <c r="AR21" s="1" t="s">
        <v>25</v>
      </c>
      <c r="AV21" s="24" t="n">
        <f aca="false">('General Information'!$D$37/100)*AV19</f>
        <v>73742.032875</v>
      </c>
      <c r="BK21" s="1" t="s">
        <v>26</v>
      </c>
      <c r="BL21" s="24" t="n">
        <f aca="false">SUM(BL18:BL20)</f>
        <v>515298.285229167</v>
      </c>
    </row>
    <row r="22" customFormat="false" ht="19.5" hidden="false" customHeight="true" outlineLevel="0" collapsed="false">
      <c r="A22" s="0" t="n">
        <v>10</v>
      </c>
      <c r="B22" s="16" t="n">
        <f aca="false">IF(C22="",0,VLOOKUP(C22,CHOOSE({1,2},Table2[Pay Item Description],Table2[Pay Item No.]),2,0))</f>
        <v>0</v>
      </c>
      <c r="C22" s="17"/>
      <c r="D22" s="18" t="str">
        <f aca="false">IF(C22="","N/A",VLOOKUP(C22,CHOOSE({1,2},Table2[Pay Item Description],Table2[Units]),2,0))</f>
        <v>N/A</v>
      </c>
      <c r="E22" s="99"/>
      <c r="F22" s="20" t="str">
        <f aca="false">IF(C22="","N/A",VLOOKUP(C22,CHOOSE({1,2},Table2[Pay Item Description],Table2[Unit Cost]),2,0))</f>
        <v>N/A</v>
      </c>
      <c r="G22" s="21" t="n">
        <f aca="false">IF(B22&lt;&gt;0,F22*E22,0)</f>
        <v>0</v>
      </c>
      <c r="AU22" s="1" t="s">
        <v>26</v>
      </c>
      <c r="AV22" s="24" t="n">
        <f aca="false">SUM(AV19:AV21)</f>
        <v>1696066.756125</v>
      </c>
    </row>
    <row r="23" customFormat="false" ht="15" hidden="false" customHeight="false" outlineLevel="0" collapsed="false">
      <c r="G23" s="27"/>
    </row>
    <row r="24" customFormat="false" ht="15" hidden="false" customHeight="false" outlineLevel="0" collapsed="false">
      <c r="A24" s="0" t="s">
        <v>23</v>
      </c>
      <c r="G24" s="27" t="n">
        <f aca="false">SUM(G13:G22)</f>
        <v>0</v>
      </c>
    </row>
    <row r="25" customFormat="false" ht="15" hidden="false" customHeight="false" outlineLevel="0" collapsed="false">
      <c r="B25" s="0" t="s">
        <v>24</v>
      </c>
      <c r="G25" s="27" t="n">
        <f aca="false">('General Information'!$D$36/100)*G24</f>
        <v>0</v>
      </c>
    </row>
    <row r="26" customFormat="false" ht="15" hidden="false" customHeight="false" outlineLevel="0" collapsed="false">
      <c r="B26" s="0" t="s">
        <v>25</v>
      </c>
      <c r="G26" s="27" t="n">
        <f aca="false">('General Information'!$D$37/100)*G24</f>
        <v>0</v>
      </c>
    </row>
    <row r="27" customFormat="false" ht="15" hidden="false" customHeight="false" outlineLevel="0" collapsed="false">
      <c r="A27" s="3" t="s">
        <v>26</v>
      </c>
      <c r="G27" s="109" t="n">
        <f aca="false">SUM(G24:G26)</f>
        <v>0</v>
      </c>
    </row>
    <row r="32" customFormat="false" ht="15" hidden="false" customHeight="false" outlineLevel="0" collapsed="false">
      <c r="A32" s="3" t="s">
        <v>27</v>
      </c>
    </row>
    <row r="33" customFormat="false" ht="15" hidden="false" customHeight="false" outlineLevel="0" collapsed="false">
      <c r="A33" s="3" t="s">
        <v>615</v>
      </c>
      <c r="I33" s="15" t="s">
        <v>0</v>
      </c>
    </row>
    <row r="35" customFormat="false" ht="15" hidden="false" customHeight="false" outlineLevel="0" collapsed="false">
      <c r="B35" s="30" t="s">
        <v>29</v>
      </c>
      <c r="C35" s="31" t="s">
        <v>30</v>
      </c>
      <c r="D35" s="31" t="s">
        <v>31</v>
      </c>
      <c r="E35" s="32" t="s">
        <v>32</v>
      </c>
    </row>
    <row r="36" customFormat="false" ht="15" hidden="false" customHeight="false" outlineLevel="0" collapsed="false">
      <c r="B36" s="33" t="s">
        <v>33</v>
      </c>
      <c r="C36" s="34" t="n">
        <f aca="false">C6</f>
        <v>2028</v>
      </c>
      <c r="D36" s="35" t="n">
        <f aca="false">G27</f>
        <v>0</v>
      </c>
      <c r="E36" s="36" t="n">
        <f aca="false">D36</f>
        <v>0</v>
      </c>
      <c r="K36" s="1" t="s">
        <v>34</v>
      </c>
      <c r="L36" s="1" t="s">
        <v>638</v>
      </c>
      <c r="M36" s="1" t="s">
        <v>639</v>
      </c>
    </row>
    <row r="37" customFormat="false" ht="15" hidden="false" customHeight="false" outlineLevel="0" collapsed="false">
      <c r="B37" s="37" t="s">
        <v>3</v>
      </c>
      <c r="C37" s="38" t="n">
        <f aca="false">'Maintenance Policies'!E10</f>
        <v>4</v>
      </c>
      <c r="D37" s="39" t="n">
        <f aca="false">P19</f>
        <v>331584.866666667</v>
      </c>
      <c r="E37" s="40" t="n">
        <f aca="false">IF(C37&gt;'General Information'!$D$33,0,D37/(1+('General Information'!$D$34/100))^C37)</f>
        <v>294608.859318184</v>
      </c>
      <c r="K37" s="1" t="n">
        <f aca="false">C6</f>
        <v>2028</v>
      </c>
      <c r="L37" s="24" t="n">
        <f aca="false">IF(K37-$C$6&gt;'General Information'!$D$33,0,IF(K37=$C$6,$D$36,0)+SUMIF($C$37:$C$44,K37-$C$6,$D$37:$D$44))</f>
        <v>0</v>
      </c>
      <c r="M37" s="24" t="n">
        <f aca="false">IF(K37-$C$6&gt;'General Information'!$D$33,0,IF(K37=$C$6,$E$36,0)+SUMIF($C$37:$C$44,K37-$C$6,$E$37:$E$44))</f>
        <v>0</v>
      </c>
    </row>
    <row r="38" customFormat="false" ht="15" hidden="false" customHeight="false" outlineLevel="0" collapsed="false">
      <c r="B38" s="37" t="s">
        <v>564</v>
      </c>
      <c r="C38" s="38" t="n">
        <f aca="false">'Maintenance Policies'!E12</f>
        <v>8</v>
      </c>
      <c r="D38" s="39" t="n">
        <f aca="false">X19</f>
        <v>331584.866666667</v>
      </c>
      <c r="E38" s="40" t="n">
        <f aca="false">IF(C38&gt;'General Information'!$D$33,0,D38/(1+('General Information'!$D$34/100))^C38)</f>
        <v>261756.155705422</v>
      </c>
      <c r="K38" s="1" t="n">
        <f aca="false">K37+1</f>
        <v>2029</v>
      </c>
      <c r="L38" s="24" t="n">
        <f aca="false">IF(K38-$C$6&gt;'General Information'!$D$33,0,IF(K38=$C$6,$D$36,0)+SUMIF($C$37:$C$44,K38-$C$6,$D$37:$D$44))</f>
        <v>0</v>
      </c>
      <c r="M38" s="24" t="n">
        <f aca="false">IF(K38-$C$6&gt;'General Information'!$D$33,0,IF(K38=$C$6,$E$36,0)+SUMIF($C$37:$C$44,K38-$C$6,$E$37:$E$44))</f>
        <v>0</v>
      </c>
    </row>
    <row r="39" customFormat="false" ht="15" hidden="false" customHeight="false" outlineLevel="0" collapsed="false">
      <c r="B39" s="37" t="s">
        <v>565</v>
      </c>
      <c r="C39" s="38" t="n">
        <f aca="false">'Maintenance Policies'!E14</f>
        <v>12</v>
      </c>
      <c r="D39" s="39" t="n">
        <f aca="false">AF21</f>
        <v>465273.035104167</v>
      </c>
      <c r="E39" s="40" t="n">
        <f aca="false">IF(C39&gt;'General Information'!$D$33,0,D39/(1+('General Information'!$D$34/100))^C39)</f>
        <v>326333.145618381</v>
      </c>
      <c r="K39" s="1" t="n">
        <f aca="false">K38+1</f>
        <v>2030</v>
      </c>
      <c r="L39" s="24" t="n">
        <f aca="false">IF(K39-$C$6&gt;'General Information'!$D$33,0,IF(K39=$C$6,$D$36,0)+SUMIF($C$37:$C$44,K39-$C$6,$D$37:$D$44))</f>
        <v>0</v>
      </c>
      <c r="M39" s="24" t="n">
        <f aca="false">IF(K39-$C$6&gt;'General Information'!$D$33,0,IF(K39=$C$6,$E$36,0)+SUMIF($C$37:$C$44,K39-$C$6,$E$37:$E$44))</f>
        <v>0</v>
      </c>
    </row>
    <row r="40" customFormat="false" ht="15" hidden="false" customHeight="false" outlineLevel="0" collapsed="false">
      <c r="B40" s="37" t="s">
        <v>570</v>
      </c>
      <c r="C40" s="38" t="n">
        <f aca="false">'Maintenance Policies'!E18</f>
        <v>16</v>
      </c>
      <c r="D40" s="39" t="n">
        <f aca="false">AN21</f>
        <v>486835.642916667</v>
      </c>
      <c r="E40" s="40" t="n">
        <f aca="false">IF(C40&gt;'General Information'!$D$33,0,D40/(1+('General Information'!$D$34/100))^C40)</f>
        <v>303379.877499636</v>
      </c>
      <c r="K40" s="1" t="n">
        <f aca="false">K39+1</f>
        <v>2031</v>
      </c>
      <c r="L40" s="24" t="n">
        <f aca="false">IF(K40-$C$6&gt;'General Information'!$D$33,0,IF(K40=$C$6,$D$36,0)+SUMIF($C$37:$C$44,K40-$C$6,$D$37:$D$44))</f>
        <v>0</v>
      </c>
      <c r="M40" s="24" t="n">
        <f aca="false">IF(K40-$C$6&gt;'General Information'!$D$33,0,IF(K40=$C$6,$E$36,0)+SUMIF($C$37:$C$44,K40-$C$6,$E$37:$E$44))</f>
        <v>0</v>
      </c>
    </row>
    <row r="41" customFormat="false" ht="15" hidden="false" customHeight="false" outlineLevel="0" collapsed="false">
      <c r="B41" s="37" t="s">
        <v>4</v>
      </c>
      <c r="C41" s="38" t="n">
        <f aca="false">'Maintenance Policies'!E22</f>
        <v>20</v>
      </c>
      <c r="D41" s="39" t="n">
        <f aca="false">AV22</f>
        <v>1696066.756125</v>
      </c>
      <c r="E41" s="40" t="n">
        <f aca="false">IF(C41&gt;'General Information'!$D$33,0,D41/(1+('General Information'!$D$34/100))^C41)</f>
        <v>939071.040347879</v>
      </c>
      <c r="K41" s="1" t="n">
        <f aca="false">K40+1</f>
        <v>2032</v>
      </c>
      <c r="L41" s="24" t="n">
        <f aca="false">IF(K41-$C$6&gt;'General Information'!$D$33,0,IF(K41=$C$6,$D$36,0)+SUMIF($C$37:$C$44,K41-$C$6,$D$37:$D$44))</f>
        <v>331584.866666667</v>
      </c>
      <c r="M41" s="24" t="n">
        <f aca="false">IF(K41-$C$6&gt;'General Information'!$D$33,0,IF(K41=$C$6,$E$36,0)+SUMIF($C$37:$C$44,K41-$C$6,$E$37:$E$44))</f>
        <v>294608.859318184</v>
      </c>
    </row>
    <row r="42" customFormat="false" ht="15" hidden="false" customHeight="false" outlineLevel="0" collapsed="false">
      <c r="B42" s="37" t="s">
        <v>576</v>
      </c>
      <c r="C42" s="38" t="n">
        <f aca="false">'Maintenance Policies'!E26</f>
        <v>24</v>
      </c>
      <c r="D42" s="39" t="n">
        <f aca="false">BD19</f>
        <v>331584.866666667</v>
      </c>
      <c r="E42" s="40" t="n">
        <f aca="false">IF(C42&gt;'General Information'!$D$33,0,D42/(1+('General Information'!$D$34/100))^C42)</f>
        <v>163117.782372971</v>
      </c>
      <c r="K42" s="1" t="n">
        <f aca="false">K41+1</f>
        <v>2033</v>
      </c>
      <c r="L42" s="24" t="n">
        <f aca="false">IF(K42-$C$6&gt;'General Information'!$D$33,0,IF(K42=$C$6,$D$36,0)+SUMIF($C$37:$C$44,K42-$C$6,$D$37:$D$44))</f>
        <v>0</v>
      </c>
      <c r="M42" s="24" t="n">
        <f aca="false">IF(K42-$C$6&gt;'General Information'!$D$33,0,IF(K42=$C$6,$E$36,0)+SUMIF($C$37:$C$44,K42-$C$6,$E$37:$E$44))</f>
        <v>0</v>
      </c>
    </row>
    <row r="43" customFormat="false" ht="15" hidden="false" customHeight="false" outlineLevel="0" collapsed="false">
      <c r="B43" s="37" t="s">
        <v>577</v>
      </c>
      <c r="C43" s="38" t="n">
        <f aca="false">'Maintenance Policies'!E28</f>
        <v>28</v>
      </c>
      <c r="D43" s="39" t="n">
        <f aca="false">BL21</f>
        <v>515298.285229167</v>
      </c>
      <c r="E43" s="40" t="n">
        <f aca="false">IF(C43&gt;'General Information'!$D$33,0,D43/(1+('General Information'!$D$34/100))^C43)</f>
        <v>225224.901422252</v>
      </c>
      <c r="K43" s="1" t="n">
        <f aca="false">K42+1</f>
        <v>2034</v>
      </c>
      <c r="L43" s="24" t="n">
        <f aca="false">IF(K43-$C$6&gt;'General Information'!$D$33,0,IF(K43=$C$6,$D$36,0)+SUMIF($C$37:$C$44,K43-$C$6,$D$37:$D$44))</f>
        <v>0</v>
      </c>
      <c r="M43" s="24" t="n">
        <f aca="false">IF(K43-$C$6&gt;'General Information'!$D$33,0,IF(K43=$C$6,$E$36,0)+SUMIF($C$37:$C$44,K43-$C$6,$E$37:$E$44))</f>
        <v>0</v>
      </c>
    </row>
    <row r="44" customFormat="false" ht="15" hidden="false" customHeight="false" outlineLevel="0" collapsed="false">
      <c r="B44" s="37" t="s">
        <v>40</v>
      </c>
      <c r="C44" s="38" t="n">
        <f aca="false">'General Information'!D33</f>
        <v>30</v>
      </c>
      <c r="D44" s="39" t="n">
        <f aca="false">-'Maintenance Policies'!D32*AV22</f>
        <v>-212008.344515625</v>
      </c>
      <c r="E44" s="40" t="n">
        <f aca="false">IF(C44&gt;'General Information'!$D$33,0,D44/(1+('General Information'!$D$34/100))^C44)</f>
        <v>-87344.6308473242</v>
      </c>
      <c r="K44" s="1" t="n">
        <f aca="false">K43+1</f>
        <v>2035</v>
      </c>
      <c r="L44" s="24" t="n">
        <f aca="false">IF(K44-$C$6&gt;'General Information'!$D$33,0,IF(K44=$C$6,$D$36,0)+SUMIF($C$37:$C$44,K44-$C$6,$D$37:$D$44))</f>
        <v>0</v>
      </c>
      <c r="M44" s="24" t="n">
        <f aca="false">IF(K44-$C$6&gt;'General Information'!$D$33,0,IF(K44=$C$6,$E$36,0)+SUMIF($C$37:$C$44,K44-$C$6,$E$37:$E$44))</f>
        <v>0</v>
      </c>
    </row>
    <row r="45" customFormat="false" ht="15" hidden="false" customHeight="false" outlineLevel="0" collapsed="false">
      <c r="B45" s="41" t="s">
        <v>27</v>
      </c>
      <c r="C45" s="42"/>
      <c r="D45" s="42"/>
      <c r="E45" s="43" t="n">
        <f aca="false">SUM(E36:E44)</f>
        <v>2426147.1314374</v>
      </c>
      <c r="K45" s="1" t="n">
        <f aca="false">K44+1</f>
        <v>2036</v>
      </c>
      <c r="L45" s="24" t="n">
        <f aca="false">IF(K45-$C$6&gt;'General Information'!$D$33,0,IF(K45=$C$6,$D$36,0)+SUMIF($C$37:$C$44,K45-$C$6,$D$37:$D$44))</f>
        <v>331584.866666667</v>
      </c>
      <c r="M45" s="24" t="n">
        <f aca="false">IF(K45-$C$6&gt;'General Information'!$D$33,0,IF(K45=$C$6,$E$36,0)+SUMIF($C$37:$C$44,K45-$C$6,$E$37:$E$44))</f>
        <v>261756.155705422</v>
      </c>
    </row>
    <row r="46" customFormat="false" ht="15" hidden="false" customHeight="false" outlineLevel="0" collapsed="false">
      <c r="K46" s="1" t="n">
        <f aca="false">K45+1</f>
        <v>2037</v>
      </c>
      <c r="L46" s="24" t="n">
        <f aca="false">IF(K46-$C$6&gt;'General Information'!$D$33,0,IF(K46=$C$6,$D$36,0)+SUMIF($C$37:$C$44,K46-$C$6,$D$37:$D$44))</f>
        <v>0</v>
      </c>
      <c r="M46" s="24" t="n">
        <f aca="false">IF(K46-$C$6&gt;'General Information'!$D$33,0,IF(K46=$C$6,$E$36,0)+SUMIF($C$37:$C$44,K46-$C$6,$E$37:$E$44))</f>
        <v>0</v>
      </c>
    </row>
    <row r="47" customFormat="false" ht="15" hidden="false" customHeight="false" outlineLevel="0" collapsed="false">
      <c r="K47" s="1" t="n">
        <f aca="false">K46+1</f>
        <v>2038</v>
      </c>
      <c r="L47" s="24" t="n">
        <f aca="false">IF(K47-$C$6&gt;'General Information'!$D$33,0,IF(K47=$C$6,$D$36,0)+SUMIF($C$37:$C$44,K47-$C$6,$D$37:$D$44))</f>
        <v>0</v>
      </c>
      <c r="M47" s="24" t="n">
        <f aca="false">IF(K47-$C$6&gt;'General Information'!$D$33,0,IF(K47=$C$6,$E$36,0)+SUMIF($C$37:$C$44,K47-$C$6,$E$37:$E$44))</f>
        <v>0</v>
      </c>
    </row>
    <row r="48" customFormat="false" ht="15" hidden="false" customHeight="false" outlineLevel="0" collapsed="false">
      <c r="K48" s="1" t="n">
        <f aca="false">K47+1</f>
        <v>2039</v>
      </c>
      <c r="L48" s="24" t="n">
        <f aca="false">IF(K48-$C$6&gt;'General Information'!$D$33,0,IF(K48=$C$6,$D$36,0)+SUMIF($C$37:$C$44,K48-$C$6,$D$37:$D$44))</f>
        <v>0</v>
      </c>
      <c r="M48" s="24" t="n">
        <f aca="false">IF(K48-$C$6&gt;'General Information'!$D$33,0,IF(K48=$C$6,$E$36,0)+SUMIF($C$37:$C$44,K48-$C$6,$E$37:$E$44))</f>
        <v>0</v>
      </c>
    </row>
    <row r="49" customFormat="false" ht="15" hidden="false" customHeight="false" outlineLevel="0" collapsed="false">
      <c r="K49" s="1" t="n">
        <f aca="false">K48+1</f>
        <v>2040</v>
      </c>
      <c r="L49" s="24" t="n">
        <f aca="false">IF(K49-$C$6&gt;'General Information'!$D$33,0,IF(K49=$C$6,$D$36,0)+SUMIF($C$37:$C$44,K49-$C$6,$D$37:$D$44))</f>
        <v>465273.035104167</v>
      </c>
      <c r="M49" s="24" t="n">
        <f aca="false">IF(K49-$C$6&gt;'General Information'!$D$33,0,IF(K49=$C$6,$E$36,0)+SUMIF($C$37:$C$44,K49-$C$6,$E$37:$E$44))</f>
        <v>326333.145618381</v>
      </c>
    </row>
    <row r="50" customFormat="false" ht="15" hidden="false" customHeight="false" outlineLevel="0" collapsed="false">
      <c r="K50" s="1" t="n">
        <f aca="false">K49+1</f>
        <v>2041</v>
      </c>
      <c r="L50" s="24" t="n">
        <f aca="false">IF(K50-$C$6&gt;'General Information'!$D$33,0,IF(K50=$C$6,$D$36,0)+SUMIF($C$37:$C$44,K50-$C$6,$D$37:$D$44))</f>
        <v>0</v>
      </c>
      <c r="M50" s="24" t="n">
        <f aca="false">IF(K50-$C$6&gt;'General Information'!$D$33,0,IF(K50=$C$6,$E$36,0)+SUMIF($C$37:$C$44,K50-$C$6,$E$37:$E$44))</f>
        <v>0</v>
      </c>
    </row>
    <row r="51" customFormat="false" ht="15" hidden="false" customHeight="false" outlineLevel="0" collapsed="false">
      <c r="K51" s="1" t="n">
        <f aca="false">K50+1</f>
        <v>2042</v>
      </c>
      <c r="L51" s="24" t="n">
        <f aca="false">IF(K51-$C$6&gt;'General Information'!$D$33,0,IF(K51=$C$6,$D$36,0)+SUMIF($C$37:$C$44,K51-$C$6,$D$37:$D$44))</f>
        <v>0</v>
      </c>
      <c r="M51" s="24" t="n">
        <f aca="false">IF(K51-$C$6&gt;'General Information'!$D$33,0,IF(K51=$C$6,$E$36,0)+SUMIF($C$37:$C$44,K51-$C$6,$E$37:$E$44))</f>
        <v>0</v>
      </c>
    </row>
    <row r="52" customFormat="false" ht="15" hidden="false" customHeight="false" outlineLevel="0" collapsed="false">
      <c r="K52" s="1" t="n">
        <f aca="false">K51+1</f>
        <v>2043</v>
      </c>
      <c r="L52" s="24" t="n">
        <f aca="false">IF(K52-$C$6&gt;'General Information'!$D$33,0,IF(K52=$C$6,$D$36,0)+SUMIF($C$37:$C$44,K52-$C$6,$D$37:$D$44))</f>
        <v>0</v>
      </c>
      <c r="M52" s="24" t="n">
        <f aca="false">IF(K52-$C$6&gt;'General Information'!$D$33,0,IF(K52=$C$6,$E$36,0)+SUMIF($C$37:$C$44,K52-$C$6,$E$37:$E$44))</f>
        <v>0</v>
      </c>
    </row>
    <row r="53" customFormat="false" ht="15" hidden="false" customHeight="false" outlineLevel="0" collapsed="false">
      <c r="K53" s="1" t="n">
        <f aca="false">K52+1</f>
        <v>2044</v>
      </c>
      <c r="L53" s="24" t="n">
        <f aca="false">IF(K53-$C$6&gt;'General Information'!$D$33,0,IF(K53=$C$6,$D$36,0)+SUMIF($C$37:$C$44,K53-$C$6,$D$37:$D$44))</f>
        <v>486835.642916667</v>
      </c>
      <c r="M53" s="24" t="n">
        <f aca="false">IF(K53-$C$6&gt;'General Information'!$D$33,0,IF(K53=$C$6,$E$36,0)+SUMIF($C$37:$C$44,K53-$C$6,$E$37:$E$44))</f>
        <v>303379.877499636</v>
      </c>
    </row>
    <row r="54" customFormat="false" ht="15" hidden="false" customHeight="false" outlineLevel="0" collapsed="false">
      <c r="K54" s="1" t="n">
        <f aca="false">K53+1</f>
        <v>2045</v>
      </c>
      <c r="L54" s="24" t="n">
        <f aca="false">IF(K54-$C$6&gt;'General Information'!$D$33,0,IF(K54=$C$6,$D$36,0)+SUMIF($C$37:$C$44,K54-$C$6,$D$37:$D$44))</f>
        <v>0</v>
      </c>
      <c r="M54" s="24" t="n">
        <f aca="false">IF(K54-$C$6&gt;'General Information'!$D$33,0,IF(K54=$C$6,$E$36,0)+SUMIF($C$37:$C$44,K54-$C$6,$E$37:$E$44))</f>
        <v>0</v>
      </c>
    </row>
    <row r="55" customFormat="false" ht="15" hidden="false" customHeight="false" outlineLevel="0" collapsed="false">
      <c r="K55" s="1" t="n">
        <f aca="false">K54+1</f>
        <v>2046</v>
      </c>
      <c r="L55" s="24" t="n">
        <f aca="false">IF(K55-$C$6&gt;'General Information'!$D$33,0,IF(K55=$C$6,$D$36,0)+SUMIF($C$37:$C$44,K55-$C$6,$D$37:$D$44))</f>
        <v>0</v>
      </c>
      <c r="M55" s="24" t="n">
        <f aca="false">IF(K55-$C$6&gt;'General Information'!$D$33,0,IF(K55=$C$6,$E$36,0)+SUMIF($C$37:$C$44,K55-$C$6,$E$37:$E$44))</f>
        <v>0</v>
      </c>
    </row>
    <row r="56" customFormat="false" ht="15" hidden="false" customHeight="false" outlineLevel="0" collapsed="false">
      <c r="K56" s="1" t="n">
        <f aca="false">K55+1</f>
        <v>2047</v>
      </c>
      <c r="L56" s="24" t="n">
        <f aca="false">IF(K56-$C$6&gt;'General Information'!$D$33,0,IF(K56=$C$6,$D$36,0)+SUMIF($C$37:$C$44,K56-$C$6,$D$37:$D$44))</f>
        <v>0</v>
      </c>
      <c r="M56" s="24" t="n">
        <f aca="false">IF(K56-$C$6&gt;'General Information'!$D$33,0,IF(K56=$C$6,$E$36,0)+SUMIF($C$37:$C$44,K56-$C$6,$E$37:$E$44))</f>
        <v>0</v>
      </c>
    </row>
    <row r="57" customFormat="false" ht="15" hidden="false" customHeight="false" outlineLevel="0" collapsed="false">
      <c r="K57" s="1" t="n">
        <f aca="false">K56+1</f>
        <v>2048</v>
      </c>
      <c r="L57" s="24" t="n">
        <f aca="false">IF(K57-$C$6&gt;'General Information'!$D$33,0,IF(K57=$C$6,$D$36,0)+SUMIF($C$37:$C$44,K57-$C$6,$D$37:$D$44))</f>
        <v>1696066.756125</v>
      </c>
      <c r="M57" s="24" t="n">
        <f aca="false">IF(K57-$C$6&gt;'General Information'!$D$33,0,IF(K57=$C$6,$E$36,0)+SUMIF($C$37:$C$44,K57-$C$6,$E$37:$E$44))</f>
        <v>939071.040347879</v>
      </c>
    </row>
    <row r="58" customFormat="false" ht="15" hidden="false" customHeight="false" outlineLevel="0" collapsed="false">
      <c r="K58" s="1" t="n">
        <f aca="false">K57+1</f>
        <v>2049</v>
      </c>
      <c r="L58" s="24" t="n">
        <f aca="false">IF(K58-$C$6&gt;'General Information'!$D$33,0,IF(K58=$C$6,$D$36,0)+SUMIF($C$37:$C$44,K58-$C$6,$D$37:$D$44))</f>
        <v>0</v>
      </c>
      <c r="M58" s="24" t="n">
        <f aca="false">IF(K58-$C$6&gt;'General Information'!$D$33,0,IF(K58=$C$6,$E$36,0)+SUMIF($C$37:$C$44,K58-$C$6,$E$37:$E$44))</f>
        <v>0</v>
      </c>
    </row>
    <row r="59" customFormat="false" ht="15" hidden="false" customHeight="false" outlineLevel="0" collapsed="false">
      <c r="K59" s="1" t="n">
        <f aca="false">K58+1</f>
        <v>2050</v>
      </c>
      <c r="L59" s="24" t="n">
        <f aca="false">IF(K59-$C$6&gt;'General Information'!$D$33,0,IF(K59=$C$6,$D$36,0)+SUMIF($C$37:$C$44,K59-$C$6,$D$37:$D$44))</f>
        <v>0</v>
      </c>
      <c r="M59" s="24" t="n">
        <f aca="false">IF(K59-$C$6&gt;'General Information'!$D$33,0,IF(K59=$C$6,$E$36,0)+SUMIF($C$37:$C$44,K59-$C$6,$E$37:$E$44))</f>
        <v>0</v>
      </c>
    </row>
    <row r="60" customFormat="false" ht="15" hidden="false" customHeight="false" outlineLevel="0" collapsed="false">
      <c r="K60" s="1" t="n">
        <f aca="false">K59+1</f>
        <v>2051</v>
      </c>
      <c r="L60" s="24" t="n">
        <f aca="false">IF(K60-$C$6&gt;'General Information'!$D$33,0,IF(K60=$C$6,$D$36,0)+SUMIF($C$37:$C$44,K60-$C$6,$D$37:$D$44))</f>
        <v>0</v>
      </c>
      <c r="M60" s="24" t="n">
        <f aca="false">IF(K60-$C$6&gt;'General Information'!$D$33,0,IF(K60=$C$6,$E$36,0)+SUMIF($C$37:$C$44,K60-$C$6,$E$37:$E$44))</f>
        <v>0</v>
      </c>
    </row>
    <row r="61" customFormat="false" ht="15" hidden="false" customHeight="false" outlineLevel="0" collapsed="false">
      <c r="K61" s="1" t="n">
        <f aca="false">K60+1</f>
        <v>2052</v>
      </c>
      <c r="L61" s="24" t="n">
        <f aca="false">IF(K61-$C$6&gt;'General Information'!$D$33,0,IF(K61=$C$6,$D$36,0)+SUMIF($C$37:$C$44,K61-$C$6,$D$37:$D$44))</f>
        <v>331584.866666667</v>
      </c>
      <c r="M61" s="24" t="n">
        <f aca="false">IF(K61-$C$6&gt;'General Information'!$D$33,0,IF(K61=$C$6,$E$36,0)+SUMIF($C$37:$C$44,K61-$C$6,$E$37:$E$44))</f>
        <v>163117.782372971</v>
      </c>
    </row>
    <row r="62" customFormat="false" ht="15" hidden="false" customHeight="false" outlineLevel="0" collapsed="false">
      <c r="K62" s="1" t="n">
        <f aca="false">K61+1</f>
        <v>2053</v>
      </c>
      <c r="L62" s="24" t="n">
        <f aca="false">IF(K62-$C$6&gt;'General Information'!$D$33,0,IF(K62=$C$6,$D$36,0)+SUMIF($C$37:$C$44,K62-$C$6,$D$37:$D$44))</f>
        <v>0</v>
      </c>
      <c r="M62" s="24" t="n">
        <f aca="false">IF(K62-$C$6&gt;'General Information'!$D$33,0,IF(K62=$C$6,$E$36,0)+SUMIF($C$37:$C$44,K62-$C$6,$E$37:$E$44))</f>
        <v>0</v>
      </c>
    </row>
    <row r="63" customFormat="false" ht="15" hidden="false" customHeight="false" outlineLevel="0" collapsed="false">
      <c r="K63" s="1" t="n">
        <f aca="false">K62+1</f>
        <v>2054</v>
      </c>
      <c r="L63" s="24" t="n">
        <f aca="false">IF(K63-$C$6&gt;'General Information'!$D$33,0,IF(K63=$C$6,$D$36,0)+SUMIF($C$37:$C$44,K63-$C$6,$D$37:$D$44))</f>
        <v>0</v>
      </c>
      <c r="M63" s="24" t="n">
        <f aca="false">IF(K63-$C$6&gt;'General Information'!$D$33,0,IF(K63=$C$6,$E$36,0)+SUMIF($C$37:$C$44,K63-$C$6,$E$37:$E$44))</f>
        <v>0</v>
      </c>
    </row>
    <row r="64" customFormat="false" ht="15" hidden="false" customHeight="false" outlineLevel="0" collapsed="false">
      <c r="K64" s="1" t="n">
        <f aca="false">K63+1</f>
        <v>2055</v>
      </c>
      <c r="L64" s="24" t="n">
        <f aca="false">IF(K64-$C$6&gt;'General Information'!$D$33,0,IF(K64=$C$6,$D$36,0)+SUMIF($C$37:$C$44,K64-$C$6,$D$37:$D$44))</f>
        <v>0</v>
      </c>
      <c r="M64" s="24" t="n">
        <f aca="false">IF(K64-$C$6&gt;'General Information'!$D$33,0,IF(K64=$C$6,$E$36,0)+SUMIF($C$37:$C$44,K64-$C$6,$E$37:$E$44))</f>
        <v>0</v>
      </c>
    </row>
    <row r="65" customFormat="false" ht="15" hidden="false" customHeight="false" outlineLevel="0" collapsed="false">
      <c r="K65" s="1" t="n">
        <f aca="false">K64+1</f>
        <v>2056</v>
      </c>
      <c r="L65" s="24" t="n">
        <f aca="false">IF(K65-$C$6&gt;'General Information'!$D$33,0,IF(K65=$C$6,$D$36,0)+SUMIF($C$37:$C$44,K65-$C$6,$D$37:$D$44))</f>
        <v>515298.285229167</v>
      </c>
      <c r="M65" s="24" t="n">
        <f aca="false">IF(K65-$C$6&gt;'General Information'!$D$33,0,IF(K65=$C$6,$E$36,0)+SUMIF($C$37:$C$44,K65-$C$6,$E$37:$E$44))</f>
        <v>225224.901422252</v>
      </c>
    </row>
    <row r="66" customFormat="false" ht="15" hidden="false" customHeight="false" outlineLevel="0" collapsed="false">
      <c r="K66" s="1" t="n">
        <f aca="false">K65+1</f>
        <v>2057</v>
      </c>
      <c r="L66" s="24" t="n">
        <f aca="false">IF(K66-$C$6&gt;'General Information'!$D$33,0,IF(K66=$C$6,$D$36,0)+SUMIF($C$37:$C$44,K66-$C$6,$D$37:$D$44))</f>
        <v>0</v>
      </c>
      <c r="M66" s="24" t="n">
        <f aca="false">IF(K66-$C$6&gt;'General Information'!$D$33,0,IF(K66=$C$6,$E$36,0)+SUMIF($C$37:$C$44,K66-$C$6,$E$37:$E$44))</f>
        <v>0</v>
      </c>
    </row>
    <row r="67" customFormat="false" ht="15" hidden="false" customHeight="false" outlineLevel="0" collapsed="false">
      <c r="K67" s="1" t="n">
        <f aca="false">K66+1</f>
        <v>2058</v>
      </c>
      <c r="L67" s="24" t="n">
        <f aca="false">IF(K67-$C$6&gt;'General Information'!$D$33,0,IF(K67=$C$6,$D$36,0)+SUMIF($C$37:$C$44,K67-$C$6,$D$37:$D$44))</f>
        <v>-212008.344515625</v>
      </c>
      <c r="M67" s="24" t="n">
        <f aca="false">IF(K67-$C$6&gt;'General Information'!$D$33,0,IF(K67=$C$6,$E$36,0)+SUMIF($C$37:$C$44,K67-$C$6,$E$37:$E$44))</f>
        <v>-87344.6308473242</v>
      </c>
    </row>
  </sheetData>
  <dataValidations count="2">
    <dataValidation allowBlank="true" errorStyle="stop" operator="between" prompt="Enter quantity" promptTitle="Qty" showDropDown="false" showErrorMessage="true" showInputMessage="true" sqref="E13" type="none">
      <formula1>0</formula1>
      <formula2>0</formula2>
    </dataValidation>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X68"/>
  <sheetViews>
    <sheetView showFormulas="false" showGridLines="true" showRowColHeaders="true" showZeros="true" rightToLeft="false" tabSelected="false" showOutlineSymbols="true" defaultGridColor="true" view="normal" topLeftCell="A2" colorId="64" zoomScale="80" zoomScaleNormal="80" zoomScalePageLayoutView="100" workbookViewId="0">
      <selection pane="topLeft" activeCell="H44" activeCellId="0" sqref="H44"/>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4" min="4" style="0" width="11"/>
    <col collapsed="false" customWidth="true" hidden="false" outlineLevel="0" max="5" min="5" style="0" width="17.14"/>
    <col collapsed="false" customWidth="true" hidden="false" outlineLevel="0" max="7" min="6" style="0" width="10.57"/>
    <col collapsed="false" customWidth="true" hidden="true" outlineLevel="0" max="9" min="9" style="0" width="9.14"/>
    <col collapsed="false" customWidth="true" hidden="true" outlineLevel="0" max="11" min="10" style="1" width="13.29"/>
    <col collapsed="false" customWidth="true" hidden="true" outlineLevel="0" max="12" min="12" style="1" width="4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false" outlineLevel="0" max="24" min="23" style="0" width="13.29"/>
  </cols>
  <sheetData>
    <row r="1" customFormat="false" ht="15" hidden="false" customHeight="false" outlineLevel="0" collapsed="false">
      <c r="I1" s="0" t="s">
        <v>0</v>
      </c>
    </row>
    <row r="2" customFormat="false" ht="15" hidden="false" customHeight="false" outlineLevel="0" collapsed="false">
      <c r="A2" s="3" t="s">
        <v>1</v>
      </c>
      <c r="J2" s="6" t="s">
        <v>3</v>
      </c>
      <c r="R2" s="3" t="s">
        <v>4</v>
      </c>
    </row>
    <row r="4" customFormat="false" ht="15" hidden="false" customHeight="false" outlineLevel="0" collapsed="false">
      <c r="A4" s="0" t="s">
        <v>5</v>
      </c>
      <c r="C4" s="9" t="s">
        <v>6</v>
      </c>
    </row>
    <row r="5" customFormat="false" ht="15" hidden="false" customHeight="false" outlineLevel="0" collapsed="false">
      <c r="A5" s="0" t="s">
        <v>8</v>
      </c>
      <c r="C5" s="0" t="n">
        <f aca="false">'General Information'!D26</f>
        <v>66667</v>
      </c>
      <c r="D5" s="0" t="s">
        <v>9</v>
      </c>
    </row>
    <row r="6" customFormat="false" ht="15" hidden="false" customHeight="false" outlineLevel="0" collapsed="false">
      <c r="A6" s="0" t="s">
        <v>11</v>
      </c>
      <c r="C6" s="0" t="n">
        <f aca="false">'General Information'!D25</f>
        <v>2028</v>
      </c>
    </row>
    <row r="7" customFormat="false" ht="15" hidden="false" customHeight="false" outlineLevel="0" collapsed="false">
      <c r="A7" s="0" t="s">
        <v>12</v>
      </c>
      <c r="C7" s="0" t="n">
        <f aca="false">'General Information'!D28</f>
        <v>15000</v>
      </c>
      <c r="D7" s="0" t="s">
        <v>13</v>
      </c>
      <c r="J7" s="1" t="s">
        <v>14</v>
      </c>
      <c r="K7" s="13" t="n">
        <f aca="false">C5/((12.5*12.5)/9)</f>
        <v>3840.0192</v>
      </c>
    </row>
    <row r="8" customFormat="false" ht="15" hidden="false" customHeight="false" outlineLevel="0" collapsed="false">
      <c r="C8" s="14"/>
      <c r="J8" s="1" t="s">
        <v>15</v>
      </c>
      <c r="K8" s="1" t="n">
        <f aca="false">K7*25+((K7/8)*12.5)</f>
        <v>102000.51</v>
      </c>
    </row>
    <row r="9" customFormat="false" ht="15" hidden="false" customHeight="false" outlineLevel="0" collapsed="false">
      <c r="C9" s="14"/>
    </row>
    <row r="10" customFormat="false" ht="15" hidden="false" customHeight="false" outlineLevel="0" collapsed="false">
      <c r="C10" s="14"/>
    </row>
    <row r="12" customFormat="false" ht="15" hidden="false" customHeight="false" outlineLevel="0" collapsed="false">
      <c r="A12" s="0" t="s">
        <v>16</v>
      </c>
      <c r="B12" s="0" t="s">
        <v>17</v>
      </c>
      <c r="C12" s="0" t="s">
        <v>18</v>
      </c>
      <c r="D12" s="0" t="s">
        <v>19</v>
      </c>
      <c r="E12" s="0" t="s">
        <v>20</v>
      </c>
      <c r="F12" s="0" t="s">
        <v>21</v>
      </c>
      <c r="G12" s="0" t="s">
        <v>22</v>
      </c>
      <c r="J12" s="1" t="s">
        <v>16</v>
      </c>
      <c r="K12" s="1" t="s">
        <v>17</v>
      </c>
      <c r="L12" s="1" t="s">
        <v>18</v>
      </c>
      <c r="M12" s="1" t="s">
        <v>19</v>
      </c>
      <c r="N12" s="1" t="s">
        <v>20</v>
      </c>
      <c r="O12" s="1" t="s">
        <v>21</v>
      </c>
      <c r="P12" s="1" t="s">
        <v>22</v>
      </c>
      <c r="R12" s="15" t="s">
        <v>16</v>
      </c>
      <c r="S12" s="15" t="s">
        <v>17</v>
      </c>
      <c r="T12" s="15" t="s">
        <v>18</v>
      </c>
      <c r="U12" s="15" t="s">
        <v>19</v>
      </c>
      <c r="V12" s="15" t="s">
        <v>20</v>
      </c>
      <c r="W12" s="15" t="s">
        <v>21</v>
      </c>
      <c r="X12" s="15" t="s">
        <v>22</v>
      </c>
    </row>
    <row r="13" customFormat="false" ht="19.5" hidden="false" customHeight="true" outlineLevel="0" collapsed="false">
      <c r="A13" s="0" t="n">
        <v>1</v>
      </c>
      <c r="B13" s="16" t="n">
        <f aca="false">IF(C13="",0,VLOOKUP(C13,CHOOSE({1,2},Table2[Pay Item Description],Table2[Pay Item No.]),2,0))</f>
        <v>0</v>
      </c>
      <c r="C13" s="17"/>
      <c r="D13" s="18" t="str">
        <f aca="false">IF(C13="","N/A",VLOOKUP(C13,CHOOSE({1,2},Table2[Pay Item Description],Table2[Units]),2,0))</f>
        <v>N/A</v>
      </c>
      <c r="E13" s="19"/>
      <c r="F13" s="20" t="str">
        <f aca="false">IF(C13="","N/A",VLOOKUP(C13,CHOOSE({1,2},Table2[Pay Item Description],Table2[Unit Cost]),2,0))</f>
        <v>N/A</v>
      </c>
      <c r="G13" s="21" t="n">
        <f aca="false">IF(B13&lt;&gt;0,F13*E13,0)</f>
        <v>0</v>
      </c>
      <c r="J13" s="1" t="n">
        <v>1</v>
      </c>
      <c r="K13" s="1" t="str">
        <f aca="false">IF(L13="",0,VLOOKUP(L13,CHOOSE({1,2},Table2[Pay Item Description],Table2[Pay Item No.]),2,0))</f>
        <v>P-605-5.1a</v>
      </c>
      <c r="L13" s="1" t="str">
        <f aca="false">Pay_Items!D55</f>
        <v>Joint Clean and Reseal, Concrete</v>
      </c>
      <c r="M13" s="1" t="str">
        <f aca="false">IF(L13="","N/A",VLOOKUP(L13,CHOOSE({1,2},Table2[Pay Item Description],Table2[Units]),2,0))</f>
        <v>L.F.</v>
      </c>
      <c r="N13" s="22" t="n">
        <f aca="false">K8*'Maintenance Policies'!D37</f>
        <v>102000.51</v>
      </c>
      <c r="O13" s="23" t="n">
        <f aca="false">IF(L13="","N/A",VLOOKUP(L13,CHOOSE({1,2},Table2[Pay Item Description],Table2[Unit Cost]),2,0))</f>
        <v>7</v>
      </c>
      <c r="P13" s="24" t="n">
        <f aca="false">O13*N13</f>
        <v>714003.57</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5" t="n">
        <f aca="false">'Maintenance Policies'!D41*C5</f>
        <v>1333.34</v>
      </c>
      <c r="W13" s="26" t="n">
        <f aca="false">IF(T13="","N/A",VLOOKUP(T13,CHOOSE({1,2},Table2[Pay Item Description],Table2[Unit Cost]),2,0))</f>
        <v>100</v>
      </c>
      <c r="X13" s="27" t="n">
        <f aca="false">W13*V13</f>
        <v>133334</v>
      </c>
    </row>
    <row r="14" customFormat="false" ht="19.5" hidden="false" customHeight="true" outlineLevel="0" collapsed="false">
      <c r="A14" s="0" t="n">
        <v>2</v>
      </c>
      <c r="B14" s="16" t="n">
        <f aca="false">IF(C14="",0,VLOOKUP(C14,CHOOSE({1,2},Table2[Pay Item Description],Table2[Pay Item No.]),2,0))</f>
        <v>0</v>
      </c>
      <c r="C14" s="17"/>
      <c r="D14" s="18" t="str">
        <f aca="false">IF(C14="","N/A",VLOOKUP(C14,CHOOSE({1,2},Table2[Pay Item Description],Table2[Units]),2,0))</f>
        <v>N/A</v>
      </c>
      <c r="E14" s="19"/>
      <c r="F14" s="20" t="str">
        <f aca="false">IF(C14="","N/A",VLOOKUP(C14,CHOOSE({1,2},Table2[Pay Item Description],Table2[Unit Cost]),2,0))</f>
        <v>N/A</v>
      </c>
      <c r="G14" s="21" t="n">
        <f aca="false">IF(B14&lt;&gt;0,F14*E14,0)</f>
        <v>0</v>
      </c>
      <c r="J14" s="1" t="n">
        <v>2</v>
      </c>
      <c r="K14" s="1" t="str">
        <f aca="false">VLOOKUP(L14,CHOOSE({1,2},Table2[Pay Item Description],Table2[Pay Item No.]),2,0)</f>
        <v>P-101-5.2c</v>
      </c>
      <c r="L14" s="1" t="str">
        <f aca="false">Pay_Items!D8</f>
        <v>Crack Seal, Concrete</v>
      </c>
      <c r="M14" s="1" t="str">
        <f aca="false">IF(L14="","N/A",VLOOKUP(L14,CHOOSE({1,2},Table2[Pay Item Description],Table2[Units]),2,0))</f>
        <v>L.F.</v>
      </c>
      <c r="N14" s="22" t="n">
        <f aca="false">'Maintenance Policies'!D38*(C5*9)</f>
        <v>1500.0075</v>
      </c>
      <c r="O14" s="23" t="n">
        <f aca="false">IF(L14="","N/A",VLOOKUP(L14,CHOOSE({1,2},Table2[Pay Item Description],Table2[Unit Cost]),2,0))</f>
        <v>8</v>
      </c>
      <c r="P14" s="24" t="n">
        <f aca="false">O14*N14</f>
        <v>12000.06</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5" t="n">
        <f aca="false">'Maintenance Policies'!D42*C5</f>
        <v>200.001</v>
      </c>
      <c r="W14" s="26" t="n">
        <f aca="false">IF(T14="","N/A",VLOOKUP(T14,CHOOSE({1,2},Table2[Pay Item Description],Table2[Unit Cost]),2,0))</f>
        <v>120</v>
      </c>
      <c r="X14" s="27" t="n">
        <f aca="false">W14*V14</f>
        <v>24000.12</v>
      </c>
    </row>
    <row r="15" customFormat="false" ht="19.5" hidden="false" customHeight="true" outlineLevel="0" collapsed="false">
      <c r="A15" s="0" t="n">
        <v>3</v>
      </c>
      <c r="B15" s="16" t="n">
        <f aca="false">IF(C15="",0,VLOOKUP(C15,CHOOSE({1,2},Table2[Pay Item Description],Table2[Pay Item No.]),2,0))</f>
        <v>0</v>
      </c>
      <c r="C15" s="17"/>
      <c r="D15" s="18" t="str">
        <f aca="false">IF(C15="","N/A",VLOOKUP(C15,CHOOSE({1,2},Table2[Pay Item Description],Table2[Units]),2,0))</f>
        <v>N/A</v>
      </c>
      <c r="E15" s="19"/>
      <c r="F15" s="20" t="str">
        <f aca="false">IF(C15="","N/A",VLOOKUP(C15,CHOOSE({1,2},Table2[Pay Item Description],Table2[Unit Cost]),2,0))</f>
        <v>N/A</v>
      </c>
      <c r="G15" s="21" t="n">
        <f aca="false">IF(B15&lt;&gt;0,F15*E15,0)</f>
        <v>0</v>
      </c>
      <c r="J15" s="1" t="n">
        <v>3</v>
      </c>
      <c r="K15" s="1" t="str">
        <f aca="false">VLOOKUP(L15,CHOOSE({1,2},Table2[Pay Item Description],Table2[Pay Item No.]),2,0)</f>
        <v>P-101-5.5a</v>
      </c>
      <c r="L15" s="1" t="str">
        <f aca="false">Pay_Items!D13</f>
        <v>Spall Repair, Concrete</v>
      </c>
      <c r="M15" s="1" t="str">
        <f aca="false">IF(L15="","N/A",VLOOKUP(L15,CHOOSE({1,2},Table2[Pay Item Description],Table2[Units]),2,0))</f>
        <v>S.F.</v>
      </c>
      <c r="N15" s="22" t="n">
        <f aca="false">'Maintenance Policies'!D39*(C5*9)</f>
        <v>780.0039</v>
      </c>
      <c r="O15" s="23" t="n">
        <f aca="false">IF(L15="","N/A",VLOOKUP(L15,CHOOSE({1,2},Table2[Pay Item Description],Table2[Unit Cost]),2,0))</f>
        <v>60</v>
      </c>
      <c r="P15" s="24" t="n">
        <f aca="false">O15*N15</f>
        <v>46800.234</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5" t="n">
        <f aca="false">'Maintenance Policies'!D43*(C5*9)</f>
        <v>780.0039</v>
      </c>
      <c r="W15" s="26" t="n">
        <f aca="false">IF(T15="","N/A",VLOOKUP(T15,CHOOSE({1,2},Table2[Pay Item Description],Table2[Unit Cost]),2,0))</f>
        <v>60</v>
      </c>
      <c r="X15" s="27" t="n">
        <f aca="false">W15*V15</f>
        <v>46800.234</v>
      </c>
    </row>
    <row r="16" customFormat="false" ht="19.5" hidden="false" customHeight="true" outlineLevel="0" collapsed="false">
      <c r="A16" s="0" t="n">
        <v>4</v>
      </c>
      <c r="B16" s="16" t="n">
        <f aca="false">IF(C16="",0,VLOOKUP(C16,CHOOSE({1,2},Table2[Pay Item Description],Table2[Pay Item No.]),2,0))</f>
        <v>0</v>
      </c>
      <c r="C16" s="17"/>
      <c r="D16" s="18" t="str">
        <f aca="false">IF(C16="","N/A",VLOOKUP(C16,CHOOSE({1,2},Table2[Pay Item Description],Table2[Units]),2,0))</f>
        <v>N/A</v>
      </c>
      <c r="E16" s="19"/>
      <c r="F16" s="20" t="str">
        <f aca="false">IF(C16="","N/A",VLOOKUP(C16,CHOOSE({1,2},Table2[Pay Item Description],Table2[Unit Cost]),2,0))</f>
        <v>N/A</v>
      </c>
      <c r="G16" s="21" t="n">
        <f aca="false">IF(B16&lt;&gt;0,F16*E16,0)</f>
        <v>0</v>
      </c>
      <c r="J16" s="1" t="n">
        <v>4</v>
      </c>
      <c r="K16" s="1" t="str">
        <f aca="false">VLOOKUP(L16,CHOOSE({1,2},Table2[Pay Item Description],Table2[Pay Item No.]),2,0)</f>
        <v>P-101-5.5b</v>
      </c>
      <c r="L16" s="1" t="str">
        <f aca="false">Pay_Items!D14</f>
        <v>Full-Depth Repair, Concrete</v>
      </c>
      <c r="M16" s="1" t="str">
        <f aca="false">IF(L16="","N/A",VLOOKUP(L16,CHOOSE({1,2},Table2[Pay Item Description],Table2[Units]),2,0))</f>
        <v>S.Y.</v>
      </c>
      <c r="N16" s="22" t="n">
        <f aca="false">'Maintenance Policies'!D40*C5</f>
        <v>200.001</v>
      </c>
      <c r="O16" s="23" t="n">
        <f aca="false">IF(L16="","N/A",VLOOKUP(L16,CHOOSE({1,2},Table2[Pay Item Description],Table2[Unit Cost]),2,0))</f>
        <v>120</v>
      </c>
      <c r="P16" s="24" t="n">
        <f aca="false">O16*N16</f>
        <v>24000.12</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5" t="n">
        <f aca="false">'Maintenance Policies'!D44*(C5*9)</f>
        <v>1800.009</v>
      </c>
      <c r="W16" s="26" t="n">
        <f aca="false">IF(T16="","N/A",VLOOKUP(T16,CHOOSE({1,2},Table2[Pay Item Description],Table2[Unit Cost]),2,0))</f>
        <v>8</v>
      </c>
      <c r="X16" s="27" t="n">
        <f aca="false">W16*V16</f>
        <v>14400.072</v>
      </c>
    </row>
    <row r="17" customFormat="false" ht="19.5" hidden="false" customHeight="true" outlineLevel="0" collapsed="false">
      <c r="A17" s="0" t="n">
        <v>5</v>
      </c>
      <c r="B17" s="16" t="n">
        <f aca="false">IF(C17="",0,VLOOKUP(C17,CHOOSE({1,2},Table2[Pay Item Description],Table2[Pay Item No.]),2,0))</f>
        <v>0</v>
      </c>
      <c r="C17" s="17"/>
      <c r="D17" s="18" t="str">
        <f aca="false">IF(C17="","N/A",VLOOKUP(C17,CHOOSE({1,2},Table2[Pay Item Description],Table2[Units]),2,0))</f>
        <v>N/A</v>
      </c>
      <c r="E17" s="19"/>
      <c r="F17" s="20" t="str">
        <f aca="false">IF(C17="","N/A",VLOOKUP(C17,CHOOSE({1,2},Table2[Pay Item Description],Table2[Unit Cost]),2,0))</f>
        <v>N/A</v>
      </c>
      <c r="G17" s="21" t="n">
        <f aca="false">IF(B17&lt;&gt;0,F17*E17,0)</f>
        <v>0</v>
      </c>
      <c r="O17" s="1" t="s">
        <v>23</v>
      </c>
      <c r="P17" s="24" t="n">
        <f aca="false">SUM(P13:P16)</f>
        <v>796803.984</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5" t="n">
        <f aca="false">'Maintenance Policies'!D45*K8</f>
        <v>102000.51</v>
      </c>
      <c r="W17" s="26" t="n">
        <f aca="false">IF(T17="","N/A",VLOOKUP(T17,CHOOSE({1,2},Table2[Pay Item Description],Table2[Unit Cost]),2,0))</f>
        <v>7</v>
      </c>
      <c r="X17" s="27" t="n">
        <f aca="false">W17*V17</f>
        <v>714003.57</v>
      </c>
    </row>
    <row r="18" customFormat="false" ht="19.5" hidden="false" customHeight="true" outlineLevel="0" collapsed="false">
      <c r="A18" s="0" t="n">
        <v>6</v>
      </c>
      <c r="B18" s="16" t="n">
        <f aca="false">IF(C18="",0,VLOOKUP(C18,CHOOSE({1,2},Table2[Pay Item Description],Table2[Pay Item No.]),2,0))</f>
        <v>0</v>
      </c>
      <c r="C18" s="17"/>
      <c r="D18" s="18" t="str">
        <f aca="false">IF(C18="","N/A",VLOOKUP(C18,CHOOSE({1,2},Table2[Pay Item Description],Table2[Units]),2,0))</f>
        <v>N/A</v>
      </c>
      <c r="E18" s="19"/>
      <c r="F18" s="20" t="str">
        <f aca="false">IF(C18="","N/A",VLOOKUP(C18,CHOOSE({1,2},Table2[Pay Item Description],Table2[Unit Cost]),2,0))</f>
        <v>N/A</v>
      </c>
      <c r="G18" s="21" t="n">
        <f aca="false">IF(B18&lt;&gt;0,F18*E18,0)</f>
        <v>0</v>
      </c>
      <c r="L18" s="1" t="s">
        <v>24</v>
      </c>
      <c r="P18" s="24" t="n">
        <f aca="false">('General Information'!$D$36/100)*P17</f>
        <v>79680.3984</v>
      </c>
      <c r="W18" s="15" t="s">
        <v>23</v>
      </c>
      <c r="X18" s="27" t="n">
        <f aca="false">SUM(X13:X17)</f>
        <v>932537.996</v>
      </c>
    </row>
    <row r="19" customFormat="false" ht="19.5" hidden="false" customHeight="true" outlineLevel="0" collapsed="false">
      <c r="A19" s="0" t="n">
        <v>7</v>
      </c>
      <c r="B19" s="16" t="n">
        <f aca="false">IF(C19="",0,VLOOKUP(C19,CHOOSE({1,2},Table2[Pay Item Description],Table2[Pay Item No.]),2,0))</f>
        <v>0</v>
      </c>
      <c r="C19" s="17"/>
      <c r="D19" s="18" t="str">
        <f aca="false">IF(C19="","N/A",VLOOKUP(C19,CHOOSE({1,2},Table2[Pay Item Description],Table2[Units]),2,0))</f>
        <v>N/A</v>
      </c>
      <c r="E19" s="19"/>
      <c r="F19" s="20" t="str">
        <f aca="false">IF(C19="","N/A",VLOOKUP(C19,CHOOSE({1,2},Table2[Pay Item Description],Table2[Unit Cost]),2,0))</f>
        <v>N/A</v>
      </c>
      <c r="G19" s="21" t="n">
        <f aca="false">IF(B19&lt;&gt;0,F19*E19,0)</f>
        <v>0</v>
      </c>
      <c r="L19" s="1" t="s">
        <v>25</v>
      </c>
      <c r="P19" s="24" t="n">
        <f aca="false">('General Information'!$D$37/100)*P17</f>
        <v>39840.1992</v>
      </c>
      <c r="T19" s="15" t="s">
        <v>24</v>
      </c>
      <c r="X19" s="27" t="n">
        <f aca="false">('General Information'!$D$36/100)*X18</f>
        <v>93253.7996</v>
      </c>
    </row>
    <row r="20" customFormat="false" ht="19.5" hidden="false" customHeight="true" outlineLevel="0" collapsed="false">
      <c r="A20" s="0" t="n">
        <v>8</v>
      </c>
      <c r="B20" s="16" t="n">
        <f aca="false">IF(C20="",0,VLOOKUP(C20,CHOOSE({1,2},Table2[Pay Item Description],Table2[Pay Item No.]),2,0))</f>
        <v>0</v>
      </c>
      <c r="C20" s="17"/>
      <c r="D20" s="18" t="str">
        <f aca="false">IF(C20="","N/A",VLOOKUP(C20,CHOOSE({1,2},Table2[Pay Item Description],Table2[Units]),2,0))</f>
        <v>N/A</v>
      </c>
      <c r="E20" s="19"/>
      <c r="F20" s="20" t="str">
        <f aca="false">IF(C20="","N/A",VLOOKUP(C20,CHOOSE({1,2},Table2[Pay Item Description],Table2[Unit Cost]),2,0))</f>
        <v>N/A</v>
      </c>
      <c r="G20" s="21" t="n">
        <f aca="false">IF(B20&lt;&gt;0,F20*E20,0)</f>
        <v>0</v>
      </c>
      <c r="O20" s="1" t="s">
        <v>26</v>
      </c>
      <c r="P20" s="24" t="n">
        <f aca="false">SUM(P17:P19)</f>
        <v>916324.5816</v>
      </c>
      <c r="T20" s="15" t="s">
        <v>25</v>
      </c>
      <c r="X20" s="27" t="n">
        <f aca="false">('General Information'!$D$37/100)*X18</f>
        <v>46626.8998</v>
      </c>
    </row>
    <row r="21" customFormat="false" ht="19.5" hidden="false" customHeight="true" outlineLevel="0" collapsed="false">
      <c r="A21" s="0" t="n">
        <v>9</v>
      </c>
      <c r="B21" s="16" t="n">
        <f aca="false">IF(C21="",0,VLOOKUP(C21,CHOOSE({1,2},Table2[Pay Item Description],Table2[Pay Item No.]),2,0))</f>
        <v>0</v>
      </c>
      <c r="C21" s="17"/>
      <c r="D21" s="18" t="str">
        <f aca="false">IF(C21="","N/A",VLOOKUP(C21,CHOOSE({1,2},Table2[Pay Item Description],Table2[Units]),2,0))</f>
        <v>N/A</v>
      </c>
      <c r="E21" s="19"/>
      <c r="F21" s="20" t="str">
        <f aca="false">IF(C21="","N/A",VLOOKUP(C21,CHOOSE({1,2},Table2[Pay Item Description],Table2[Unit Cost]),2,0))</f>
        <v>N/A</v>
      </c>
      <c r="G21" s="21" t="n">
        <f aca="false">IF(B21&lt;&gt;0,F21*E21,0)</f>
        <v>0</v>
      </c>
      <c r="W21" s="15" t="s">
        <v>26</v>
      </c>
      <c r="X21" s="27" t="n">
        <f aca="false">SUM(X18:X20)</f>
        <v>1072418.6954</v>
      </c>
    </row>
    <row r="22" customFormat="false" ht="19.5" hidden="false" customHeight="true" outlineLevel="0" collapsed="false">
      <c r="A22" s="0" t="n">
        <v>10</v>
      </c>
      <c r="B22" s="16" t="n">
        <f aca="false">IF(C22="",0,VLOOKUP(C22,CHOOSE({1,2},Table2[Pay Item Description],Table2[Pay Item No.]),2,0))</f>
        <v>0</v>
      </c>
      <c r="C22" s="17"/>
      <c r="D22" s="18" t="str">
        <f aca="false">IF(C22="","N/A",VLOOKUP(C22,CHOOSE({1,2},Table2[Pay Item Description],Table2[Units]),2,0))</f>
        <v>N/A</v>
      </c>
      <c r="E22" s="19"/>
      <c r="F22" s="20" t="str">
        <f aca="false">IF(C22="","N/A",VLOOKUP(C22,CHOOSE({1,2},Table2[Pay Item Description],Table2[Unit Cost]),2,0))</f>
        <v>N/A</v>
      </c>
      <c r="G22" s="21" t="n">
        <f aca="false">IF(B22&lt;&gt;0,F22*E22,0)</f>
        <v>0</v>
      </c>
    </row>
    <row r="23" customFormat="false" ht="15" hidden="false" customHeight="false" outlineLevel="0" collapsed="false">
      <c r="G23" s="27"/>
    </row>
    <row r="24" customFormat="false" ht="15" hidden="false" customHeight="false" outlineLevel="0" collapsed="false">
      <c r="A24" s="0" t="s">
        <v>23</v>
      </c>
      <c r="G24" s="21" t="n">
        <f aca="false">SUM(G13:G22)</f>
        <v>0</v>
      </c>
    </row>
    <row r="25" customFormat="false" ht="15" hidden="false" customHeight="false" outlineLevel="0" collapsed="false">
      <c r="B25" s="0" t="s">
        <v>24</v>
      </c>
      <c r="G25" s="21" t="n">
        <f aca="false">('General Information'!$D$36/100)*G24</f>
        <v>0</v>
      </c>
    </row>
    <row r="26" customFormat="false" ht="15" hidden="false" customHeight="false" outlineLevel="0" collapsed="false">
      <c r="B26" s="0" t="s">
        <v>25</v>
      </c>
      <c r="G26" s="21" t="n">
        <f aca="false">('General Information'!$D$37/100)*G24</f>
        <v>0</v>
      </c>
    </row>
    <row r="27" s="3" customFormat="true" ht="15" hidden="false" customHeight="false" outlineLevel="0" collapsed="false">
      <c r="A27" s="3" t="s">
        <v>26</v>
      </c>
      <c r="G27" s="28" t="n">
        <f aca="false">SUM(G24:G26)</f>
        <v>0</v>
      </c>
      <c r="J27" s="6"/>
      <c r="K27" s="6"/>
      <c r="L27" s="6"/>
      <c r="M27" s="6"/>
      <c r="N27" s="6"/>
      <c r="O27" s="6"/>
      <c r="P27" s="6"/>
    </row>
    <row r="33" customFormat="false" ht="15" hidden="false" customHeight="false" outlineLevel="0" collapsed="false">
      <c r="A33" s="3" t="s">
        <v>27</v>
      </c>
    </row>
    <row r="34" customFormat="false" ht="15" hidden="false" customHeight="false" outlineLevel="0" collapsed="false">
      <c r="A34" s="3" t="s">
        <v>28</v>
      </c>
      <c r="I34" s="15" t="s">
        <v>0</v>
      </c>
    </row>
    <row r="36" customFormat="false" ht="15" hidden="false" customHeight="false" outlineLevel="0" collapsed="false">
      <c r="B36" s="30" t="s">
        <v>29</v>
      </c>
      <c r="C36" s="31" t="s">
        <v>30</v>
      </c>
      <c r="D36" s="31" t="s">
        <v>31</v>
      </c>
      <c r="E36" s="32" t="s">
        <v>32</v>
      </c>
    </row>
    <row r="37" customFormat="false" ht="15" hidden="false" customHeight="false" outlineLevel="0" collapsed="false">
      <c r="B37" s="33" t="s">
        <v>33</v>
      </c>
      <c r="C37" s="34" t="n">
        <f aca="false">C6</f>
        <v>2028</v>
      </c>
      <c r="D37" s="35" t="n">
        <f aca="false">G27</f>
        <v>0</v>
      </c>
      <c r="E37" s="36" t="n">
        <f aca="false">D37</f>
        <v>0</v>
      </c>
      <c r="K37" s="1" t="s">
        <v>34</v>
      </c>
      <c r="L37" s="1" t="s">
        <v>638</v>
      </c>
      <c r="M37" s="1" t="s">
        <v>639</v>
      </c>
    </row>
    <row r="38" customFormat="false" ht="15" hidden="false" customHeight="false" outlineLevel="0" collapsed="false">
      <c r="B38" s="37" t="s">
        <v>3</v>
      </c>
      <c r="C38" s="38" t="n">
        <f aca="false">'Maintenance Policies'!E37</f>
        <v>19</v>
      </c>
      <c r="D38" s="39" t="n">
        <f aca="false">P20</f>
        <v>916324.5816</v>
      </c>
      <c r="E38" s="40" t="n">
        <f aca="false">IF(C38&gt;'General Information'!$D$33,0,D38/(1+('General Information'!$D$34/100))^C38)</f>
        <v>522567.104910763</v>
      </c>
      <c r="K38" s="1" t="n">
        <f aca="false">C6</f>
        <v>2028</v>
      </c>
      <c r="L38" s="24" t="n">
        <f aca="false">IF(K38-$C$6&gt;'General Information'!$D$33,0,IF(K38=$C$6,$D$37,0)+SUMIF($C$38:$C$40,K38-$C$6,$D$38:$D$40))</f>
        <v>0</v>
      </c>
      <c r="M38" s="24" t="n">
        <f aca="false">IF(K38-$C$6&gt;'General Information'!$D$33,0,IF(K38=$C$6,$E$37,0)+SUMIF($C$38:$C$40,K38-$C$6,$E$38:$E$40))</f>
        <v>0</v>
      </c>
    </row>
    <row r="39" customFormat="false" ht="15" hidden="false" customHeight="false" outlineLevel="0" collapsed="false">
      <c r="B39" s="37" t="s">
        <v>4</v>
      </c>
      <c r="C39" s="38" t="n">
        <f aca="false">'Maintenance Policies'!E41</f>
        <v>27</v>
      </c>
      <c r="D39" s="39" t="n">
        <f aca="false">X21</f>
        <v>1072418.6954</v>
      </c>
      <c r="E39" s="40" t="n">
        <f aca="false">IF(C39&gt;'General Information'!$D$33,0,D39/(1+('General Information'!$D$34/100))^C39)</f>
        <v>482791.159867436</v>
      </c>
      <c r="K39" s="1" t="n">
        <f aca="false">K38+1</f>
        <v>2029</v>
      </c>
      <c r="L39" s="24" t="n">
        <f aca="false">IF(K39-$C$6&gt;'General Information'!$D$33,0,IF(K39=$C$6,$D$37,0)+SUMIF($C$38:$C$40,K39-$C$6,$D$38:$D$40))</f>
        <v>0</v>
      </c>
      <c r="M39" s="24" t="n">
        <f aca="false">IF(K39-$C$6&gt;'General Information'!$D$33,0,IF(K39=$C$6,$E$37,0)+SUMIF($C$38:$C$40,K39-$C$6,$E$38:$E$40))</f>
        <v>0</v>
      </c>
    </row>
    <row r="40" customFormat="false" ht="15" hidden="false" customHeight="false" outlineLevel="0" collapsed="false">
      <c r="B40" s="37" t="s">
        <v>40</v>
      </c>
      <c r="C40" s="38" t="n">
        <f aca="false">'General Information'!D33</f>
        <v>30</v>
      </c>
      <c r="D40" s="39" t="n">
        <f aca="false">-'Maintenance Policies'!D46*G27</f>
        <v>-0</v>
      </c>
      <c r="E40" s="40" t="n">
        <f aca="false">IF(C40&gt;'General Information'!$D$33,0,D40/(1+('General Information'!$D$34/100))^C40)</f>
        <v>-0</v>
      </c>
      <c r="K40" s="1" t="n">
        <f aca="false">K39+1</f>
        <v>2030</v>
      </c>
      <c r="L40" s="24" t="n">
        <f aca="false">IF(K40-$C$6&gt;'General Information'!$D$33,0,IF(K40=$C$6,$D$37,0)+SUMIF($C$38:$C$40,K40-$C$6,$D$38:$D$40))</f>
        <v>0</v>
      </c>
      <c r="M40" s="24" t="n">
        <f aca="false">IF(K40-$C$6&gt;'General Information'!$D$33,0,IF(K40=$C$6,$E$37,0)+SUMIF($C$38:$C$40,K40-$C$6,$E$38:$E$40))</f>
        <v>0</v>
      </c>
    </row>
    <row r="41" customFormat="false" ht="15" hidden="false" customHeight="false" outlineLevel="0" collapsed="false">
      <c r="B41" s="41" t="s">
        <v>27</v>
      </c>
      <c r="C41" s="42"/>
      <c r="D41" s="42"/>
      <c r="E41" s="43" t="n">
        <f aca="false">SUM(E37:E40)</f>
        <v>1005358.2647782</v>
      </c>
      <c r="K41" s="1" t="n">
        <f aca="false">K40+1</f>
        <v>2031</v>
      </c>
      <c r="L41" s="24" t="n">
        <f aca="false">IF(K41-$C$6&gt;'General Information'!$D$33,0,IF(K41=$C$6,$D$37,0)+SUMIF($C$38:$C$40,K41-$C$6,$D$38:$D$40))</f>
        <v>0</v>
      </c>
      <c r="M41" s="24" t="n">
        <f aca="false">IF(K41-$C$6&gt;'General Information'!$D$33,0,IF(K41=$C$6,$E$37,0)+SUMIF($C$38:$C$40,K41-$C$6,$E$38:$E$40))</f>
        <v>0</v>
      </c>
    </row>
    <row r="42" customFormat="false" ht="15" hidden="false" customHeight="false" outlineLevel="0" collapsed="false">
      <c r="K42" s="1" t="n">
        <f aca="false">K41+1</f>
        <v>2032</v>
      </c>
      <c r="L42" s="24" t="n">
        <f aca="false">IF(K42-$C$6&gt;'General Information'!$D$33,0,IF(K42=$C$6,$D$37,0)+SUMIF($C$38:$C$40,K42-$C$6,$D$38:$D$40))</f>
        <v>0</v>
      </c>
      <c r="M42" s="24" t="n">
        <f aca="false">IF(K42-$C$6&gt;'General Information'!$D$33,0,IF(K42=$C$6,$E$37,0)+SUMIF($C$38:$C$40,K42-$C$6,$E$38:$E$40))</f>
        <v>0</v>
      </c>
    </row>
    <row r="43" customFormat="false" ht="15" hidden="false" customHeight="false" outlineLevel="0" collapsed="false">
      <c r="K43" s="1" t="n">
        <f aca="false">K42+1</f>
        <v>2033</v>
      </c>
      <c r="L43" s="24" t="n">
        <f aca="false">IF(K43-$C$6&gt;'General Information'!$D$33,0,IF(K43=$C$6,$D$37,0)+SUMIF($C$38:$C$40,K43-$C$6,$D$38:$D$40))</f>
        <v>0</v>
      </c>
      <c r="M43" s="24" t="n">
        <f aca="false">IF(K43-$C$6&gt;'General Information'!$D$33,0,IF(K43=$C$6,$E$37,0)+SUMIF($C$38:$C$40,K43-$C$6,$E$38:$E$40))</f>
        <v>0</v>
      </c>
    </row>
    <row r="44" customFormat="false" ht="15" hidden="false" customHeight="false" outlineLevel="0" collapsed="false">
      <c r="K44" s="1" t="n">
        <f aca="false">K43+1</f>
        <v>2034</v>
      </c>
      <c r="L44" s="24" t="n">
        <f aca="false">IF(K44-$C$6&gt;'General Information'!$D$33,0,IF(K44=$C$6,$D$37,0)+SUMIF($C$38:$C$40,K44-$C$6,$D$38:$D$40))</f>
        <v>0</v>
      </c>
      <c r="M44" s="24" t="n">
        <f aca="false">IF(K44-$C$6&gt;'General Information'!$D$33,0,IF(K44=$C$6,$E$37,0)+SUMIF($C$38:$C$40,K44-$C$6,$E$38:$E$40))</f>
        <v>0</v>
      </c>
    </row>
    <row r="45" customFormat="false" ht="15" hidden="false" customHeight="false" outlineLevel="0" collapsed="false">
      <c r="K45" s="1" t="n">
        <f aca="false">K44+1</f>
        <v>2035</v>
      </c>
      <c r="L45" s="24" t="n">
        <f aca="false">IF(K45-$C$6&gt;'General Information'!$D$33,0,IF(K45=$C$6,$D$37,0)+SUMIF($C$38:$C$40,K45-$C$6,$D$38:$D$40))</f>
        <v>0</v>
      </c>
      <c r="M45" s="24" t="n">
        <f aca="false">IF(K45-$C$6&gt;'General Information'!$D$33,0,IF(K45=$C$6,$E$37,0)+SUMIF($C$38:$C$40,K45-$C$6,$E$38:$E$40))</f>
        <v>0</v>
      </c>
    </row>
    <row r="46" customFormat="false" ht="15" hidden="false" customHeight="false" outlineLevel="0" collapsed="false">
      <c r="K46" s="1" t="n">
        <f aca="false">K45+1</f>
        <v>2036</v>
      </c>
      <c r="L46" s="24" t="n">
        <f aca="false">IF(K46-$C$6&gt;'General Information'!$D$33,0,IF(K46=$C$6,$D$37,0)+SUMIF($C$38:$C$40,K46-$C$6,$D$38:$D$40))</f>
        <v>0</v>
      </c>
      <c r="M46" s="24" t="n">
        <f aca="false">IF(K46-$C$6&gt;'General Information'!$D$33,0,IF(K46=$C$6,$E$37,0)+SUMIF($C$38:$C$40,K46-$C$6,$E$38:$E$40))</f>
        <v>0</v>
      </c>
    </row>
    <row r="47" customFormat="false" ht="15" hidden="false" customHeight="false" outlineLevel="0" collapsed="false">
      <c r="K47" s="1" t="n">
        <f aca="false">K46+1</f>
        <v>2037</v>
      </c>
      <c r="L47" s="24" t="n">
        <f aca="false">IF(K47-$C$6&gt;'General Information'!$D$33,0,IF(K47=$C$6,$D$37,0)+SUMIF($C$38:$C$40,K47-$C$6,$D$38:$D$40))</f>
        <v>0</v>
      </c>
      <c r="M47" s="24" t="n">
        <f aca="false">IF(K47-$C$6&gt;'General Information'!$D$33,0,IF(K47=$C$6,$E$37,0)+SUMIF($C$38:$C$40,K47-$C$6,$E$38:$E$40))</f>
        <v>0</v>
      </c>
    </row>
    <row r="48" customFormat="false" ht="15" hidden="false" customHeight="false" outlineLevel="0" collapsed="false">
      <c r="K48" s="1" t="n">
        <f aca="false">K47+1</f>
        <v>2038</v>
      </c>
      <c r="L48" s="24" t="n">
        <f aca="false">IF(K48-$C$6&gt;'General Information'!$D$33,0,IF(K48=$C$6,$D$37,0)+SUMIF($C$38:$C$40,K48-$C$6,$D$38:$D$40))</f>
        <v>0</v>
      </c>
      <c r="M48" s="24" t="n">
        <f aca="false">IF(K48-$C$6&gt;'General Information'!$D$33,0,IF(K48=$C$6,$E$37,0)+SUMIF($C$38:$C$40,K48-$C$6,$E$38:$E$40))</f>
        <v>0</v>
      </c>
    </row>
    <row r="49" customFormat="false" ht="15" hidden="false" customHeight="false" outlineLevel="0" collapsed="false">
      <c r="K49" s="1" t="n">
        <f aca="false">K48+1</f>
        <v>2039</v>
      </c>
      <c r="L49" s="24" t="n">
        <f aca="false">IF(K49-$C$6&gt;'General Information'!$D$33,0,IF(K49=$C$6,$D$37,0)+SUMIF($C$38:$C$40,K49-$C$6,$D$38:$D$40))</f>
        <v>0</v>
      </c>
      <c r="M49" s="24" t="n">
        <f aca="false">IF(K49-$C$6&gt;'General Information'!$D$33,0,IF(K49=$C$6,$E$37,0)+SUMIF($C$38:$C$40,K49-$C$6,$E$38:$E$40))</f>
        <v>0</v>
      </c>
    </row>
    <row r="50" customFormat="false" ht="15" hidden="false" customHeight="false" outlineLevel="0" collapsed="false">
      <c r="K50" s="1" t="n">
        <f aca="false">K49+1</f>
        <v>2040</v>
      </c>
      <c r="L50" s="24" t="n">
        <f aca="false">IF(K50-$C$6&gt;'General Information'!$D$33,0,IF(K50=$C$6,$D$37,0)+SUMIF($C$38:$C$40,K50-$C$6,$D$38:$D$40))</f>
        <v>0</v>
      </c>
      <c r="M50" s="24" t="n">
        <f aca="false">IF(K50-$C$6&gt;'General Information'!$D$33,0,IF(K50=$C$6,$E$37,0)+SUMIF($C$38:$C$40,K50-$C$6,$E$38:$E$40))</f>
        <v>0</v>
      </c>
    </row>
    <row r="51" customFormat="false" ht="15" hidden="false" customHeight="false" outlineLevel="0" collapsed="false">
      <c r="K51" s="1" t="n">
        <f aca="false">K50+1</f>
        <v>2041</v>
      </c>
      <c r="L51" s="24" t="n">
        <f aca="false">IF(K51-$C$6&gt;'General Information'!$D$33,0,IF(K51=$C$6,$D$37,0)+SUMIF($C$38:$C$40,K51-$C$6,$D$38:$D$40))</f>
        <v>0</v>
      </c>
      <c r="M51" s="24" t="n">
        <f aca="false">IF(K51-$C$6&gt;'General Information'!$D$33,0,IF(K51=$C$6,$E$37,0)+SUMIF($C$38:$C$40,K51-$C$6,$E$38:$E$40))</f>
        <v>0</v>
      </c>
    </row>
    <row r="52" customFormat="false" ht="15" hidden="false" customHeight="false" outlineLevel="0" collapsed="false">
      <c r="K52" s="1" t="n">
        <f aca="false">K51+1</f>
        <v>2042</v>
      </c>
      <c r="L52" s="24" t="n">
        <f aca="false">IF(K52-$C$6&gt;'General Information'!$D$33,0,IF(K52=$C$6,$D$37,0)+SUMIF($C$38:$C$40,K52-$C$6,$D$38:$D$40))</f>
        <v>0</v>
      </c>
      <c r="M52" s="24" t="n">
        <f aca="false">IF(K52-$C$6&gt;'General Information'!$D$33,0,IF(K52=$C$6,$E$37,0)+SUMIF($C$38:$C$40,K52-$C$6,$E$38:$E$40))</f>
        <v>0</v>
      </c>
    </row>
    <row r="53" customFormat="false" ht="15" hidden="false" customHeight="false" outlineLevel="0" collapsed="false">
      <c r="K53" s="1" t="n">
        <f aca="false">K52+1</f>
        <v>2043</v>
      </c>
      <c r="L53" s="24" t="n">
        <f aca="false">IF(K53-$C$6&gt;'General Information'!$D$33,0,IF(K53=$C$6,$D$37,0)+SUMIF($C$38:$C$40,K53-$C$6,$D$38:$D$40))</f>
        <v>0</v>
      </c>
      <c r="M53" s="24" t="n">
        <f aca="false">IF(K53-$C$6&gt;'General Information'!$D$33,0,IF(K53=$C$6,$E$37,0)+SUMIF($C$38:$C$40,K53-$C$6,$E$38:$E$40))</f>
        <v>0</v>
      </c>
    </row>
    <row r="54" customFormat="false" ht="15" hidden="false" customHeight="false" outlineLevel="0" collapsed="false">
      <c r="K54" s="1" t="n">
        <f aca="false">K53+1</f>
        <v>2044</v>
      </c>
      <c r="L54" s="24" t="n">
        <f aca="false">IF(K54-$C$6&gt;'General Information'!$D$33,0,IF(K54=$C$6,$D$37,0)+SUMIF($C$38:$C$40,K54-$C$6,$D$38:$D$40))</f>
        <v>0</v>
      </c>
      <c r="M54" s="24" t="n">
        <f aca="false">IF(K54-$C$6&gt;'General Information'!$D$33,0,IF(K54=$C$6,$E$37,0)+SUMIF($C$38:$C$40,K54-$C$6,$E$38:$E$40))</f>
        <v>0</v>
      </c>
    </row>
    <row r="55" customFormat="false" ht="15" hidden="false" customHeight="false" outlineLevel="0" collapsed="false">
      <c r="K55" s="1" t="n">
        <f aca="false">K54+1</f>
        <v>2045</v>
      </c>
      <c r="L55" s="24" t="n">
        <f aca="false">IF(K55-$C$6&gt;'General Information'!$D$33,0,IF(K55=$C$6,$D$37,0)+SUMIF($C$38:$C$40,K55-$C$6,$D$38:$D$40))</f>
        <v>0</v>
      </c>
      <c r="M55" s="24" t="n">
        <f aca="false">IF(K55-$C$6&gt;'General Information'!$D$33,0,IF(K55=$C$6,$E$37,0)+SUMIF($C$38:$C$40,K55-$C$6,$E$38:$E$40))</f>
        <v>0</v>
      </c>
    </row>
    <row r="56" customFormat="false" ht="15" hidden="false" customHeight="false" outlineLevel="0" collapsed="false">
      <c r="K56" s="1" t="n">
        <f aca="false">K55+1</f>
        <v>2046</v>
      </c>
      <c r="L56" s="24" t="n">
        <f aca="false">IF(K56-$C$6&gt;'General Information'!$D$33,0,IF(K56=$C$6,$D$37,0)+SUMIF($C$38:$C$40,K56-$C$6,$D$38:$D$40))</f>
        <v>0</v>
      </c>
      <c r="M56" s="24" t="n">
        <f aca="false">IF(K56-$C$6&gt;'General Information'!$D$33,0,IF(K56=$C$6,$E$37,0)+SUMIF($C$38:$C$40,K56-$C$6,$E$38:$E$40))</f>
        <v>0</v>
      </c>
    </row>
    <row r="57" customFormat="false" ht="15" hidden="false" customHeight="false" outlineLevel="0" collapsed="false">
      <c r="K57" s="1" t="n">
        <f aca="false">K56+1</f>
        <v>2047</v>
      </c>
      <c r="L57" s="24" t="n">
        <f aca="false">IF(K57-$C$6&gt;'General Information'!$D$33,0,IF(K57=$C$6,$D$37,0)+SUMIF($C$38:$C$40,K57-$C$6,$D$38:$D$40))</f>
        <v>916324.5816</v>
      </c>
      <c r="M57" s="24" t="n">
        <f aca="false">IF(K57-$C$6&gt;'General Information'!$D$33,0,IF(K57=$C$6,$E$37,0)+SUMIF($C$38:$C$40,K57-$C$6,$E$38:$E$40))</f>
        <v>522567.104910763</v>
      </c>
    </row>
    <row r="58" customFormat="false" ht="15" hidden="false" customHeight="false" outlineLevel="0" collapsed="false">
      <c r="K58" s="1" t="n">
        <f aca="false">K57+1</f>
        <v>2048</v>
      </c>
      <c r="L58" s="24" t="n">
        <f aca="false">IF(K58-$C$6&gt;'General Information'!$D$33,0,IF(K58=$C$6,$D$37,0)+SUMIF($C$38:$C$40,K58-$C$6,$D$38:$D$40))</f>
        <v>0</v>
      </c>
      <c r="M58" s="24" t="n">
        <f aca="false">IF(K58-$C$6&gt;'General Information'!$D$33,0,IF(K58=$C$6,$E$37,0)+SUMIF($C$38:$C$40,K58-$C$6,$E$38:$E$40))</f>
        <v>0</v>
      </c>
    </row>
    <row r="59" customFormat="false" ht="15" hidden="false" customHeight="false" outlineLevel="0" collapsed="false">
      <c r="K59" s="1" t="n">
        <f aca="false">K58+1</f>
        <v>2049</v>
      </c>
      <c r="L59" s="24" t="n">
        <f aca="false">IF(K59-$C$6&gt;'General Information'!$D$33,0,IF(K59=$C$6,$D$37,0)+SUMIF($C$38:$C$40,K59-$C$6,$D$38:$D$40))</f>
        <v>0</v>
      </c>
      <c r="M59" s="24" t="n">
        <f aca="false">IF(K59-$C$6&gt;'General Information'!$D$33,0,IF(K59=$C$6,$E$37,0)+SUMIF($C$38:$C$40,K59-$C$6,$E$38:$E$40))</f>
        <v>0</v>
      </c>
    </row>
    <row r="60" customFormat="false" ht="15" hidden="false" customHeight="false" outlineLevel="0" collapsed="false">
      <c r="K60" s="1" t="n">
        <f aca="false">K59+1</f>
        <v>2050</v>
      </c>
      <c r="L60" s="24" t="n">
        <f aca="false">IF(K60-$C$6&gt;'General Information'!$D$33,0,IF(K60=$C$6,$D$37,0)+SUMIF($C$38:$C$40,K60-$C$6,$D$38:$D$40))</f>
        <v>0</v>
      </c>
      <c r="M60" s="24" t="n">
        <f aca="false">IF(K60-$C$6&gt;'General Information'!$D$33,0,IF(K60=$C$6,$E$37,0)+SUMIF($C$38:$C$40,K60-$C$6,$E$38:$E$40))</f>
        <v>0</v>
      </c>
    </row>
    <row r="61" customFormat="false" ht="15" hidden="false" customHeight="false" outlineLevel="0" collapsed="false">
      <c r="K61" s="1" t="n">
        <f aca="false">K60+1</f>
        <v>2051</v>
      </c>
      <c r="L61" s="24" t="n">
        <f aca="false">IF(K61-$C$6&gt;'General Information'!$D$33,0,IF(K61=$C$6,$D$37,0)+SUMIF($C$38:$C$40,K61-$C$6,$D$38:$D$40))</f>
        <v>0</v>
      </c>
      <c r="M61" s="24" t="n">
        <f aca="false">IF(K61-$C$6&gt;'General Information'!$D$33,0,IF(K61=$C$6,$E$37,0)+SUMIF($C$38:$C$40,K61-$C$6,$E$38:$E$40))</f>
        <v>0</v>
      </c>
    </row>
    <row r="62" customFormat="false" ht="15" hidden="false" customHeight="false" outlineLevel="0" collapsed="false">
      <c r="K62" s="1" t="n">
        <f aca="false">K61+1</f>
        <v>2052</v>
      </c>
      <c r="L62" s="24" t="n">
        <f aca="false">IF(K62-$C$6&gt;'General Information'!$D$33,0,IF(K62=$C$6,$D$37,0)+SUMIF($C$38:$C$40,K62-$C$6,$D$38:$D$40))</f>
        <v>0</v>
      </c>
      <c r="M62" s="24" t="n">
        <f aca="false">IF(K62-$C$6&gt;'General Information'!$D$33,0,IF(K62=$C$6,$E$37,0)+SUMIF($C$38:$C$40,K62-$C$6,$E$38:$E$40))</f>
        <v>0</v>
      </c>
    </row>
    <row r="63" customFormat="false" ht="15" hidden="false" customHeight="false" outlineLevel="0" collapsed="false">
      <c r="K63" s="1" t="n">
        <f aca="false">K62+1</f>
        <v>2053</v>
      </c>
      <c r="L63" s="24" t="n">
        <f aca="false">IF(K63-$C$6&gt;'General Information'!$D$33,0,IF(K63=$C$6,$D$37,0)+SUMIF($C$38:$C$40,K63-$C$6,$D$38:$D$40))</f>
        <v>0</v>
      </c>
      <c r="M63" s="24" t="n">
        <f aca="false">IF(K63-$C$6&gt;'General Information'!$D$33,0,IF(K63=$C$6,$E$37,0)+SUMIF($C$38:$C$40,K63-$C$6,$E$38:$E$40))</f>
        <v>0</v>
      </c>
    </row>
    <row r="64" customFormat="false" ht="15" hidden="false" customHeight="false" outlineLevel="0" collapsed="false">
      <c r="K64" s="1" t="n">
        <f aca="false">K63+1</f>
        <v>2054</v>
      </c>
      <c r="L64" s="24" t="n">
        <f aca="false">IF(K64-$C$6&gt;'General Information'!$D$33,0,IF(K64=$C$6,$D$37,0)+SUMIF($C$38:$C$40,K64-$C$6,$D$38:$D$40))</f>
        <v>0</v>
      </c>
      <c r="M64" s="24" t="n">
        <f aca="false">IF(K64-$C$6&gt;'General Information'!$D$33,0,IF(K64=$C$6,$E$37,0)+SUMIF($C$38:$C$40,K64-$C$6,$E$38:$E$40))</f>
        <v>0</v>
      </c>
    </row>
    <row r="65" customFormat="false" ht="15" hidden="false" customHeight="false" outlineLevel="0" collapsed="false">
      <c r="K65" s="1" t="n">
        <f aca="false">K64+1</f>
        <v>2055</v>
      </c>
      <c r="L65" s="24" t="n">
        <f aca="false">IF(K65-$C$6&gt;'General Information'!$D$33,0,IF(K65=$C$6,$D$37,0)+SUMIF($C$38:$C$40,K65-$C$6,$D$38:$D$40))</f>
        <v>1072418.6954</v>
      </c>
      <c r="M65" s="24" t="n">
        <f aca="false">IF(K65-$C$6&gt;'General Information'!$D$33,0,IF(K65=$C$6,$E$37,0)+SUMIF($C$38:$C$40,K65-$C$6,$E$38:$E$40))</f>
        <v>482791.159867436</v>
      </c>
    </row>
    <row r="66" customFormat="false" ht="15" hidden="false" customHeight="false" outlineLevel="0" collapsed="false">
      <c r="K66" s="1" t="n">
        <f aca="false">K65+1</f>
        <v>2056</v>
      </c>
      <c r="L66" s="24" t="n">
        <f aca="false">IF(K66-$C$6&gt;'General Information'!$D$33,0,IF(K66=$C$6,$D$37,0)+SUMIF($C$38:$C$40,K66-$C$6,$D$38:$D$40))</f>
        <v>0</v>
      </c>
      <c r="M66" s="24" t="n">
        <f aca="false">IF(K66-$C$6&gt;'General Information'!$D$33,0,IF(K66=$C$6,$E$37,0)+SUMIF($C$38:$C$40,K66-$C$6,$E$38:$E$40))</f>
        <v>0</v>
      </c>
    </row>
    <row r="67" customFormat="false" ht="15" hidden="false" customHeight="false" outlineLevel="0" collapsed="false">
      <c r="K67" s="1" t="n">
        <f aca="false">K66+1</f>
        <v>2057</v>
      </c>
      <c r="L67" s="24" t="n">
        <f aca="false">IF(K67-$C$6&gt;'General Information'!$D$33,0,IF(K67=$C$6,$D$37,0)+SUMIF($C$38:$C$40,K67-$C$6,$D$38:$D$40))</f>
        <v>0</v>
      </c>
      <c r="M67" s="24" t="n">
        <f aca="false">IF(K67-$C$6&gt;'General Information'!$D$33,0,IF(K67=$C$6,$E$37,0)+SUMIF($C$38:$C$40,K67-$C$6,$E$38:$E$40))</f>
        <v>0</v>
      </c>
    </row>
    <row r="68" customFormat="false" ht="15" hidden="false" customHeight="false" outlineLevel="0" collapsed="false">
      <c r="K68" s="1" t="n">
        <f aca="false">K67+1</f>
        <v>2058</v>
      </c>
      <c r="L68" s="24" t="n">
        <f aca="false">IF(K68-$C$6&gt;'General Information'!$D$33,0,IF(K68=$C$6,$D$37,0)+SUMIF($C$38:$C$40,K68-$C$6,$D$38:$D$40))</f>
        <v>0</v>
      </c>
      <c r="M68" s="24" t="n">
        <f aca="false">IF(K68-$C$6&gt;'General Information'!$D$33,0,IF(K68=$C$6,$E$37,0)+SUMIF($C$38:$C$40,K68-$C$6,$E$38:$E$40))</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41.71"/>
    <col collapsed="false" customWidth="true" hidden="false" outlineLevel="0" max="5" min="5" style="0" width="12.72"/>
    <col collapsed="false" customWidth="true" hidden="false" outlineLevel="0" max="7" min="6" style="0" width="10.57"/>
    <col collapsed="false" customWidth="true" hidden="false" outlineLevel="0" max="11" min="10" style="1" width="13.29"/>
    <col collapsed="false" customWidth="true" hidden="false" outlineLevel="0" max="12" min="12" style="1" width="41.57"/>
    <col collapsed="false" customWidth="true" hidden="false" outlineLevel="0" max="16" min="13" style="1" width="13.29"/>
    <col collapsed="false" customWidth="true" hidden="false" outlineLevel="0" max="17" min="17" style="0" width="3.57"/>
    <col collapsed="false" customWidth="true" hidden="false" outlineLevel="0" max="19" min="18" style="0" width="13.29"/>
    <col collapsed="false" customWidth="true" hidden="false" outlineLevel="0" max="20" min="20" style="0" width="41.14"/>
    <col collapsed="false" customWidth="true" hidden="false" outlineLevel="0" max="24" min="21" style="0" width="13.29"/>
    <col collapsed="false" customWidth="true" hidden="false" outlineLevel="0" max="25" min="25" style="0" width="3.57"/>
    <col collapsed="false" customWidth="true" hidden="false" outlineLevel="0" max="27" min="26" style="1" width="13.29"/>
    <col collapsed="false" customWidth="true" hidden="false" outlineLevel="0" max="28" min="28" style="1" width="40.57"/>
    <col collapsed="false" customWidth="true" hidden="false" outlineLevel="0" max="32" min="29" style="1" width="13.29"/>
    <col collapsed="false" customWidth="true" hidden="false" outlineLevel="0" max="33" min="33" style="0" width="3.57"/>
    <col collapsed="false" customWidth="true" hidden="false" outlineLevel="0" max="35" min="34" style="0" width="13.29"/>
    <col collapsed="false" customWidth="true" hidden="false" outlineLevel="0" max="36" min="36" style="0" width="40.71"/>
    <col collapsed="false" customWidth="true" hidden="false" outlineLevel="0" max="40" min="37" style="0" width="13.29"/>
    <col collapsed="false" customWidth="true" hidden="false" outlineLevel="0" max="41" min="41" style="0" width="3.57"/>
    <col collapsed="false" customWidth="true" hidden="false" outlineLevel="0" max="43" min="42" style="1" width="13.29"/>
    <col collapsed="false" customWidth="true" hidden="false" outlineLevel="0" max="44" min="44" style="1" width="40.57"/>
    <col collapsed="false" customWidth="true" hidden="false" outlineLevel="0" max="48" min="45" style="1" width="13.29"/>
    <col collapsed="false" customWidth="true" hidden="false" outlineLevel="0" max="49" min="49" style="0" width="3.57"/>
    <col collapsed="false" customWidth="true" hidden="false" outlineLevel="0" max="51" min="50" style="0" width="13.29"/>
    <col collapsed="false" customWidth="true" hidden="false" outlineLevel="0" max="52" min="52" style="0" width="40.57"/>
    <col collapsed="false" customWidth="true" hidden="false" outlineLevel="0" max="56" min="53" style="0" width="13.29"/>
    <col collapsed="false" customWidth="true" hidden="false" outlineLevel="0" max="57" min="57" style="0" width="3.57"/>
    <col collapsed="false" customWidth="true" hidden="false" outlineLevel="0" max="59" min="58" style="1" width="13.29"/>
    <col collapsed="false" customWidth="true" hidden="false" outlineLevel="0" max="60" min="60" style="1" width="40.57"/>
    <col collapsed="false" customWidth="true" hidden="false" outlineLevel="0" max="64" min="61" style="1" width="13.29"/>
    <col collapsed="false" customWidth="true" hidden="false" outlineLevel="0" max="65" min="65" style="0" width="3.57"/>
  </cols>
  <sheetData>
    <row r="1" customFormat="false" ht="15" hidden="false" customHeight="false" outlineLevel="0" collapsed="false">
      <c r="I1" s="0" t="s">
        <v>0</v>
      </c>
    </row>
    <row r="2" customFormat="false" ht="15" hidden="false" customHeight="false" outlineLevel="0" collapsed="false">
      <c r="A2" s="3" t="s">
        <v>1</v>
      </c>
      <c r="J2" s="6" t="s">
        <v>3</v>
      </c>
      <c r="R2" s="3" t="s">
        <v>564</v>
      </c>
      <c r="Z2" s="6" t="s">
        <v>565</v>
      </c>
      <c r="AH2" s="3" t="s">
        <v>4</v>
      </c>
      <c r="AP2" s="6" t="s">
        <v>570</v>
      </c>
      <c r="AX2" s="3" t="s">
        <v>576</v>
      </c>
      <c r="BF2" s="6" t="s">
        <v>577</v>
      </c>
    </row>
    <row r="4" customFormat="false" ht="15" hidden="false" customHeight="false" outlineLevel="0" collapsed="false">
      <c r="A4" s="0" t="s">
        <v>5</v>
      </c>
      <c r="C4" s="9" t="s">
        <v>640</v>
      </c>
    </row>
    <row r="5" customFormat="false" ht="15" hidden="false" customHeight="false" outlineLevel="0" collapsed="false">
      <c r="A5" s="0" t="s">
        <v>8</v>
      </c>
      <c r="C5" s="0" t="n">
        <f aca="false">'General Information'!D26</f>
        <v>66667</v>
      </c>
      <c r="D5" s="0" t="s">
        <v>9</v>
      </c>
    </row>
    <row r="6" customFormat="false" ht="15" hidden="false" customHeight="false" outlineLevel="0" collapsed="false">
      <c r="A6" s="0" t="s">
        <v>11</v>
      </c>
      <c r="C6" s="0" t="n">
        <f aca="false">'General Information'!D25</f>
        <v>2028</v>
      </c>
      <c r="AH6" s="15" t="s">
        <v>604</v>
      </c>
      <c r="AI6" s="0" t="n">
        <v>2</v>
      </c>
      <c r="AJ6" s="15" t="s">
        <v>605</v>
      </c>
    </row>
    <row r="7" customFormat="false" ht="15" hidden="false" customHeight="false" outlineLevel="0" collapsed="false">
      <c r="A7" s="0" t="s">
        <v>606</v>
      </c>
      <c r="C7" s="98" t="s">
        <v>517</v>
      </c>
      <c r="D7" s="15" t="s">
        <v>607</v>
      </c>
      <c r="AH7" s="15" t="s">
        <v>609</v>
      </c>
      <c r="AI7" s="0" t="n">
        <v>120</v>
      </c>
      <c r="AJ7" s="15" t="s">
        <v>610</v>
      </c>
    </row>
    <row r="8" customFormat="false" ht="15" hidden="false" customHeight="false" outlineLevel="0" collapsed="false">
      <c r="A8" s="0" t="s">
        <v>12</v>
      </c>
      <c r="C8" s="0" t="n">
        <f aca="false">'General Information'!D28</f>
        <v>15000</v>
      </c>
      <c r="D8" s="0" t="s">
        <v>13</v>
      </c>
    </row>
    <row r="9" customFormat="false" ht="15" hidden="false" customHeight="false" outlineLevel="0" collapsed="false">
      <c r="C9" s="9"/>
      <c r="AH9" s="15" t="s">
        <v>612</v>
      </c>
      <c r="AI9" s="0" t="n">
        <v>0.07</v>
      </c>
      <c r="AJ9" s="15" t="s">
        <v>613</v>
      </c>
    </row>
    <row r="10" customFormat="false" ht="15" hidden="false" customHeight="false" outlineLevel="0" collapsed="false">
      <c r="D10" s="14"/>
    </row>
    <row r="12" customFormat="false" ht="15" hidden="false" customHeight="false" outlineLevel="0" collapsed="false">
      <c r="A12" s="0" t="s">
        <v>16</v>
      </c>
      <c r="B12" s="0" t="s">
        <v>17</v>
      </c>
      <c r="C12" s="0" t="s">
        <v>18</v>
      </c>
      <c r="D12" s="0" t="s">
        <v>19</v>
      </c>
      <c r="E12" s="0" t="s">
        <v>20</v>
      </c>
      <c r="F12" s="0" t="s">
        <v>21</v>
      </c>
      <c r="G12" s="0" t="s">
        <v>22</v>
      </c>
      <c r="J12" s="1" t="s">
        <v>16</v>
      </c>
      <c r="K12" s="1" t="s">
        <v>17</v>
      </c>
      <c r="L12" s="1" t="s">
        <v>18</v>
      </c>
      <c r="M12" s="1" t="s">
        <v>19</v>
      </c>
      <c r="N12" s="1" t="s">
        <v>20</v>
      </c>
      <c r="O12" s="1" t="s">
        <v>21</v>
      </c>
      <c r="P12" s="1" t="s">
        <v>22</v>
      </c>
      <c r="R12" s="15" t="s">
        <v>16</v>
      </c>
      <c r="S12" s="15" t="s">
        <v>17</v>
      </c>
      <c r="T12" s="15" t="s">
        <v>18</v>
      </c>
      <c r="U12" s="15" t="s">
        <v>19</v>
      </c>
      <c r="V12" s="15" t="s">
        <v>20</v>
      </c>
      <c r="W12" s="15" t="s">
        <v>21</v>
      </c>
      <c r="X12" s="15" t="s">
        <v>22</v>
      </c>
      <c r="Z12" s="1" t="s">
        <v>16</v>
      </c>
      <c r="AA12" s="1" t="s">
        <v>17</v>
      </c>
      <c r="AB12" s="1" t="s">
        <v>18</v>
      </c>
      <c r="AC12" s="1" t="s">
        <v>19</v>
      </c>
      <c r="AD12" s="1" t="s">
        <v>20</v>
      </c>
      <c r="AE12" s="1" t="s">
        <v>21</v>
      </c>
      <c r="AF12" s="1" t="s">
        <v>22</v>
      </c>
      <c r="AH12" s="15" t="s">
        <v>16</v>
      </c>
      <c r="AI12" s="15" t="s">
        <v>17</v>
      </c>
      <c r="AJ12" s="15" t="s">
        <v>18</v>
      </c>
      <c r="AK12" s="15" t="s">
        <v>19</v>
      </c>
      <c r="AL12" s="15" t="s">
        <v>20</v>
      </c>
      <c r="AM12" s="15" t="s">
        <v>21</v>
      </c>
      <c r="AN12" s="15" t="s">
        <v>22</v>
      </c>
      <c r="AP12" s="1" t="s">
        <v>16</v>
      </c>
      <c r="AQ12" s="1" t="s">
        <v>17</v>
      </c>
      <c r="AR12" s="1" t="s">
        <v>18</v>
      </c>
      <c r="AS12" s="1" t="s">
        <v>19</v>
      </c>
      <c r="AT12" s="1" t="s">
        <v>20</v>
      </c>
      <c r="AU12" s="1" t="s">
        <v>21</v>
      </c>
      <c r="AV12" s="1" t="s">
        <v>22</v>
      </c>
      <c r="AX12" s="15" t="s">
        <v>16</v>
      </c>
      <c r="AY12" s="15" t="s">
        <v>17</v>
      </c>
      <c r="AZ12" s="15" t="s">
        <v>18</v>
      </c>
      <c r="BA12" s="15" t="s">
        <v>19</v>
      </c>
      <c r="BB12" s="15" t="s">
        <v>20</v>
      </c>
      <c r="BC12" s="15" t="s">
        <v>21</v>
      </c>
      <c r="BD12" s="15" t="s">
        <v>22</v>
      </c>
      <c r="BF12" s="1" t="s">
        <v>16</v>
      </c>
      <c r="BG12" s="1" t="s">
        <v>17</v>
      </c>
      <c r="BH12" s="1" t="s">
        <v>18</v>
      </c>
      <c r="BI12" s="1" t="s">
        <v>19</v>
      </c>
      <c r="BJ12" s="1" t="s">
        <v>20</v>
      </c>
      <c r="BK12" s="1" t="s">
        <v>21</v>
      </c>
      <c r="BL12" s="1" t="s">
        <v>22</v>
      </c>
    </row>
    <row r="13" customFormat="false" ht="19.5" hidden="false" customHeight="true" outlineLevel="0" collapsed="false">
      <c r="A13" s="0" t="n">
        <v>1</v>
      </c>
      <c r="B13" s="16" t="n">
        <f aca="false">IF(C13="",0,VLOOKUP(C13,CHOOSE({1,2},Table2[Pay Item Description],Table2[Pay Item No.]),2,0))</f>
        <v>0</v>
      </c>
      <c r="C13" s="17"/>
      <c r="D13" s="18" t="str">
        <f aca="false">IF(C13="","N/A",VLOOKUP(C13,CHOOSE({1,2},Table2[Pay Item Description],Table2[Units]),2,0))</f>
        <v>N/A</v>
      </c>
      <c r="E13" s="99" t="n">
        <v>0</v>
      </c>
      <c r="F13" s="20" t="str">
        <f aca="false">IF(C13="","N/A",VLOOKUP(C13,CHOOSE({1,2},Table2[Pay Item Description],Table2[Unit Cost]),2,0))</f>
        <v>N/A</v>
      </c>
      <c r="G13" s="21" t="n">
        <f aca="false">IF(B13&lt;&gt;0,F13*E13,0)</f>
        <v>0</v>
      </c>
      <c r="J13" s="1" t="n">
        <v>1</v>
      </c>
      <c r="K13" s="100" t="str">
        <f aca="false">IF(L13="",0,VLOOKUP(L13,CHOOSE({1,2},Table2[Pay Item Description],Table2[Pay Item No.]),2,0))</f>
        <v>P-608-8.1</v>
      </c>
      <c r="L13" s="1" t="str">
        <f aca="false">C7</f>
        <v>Emulsified Asphalt Surface Treatment</v>
      </c>
      <c r="M13" s="101" t="str">
        <f aca="false">IF(L13="","N/A",VLOOKUP(L13,CHOOSE({1,2},Table2[Pay Item Description],Table2[Units]),2,0))</f>
        <v>S.Y.</v>
      </c>
      <c r="N13" s="102" t="n">
        <f aca="false">'Maintenance Policies'!D51*$C$5</f>
        <v>66667</v>
      </c>
      <c r="O13" s="103" t="n">
        <f aca="false">IF(L13="","N/A",VLOOKUP(L13,CHOOSE({1,2},Table2[Pay Item Description],Table2[Unit Cost]),2,0))</f>
        <v>4</v>
      </c>
      <c r="P13" s="24" t="n">
        <f aca="false">O13*N13</f>
        <v>266668</v>
      </c>
      <c r="R13" s="0" t="n">
        <v>1</v>
      </c>
      <c r="S13" s="0" t="str">
        <f aca="false">IF(T13="",0,VLOOKUP(T13,CHOOSE({1,2},Table2[Pay Item Description],Table2[Pay Item No.]),2,0))</f>
        <v>P-101-5.4a</v>
      </c>
      <c r="T13" s="0" t="str">
        <f aca="false">Pay_Items!D11</f>
        <v>Spall Repair, Asphalt</v>
      </c>
      <c r="U13" s="107" t="str">
        <f aca="false">IF(T13="","N/A",VLOOKUP(T13,CHOOSE({1,2},Table2[Pay Item Description],Table2[Units]),2,0))</f>
        <v>S.F.</v>
      </c>
      <c r="V13" s="104" t="n">
        <f aca="false">'Maintenance Policies'!D53*($C$5*9)</f>
        <v>7500.0375</v>
      </c>
      <c r="W13" s="108" t="n">
        <f aca="false">IF(T13="","N/A",VLOOKUP(T13,CHOOSE({1,2},Table2[Pay Item Description],Table2[Unit Cost]),2,0))</f>
        <v>8.5</v>
      </c>
      <c r="X13" s="27" t="n">
        <f aca="false">W13*V13</f>
        <v>63750.31875</v>
      </c>
      <c r="Z13" s="1" t="n">
        <v>1</v>
      </c>
      <c r="AA13" s="100" t="str">
        <f aca="false">IF(AB13="",0,VLOOKUP(AB13,CHOOSE({1,2},Table2[Pay Item Description],Table2[Pay Item No.]),2,0))</f>
        <v>P-608-8.1</v>
      </c>
      <c r="AB13" s="1" t="str">
        <f aca="false">C7</f>
        <v>Emulsified Asphalt Surface Treatment</v>
      </c>
      <c r="AC13" s="101" t="str">
        <f aca="false">IF(AB13="","N/A",VLOOKUP(AB13,CHOOSE({1,2},Table2[Pay Item Description],Table2[Units]),2,0))</f>
        <v>S.Y.</v>
      </c>
      <c r="AD13" s="102" t="n">
        <f aca="false">'Maintenance Policies'!D57*$C$5</f>
        <v>66667</v>
      </c>
      <c r="AE13" s="103" t="n">
        <f aca="false">IF(AB13="","N/A",VLOOKUP(AB13,CHOOSE({1,2},Table2[Pay Item Description],Table2[Unit Cost]),2,0))</f>
        <v>4</v>
      </c>
      <c r="AF13" s="24" t="n">
        <f aca="false">AE13*AD13</f>
        <v>266668</v>
      </c>
      <c r="AH13" s="0" t="n">
        <v>1</v>
      </c>
      <c r="AI13" s="16" t="str">
        <f aca="false">IF(AJ13="",0,VLOOKUP(AJ13,CHOOSE({1,2},Table2[Pay Item Description],Table2[Pay Item No.]),2,0))</f>
        <v>P-101-5.6</v>
      </c>
      <c r="AJ13" s="15" t="s">
        <v>440</v>
      </c>
      <c r="AK13" s="18" t="str">
        <f aca="false">IF(AJ13="","N/A",VLOOKUP(AJ13,CHOOSE({1,2},Table2[Pay Item Description],Table2[Units]),2,0))</f>
        <v>S.Y.</v>
      </c>
      <c r="AL13" s="104" t="n">
        <f aca="false">'Maintenance Policies'!D59*$C$5</f>
        <v>66667</v>
      </c>
      <c r="AM13" s="59" t="n">
        <f aca="false">IF(AJ13="","N/A",VLOOKUP(AJ13,CHOOSE({1,2},Table2[Pay Item Description],Table2[Unit Cost]),2,0))</f>
        <v>5</v>
      </c>
      <c r="AN13" s="27" t="n">
        <f aca="false">AM13*AL13</f>
        <v>333335</v>
      </c>
      <c r="AP13" s="1" t="n">
        <v>1</v>
      </c>
      <c r="AQ13" s="100" t="str">
        <f aca="false">IF(AR13="",0,VLOOKUP(AR13,CHOOSE({1,2},Table2[Pay Item Description],Table2[Pay Item No.]),2,0))</f>
        <v>P-608-8.1</v>
      </c>
      <c r="AR13" s="1" t="str">
        <f aca="false">C7</f>
        <v>Emulsified Asphalt Surface Treatment</v>
      </c>
      <c r="AS13" s="101" t="str">
        <f aca="false">IF(AR13="","N/A",VLOOKUP(AR13,CHOOSE({1,2},Table2[Pay Item Description],Table2[Units]),2,0))</f>
        <v>S.Y.</v>
      </c>
      <c r="AT13" s="102" t="n">
        <f aca="false">'Maintenance Policies'!D63*$C$5</f>
        <v>66667</v>
      </c>
      <c r="AU13" s="103" t="n">
        <f aca="false">IF(AR13="","N/A",VLOOKUP(AR13,CHOOSE({1,2},Table2[Pay Item Description],Table2[Unit Cost]),2,0))</f>
        <v>4</v>
      </c>
      <c r="AV13" s="24" t="n">
        <f aca="false">AU13*AT13</f>
        <v>266668</v>
      </c>
      <c r="AX13" s="0" t="n">
        <v>1</v>
      </c>
      <c r="AY13" s="16" t="str">
        <f aca="false">IF(AZ13="",0,VLOOKUP(AZ13,CHOOSE({1,2},Table2[Pay Item Description],Table2[Pay Item No.]),2,0))</f>
        <v>P-101-5.4a</v>
      </c>
      <c r="AZ13" s="15" t="s">
        <v>429</v>
      </c>
      <c r="BA13" s="18" t="str">
        <f aca="false">IF(AZ13="","N/A",VLOOKUP(AZ13,CHOOSE({1,2},Table2[Pay Item Description],Table2[Units]),2,0))</f>
        <v>S.F.</v>
      </c>
      <c r="BB13" s="104" t="n">
        <f aca="false">'Maintenance Policies'!D65*($C$5*9)</f>
        <v>7500.0375</v>
      </c>
      <c r="BC13" s="59" t="n">
        <f aca="false">IF(AZ13="","N/A",VLOOKUP(AZ13,CHOOSE({1,2},Table2[Pay Item Description],Table2[Unit Cost]),2,0))</f>
        <v>8.5</v>
      </c>
      <c r="BD13" s="27" t="n">
        <f aca="false">BC13*BB13</f>
        <v>63750.31875</v>
      </c>
      <c r="BF13" s="1" t="n">
        <v>1</v>
      </c>
      <c r="BG13" s="100" t="str">
        <f aca="false">IF(BH13="",0,VLOOKUP(BH13,CHOOSE({1,2},Table2[Pay Item Description],Table2[Pay Item No.]),2,0))</f>
        <v>P-608-8.1</v>
      </c>
      <c r="BH13" s="1" t="str">
        <f aca="false">C7</f>
        <v>Emulsified Asphalt Surface Treatment</v>
      </c>
      <c r="BI13" s="101" t="str">
        <f aca="false">IF(BH13="","N/A",VLOOKUP(BH13,CHOOSE({1,2},Table2[Pay Item Description],Table2[Units]),2,0))</f>
        <v>S.Y.</v>
      </c>
      <c r="BJ13" s="102" t="n">
        <f aca="false">'Maintenance Policies'!D69*$C$5</f>
        <v>66667</v>
      </c>
      <c r="BK13" s="103" t="n">
        <f aca="false">IF(BH13="","N/A",VLOOKUP(BH13,CHOOSE({1,2},Table2[Pay Item Description],Table2[Unit Cost]),2,0))</f>
        <v>4</v>
      </c>
      <c r="BL13" s="24" t="n">
        <f aca="false">BK13*BJ13</f>
        <v>266668</v>
      </c>
    </row>
    <row r="14" customFormat="false" ht="19.5" hidden="false" customHeight="true" outlineLevel="0" collapsed="false">
      <c r="A14" s="0" t="n">
        <v>2</v>
      </c>
      <c r="B14" s="16" t="n">
        <f aca="false">IF(C14="",0,VLOOKUP(C14,CHOOSE({1,2},Table2[Pay Item Description],Table2[Pay Item No.]),2,0))</f>
        <v>0</v>
      </c>
      <c r="C14" s="17"/>
      <c r="D14" s="18" t="str">
        <f aca="false">IF(C14="","N/A",VLOOKUP(C14,CHOOSE({1,2},Table2[Pay Item Description],Table2[Units]),2,0))</f>
        <v>N/A</v>
      </c>
      <c r="E14" s="99" t="n">
        <v>0</v>
      </c>
      <c r="F14" s="20" t="str">
        <f aca="false">IF(C14="","N/A",VLOOKUP(C14,CHOOSE({1,2},Table2[Pay Item Description],Table2[Unit Cost]),2,0))</f>
        <v>N/A</v>
      </c>
      <c r="G14" s="21" t="n">
        <f aca="false">IF(B14&lt;&gt;0,F14*E14,0)</f>
        <v>0</v>
      </c>
      <c r="J14" s="1" t="n">
        <v>2</v>
      </c>
      <c r="K14" s="1" t="str">
        <f aca="false">IF(L14="",0,VLOOKUP(L14,CHOOSE({1,2},Table2[Pay Item Description],Table2[Pay Item No.]),2,0))</f>
        <v>P-101-5.3</v>
      </c>
      <c r="L14" s="1" t="s">
        <v>427</v>
      </c>
      <c r="M14" s="105" t="str">
        <f aca="false">IF(L14="","N/A",VLOOKUP(L14,CHOOSE({1,2},Table2[Pay Item Description],Table2[Units]),2,0))</f>
        <v>S.F.</v>
      </c>
      <c r="N14" s="102" t="n">
        <f aca="false">'Maintenance Policies'!D52*$C$8</f>
        <v>15000</v>
      </c>
      <c r="O14" s="106" t="n">
        <f aca="false">IF(L14="","N/A",VLOOKUP(L14,CHOOSE({1,2},Table2[Pay Item Description],Table2[Unit Cost]),2,0))</f>
        <v>0.777777777777778</v>
      </c>
      <c r="P14" s="24" t="n">
        <f aca="false">O14*N14</f>
        <v>11666.6666666667</v>
      </c>
      <c r="R14" s="0" t="n">
        <v>2</v>
      </c>
      <c r="S14" s="0" t="str">
        <f aca="false">IF(T14="",0,VLOOKUP(T14,CHOOSE({1,2},Table2[Pay Item Description],Table2[Pay Item No.]),2,0))</f>
        <v>P-101-5.2a</v>
      </c>
      <c r="T14" s="0" t="str">
        <f aca="false">Pay_Items!D6</f>
        <v>Crack Repair (Type I), Asphalt</v>
      </c>
      <c r="U14" s="107" t="str">
        <f aca="false">IF(T14="","N/A",VLOOKUP(T14,CHOOSE({1,2},Table2[Pay Item Description],Table2[Units]),2,0))</f>
        <v>L.F.</v>
      </c>
      <c r="V14" s="104" t="n">
        <f aca="false">'Maintenance Policies'!D54*($C$5*9)</f>
        <v>24000.12</v>
      </c>
      <c r="W14" s="108" t="n">
        <f aca="false">IF(T14="","N/A",VLOOKUP(T14,CHOOSE({1,2},Table2[Pay Item Description],Table2[Unit Cost]),2,0))</f>
        <v>4</v>
      </c>
      <c r="X14" s="27" t="n">
        <f aca="false">W14*V14</f>
        <v>96000.48</v>
      </c>
      <c r="Z14" s="1" t="n">
        <v>2</v>
      </c>
      <c r="AA14" s="100" t="str">
        <f aca="false">IF(AB14="",0,VLOOKUP(AB14,CHOOSE({1,2},Table2[Pay Item Description],Table2[Pay Item No.]),2,0))</f>
        <v>P-101-5.3</v>
      </c>
      <c r="AB14" s="1" t="s">
        <v>427</v>
      </c>
      <c r="AC14" s="101" t="str">
        <f aca="false">IF(AB14="","N/A",VLOOKUP(AB14,CHOOSE({1,2},Table2[Pay Item Description],Table2[Units]),2,0))</f>
        <v>S.F.</v>
      </c>
      <c r="AD14" s="102" t="n">
        <f aca="false">'Maintenance Policies'!D58*$C$8</f>
        <v>15000</v>
      </c>
      <c r="AE14" s="103" t="n">
        <f aca="false">IF(AB14="","N/A",VLOOKUP(AB14,CHOOSE({1,2},Table2[Pay Item Description],Table2[Unit Cost]),2,0))</f>
        <v>0.777777777777778</v>
      </c>
      <c r="AF14" s="24" t="n">
        <f aca="false">AE14*AD14</f>
        <v>11666.6666666667</v>
      </c>
      <c r="AH14" s="0" t="n">
        <v>2</v>
      </c>
      <c r="AI14" s="16" t="str">
        <f aca="false">IF(AJ14="",0,VLOOKUP(AJ14,CHOOSE({1,2},Table2[Pay Item Description],Table2[Pay Item No.]),2,0))</f>
        <v>P-603-5.1</v>
      </c>
      <c r="AJ14" s="15" t="s">
        <v>531</v>
      </c>
      <c r="AK14" s="18" t="str">
        <f aca="false">IF(AJ14="","N/A",VLOOKUP(AJ14,CHOOSE({1,2},Table2[Pay Item Description],Table2[Units]),2,0))</f>
        <v>GAL</v>
      </c>
      <c r="AL14" s="104" t="n">
        <f aca="false">'Maintenance Policies'!D59*$C$5*AI9</f>
        <v>4666.69</v>
      </c>
      <c r="AM14" s="59" t="n">
        <f aca="false">IF(AJ14="","N/A",VLOOKUP(AJ14,CHOOSE({1,2},Table2[Pay Item Description],Table2[Unit Cost]),2,0))</f>
        <v>4.5</v>
      </c>
      <c r="AN14" s="27" t="n">
        <f aca="false">AM14*AL14</f>
        <v>21000.105</v>
      </c>
      <c r="AP14" s="1" t="n">
        <v>2</v>
      </c>
      <c r="AQ14" s="100" t="str">
        <f aca="false">IF(AR14="",0,VLOOKUP(AR14,CHOOSE({1,2},Table2[Pay Item Description],Table2[Pay Item No.]),2,0))</f>
        <v>P-101-5.3</v>
      </c>
      <c r="AR14" s="1" t="s">
        <v>427</v>
      </c>
      <c r="AS14" s="101" t="str">
        <f aca="false">IF(AR14="","N/A",VLOOKUP(AR14,CHOOSE({1,2},Table2[Pay Item Description],Table2[Units]),2,0))</f>
        <v>S.F.</v>
      </c>
      <c r="AT14" s="102" t="n">
        <f aca="false">'Maintenance Policies'!D64*$C$8</f>
        <v>15000</v>
      </c>
      <c r="AU14" s="103" t="n">
        <f aca="false">IF(AR14="","N/A",VLOOKUP(AR14,CHOOSE({1,2},Table2[Pay Item Description],Table2[Unit Cost]),2,0))</f>
        <v>0.777777777777778</v>
      </c>
      <c r="AV14" s="24" t="n">
        <f aca="false">AU14*AT14</f>
        <v>11666.6666666667</v>
      </c>
      <c r="AX14" s="0" t="n">
        <v>2</v>
      </c>
      <c r="AY14" s="16" t="str">
        <f aca="false">IF(AZ14="",0,VLOOKUP(AZ14,CHOOSE({1,2},Table2[Pay Item Description],Table2[Pay Item No.]),2,0))</f>
        <v>P-101-5.2a</v>
      </c>
      <c r="AZ14" s="15" t="s">
        <v>418</v>
      </c>
      <c r="BA14" s="18" t="str">
        <f aca="false">IF(AZ14="","N/A",VLOOKUP(AZ14,CHOOSE({1,2},Table2[Pay Item Description],Table2[Units]),2,0))</f>
        <v>L.F.</v>
      </c>
      <c r="BB14" s="104" t="n">
        <f aca="false">'Maintenance Policies'!D66*($C$5*9)</f>
        <v>24000.12</v>
      </c>
      <c r="BC14" s="59" t="n">
        <f aca="false">IF(AZ14="","N/A",VLOOKUP(AZ14,CHOOSE({1,2},Table2[Pay Item Description],Table2[Unit Cost]),2,0))</f>
        <v>4</v>
      </c>
      <c r="BD14" s="27" t="n">
        <f aca="false">BC14*BB14</f>
        <v>96000.48</v>
      </c>
      <c r="BF14" s="1" t="n">
        <v>2</v>
      </c>
      <c r="BG14" s="100" t="str">
        <f aca="false">IF(BH14="",0,VLOOKUP(BH14,CHOOSE({1,2},Table2[Pay Item Description],Table2[Pay Item No.]),2,0))</f>
        <v>P-101-5.3</v>
      </c>
      <c r="BH14" s="1" t="s">
        <v>427</v>
      </c>
      <c r="BI14" s="101" t="str">
        <f aca="false">IF(BH14="","N/A",VLOOKUP(BH14,CHOOSE({1,2},Table2[Pay Item Description],Table2[Units]),2,0))</f>
        <v>S.F.</v>
      </c>
      <c r="BJ14" s="102" t="n">
        <f aca="false">'Maintenance Policies'!D70*$C$8</f>
        <v>15000</v>
      </c>
      <c r="BK14" s="103" t="n">
        <f aca="false">IF(BH14="","N/A",VLOOKUP(BH14,CHOOSE({1,2},Table2[Pay Item Description],Table2[Unit Cost]),2,0))</f>
        <v>0.777777777777778</v>
      </c>
      <c r="BL14" s="24" t="n">
        <f aca="false">BK14*BJ14</f>
        <v>11666.6666666667</v>
      </c>
    </row>
    <row r="15" customFormat="false" ht="19.5" hidden="false" customHeight="true" outlineLevel="0" collapsed="false">
      <c r="A15" s="0" t="n">
        <v>3</v>
      </c>
      <c r="B15" s="16" t="n">
        <f aca="false">IF(C15="",0,VLOOKUP(C15,CHOOSE({1,2},Table2[Pay Item Description],Table2[Pay Item No.]),2,0))</f>
        <v>0</v>
      </c>
      <c r="C15" s="17"/>
      <c r="D15" s="18" t="str">
        <f aca="false">IF(C15="","N/A",VLOOKUP(C15,CHOOSE({1,2},Table2[Pay Item Description],Table2[Units]),2,0))</f>
        <v>N/A</v>
      </c>
      <c r="E15" s="99" t="n">
        <v>0</v>
      </c>
      <c r="F15" s="20" t="str">
        <f aca="false">IF(C15="","N/A",VLOOKUP(C15,CHOOSE({1,2},Table2[Pay Item Description],Table2[Unit Cost]),2,0))</f>
        <v>N/A</v>
      </c>
      <c r="G15" s="21" t="n">
        <f aca="false">IF(B15&lt;&gt;0,F15*E15,0)</f>
        <v>0</v>
      </c>
      <c r="J15" s="1" t="n">
        <v>3</v>
      </c>
      <c r="K15" s="1" t="str">
        <f aca="false">IF(L15="",0,VLOOKUP(L15,CHOOSE({1,2},Table2[Pay Item Description],Table2[Pay Item No.]),2,0))</f>
        <v>P-620-5.1a</v>
      </c>
      <c r="L15" s="1" t="s">
        <v>540</v>
      </c>
      <c r="M15" s="105" t="str">
        <f aca="false">IF(L15="","N/A",VLOOKUP(L15,CHOOSE({1,2},Table2[Pay Item Description],Table2[Units]),2,0))</f>
        <v>S.F.</v>
      </c>
      <c r="N15" s="102" t="n">
        <f aca="false">'Maintenance Policies'!D52*$C$8</f>
        <v>15000</v>
      </c>
      <c r="O15" s="106" t="n">
        <f aca="false">IF(L15="","N/A",VLOOKUP(L15,CHOOSE({1,2},Table2[Pay Item Description],Table2[Unit Cost]),2,0))</f>
        <v>0.666666666666667</v>
      </c>
      <c r="P15" s="24" t="n">
        <f aca="false">O15*N15</f>
        <v>10000</v>
      </c>
      <c r="R15" s="0" t="n">
        <v>3</v>
      </c>
      <c r="S15" s="16" t="str">
        <f aca="false">IF(T15="",0,VLOOKUP(T15,CHOOSE({1,2},Table2[Pay Item Description],Table2[Pay Item No.]),2,0))</f>
        <v>P-608-8.1</v>
      </c>
      <c r="T15" s="0" t="str">
        <f aca="false">C7</f>
        <v>Emulsified Asphalt Surface Treatment</v>
      </c>
      <c r="U15" s="18" t="str">
        <f aca="false">IF(T15="","N/A",VLOOKUP(T15,CHOOSE({1,2},Table2[Pay Item Description],Table2[Units]),2,0))</f>
        <v>S.Y.</v>
      </c>
      <c r="V15" s="104" t="n">
        <f aca="false">'Maintenance Policies'!D55*$C$5</f>
        <v>66667</v>
      </c>
      <c r="W15" s="59" t="n">
        <f aca="false">IF(T15="","N/A",VLOOKUP(T15,CHOOSE({1,2},Table2[Pay Item Description],Table2[Unit Cost]),2,0))</f>
        <v>4</v>
      </c>
      <c r="X15" s="27" t="n">
        <f aca="false">W15*V15</f>
        <v>266668</v>
      </c>
      <c r="Z15" s="1" t="n">
        <v>3</v>
      </c>
      <c r="AA15" s="100" t="str">
        <f aca="false">IF(AB15="",0,VLOOKUP(AB15,CHOOSE({1,2},Table2[Pay Item Description],Table2[Pay Item No.]),2,0))</f>
        <v>P-620-5.1a</v>
      </c>
      <c r="AB15" s="1" t="s">
        <v>540</v>
      </c>
      <c r="AC15" s="101" t="str">
        <f aca="false">IF(AB15="","N/A",VLOOKUP(AB15,CHOOSE({1,2},Table2[Pay Item Description],Table2[Units]),2,0))</f>
        <v>S.F.</v>
      </c>
      <c r="AD15" s="102" t="n">
        <f aca="false">'Maintenance Policies'!D58*$C$8</f>
        <v>15000</v>
      </c>
      <c r="AE15" s="103" t="n">
        <f aca="false">IF(AB15="","N/A",VLOOKUP(AB15,CHOOSE({1,2},Table2[Pay Item Description],Table2[Unit Cost]),2,0))</f>
        <v>0.666666666666667</v>
      </c>
      <c r="AF15" s="24" t="n">
        <f aca="false">AE15*AD15</f>
        <v>10000</v>
      </c>
      <c r="AH15" s="0" t="n">
        <v>3</v>
      </c>
      <c r="AI15" s="16" t="str">
        <f aca="false">IF(AJ15="",0,VLOOKUP(AJ15,CHOOSE({1,2},Table2[Pay Item Description],Table2[Pay Item No.]),2,0))</f>
        <v>P-401-8.1a</v>
      </c>
      <c r="AJ15" s="15" t="s">
        <v>490</v>
      </c>
      <c r="AK15" s="18" t="str">
        <f aca="false">IF(AJ15="","N/A",VLOOKUP(AJ15,CHOOSE({1,2},Table2[Pay Item Description],Table2[Units]),2,0))</f>
        <v>TON</v>
      </c>
      <c r="AL15" s="104" t="n">
        <f aca="false">'Maintenance Policies'!D59*$C$5*AI6*AI7/2000</f>
        <v>8000.04</v>
      </c>
      <c r="AM15" s="59" t="n">
        <f aca="false">IF(AJ15="","N/A",VLOOKUP(AJ15,CHOOSE({1,2},Table2[Pay Item Description],Table2[Unit Cost]),2,0))</f>
        <v>130</v>
      </c>
      <c r="AN15" s="27" t="n">
        <f aca="false">AM15*AL15</f>
        <v>1040005.2</v>
      </c>
      <c r="AP15" s="1" t="n">
        <v>3</v>
      </c>
      <c r="AQ15" s="100" t="str">
        <f aca="false">IF(AR15="",0,VLOOKUP(AR15,CHOOSE({1,2},Table2[Pay Item Description],Table2[Pay Item No.]),2,0))</f>
        <v>P-620-5.1a</v>
      </c>
      <c r="AR15" s="1" t="s">
        <v>540</v>
      </c>
      <c r="AS15" s="101" t="str">
        <f aca="false">IF(AR15="","N/A",VLOOKUP(AR15,CHOOSE({1,2},Table2[Pay Item Description],Table2[Units]),2,0))</f>
        <v>S.F.</v>
      </c>
      <c r="AT15" s="102" t="n">
        <f aca="false">'Maintenance Policies'!D64*$C$8</f>
        <v>15000</v>
      </c>
      <c r="AU15" s="103" t="n">
        <f aca="false">IF(AR15="","N/A",VLOOKUP(AR15,CHOOSE({1,2},Table2[Pay Item Description],Table2[Unit Cost]),2,0))</f>
        <v>0.666666666666667</v>
      </c>
      <c r="AV15" s="24" t="n">
        <f aca="false">AU15*AT15</f>
        <v>10000</v>
      </c>
      <c r="AX15" s="0" t="n">
        <v>3</v>
      </c>
      <c r="AY15" s="16" t="str">
        <f aca="false">IF(AZ15="",0,VLOOKUP(AZ15,CHOOSE({1,2},Table2[Pay Item Description],Table2[Pay Item No.]),2,0))</f>
        <v>P-608-8.1</v>
      </c>
      <c r="AZ15" s="0" t="str">
        <f aca="false">C7</f>
        <v>Emulsified Asphalt Surface Treatment</v>
      </c>
      <c r="BA15" s="18" t="str">
        <f aca="false">IF(AZ15="","N/A",VLOOKUP(AZ15,CHOOSE({1,2},Table2[Pay Item Description],Table2[Units]),2,0))</f>
        <v>S.Y.</v>
      </c>
      <c r="BB15" s="104" t="n">
        <f aca="false">'Maintenance Policies'!D67*$C$5</f>
        <v>66667</v>
      </c>
      <c r="BC15" s="59" t="n">
        <f aca="false">IF(AZ15="","N/A",VLOOKUP(AZ15,CHOOSE({1,2},Table2[Pay Item Description],Table2[Unit Cost]),2,0))</f>
        <v>4</v>
      </c>
      <c r="BD15" s="27" t="n">
        <f aca="false">BC15*BB15</f>
        <v>266668</v>
      </c>
      <c r="BF15" s="1" t="n">
        <v>3</v>
      </c>
      <c r="BG15" s="100" t="str">
        <f aca="false">IF(BH15="",0,VLOOKUP(BH15,CHOOSE({1,2},Table2[Pay Item Description],Table2[Pay Item No.]),2,0))</f>
        <v>P-620-5.1a</v>
      </c>
      <c r="BH15" s="1" t="s">
        <v>540</v>
      </c>
      <c r="BI15" s="101" t="str">
        <f aca="false">IF(BH15="","N/A",VLOOKUP(BH15,CHOOSE({1,2},Table2[Pay Item Description],Table2[Units]),2,0))</f>
        <v>S.F.</v>
      </c>
      <c r="BJ15" s="102" t="n">
        <f aca="false">'Maintenance Policies'!D70*$C$8</f>
        <v>15000</v>
      </c>
      <c r="BK15" s="103" t="n">
        <f aca="false">IF(BH15="","N/A",VLOOKUP(BH15,CHOOSE({1,2},Table2[Pay Item Description],Table2[Unit Cost]),2,0))</f>
        <v>0.666666666666667</v>
      </c>
      <c r="BL15" s="24" t="n">
        <f aca="false">BK15*BJ15</f>
        <v>10000</v>
      </c>
    </row>
    <row r="16" customFormat="false" ht="19.5" hidden="false" customHeight="true" outlineLevel="0" collapsed="false">
      <c r="A16" s="0" t="n">
        <v>4</v>
      </c>
      <c r="B16" s="16" t="n">
        <f aca="false">IF(C16="",0,VLOOKUP(C16,CHOOSE({1,2},Table2[Pay Item Description],Table2[Pay Item No.]),2,0))</f>
        <v>0</v>
      </c>
      <c r="C16" s="17"/>
      <c r="D16" s="18" t="str">
        <f aca="false">IF(C16="","N/A",VLOOKUP(C16,CHOOSE({1,2},Table2[Pay Item Description],Table2[Units]),2,0))</f>
        <v>N/A</v>
      </c>
      <c r="E16" s="99" t="n">
        <v>0</v>
      </c>
      <c r="F16" s="20" t="str">
        <f aca="false">IF(C16="","N/A",VLOOKUP(C16,CHOOSE({1,2},Table2[Pay Item Description],Table2[Unit Cost]),2,0))</f>
        <v>N/A</v>
      </c>
      <c r="G16" s="21" t="n">
        <f aca="false">IF(B16&lt;&gt;0,F16*E16,0)</f>
        <v>0</v>
      </c>
      <c r="O16" s="1" t="s">
        <v>23</v>
      </c>
      <c r="P16" s="24" t="n">
        <f aca="false">SUM(P13:P15)</f>
        <v>288334.666666667</v>
      </c>
      <c r="R16" s="0" t="n">
        <v>4</v>
      </c>
      <c r="S16" s="0" t="str">
        <f aca="false">IF(T16="",0,VLOOKUP(T16,CHOOSE({1,2},Table2[Pay Item Description],Table2[Pay Item No.]),2,0))</f>
        <v>P-101-5.3</v>
      </c>
      <c r="T16" s="0" t="str">
        <f aca="false">Pay_Items!D10</f>
        <v>Markings Removal</v>
      </c>
      <c r="U16" s="107" t="str">
        <f aca="false">IF(T16="","N/A",VLOOKUP(T16,CHOOSE({1,2},Table2[Pay Item Description],Table2[Units]),2,0))</f>
        <v>S.F.</v>
      </c>
      <c r="V16" s="104" t="n">
        <f aca="false">'Maintenance Policies'!D56*$C$8</f>
        <v>15000</v>
      </c>
      <c r="W16" s="108" t="n">
        <f aca="false">IF(T16="","N/A",VLOOKUP(T16,CHOOSE({1,2},Table2[Pay Item Description],Table2[Unit Cost]),2,0))</f>
        <v>0.777777777777778</v>
      </c>
      <c r="X16" s="27" t="n">
        <f aca="false">W16*V16</f>
        <v>11666.6666666667</v>
      </c>
      <c r="AE16" s="1" t="s">
        <v>23</v>
      </c>
      <c r="AF16" s="24" t="n">
        <f aca="false">SUM(AF13:AF15)</f>
        <v>288334.666666667</v>
      </c>
      <c r="AH16" s="0" t="n">
        <v>4</v>
      </c>
      <c r="AI16" s="16" t="str">
        <f aca="false">IF(AJ16="",0,VLOOKUP(AJ16,CHOOSE({1,2},Table2[Pay Item Description],Table2[Pay Item No.]),2,0))</f>
        <v>P-101-5.2a</v>
      </c>
      <c r="AJ16" s="15" t="s">
        <v>418</v>
      </c>
      <c r="AK16" s="18" t="str">
        <f aca="false">IF(AJ16="","N/A",VLOOKUP(AJ16,CHOOSE({1,2},Table2[Pay Item Description],Table2[Units]),2,0))</f>
        <v>L.F.</v>
      </c>
      <c r="AL16" s="104" t="n">
        <f aca="false">'Maintenance Policies'!D60*($C$5*9)</f>
        <v>9000.045</v>
      </c>
      <c r="AM16" s="59" t="n">
        <f aca="false">IF(AJ16="","N/A",VLOOKUP(AJ16,CHOOSE({1,2},Table2[Pay Item Description],Table2[Unit Cost]),2,0))</f>
        <v>4</v>
      </c>
      <c r="AN16" s="27" t="n">
        <f aca="false">AM16*AL16</f>
        <v>36000.18</v>
      </c>
      <c r="AU16" s="1" t="s">
        <v>23</v>
      </c>
      <c r="AV16" s="24" t="n">
        <f aca="false">SUM(AV13:AV15)</f>
        <v>288334.666666667</v>
      </c>
      <c r="AX16" s="0" t="n">
        <v>4</v>
      </c>
      <c r="AY16" s="16" t="str">
        <f aca="false">IF(AZ16="",0,VLOOKUP(AZ16,CHOOSE({1,2},Table2[Pay Item Description],Table2[Pay Item No.]),2,0))</f>
        <v>P-101-5.3</v>
      </c>
      <c r="AZ16" s="15" t="s">
        <v>427</v>
      </c>
      <c r="BA16" s="18" t="str">
        <f aca="false">IF(AZ16="","N/A",VLOOKUP(AZ16,CHOOSE({1,2},Table2[Pay Item Description],Table2[Units]),2,0))</f>
        <v>S.F.</v>
      </c>
      <c r="BB16" s="104" t="n">
        <f aca="false">'Maintenance Policies'!D68*$C$8</f>
        <v>15000</v>
      </c>
      <c r="BC16" s="59" t="n">
        <f aca="false">IF(AZ16="","N/A",VLOOKUP(AZ16,CHOOSE({1,2},Table2[Pay Item Description],Table2[Unit Cost]),2,0))</f>
        <v>0.777777777777778</v>
      </c>
      <c r="BD16" s="27" t="n">
        <f aca="false">BC16*BB16</f>
        <v>11666.6666666667</v>
      </c>
      <c r="BK16" s="1" t="s">
        <v>23</v>
      </c>
      <c r="BL16" s="24" t="n">
        <f aca="false">SUM(BL13:BL15)</f>
        <v>288334.666666667</v>
      </c>
    </row>
    <row r="17" customFormat="false" ht="19.5" hidden="false" customHeight="true" outlineLevel="0" collapsed="false">
      <c r="A17" s="0" t="n">
        <v>5</v>
      </c>
      <c r="B17" s="16" t="n">
        <f aca="false">IF(C17="",0,VLOOKUP(C17,CHOOSE({1,2},Table2[Pay Item Description],Table2[Pay Item No.]),2,0))</f>
        <v>0</v>
      </c>
      <c r="C17" s="17"/>
      <c r="D17" s="18" t="str">
        <f aca="false">IF(C17="","N/A",VLOOKUP(C17,CHOOSE({1,2},Table2[Pay Item Description],Table2[Units]),2,0))</f>
        <v>N/A</v>
      </c>
      <c r="E17" s="99" t="n">
        <v>0</v>
      </c>
      <c r="F17" s="20" t="str">
        <f aca="false">IF(C17="","N/A",VLOOKUP(C17,CHOOSE({1,2},Table2[Pay Item Description],Table2[Unit Cost]),2,0))</f>
        <v>N/A</v>
      </c>
      <c r="G17" s="21" t="n">
        <f aca="false">IF(B17&lt;&gt;0,F17*E17,0)</f>
        <v>0</v>
      </c>
      <c r="L17" s="1" t="s">
        <v>24</v>
      </c>
      <c r="P17" s="24" t="n">
        <f aca="false">('General Information'!$D$36/100)*P16</f>
        <v>28833.4666666667</v>
      </c>
      <c r="R17" s="0" t="n">
        <v>5</v>
      </c>
      <c r="S17" s="0" t="str">
        <f aca="false">IF(T17="",0,VLOOKUP(T17,CHOOSE({1,2},Table2[Pay Item Description],Table2[Pay Item No.]),2,0))</f>
        <v>P-620-5.1a</v>
      </c>
      <c r="T17" s="0" t="str">
        <f aca="false">Pay_Items!D56</f>
        <v>Markings (prep, markings, reflective media)</v>
      </c>
      <c r="U17" s="107" t="str">
        <f aca="false">IF(T17="","N/A",VLOOKUP(T17,CHOOSE({1,2},Table2[Pay Item Description],Table2[Units]),2,0))</f>
        <v>S.F.</v>
      </c>
      <c r="V17" s="104" t="n">
        <f aca="false">'Maintenance Policies'!D56*$C$8</f>
        <v>15000</v>
      </c>
      <c r="W17" s="108" t="n">
        <f aca="false">IF(T17="","N/A",VLOOKUP(T17,CHOOSE({1,2},Table2[Pay Item Description],Table2[Unit Cost]),2,0))</f>
        <v>0.666666666666667</v>
      </c>
      <c r="X17" s="27" t="n">
        <f aca="false">W17*V17</f>
        <v>10000</v>
      </c>
      <c r="AB17" s="1" t="s">
        <v>24</v>
      </c>
      <c r="AF17" s="24" t="n">
        <f aca="false">('General Information'!$D$36/100)*AF16</f>
        <v>28833.4666666667</v>
      </c>
      <c r="AH17" s="0" t="n">
        <v>5</v>
      </c>
      <c r="AI17" s="16" t="str">
        <f aca="false">IF(AJ17="",0,VLOOKUP(AJ17,CHOOSE({1,2},Table2[Pay Item Description],Table2[Pay Item No.]),2,0))</f>
        <v>P-101-5.4a</v>
      </c>
      <c r="AJ17" s="15" t="s">
        <v>429</v>
      </c>
      <c r="AK17" s="18" t="str">
        <f aca="false">IF(AJ17="","N/A",VLOOKUP(AJ17,CHOOSE({1,2},Table2[Pay Item Description],Table2[Units]),2,0))</f>
        <v>S.F.</v>
      </c>
      <c r="AL17" s="104" t="n">
        <f aca="false">'Maintenance Policies'!D61*($C$5*9)</f>
        <v>3000.015</v>
      </c>
      <c r="AM17" s="59" t="n">
        <f aca="false">IF(AJ17="","N/A",VLOOKUP(AJ17,CHOOSE({1,2},Table2[Pay Item Description],Table2[Unit Cost]),2,0))</f>
        <v>8.5</v>
      </c>
      <c r="AN17" s="27" t="n">
        <f aca="false">AM17*AL17</f>
        <v>25500.1275</v>
      </c>
      <c r="AR17" s="1" t="s">
        <v>24</v>
      </c>
      <c r="AV17" s="24" t="n">
        <f aca="false">('General Information'!$D$36/100)*AV16</f>
        <v>28833.4666666667</v>
      </c>
      <c r="AX17" s="0" t="n">
        <v>5</v>
      </c>
      <c r="AY17" s="16" t="str">
        <f aca="false">IF(AZ17="",0,VLOOKUP(AZ17,CHOOSE({1,2},Table2[Pay Item Description],Table2[Pay Item No.]),2,0))</f>
        <v>P-620-5.1a</v>
      </c>
      <c r="AZ17" s="15" t="s">
        <v>540</v>
      </c>
      <c r="BA17" s="18" t="str">
        <f aca="false">IF(AZ17="","N/A",VLOOKUP(AZ17,CHOOSE({1,2},Table2[Pay Item Description],Table2[Units]),2,0))</f>
        <v>S.F.</v>
      </c>
      <c r="BB17" s="104" t="n">
        <f aca="false">'Maintenance Policies'!D68*$C$8</f>
        <v>15000</v>
      </c>
      <c r="BC17" s="59" t="n">
        <f aca="false">IF(AZ17="","N/A",VLOOKUP(AZ17,CHOOSE({1,2},Table2[Pay Item Description],Table2[Unit Cost]),2,0))</f>
        <v>0.666666666666667</v>
      </c>
      <c r="BD17" s="27" t="n">
        <f aca="false">BC17*BB17</f>
        <v>10000</v>
      </c>
      <c r="BH17" s="1" t="s">
        <v>24</v>
      </c>
      <c r="BL17" s="24" t="n">
        <f aca="false">('General Information'!$D$36/100)*BL16</f>
        <v>28833.4666666667</v>
      </c>
    </row>
    <row r="18" customFormat="false" ht="19.5" hidden="false" customHeight="true" outlineLevel="0" collapsed="false">
      <c r="A18" s="0" t="n">
        <v>6</v>
      </c>
      <c r="B18" s="16" t="n">
        <f aca="false">IF(C18="",0,VLOOKUP(C18,CHOOSE({1,2},Table2[Pay Item Description],Table2[Pay Item No.]),2,0))</f>
        <v>0</v>
      </c>
      <c r="C18" s="17"/>
      <c r="D18" s="18" t="str">
        <f aca="false">IF(C18="","N/A",VLOOKUP(C18,CHOOSE({1,2},Table2[Pay Item Description],Table2[Units]),2,0))</f>
        <v>N/A</v>
      </c>
      <c r="E18" s="99" t="n">
        <v>0</v>
      </c>
      <c r="F18" s="20" t="str">
        <f aca="false">IF(C18="","N/A",VLOOKUP(C18,CHOOSE({1,2},Table2[Pay Item Description],Table2[Unit Cost]),2,0))</f>
        <v>N/A</v>
      </c>
      <c r="G18" s="21" t="n">
        <f aca="false">IF(B18&lt;&gt;0,F18*E18,0)</f>
        <v>0</v>
      </c>
      <c r="L18" s="1" t="s">
        <v>25</v>
      </c>
      <c r="P18" s="24" t="n">
        <f aca="false">('General Information'!$D$37/100)*P16</f>
        <v>14416.7333333333</v>
      </c>
      <c r="W18" s="15" t="s">
        <v>23</v>
      </c>
      <c r="X18" s="27" t="n">
        <f aca="false">SUM(X13:X17)</f>
        <v>448085.465416667</v>
      </c>
      <c r="AB18" s="1" t="s">
        <v>25</v>
      </c>
      <c r="AF18" s="24" t="n">
        <f aca="false">('General Information'!$D$37/100)*AF16</f>
        <v>14416.7333333333</v>
      </c>
      <c r="AH18" s="0" t="n">
        <v>6</v>
      </c>
      <c r="AI18" s="16" t="str">
        <f aca="false">IF(AJ18="",0,VLOOKUP(AJ18,CHOOSE({1,2},Table2[Pay Item Description],Table2[Pay Item No.]),2,0))</f>
        <v>P-620-5.1a</v>
      </c>
      <c r="AJ18" s="15" t="s">
        <v>540</v>
      </c>
      <c r="AK18" s="18" t="str">
        <f aca="false">IF(AJ18="","N/A",VLOOKUP(AJ18,CHOOSE({1,2},Table2[Pay Item Description],Table2[Units]),2,0))</f>
        <v>S.F.</v>
      </c>
      <c r="AL18" s="104" t="n">
        <f aca="false">'Maintenance Policies'!D62*$C$8</f>
        <v>15000</v>
      </c>
      <c r="AM18" s="59" t="n">
        <f aca="false">IF(AJ18="","N/A",VLOOKUP(AJ18,CHOOSE({1,2},Table2[Pay Item Description],Table2[Unit Cost]),2,0))</f>
        <v>0.666666666666667</v>
      </c>
      <c r="AN18" s="27" t="n">
        <f aca="false">AM18*AL18</f>
        <v>10000</v>
      </c>
      <c r="AR18" s="1" t="s">
        <v>25</v>
      </c>
      <c r="AV18" s="24" t="n">
        <f aca="false">('General Information'!$D$37/100)*AV16</f>
        <v>14416.7333333333</v>
      </c>
      <c r="BC18" s="15" t="s">
        <v>23</v>
      </c>
      <c r="BD18" s="27" t="n">
        <f aca="false">SUM(BD13:BD17)</f>
        <v>448085.465416667</v>
      </c>
      <c r="BH18" s="1" t="s">
        <v>25</v>
      </c>
      <c r="BL18" s="24" t="n">
        <f aca="false">('General Information'!$D$37/100)*BL16</f>
        <v>14416.7333333333</v>
      </c>
    </row>
    <row r="19" customFormat="false" ht="19.5" hidden="false" customHeight="true" outlineLevel="0" collapsed="false">
      <c r="A19" s="0" t="n">
        <v>7</v>
      </c>
      <c r="B19" s="16" t="n">
        <f aca="false">IF(C19="",0,VLOOKUP(C19,CHOOSE({1,2},Table2[Pay Item Description],Table2[Pay Item No.]),2,0))</f>
        <v>0</v>
      </c>
      <c r="C19" s="17"/>
      <c r="D19" s="18" t="str">
        <f aca="false">IF(C19="","N/A",VLOOKUP(C19,CHOOSE({1,2},Table2[Pay Item Description],Table2[Units]),2,0))</f>
        <v>N/A</v>
      </c>
      <c r="E19" s="99" t="n">
        <v>0</v>
      </c>
      <c r="F19" s="20" t="str">
        <f aca="false">IF(C19="","N/A",VLOOKUP(C19,CHOOSE({1,2},Table2[Pay Item Description],Table2[Unit Cost]),2,0))</f>
        <v>N/A</v>
      </c>
      <c r="G19" s="21" t="n">
        <f aca="false">IF(B19&lt;&gt;0,F19*E19,0)</f>
        <v>0</v>
      </c>
      <c r="O19" s="1" t="s">
        <v>26</v>
      </c>
      <c r="P19" s="24" t="n">
        <f aca="false">SUM(P16:P18)</f>
        <v>331584.866666667</v>
      </c>
      <c r="T19" s="15" t="s">
        <v>24</v>
      </c>
      <c r="X19" s="27" t="n">
        <f aca="false">('General Information'!$D$36/100)*X18</f>
        <v>44808.5465416667</v>
      </c>
      <c r="AE19" s="1" t="s">
        <v>26</v>
      </c>
      <c r="AF19" s="24" t="n">
        <f aca="false">SUM(AF16:AF18)</f>
        <v>331584.866666667</v>
      </c>
      <c r="AM19" s="15" t="s">
        <v>23</v>
      </c>
      <c r="AN19" s="27" t="n">
        <f aca="false">SUM(AN13:AN18)</f>
        <v>1465840.6125</v>
      </c>
      <c r="AU19" s="1" t="s">
        <v>26</v>
      </c>
      <c r="AV19" s="24" t="n">
        <f aca="false">SUM(AV16:AV18)</f>
        <v>331584.866666667</v>
      </c>
      <c r="AZ19" s="15" t="s">
        <v>24</v>
      </c>
      <c r="BD19" s="27" t="n">
        <f aca="false">('General Information'!$D$36/100)*BD18</f>
        <v>44808.5465416667</v>
      </c>
      <c r="BK19" s="1" t="s">
        <v>26</v>
      </c>
      <c r="BL19" s="24" t="n">
        <f aca="false">SUM(BL16:BL18)</f>
        <v>331584.866666667</v>
      </c>
    </row>
    <row r="20" customFormat="false" ht="19.5" hidden="false" customHeight="true" outlineLevel="0" collapsed="false">
      <c r="A20" s="0" t="n">
        <v>8</v>
      </c>
      <c r="B20" s="16" t="n">
        <f aca="false">IF(C20="",0,VLOOKUP(C20,CHOOSE({1,2},Table2[Pay Item Description],Table2[Pay Item No.]),2,0))</f>
        <v>0</v>
      </c>
      <c r="C20" s="17"/>
      <c r="D20" s="18" t="str">
        <f aca="false">IF(C20="","N/A",VLOOKUP(C20,CHOOSE({1,2},Table2[Pay Item Description],Table2[Units]),2,0))</f>
        <v>N/A</v>
      </c>
      <c r="E20" s="99" t="n">
        <v>0</v>
      </c>
      <c r="F20" s="20" t="str">
        <f aca="false">IF(C20="","N/A",VLOOKUP(C20,CHOOSE({1,2},Table2[Pay Item Description],Table2[Unit Cost]),2,0))</f>
        <v>N/A</v>
      </c>
      <c r="G20" s="21" t="n">
        <f aca="false">IF(B20&lt;&gt;0,F20*E20,0)</f>
        <v>0</v>
      </c>
      <c r="T20" s="15" t="s">
        <v>25</v>
      </c>
      <c r="X20" s="27" t="n">
        <f aca="false">('General Information'!$D$37/100)*X18</f>
        <v>22404.2732708333</v>
      </c>
      <c r="AJ20" s="15" t="s">
        <v>24</v>
      </c>
      <c r="AN20" s="27" t="n">
        <f aca="false">('General Information'!$D$36/100)*AN19</f>
        <v>146584.06125</v>
      </c>
      <c r="AZ20" s="15" t="s">
        <v>25</v>
      </c>
      <c r="BD20" s="27" t="n">
        <f aca="false">('General Information'!$D$37/100)*BD18</f>
        <v>22404.2732708333</v>
      </c>
    </row>
    <row r="21" customFormat="false" ht="19.5" hidden="false" customHeight="true" outlineLevel="0" collapsed="false">
      <c r="A21" s="0" t="n">
        <v>9</v>
      </c>
      <c r="B21" s="16" t="n">
        <f aca="false">IF(C21="",0,VLOOKUP(C21,CHOOSE({1,2},Table2[Pay Item Description],Table2[Pay Item No.]),2,0))</f>
        <v>0</v>
      </c>
      <c r="C21" s="17"/>
      <c r="D21" s="18" t="str">
        <f aca="false">IF(C21="","N/A",VLOOKUP(C21,CHOOSE({1,2},Table2[Pay Item Description],Table2[Units]),2,0))</f>
        <v>N/A</v>
      </c>
      <c r="E21" s="99" t="n">
        <v>0</v>
      </c>
      <c r="F21" s="20" t="str">
        <f aca="false">IF(C21="","N/A",VLOOKUP(C21,CHOOSE({1,2},Table2[Pay Item Description],Table2[Unit Cost]),2,0))</f>
        <v>N/A</v>
      </c>
      <c r="G21" s="21" t="n">
        <f aca="false">IF(B21&lt;&gt;0,F21*E21,0)</f>
        <v>0</v>
      </c>
      <c r="W21" s="15" t="s">
        <v>26</v>
      </c>
      <c r="X21" s="27" t="n">
        <f aca="false">SUM(X18:X20)</f>
        <v>515298.285229167</v>
      </c>
      <c r="AJ21" s="15" t="s">
        <v>25</v>
      </c>
      <c r="AN21" s="27" t="n">
        <f aca="false">('General Information'!$D$37/100)*AN19</f>
        <v>73292.030625</v>
      </c>
      <c r="BC21" s="15" t="s">
        <v>26</v>
      </c>
      <c r="BD21" s="27" t="n">
        <f aca="false">SUM(BD18:BD20)</f>
        <v>515298.285229167</v>
      </c>
    </row>
    <row r="22" customFormat="false" ht="19.5" hidden="false" customHeight="true" outlineLevel="0" collapsed="false">
      <c r="A22" s="0" t="n">
        <v>10</v>
      </c>
      <c r="B22" s="16" t="n">
        <f aca="false">IF(C22="",0,VLOOKUP(C22,CHOOSE({1,2},Table2[Pay Item Description],Table2[Pay Item No.]),2,0))</f>
        <v>0</v>
      </c>
      <c r="C22" s="17"/>
      <c r="D22" s="18" t="str">
        <f aca="false">IF(C22="","N/A",VLOOKUP(C22,CHOOSE({1,2},Table2[Pay Item Description],Table2[Units]),2,0))</f>
        <v>N/A</v>
      </c>
      <c r="E22" s="99" t="n">
        <v>0</v>
      </c>
      <c r="F22" s="20" t="str">
        <f aca="false">IF(C22="","N/A",VLOOKUP(C22,CHOOSE({1,2},Table2[Pay Item Description],Table2[Unit Cost]),2,0))</f>
        <v>N/A</v>
      </c>
      <c r="G22" s="21" t="n">
        <f aca="false">IF(B22&lt;&gt;0,F22*E22,0)</f>
        <v>0</v>
      </c>
      <c r="AM22" s="15" t="s">
        <v>26</v>
      </c>
      <c r="AN22" s="27" t="n">
        <f aca="false">SUM(AN19:AN21)</f>
        <v>1685716.704375</v>
      </c>
    </row>
    <row r="23" customFormat="false" ht="15" hidden="false" customHeight="false" outlineLevel="0" collapsed="false">
      <c r="G23" s="27"/>
    </row>
    <row r="24" customFormat="false" ht="15" hidden="false" customHeight="false" outlineLevel="0" collapsed="false">
      <c r="A24" s="0" t="s">
        <v>23</v>
      </c>
      <c r="G24" s="27" t="n">
        <f aca="false">SUM(G13:G22)</f>
        <v>0</v>
      </c>
    </row>
    <row r="25" customFormat="false" ht="15" hidden="false" customHeight="false" outlineLevel="0" collapsed="false">
      <c r="B25" s="0" t="s">
        <v>24</v>
      </c>
      <c r="G25" s="27" t="n">
        <f aca="false">('General Information'!$D$36/100)*G24</f>
        <v>0</v>
      </c>
    </row>
    <row r="26" customFormat="false" ht="15" hidden="false" customHeight="false" outlineLevel="0" collapsed="false">
      <c r="B26" s="0" t="s">
        <v>25</v>
      </c>
      <c r="G26" s="27" t="n">
        <f aca="false">('General Information'!$D$37/100)*G24</f>
        <v>0</v>
      </c>
    </row>
    <row r="27" s="3" customFormat="true" ht="15" hidden="false" customHeight="false" outlineLevel="0" collapsed="false">
      <c r="A27" s="3" t="s">
        <v>26</v>
      </c>
      <c r="G27" s="109" t="n">
        <f aca="false">SUM(G24:G26)</f>
        <v>0</v>
      </c>
      <c r="J27" s="6"/>
      <c r="K27" s="6"/>
      <c r="L27" s="6"/>
      <c r="M27" s="6"/>
      <c r="N27" s="6"/>
      <c r="O27" s="6"/>
      <c r="P27" s="6"/>
      <c r="Z27" s="6"/>
      <c r="AA27" s="6"/>
      <c r="AB27" s="6"/>
      <c r="AC27" s="6"/>
      <c r="AD27" s="6"/>
      <c r="AE27" s="6"/>
      <c r="AF27" s="6"/>
      <c r="AP27" s="6"/>
      <c r="AQ27" s="6"/>
      <c r="AR27" s="6"/>
      <c r="AS27" s="6"/>
      <c r="AT27" s="6"/>
      <c r="AU27" s="6"/>
      <c r="AV27" s="6"/>
      <c r="BF27" s="6"/>
      <c r="BG27" s="6"/>
      <c r="BH27" s="6"/>
      <c r="BI27" s="6"/>
      <c r="BJ27" s="6"/>
      <c r="BK27" s="6"/>
      <c r="BL27" s="6"/>
    </row>
    <row r="32" customFormat="false" ht="15" hidden="false" customHeight="false" outlineLevel="0" collapsed="false">
      <c r="A32" s="3" t="s">
        <v>27</v>
      </c>
    </row>
    <row r="33" customFormat="false" ht="15" hidden="false" customHeight="false" outlineLevel="0" collapsed="false">
      <c r="A33" s="3" t="s">
        <v>641</v>
      </c>
      <c r="I33" s="15" t="s">
        <v>0</v>
      </c>
    </row>
    <row r="35" customFormat="false" ht="15" hidden="false" customHeight="false" outlineLevel="0" collapsed="false">
      <c r="B35" s="30" t="s">
        <v>29</v>
      </c>
      <c r="C35" s="31" t="s">
        <v>30</v>
      </c>
      <c r="D35" s="31" t="s">
        <v>31</v>
      </c>
      <c r="E35" s="32" t="s">
        <v>32</v>
      </c>
    </row>
    <row r="36" customFormat="false" ht="15" hidden="false" customHeight="false" outlineLevel="0" collapsed="false">
      <c r="B36" s="33" t="s">
        <v>33</v>
      </c>
      <c r="C36" s="34" t="n">
        <f aca="false">C6</f>
        <v>2028</v>
      </c>
      <c r="D36" s="35" t="n">
        <f aca="false">G27</f>
        <v>0</v>
      </c>
      <c r="E36" s="36" t="n">
        <f aca="false">D36</f>
        <v>0</v>
      </c>
      <c r="K36" s="1" t="s">
        <v>34</v>
      </c>
      <c r="L36" s="1" t="s">
        <v>638</v>
      </c>
      <c r="M36" s="1" t="s">
        <v>639</v>
      </c>
    </row>
    <row r="37" customFormat="false" ht="15" hidden="false" customHeight="false" outlineLevel="0" collapsed="false">
      <c r="B37" s="37" t="s">
        <v>3</v>
      </c>
      <c r="C37" s="38" t="n">
        <f aca="false">'Maintenance Policies'!E51</f>
        <v>4</v>
      </c>
      <c r="D37" s="39" t="n">
        <f aca="false">P19</f>
        <v>331584.866666667</v>
      </c>
      <c r="E37" s="40" t="n">
        <f aca="false">IF(C37&gt;'General Information'!$D$33,0,D37/(1+('General Information'!$D$34/100))^C37)</f>
        <v>294608.859318184</v>
      </c>
      <c r="K37" s="1" t="n">
        <f aca="false">C6</f>
        <v>2028</v>
      </c>
      <c r="L37" s="24" t="n">
        <f aca="false">IF(K37-$C$6&gt;'General Information'!$D$33,0,IF(K37=$C$6,$D$36,0)+SUMIF($C$37:$C$44,K37-$C$6,$D$37:$D$44))</f>
        <v>0</v>
      </c>
      <c r="M37" s="24" t="n">
        <f aca="false">IF(K37-$C$6&gt;'General Information'!$D$33,0,IF(K37=$C$6,$E$36,0)+SUMIF($C$37:$C$44,K37-$C$6,$E$37:$E$44))</f>
        <v>0</v>
      </c>
    </row>
    <row r="38" customFormat="false" ht="15" hidden="false" customHeight="false" outlineLevel="0" collapsed="false">
      <c r="B38" s="37" t="s">
        <v>564</v>
      </c>
      <c r="C38" s="38" t="n">
        <f aca="false">'Maintenance Policies'!E53</f>
        <v>8</v>
      </c>
      <c r="D38" s="39" t="n">
        <f aca="false">X21</f>
        <v>515298.285229167</v>
      </c>
      <c r="E38" s="40" t="n">
        <f aca="false">IF(C38&gt;'General Information'!$D$33,0,D38/(1+('General Information'!$D$34/100))^C38)</f>
        <v>406781.22478604</v>
      </c>
      <c r="K38" s="1" t="n">
        <f aca="false">K37+1</f>
        <v>2029</v>
      </c>
      <c r="L38" s="24" t="n">
        <f aca="false">IF(K38-$C$6&gt;'General Information'!$D$33,0,IF(K38=$C$6,$D$36,0)+SUMIF($C$37:$C$44,K38-$C$6,$D$37:$D$44))</f>
        <v>0</v>
      </c>
      <c r="M38" s="24" t="n">
        <f aca="false">IF(K38-$C$6&gt;'General Information'!$D$33,0,IF(K38=$C$6,$E$36,0)+SUMIF($C$37:$C$44,K38-$C$6,$E$37:$E$44))</f>
        <v>0</v>
      </c>
    </row>
    <row r="39" customFormat="false" ht="15" hidden="false" customHeight="false" outlineLevel="0" collapsed="false">
      <c r="B39" s="37" t="s">
        <v>565</v>
      </c>
      <c r="C39" s="38" t="n">
        <f aca="false">'Maintenance Policies'!E57</f>
        <v>12</v>
      </c>
      <c r="D39" s="39" t="n">
        <f aca="false">AF19</f>
        <v>331584.866666667</v>
      </c>
      <c r="E39" s="40" t="n">
        <f aca="false">IF(C39&gt;'General Information'!$D$33,0,D39/(1+('General Information'!$D$34/100))^C39)</f>
        <v>232566.95405647</v>
      </c>
      <c r="K39" s="1" t="n">
        <f aca="false">K38+1</f>
        <v>2030</v>
      </c>
      <c r="L39" s="24" t="n">
        <f aca="false">IF(K39-$C$6&gt;'General Information'!$D$33,0,IF(K39=$C$6,$D$36,0)+SUMIF($C$37:$C$44,K39-$C$6,$D$37:$D$44))</f>
        <v>0</v>
      </c>
      <c r="M39" s="24" t="n">
        <f aca="false">IF(K39-$C$6&gt;'General Information'!$D$33,0,IF(K39=$C$6,$E$36,0)+SUMIF($C$37:$C$44,K39-$C$6,$E$37:$E$44))</f>
        <v>0</v>
      </c>
    </row>
    <row r="40" customFormat="false" ht="15" hidden="false" customHeight="false" outlineLevel="0" collapsed="false">
      <c r="B40" s="37" t="s">
        <v>4</v>
      </c>
      <c r="C40" s="38" t="n">
        <f aca="false">'Maintenance Policies'!E59</f>
        <v>16</v>
      </c>
      <c r="D40" s="39" t="n">
        <f aca="false">AN22</f>
        <v>1685716.704375</v>
      </c>
      <c r="E40" s="40" t="n">
        <f aca="false">IF(C40&gt;'General Information'!$D$33,0,D40/(1+('General Information'!$D$34/100))^C40)</f>
        <v>1050482.91905759</v>
      </c>
      <c r="K40" s="1" t="n">
        <f aca="false">K39+1</f>
        <v>2031</v>
      </c>
      <c r="L40" s="24" t="n">
        <f aca="false">IF(K40-$C$6&gt;'General Information'!$D$33,0,IF(K40=$C$6,$D$36,0)+SUMIF($C$37:$C$44,K40-$C$6,$D$37:$D$44))</f>
        <v>0</v>
      </c>
      <c r="M40" s="24" t="n">
        <f aca="false">IF(K40-$C$6&gt;'General Information'!$D$33,0,IF(K40=$C$6,$E$36,0)+SUMIF($C$37:$C$44,K40-$C$6,$E$37:$E$44))</f>
        <v>0</v>
      </c>
    </row>
    <row r="41" customFormat="false" ht="15" hidden="false" customHeight="false" outlineLevel="0" collapsed="false">
      <c r="B41" s="37" t="s">
        <v>570</v>
      </c>
      <c r="C41" s="38" t="n">
        <f aca="false">'Maintenance Policies'!E63</f>
        <v>20</v>
      </c>
      <c r="D41" s="39" t="n">
        <f aca="false">AV19</f>
        <v>331584.866666667</v>
      </c>
      <c r="E41" s="40" t="n">
        <f aca="false">IF(C41&gt;'General Information'!$D$33,0,D41/(1+('General Information'!$D$34/100))^C41)</f>
        <v>183590.501128442</v>
      </c>
      <c r="K41" s="1" t="n">
        <f aca="false">K40+1</f>
        <v>2032</v>
      </c>
      <c r="L41" s="24" t="n">
        <f aca="false">IF(K41-$C$6&gt;'General Information'!$D$33,0,IF(K41=$C$6,$D$36,0)+SUMIF($C$37:$C$44,K41-$C$6,$D$37:$D$44))</f>
        <v>331584.866666667</v>
      </c>
      <c r="M41" s="24" t="n">
        <f aca="false">IF(K41-$C$6&gt;'General Information'!$D$33,0,IF(K41=$C$6,$E$36,0)+SUMIF($C$37:$C$44,K41-$C$6,$E$37:$E$44))</f>
        <v>294608.859318184</v>
      </c>
    </row>
    <row r="42" customFormat="false" ht="15" hidden="false" customHeight="false" outlineLevel="0" collapsed="false">
      <c r="B42" s="37" t="s">
        <v>576</v>
      </c>
      <c r="C42" s="38" t="n">
        <f aca="false">'Maintenance Policies'!E65</f>
        <v>24</v>
      </c>
      <c r="D42" s="39" t="n">
        <f aca="false">BD21</f>
        <v>515298.285229167</v>
      </c>
      <c r="E42" s="40" t="n">
        <f aca="false">IF(C42&gt;'General Information'!$D$33,0,D42/(1+('General Information'!$D$34/100))^C42)</f>
        <v>253492.610782126</v>
      </c>
      <c r="K42" s="1" t="n">
        <f aca="false">K41+1</f>
        <v>2033</v>
      </c>
      <c r="L42" s="24" t="n">
        <f aca="false">IF(K42-$C$6&gt;'General Information'!$D$33,0,IF(K42=$C$6,$D$36,0)+SUMIF($C$37:$C$44,K42-$C$6,$D$37:$D$44))</f>
        <v>0</v>
      </c>
      <c r="M42" s="24" t="n">
        <f aca="false">IF(K42-$C$6&gt;'General Information'!$D$33,0,IF(K42=$C$6,$E$36,0)+SUMIF($C$37:$C$44,K42-$C$6,$E$37:$E$44))</f>
        <v>0</v>
      </c>
    </row>
    <row r="43" customFormat="false" ht="15" hidden="false" customHeight="false" outlineLevel="0" collapsed="false">
      <c r="B43" s="37" t="s">
        <v>577</v>
      </c>
      <c r="C43" s="38" t="n">
        <f aca="false">'Maintenance Policies'!E69</f>
        <v>28</v>
      </c>
      <c r="D43" s="39" t="n">
        <f aca="false">BL19</f>
        <v>331584.866666667</v>
      </c>
      <c r="E43" s="40" t="n">
        <f aca="false">IF(C43&gt;'General Information'!$D$33,0,D43/(1+('General Information'!$D$34/100))^C43)</f>
        <v>144928.036923115</v>
      </c>
      <c r="K43" s="1" t="n">
        <f aca="false">K42+1</f>
        <v>2034</v>
      </c>
      <c r="L43" s="24" t="n">
        <f aca="false">IF(K43-$C$6&gt;'General Information'!$D$33,0,IF(K43=$C$6,$D$36,0)+SUMIF($C$37:$C$44,K43-$C$6,$D$37:$D$44))</f>
        <v>0</v>
      </c>
      <c r="M43" s="24" t="n">
        <f aca="false">IF(K43-$C$6&gt;'General Information'!$D$33,0,IF(K43=$C$6,$E$36,0)+SUMIF($C$37:$C$44,K43-$C$6,$E$37:$E$44))</f>
        <v>0</v>
      </c>
    </row>
    <row r="44" customFormat="false" ht="15" hidden="false" customHeight="false" outlineLevel="0" collapsed="false">
      <c r="B44" s="37" t="s">
        <v>40</v>
      </c>
      <c r="C44" s="38" t="n">
        <f aca="false">'General Information'!D33</f>
        <v>30</v>
      </c>
      <c r="D44" s="39" t="n">
        <f aca="false">-'Maintenance Policies'!D71*AN22</f>
        <v>-0</v>
      </c>
      <c r="E44" s="40" t="n">
        <f aca="false">IF(C44&gt;'General Information'!$D$33,0,D44/(1+('General Information'!$D$34/100))^C44)</f>
        <v>-0</v>
      </c>
      <c r="K44" s="1" t="n">
        <f aca="false">K43+1</f>
        <v>2035</v>
      </c>
      <c r="L44" s="24" t="n">
        <f aca="false">IF(K44-$C$6&gt;'General Information'!$D$33,0,IF(K44=$C$6,$D$36,0)+SUMIF($C$37:$C$44,K44-$C$6,$D$37:$D$44))</f>
        <v>0</v>
      </c>
      <c r="M44" s="24" t="n">
        <f aca="false">IF(K44-$C$6&gt;'General Information'!$D$33,0,IF(K44=$C$6,$E$36,0)+SUMIF($C$37:$C$44,K44-$C$6,$E$37:$E$44))</f>
        <v>0</v>
      </c>
    </row>
    <row r="45" customFormat="false" ht="15" hidden="false" customHeight="false" outlineLevel="0" collapsed="false">
      <c r="B45" s="41" t="s">
        <v>27</v>
      </c>
      <c r="C45" s="42"/>
      <c r="D45" s="42"/>
      <c r="E45" s="43" t="n">
        <f aca="false">SUM(E36:E44)</f>
        <v>2566451.10605196</v>
      </c>
      <c r="K45" s="1" t="n">
        <f aca="false">K44+1</f>
        <v>2036</v>
      </c>
      <c r="L45" s="24" t="n">
        <f aca="false">IF(K45-$C$6&gt;'General Information'!$D$33,0,IF(K45=$C$6,$D$36,0)+SUMIF($C$37:$C$44,K45-$C$6,$D$37:$D$44))</f>
        <v>515298.285229167</v>
      </c>
      <c r="M45" s="24" t="n">
        <f aca="false">IF(K45-$C$6&gt;'General Information'!$D$33,0,IF(K45=$C$6,$E$36,0)+SUMIF($C$37:$C$44,K45-$C$6,$E$37:$E$44))</f>
        <v>406781.22478604</v>
      </c>
    </row>
    <row r="46" customFormat="false" ht="15" hidden="false" customHeight="false" outlineLevel="0" collapsed="false">
      <c r="K46" s="1" t="n">
        <f aca="false">K45+1</f>
        <v>2037</v>
      </c>
      <c r="L46" s="24" t="n">
        <f aca="false">IF(K46-$C$6&gt;'General Information'!$D$33,0,IF(K46=$C$6,$D$36,0)+SUMIF($C$37:$C$44,K46-$C$6,$D$37:$D$44))</f>
        <v>0</v>
      </c>
      <c r="M46" s="24" t="n">
        <f aca="false">IF(K46-$C$6&gt;'General Information'!$D$33,0,IF(K46=$C$6,$E$36,0)+SUMIF($C$37:$C$44,K46-$C$6,$E$37:$E$44))</f>
        <v>0</v>
      </c>
    </row>
    <row r="47" customFormat="false" ht="15" hidden="false" customHeight="false" outlineLevel="0" collapsed="false">
      <c r="K47" s="1" t="n">
        <f aca="false">K46+1</f>
        <v>2038</v>
      </c>
      <c r="L47" s="24" t="n">
        <f aca="false">IF(K47-$C$6&gt;'General Information'!$D$33,0,IF(K47=$C$6,$D$36,0)+SUMIF($C$37:$C$44,K47-$C$6,$D$37:$D$44))</f>
        <v>0</v>
      </c>
      <c r="M47" s="24" t="n">
        <f aca="false">IF(K47-$C$6&gt;'General Information'!$D$33,0,IF(K47=$C$6,$E$36,0)+SUMIF($C$37:$C$44,K47-$C$6,$E$37:$E$44))</f>
        <v>0</v>
      </c>
    </row>
    <row r="48" customFormat="false" ht="15" hidden="false" customHeight="false" outlineLevel="0" collapsed="false">
      <c r="K48" s="1" t="n">
        <f aca="false">K47+1</f>
        <v>2039</v>
      </c>
      <c r="L48" s="24" t="n">
        <f aca="false">IF(K48-$C$6&gt;'General Information'!$D$33,0,IF(K48=$C$6,$D$36,0)+SUMIF($C$37:$C$44,K48-$C$6,$D$37:$D$44))</f>
        <v>0</v>
      </c>
      <c r="M48" s="24" t="n">
        <f aca="false">IF(K48-$C$6&gt;'General Information'!$D$33,0,IF(K48=$C$6,$E$36,0)+SUMIF($C$37:$C$44,K48-$C$6,$E$37:$E$44))</f>
        <v>0</v>
      </c>
    </row>
    <row r="49" customFormat="false" ht="15" hidden="false" customHeight="false" outlineLevel="0" collapsed="false">
      <c r="K49" s="1" t="n">
        <f aca="false">K48+1</f>
        <v>2040</v>
      </c>
      <c r="L49" s="24" t="n">
        <f aca="false">IF(K49-$C$6&gt;'General Information'!$D$33,0,IF(K49=$C$6,$D$36,0)+SUMIF($C$37:$C$44,K49-$C$6,$D$37:$D$44))</f>
        <v>331584.866666667</v>
      </c>
      <c r="M49" s="24" t="n">
        <f aca="false">IF(K49-$C$6&gt;'General Information'!$D$33,0,IF(K49=$C$6,$E$36,0)+SUMIF($C$37:$C$44,K49-$C$6,$E$37:$E$44))</f>
        <v>232566.95405647</v>
      </c>
    </row>
    <row r="50" customFormat="false" ht="15" hidden="false" customHeight="false" outlineLevel="0" collapsed="false">
      <c r="K50" s="1" t="n">
        <f aca="false">K49+1</f>
        <v>2041</v>
      </c>
      <c r="L50" s="24" t="n">
        <f aca="false">IF(K50-$C$6&gt;'General Information'!$D$33,0,IF(K50=$C$6,$D$36,0)+SUMIF($C$37:$C$44,K50-$C$6,$D$37:$D$44))</f>
        <v>0</v>
      </c>
      <c r="M50" s="24" t="n">
        <f aca="false">IF(K50-$C$6&gt;'General Information'!$D$33,0,IF(K50=$C$6,$E$36,0)+SUMIF($C$37:$C$44,K50-$C$6,$E$37:$E$44))</f>
        <v>0</v>
      </c>
    </row>
    <row r="51" customFormat="false" ht="15" hidden="false" customHeight="false" outlineLevel="0" collapsed="false">
      <c r="K51" s="1" t="n">
        <f aca="false">K50+1</f>
        <v>2042</v>
      </c>
      <c r="L51" s="24" t="n">
        <f aca="false">IF(K51-$C$6&gt;'General Information'!$D$33,0,IF(K51=$C$6,$D$36,0)+SUMIF($C$37:$C$44,K51-$C$6,$D$37:$D$44))</f>
        <v>0</v>
      </c>
      <c r="M51" s="24" t="n">
        <f aca="false">IF(K51-$C$6&gt;'General Information'!$D$33,0,IF(K51=$C$6,$E$36,0)+SUMIF($C$37:$C$44,K51-$C$6,$E$37:$E$44))</f>
        <v>0</v>
      </c>
    </row>
    <row r="52" customFormat="false" ht="15" hidden="false" customHeight="false" outlineLevel="0" collapsed="false">
      <c r="K52" s="1" t="n">
        <f aca="false">K51+1</f>
        <v>2043</v>
      </c>
      <c r="L52" s="24" t="n">
        <f aca="false">IF(K52-$C$6&gt;'General Information'!$D$33,0,IF(K52=$C$6,$D$36,0)+SUMIF($C$37:$C$44,K52-$C$6,$D$37:$D$44))</f>
        <v>0</v>
      </c>
      <c r="M52" s="24" t="n">
        <f aca="false">IF(K52-$C$6&gt;'General Information'!$D$33,0,IF(K52=$C$6,$E$36,0)+SUMIF($C$37:$C$44,K52-$C$6,$E$37:$E$44))</f>
        <v>0</v>
      </c>
    </row>
    <row r="53" customFormat="false" ht="15" hidden="false" customHeight="false" outlineLevel="0" collapsed="false">
      <c r="K53" s="1" t="n">
        <f aca="false">K52+1</f>
        <v>2044</v>
      </c>
      <c r="L53" s="24" t="n">
        <f aca="false">IF(K53-$C$6&gt;'General Information'!$D$33,0,IF(K53=$C$6,$D$36,0)+SUMIF($C$37:$C$44,K53-$C$6,$D$37:$D$44))</f>
        <v>1685716.704375</v>
      </c>
      <c r="M53" s="24" t="n">
        <f aca="false">IF(K53-$C$6&gt;'General Information'!$D$33,0,IF(K53=$C$6,$E$36,0)+SUMIF($C$37:$C$44,K53-$C$6,$E$37:$E$44))</f>
        <v>1050482.91905759</v>
      </c>
    </row>
    <row r="54" customFormat="false" ht="15" hidden="false" customHeight="false" outlineLevel="0" collapsed="false">
      <c r="K54" s="1" t="n">
        <f aca="false">K53+1</f>
        <v>2045</v>
      </c>
      <c r="L54" s="24" t="n">
        <f aca="false">IF(K54-$C$6&gt;'General Information'!$D$33,0,IF(K54=$C$6,$D$36,0)+SUMIF($C$37:$C$44,K54-$C$6,$D$37:$D$44))</f>
        <v>0</v>
      </c>
      <c r="M54" s="24" t="n">
        <f aca="false">IF(K54-$C$6&gt;'General Information'!$D$33,0,IF(K54=$C$6,$E$36,0)+SUMIF($C$37:$C$44,K54-$C$6,$E$37:$E$44))</f>
        <v>0</v>
      </c>
    </row>
    <row r="55" customFormat="false" ht="15" hidden="false" customHeight="false" outlineLevel="0" collapsed="false">
      <c r="K55" s="1" t="n">
        <f aca="false">K54+1</f>
        <v>2046</v>
      </c>
      <c r="L55" s="24" t="n">
        <f aca="false">IF(K55-$C$6&gt;'General Information'!$D$33,0,IF(K55=$C$6,$D$36,0)+SUMIF($C$37:$C$44,K55-$C$6,$D$37:$D$44))</f>
        <v>0</v>
      </c>
      <c r="M55" s="24" t="n">
        <f aca="false">IF(K55-$C$6&gt;'General Information'!$D$33,0,IF(K55=$C$6,$E$36,0)+SUMIF($C$37:$C$44,K55-$C$6,$E$37:$E$44))</f>
        <v>0</v>
      </c>
    </row>
    <row r="56" customFormat="false" ht="15" hidden="false" customHeight="false" outlineLevel="0" collapsed="false">
      <c r="K56" s="1" t="n">
        <f aca="false">K55+1</f>
        <v>2047</v>
      </c>
      <c r="L56" s="24" t="n">
        <f aca="false">IF(K56-$C$6&gt;'General Information'!$D$33,0,IF(K56=$C$6,$D$36,0)+SUMIF($C$37:$C$44,K56-$C$6,$D$37:$D$44))</f>
        <v>0</v>
      </c>
      <c r="M56" s="24" t="n">
        <f aca="false">IF(K56-$C$6&gt;'General Information'!$D$33,0,IF(K56=$C$6,$E$36,0)+SUMIF($C$37:$C$44,K56-$C$6,$E$37:$E$44))</f>
        <v>0</v>
      </c>
    </row>
    <row r="57" customFormat="false" ht="15" hidden="false" customHeight="false" outlineLevel="0" collapsed="false">
      <c r="K57" s="1" t="n">
        <f aca="false">K56+1</f>
        <v>2048</v>
      </c>
      <c r="L57" s="24" t="n">
        <f aca="false">IF(K57-$C$6&gt;'General Information'!$D$33,0,IF(K57=$C$6,$D$36,0)+SUMIF($C$37:$C$44,K57-$C$6,$D$37:$D$44))</f>
        <v>331584.866666667</v>
      </c>
      <c r="M57" s="24" t="n">
        <f aca="false">IF(K57-$C$6&gt;'General Information'!$D$33,0,IF(K57=$C$6,$E$36,0)+SUMIF($C$37:$C$44,K57-$C$6,$E$37:$E$44))</f>
        <v>183590.501128442</v>
      </c>
    </row>
    <row r="58" customFormat="false" ht="15" hidden="false" customHeight="false" outlineLevel="0" collapsed="false">
      <c r="K58" s="1" t="n">
        <f aca="false">K57+1</f>
        <v>2049</v>
      </c>
      <c r="L58" s="24" t="n">
        <f aca="false">IF(K58-$C$6&gt;'General Information'!$D$33,0,IF(K58=$C$6,$D$36,0)+SUMIF($C$37:$C$44,K58-$C$6,$D$37:$D$44))</f>
        <v>0</v>
      </c>
      <c r="M58" s="24" t="n">
        <f aca="false">IF(K58-$C$6&gt;'General Information'!$D$33,0,IF(K58=$C$6,$E$36,0)+SUMIF($C$37:$C$44,K58-$C$6,$E$37:$E$44))</f>
        <v>0</v>
      </c>
    </row>
    <row r="59" customFormat="false" ht="15" hidden="false" customHeight="false" outlineLevel="0" collapsed="false">
      <c r="K59" s="1" t="n">
        <f aca="false">K58+1</f>
        <v>2050</v>
      </c>
      <c r="L59" s="24" t="n">
        <f aca="false">IF(K59-$C$6&gt;'General Information'!$D$33,0,IF(K59=$C$6,$D$36,0)+SUMIF($C$37:$C$44,K59-$C$6,$D$37:$D$44))</f>
        <v>0</v>
      </c>
      <c r="M59" s="24" t="n">
        <f aca="false">IF(K59-$C$6&gt;'General Information'!$D$33,0,IF(K59=$C$6,$E$36,0)+SUMIF($C$37:$C$44,K59-$C$6,$E$37:$E$44))</f>
        <v>0</v>
      </c>
    </row>
    <row r="60" customFormat="false" ht="15" hidden="false" customHeight="false" outlineLevel="0" collapsed="false">
      <c r="K60" s="1" t="n">
        <f aca="false">K59+1</f>
        <v>2051</v>
      </c>
      <c r="L60" s="24" t="n">
        <f aca="false">IF(K60-$C$6&gt;'General Information'!$D$33,0,IF(K60=$C$6,$D$36,0)+SUMIF($C$37:$C$44,K60-$C$6,$D$37:$D$44))</f>
        <v>0</v>
      </c>
      <c r="M60" s="24" t="n">
        <f aca="false">IF(K60-$C$6&gt;'General Information'!$D$33,0,IF(K60=$C$6,$E$36,0)+SUMIF($C$37:$C$44,K60-$C$6,$E$37:$E$44))</f>
        <v>0</v>
      </c>
    </row>
    <row r="61" customFormat="false" ht="15" hidden="false" customHeight="false" outlineLevel="0" collapsed="false">
      <c r="K61" s="1" t="n">
        <f aca="false">K60+1</f>
        <v>2052</v>
      </c>
      <c r="L61" s="24" t="n">
        <f aca="false">IF(K61-$C$6&gt;'General Information'!$D$33,0,IF(K61=$C$6,$D$36,0)+SUMIF($C$37:$C$44,K61-$C$6,$D$37:$D$44))</f>
        <v>515298.285229167</v>
      </c>
      <c r="M61" s="24" t="n">
        <f aca="false">IF(K61-$C$6&gt;'General Information'!$D$33,0,IF(K61=$C$6,$E$36,0)+SUMIF($C$37:$C$44,K61-$C$6,$E$37:$E$44))</f>
        <v>253492.610782126</v>
      </c>
    </row>
    <row r="62" customFormat="false" ht="15" hidden="false" customHeight="false" outlineLevel="0" collapsed="false">
      <c r="K62" s="1" t="n">
        <f aca="false">K61+1</f>
        <v>2053</v>
      </c>
      <c r="L62" s="24" t="n">
        <f aca="false">IF(K62-$C$6&gt;'General Information'!$D$33,0,IF(K62=$C$6,$D$36,0)+SUMIF($C$37:$C$44,K62-$C$6,$D$37:$D$44))</f>
        <v>0</v>
      </c>
      <c r="M62" s="24" t="n">
        <f aca="false">IF(K62-$C$6&gt;'General Information'!$D$33,0,IF(K62=$C$6,$E$36,0)+SUMIF($C$37:$C$44,K62-$C$6,$E$37:$E$44))</f>
        <v>0</v>
      </c>
    </row>
    <row r="63" customFormat="false" ht="15" hidden="false" customHeight="false" outlineLevel="0" collapsed="false">
      <c r="K63" s="1" t="n">
        <f aca="false">K62+1</f>
        <v>2054</v>
      </c>
      <c r="L63" s="24" t="n">
        <f aca="false">IF(K63-$C$6&gt;'General Information'!$D$33,0,IF(K63=$C$6,$D$36,0)+SUMIF($C$37:$C$44,K63-$C$6,$D$37:$D$44))</f>
        <v>0</v>
      </c>
      <c r="M63" s="24" t="n">
        <f aca="false">IF(K63-$C$6&gt;'General Information'!$D$33,0,IF(K63=$C$6,$E$36,0)+SUMIF($C$37:$C$44,K63-$C$6,$E$37:$E$44))</f>
        <v>0</v>
      </c>
    </row>
    <row r="64" customFormat="false" ht="15" hidden="false" customHeight="false" outlineLevel="0" collapsed="false">
      <c r="K64" s="1" t="n">
        <f aca="false">K63+1</f>
        <v>2055</v>
      </c>
      <c r="L64" s="24" t="n">
        <f aca="false">IF(K64-$C$6&gt;'General Information'!$D$33,0,IF(K64=$C$6,$D$36,0)+SUMIF($C$37:$C$44,K64-$C$6,$D$37:$D$44))</f>
        <v>0</v>
      </c>
      <c r="M64" s="24" t="n">
        <f aca="false">IF(K64-$C$6&gt;'General Information'!$D$33,0,IF(K64=$C$6,$E$36,0)+SUMIF($C$37:$C$44,K64-$C$6,$E$37:$E$44))</f>
        <v>0</v>
      </c>
    </row>
    <row r="65" customFormat="false" ht="15" hidden="false" customHeight="false" outlineLevel="0" collapsed="false">
      <c r="K65" s="1" t="n">
        <f aca="false">K64+1</f>
        <v>2056</v>
      </c>
      <c r="L65" s="24" t="n">
        <f aca="false">IF(K65-$C$6&gt;'General Information'!$D$33,0,IF(K65=$C$6,$D$36,0)+SUMIF($C$37:$C$44,K65-$C$6,$D$37:$D$44))</f>
        <v>331584.866666667</v>
      </c>
      <c r="M65" s="24" t="n">
        <f aca="false">IF(K65-$C$6&gt;'General Information'!$D$33,0,IF(K65=$C$6,$E$36,0)+SUMIF($C$37:$C$44,K65-$C$6,$E$37:$E$44))</f>
        <v>144928.036923115</v>
      </c>
    </row>
    <row r="66" customFormat="false" ht="15" hidden="false" customHeight="false" outlineLevel="0" collapsed="false">
      <c r="K66" s="1" t="n">
        <f aca="false">K65+1</f>
        <v>2057</v>
      </c>
      <c r="L66" s="24" t="n">
        <f aca="false">IF(K66-$C$6&gt;'General Information'!$D$33,0,IF(K66=$C$6,$D$36,0)+SUMIF($C$37:$C$44,K66-$C$6,$D$37:$D$44))</f>
        <v>0</v>
      </c>
      <c r="M66" s="24" t="n">
        <f aca="false">IF(K66-$C$6&gt;'General Information'!$D$33,0,IF(K66=$C$6,$E$36,0)+SUMIF($C$37:$C$44,K66-$C$6,$E$37:$E$44))</f>
        <v>0</v>
      </c>
    </row>
    <row r="67" customFormat="false" ht="15" hidden="false" customHeight="false" outlineLevel="0" collapsed="false">
      <c r="K67" s="1" t="n">
        <f aca="false">K66+1</f>
        <v>2058</v>
      </c>
      <c r="L67" s="24" t="n">
        <f aca="false">IF(K67-$C$6&gt;'General Information'!$D$33,0,IF(K67=$C$6,$D$36,0)+SUMIF($C$37:$C$44,K67-$C$6,$D$37:$D$44))</f>
        <v>0</v>
      </c>
      <c r="M67" s="24" t="n">
        <f aca="false">IF(K67-$C$6&gt;'General Information'!$D$33,0,IF(K67=$C$6,$E$36,0)+SUMIF($C$37:$C$44,K67-$C$6,$E$37:$E$44))</f>
        <v>0</v>
      </c>
    </row>
  </sheetData>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E45"/>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A8" activeCellId="0" sqref="A8"/>
    </sheetView>
  </sheetViews>
  <sheetFormatPr defaultColWidth="8.5390625" defaultRowHeight="15" zeroHeight="false" outlineLevelRow="0" outlineLevelCol="0"/>
  <sheetData>
    <row r="1" customFormat="false" ht="15" hidden="false" customHeight="false" outlineLevel="0" collapsed="false">
      <c r="A1" s="0" t="s">
        <v>642</v>
      </c>
    </row>
    <row r="45" customFormat="false" ht="15" hidden="false" customHeight="false" outlineLevel="0" collapsed="false">
      <c r="E45" s="0" t="s">
        <v>643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AJ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4" min="3" style="0" width="17"/>
    <col collapsed="false" customWidth="true" hidden="false" outlineLevel="0" max="5" min="5" style="0" width="34"/>
    <col collapsed="false" customWidth="true" hidden="false" outlineLevel="0" max="6" min="6" style="0" width="3"/>
    <col collapsed="false" customWidth="true" hidden="false" outlineLevel="0" max="7" min="7" style="0" width="20"/>
    <col collapsed="false" customWidth="true" hidden="false" outlineLevel="0" max="8" min="8" style="0" width="24"/>
    <col collapsed="false" customWidth="true" hidden="false" outlineLevel="0" max="22" min="9" style="0" width="14"/>
    <col collapsed="false" customWidth="true" hidden="false" outlineLevel="0" max="23" min="23" style="0" width="24"/>
    <col collapsed="false" customWidth="true" hidden="false" outlineLevel="0" max="37" min="24" style="0" width="13"/>
  </cols>
  <sheetData>
    <row r="1" customFormat="false" ht="21.75" hidden="false" customHeight="true" outlineLevel="0" collapsed="false">
      <c r="A1" s="55" t="str">
        <f aca="false">HYPERLINK("#'General Information'!D9","◄ General Information")</f>
        <v>◄ General Information</v>
      </c>
      <c r="B1" s="119" t="str">
        <f aca="false">HYPERLINK("#Instructions!B9","Instructions")</f>
        <v>Instructions</v>
      </c>
      <c r="G1" s="120" t="s">
        <v>644</v>
      </c>
      <c r="W1" s="121" t="s">
        <v>645</v>
      </c>
    </row>
    <row r="2" customFormat="false" ht="15" hidden="false" customHeight="false" outlineLevel="0" collapsed="false">
      <c r="G2" s="122" t="s">
        <v>646</v>
      </c>
    </row>
    <row r="3" customFormat="false" ht="23.85" hidden="false" customHeight="false" outlineLevel="0" collapsed="false">
      <c r="A3" s="123" t="s">
        <v>647</v>
      </c>
      <c r="B3" s="123" t="s">
        <v>50</v>
      </c>
      <c r="C3" s="123" t="s">
        <v>33</v>
      </c>
      <c r="D3" s="123" t="s">
        <v>648</v>
      </c>
      <c r="E3" s="123" t="s">
        <v>649</v>
      </c>
      <c r="G3" s="123" t="s">
        <v>650</v>
      </c>
      <c r="H3" s="123" t="s">
        <v>647</v>
      </c>
      <c r="I3" s="123" t="s">
        <v>549</v>
      </c>
      <c r="J3" s="123" t="s">
        <v>651</v>
      </c>
      <c r="K3" s="123" t="s">
        <v>652</v>
      </c>
      <c r="L3" s="123" t="s">
        <v>653</v>
      </c>
      <c r="M3" s="123" t="s">
        <v>654</v>
      </c>
      <c r="N3" s="123" t="s">
        <v>655</v>
      </c>
      <c r="O3" s="123" t="s">
        <v>656</v>
      </c>
      <c r="P3" s="123" t="s">
        <v>657</v>
      </c>
      <c r="Q3" s="123" t="s">
        <v>658</v>
      </c>
      <c r="R3" s="123" t="s">
        <v>659</v>
      </c>
      <c r="W3" s="121" t="s">
        <v>660</v>
      </c>
    </row>
    <row r="4" customFormat="false" ht="15" hidden="false" customHeight="false" outlineLevel="0" collapsed="false">
      <c r="A4" s="0" t="s">
        <v>661</v>
      </c>
      <c r="B4" s="0" t="s">
        <v>551</v>
      </c>
      <c r="C4" s="27" t="n">
        <f aca="false">'Alt 1 (New HMA)'!G27</f>
        <v>7268437</v>
      </c>
      <c r="D4" s="27" t="n">
        <f aca="false">'Alt 1 (New HMA)'!E52</f>
        <v>9829223.74547321</v>
      </c>
      <c r="E4" s="15" t="s">
        <v>553</v>
      </c>
      <c r="G4" s="124" t="str">
        <f aca="false">IF(INDEX(Database!$D:$D,4)="","",INDEX(Database!$D:$D,4))</f>
        <v>Alt 1 (New HMA)</v>
      </c>
      <c r="H4" s="124" t="str">
        <f aca="false">IF($G4="","",INDEX(Database!$A:$A,4))</f>
        <v>Alternative 1</v>
      </c>
      <c r="I4" s="124" t="str">
        <f aca="false">IF($G4="","",INDEX(Database!$B:$B,4))</f>
        <v>HMA-New</v>
      </c>
      <c r="J4" s="125" t="n">
        <f aca="true">IF($G4="","",IFERROR(INDEX(INDIRECT("'"&amp;$G4&amp;"'!$G$1:$G$70"),MATCH("Total",INDIRECT("'"&amp;$G4&amp;"'!$A$1:$A$70"),0)),0))</f>
        <v>7268437</v>
      </c>
      <c r="K4" s="125" t="n">
        <f aca="true">IF($G4="","",IFERROR(SUMIFS(INDIRECT("'"&amp;$G4&amp;"'!$E$37:$E$52"),INDIRECT("'"&amp;$G4&amp;"'!$B$37:$B$52"),"Maintenance*",INDIRECT("'"&amp;$G4&amp;"'!$B$37:$B$52"),"&lt;&gt;*Indirect*"),0))</f>
        <v>1574420.72193685</v>
      </c>
      <c r="L4" s="125" t="n">
        <f aca="true">IF($G4="","",IFERROR(SUMIFS(INDIRECT("'"&amp;$G4&amp;"'!$E$37:$E$52"),INDIRECT("'"&amp;$G4&amp;"'!$B$37:$B$52"),"Rehabilitation*",INDIRECT("'"&amp;$G4&amp;"'!$B$37:$B$52"),"&lt;&gt;*Indirect*"),0))</f>
        <v>939071.040347879</v>
      </c>
      <c r="M4" s="125" t="n">
        <f aca="true">IF($G4="","",IFERROR(SUMIFS(INDIRECT("'"&amp;$G4&amp;"'!$E$37:$E$52"),INDIRECT("'"&amp;$G4&amp;"'!$B$37:$B$52"),"*Indirect*"),0))</f>
        <v>134639.61403581</v>
      </c>
      <c r="N4" s="125" t="n">
        <f aca="true">IF($G4="","",IFERROR(SUMIFS(INDIRECT("'"&amp;$G4&amp;"'!$E$37:$E$52"),INDIRECT("'"&amp;$G4&amp;"'!$B$37:$B$52"),"Salvage*"),0))</f>
        <v>-87344.6308473242</v>
      </c>
      <c r="O4" s="125" t="n">
        <f aca="true">IF($G4="","",IFERROR(INDEX(INDIRECT("'"&amp;$G4&amp;"'!$E$1:$E$70"),MATCH("Net Present Worth",INDIRECT("'"&amp;$G4&amp;"'!$B$1:$B$70"),0)),0))</f>
        <v>9829223.74547321</v>
      </c>
      <c r="P4" s="125" t="n">
        <f aca="false">IF($G4="","",O4-MIN($O$4:$O$7))</f>
        <v>648621.495980896</v>
      </c>
      <c r="Q4" s="126" t="n">
        <f aca="true">IF($G4="","",IF(IFERROR(INDIRECT("'"&amp;$G4&amp;"'!$F$2"),0)&gt;0,SUM($AG$41:$AG$71),IFERROR(SUM(INDIRECT("'"&amp;$G4&amp;"'!$F$4:$F$10")),0)))</f>
        <v>67</v>
      </c>
      <c r="R4" s="127" t="n">
        <f aca="false">IF($G4="","",1-Q4/('General Information'!$D$33*365))</f>
        <v>0.993881278538813</v>
      </c>
      <c r="W4" s="123" t="s">
        <v>662</v>
      </c>
      <c r="X4" s="123" t="str">
        <f aca="false">IF($H$4="","Alt "&amp;1,$H$4)</f>
        <v>Alternative 1</v>
      </c>
      <c r="Y4" s="123" t="str">
        <f aca="false">IF($H$5="","Alt "&amp;2,$H$5)</f>
        <v>Alternative 2</v>
      </c>
      <c r="Z4" s="123" t="str">
        <f aca="false">IF($H$6="","Alt "&amp;3,$H$6)</f>
        <v>Alt 3</v>
      </c>
      <c r="AA4" s="123" t="str">
        <f aca="false">IF($H$7="","Alt "&amp;4,$H$7)</f>
        <v>Alt 4</v>
      </c>
    </row>
    <row r="5" customFormat="false" ht="15" hidden="false" customHeight="false" outlineLevel="0" collapsed="false">
      <c r="A5" s="0" t="s">
        <v>663</v>
      </c>
      <c r="B5" s="0" t="s">
        <v>555</v>
      </c>
      <c r="C5" s="27" t="n">
        <f aca="false">'Alt 2 (New PCC)'!G27</f>
        <v>9062465.75</v>
      </c>
      <c r="D5" s="27" t="n">
        <f aca="false">'Alt 2 (New PCC)'!E43</f>
        <v>9180602.24949232</v>
      </c>
      <c r="E5" s="15" t="s">
        <v>6</v>
      </c>
      <c r="G5" s="124" t="str">
        <f aca="false">IF(INDEX(Database!$D:$D,5)="","",INDEX(Database!$D:$D,5))</f>
        <v>Alt 2 (New PCC)</v>
      </c>
      <c r="H5" s="124" t="str">
        <f aca="false">IF($G5="","",INDEX(Database!$A:$A,5))</f>
        <v>Alternative 2</v>
      </c>
      <c r="I5" s="124" t="str">
        <f aca="false">IF($G5="","",INDEX(Database!$B:$B,5))</f>
        <v>PCC-New</v>
      </c>
      <c r="J5" s="125" t="n">
        <f aca="true">IF($G5="","",IFERROR(INDEX(INDIRECT("'"&amp;$G5&amp;"'!$G$1:$G$70"),MATCH("Total",INDIRECT("'"&amp;$G5&amp;"'!$A$1:$A$70"),0)),0))</f>
        <v>9062465.75</v>
      </c>
      <c r="K5" s="125" t="n">
        <f aca="true">IF($G5="","",IFERROR(SUMIFS(INDIRECT("'"&amp;$G5&amp;"'!$E$37:$E$52"),INDIRECT("'"&amp;$G5&amp;"'!$B$37:$B$52"),"Maintenance*",INDIRECT("'"&amp;$G5&amp;"'!$B$37:$B$52"),"&lt;&gt;*Indirect*"),0))</f>
        <v>522567.104910763</v>
      </c>
      <c r="L5" s="125" t="n">
        <f aca="true">IF($G5="","",IFERROR(SUMIFS(INDIRECT("'"&amp;$G5&amp;"'!$E$37:$E$52"),INDIRECT("'"&amp;$G5&amp;"'!$B$37:$B$52"),"Rehabilitation*",INDIRECT("'"&amp;$G5&amp;"'!$B$37:$B$52"),"&lt;&gt;*Indirect*"),0))</f>
        <v>482791.159867436</v>
      </c>
      <c r="M5" s="125" t="n">
        <f aca="true">IF($G5="","",IFERROR(SUMIFS(INDIRECT("'"&amp;$G5&amp;"'!$E$37:$E$52"),INDIRECT("'"&amp;$G5&amp;"'!$B$37:$B$52"),"*Indirect*"),0))</f>
        <v>46182.209105713</v>
      </c>
      <c r="N5" s="125" t="n">
        <f aca="true">IF($G5="","",IFERROR(SUMIFS(INDIRECT("'"&amp;$G5&amp;"'!$E$37:$E$52"),INDIRECT("'"&amp;$G5&amp;"'!$B$37:$B$52"),"Salvage*"),0))</f>
        <v>-933403.974391597</v>
      </c>
      <c r="O5" s="125" t="n">
        <f aca="true">IF($G5="","",IFERROR(INDEX(INDIRECT("'"&amp;$G5&amp;"'!$E$1:$E$70"),MATCH("Net Present Worth",INDIRECT("'"&amp;$G5&amp;"'!$B$1:$B$70"),0)),0))</f>
        <v>9180602.24949232</v>
      </c>
      <c r="P5" s="125" t="n">
        <f aca="false">IF($G5="","",O5-MIN($O$4:$O$7))</f>
        <v>0</v>
      </c>
      <c r="Q5" s="126" t="n">
        <f aca="true">IF($G5="","",IF(IFERROR(INDIRECT("'"&amp;$G5&amp;"'!$F$2"),0)&gt;0,SUM($AH$41:$AH$71),IFERROR(SUM(INDIRECT("'"&amp;$G5&amp;"'!$F$4:$F$10")),0)))</f>
        <v>29</v>
      </c>
      <c r="R5" s="127" t="n">
        <f aca="false">IF($G5="","",1-Q5/('General Information'!$D$33*365))</f>
        <v>0.997351598173516</v>
      </c>
      <c r="W5" s="128" t="s">
        <v>651</v>
      </c>
      <c r="X5" s="129" t="n">
        <f aca="false">IF(J4="",0,J4)</f>
        <v>7268437</v>
      </c>
      <c r="Y5" s="129" t="n">
        <f aca="false">IF(J5="",0,J5)</f>
        <v>9062465.75</v>
      </c>
      <c r="Z5" s="129" t="n">
        <f aca="false">IF(J6="",0,J6)</f>
        <v>0</v>
      </c>
      <c r="AA5" s="129" t="n">
        <f aca="false">IF(J7="",0,J7)</f>
        <v>0</v>
      </c>
    </row>
    <row r="6" customFormat="false" ht="15" hidden="false" customHeight="false" outlineLevel="0" collapsed="false">
      <c r="G6" s="124" t="str">
        <f aca="false">IF(INDEX(Database!$D:$D,6)="","",INDEX(Database!$D:$D,6))</f>
        <v/>
      </c>
      <c r="H6" s="124" t="str">
        <f aca="false">IF($G6="","",INDEX(Database!$A:$A,6))</f>
        <v/>
      </c>
      <c r="I6" s="124" t="str">
        <f aca="false">IF($G6="","",INDEX(Database!$B:$B,6))</f>
        <v/>
      </c>
      <c r="J6" s="125" t="str">
        <f aca="true">IF($G6="","",IFERROR(INDEX(INDIRECT("'"&amp;$G6&amp;"'!$G$1:$G$70"),MATCH("Total",INDIRECT("'"&amp;$G6&amp;"'!$A$1:$A$70"),0)),0))</f>
        <v/>
      </c>
      <c r="K6" s="125" t="str">
        <f aca="true">IF($G6="","",IFERROR(SUMIFS(INDIRECT("'"&amp;$G6&amp;"'!$E$37:$E$52"),INDIRECT("'"&amp;$G6&amp;"'!$B$37:$B$52"),"Maintenance*",INDIRECT("'"&amp;$G6&amp;"'!$B$37:$B$52"),"&lt;&gt;*Indirect*"),0))</f>
        <v/>
      </c>
      <c r="L6" s="125" t="str">
        <f aca="true">IF($G6="","",IFERROR(SUMIFS(INDIRECT("'"&amp;$G6&amp;"'!$E$37:$E$52"),INDIRECT("'"&amp;$G6&amp;"'!$B$37:$B$52"),"Rehabilitation*",INDIRECT("'"&amp;$G6&amp;"'!$B$37:$B$52"),"&lt;&gt;*Indirect*"),0))</f>
        <v/>
      </c>
      <c r="M6" s="125" t="str">
        <f aca="true">IF($G6="","",IFERROR(SUMIFS(INDIRECT("'"&amp;$G6&amp;"'!$E$37:$E$52"),INDIRECT("'"&amp;$G6&amp;"'!$B$37:$B$52"),"*Indirect*"),0))</f>
        <v/>
      </c>
      <c r="N6" s="125" t="str">
        <f aca="true">IF($G6="","",IFERROR(SUMIFS(INDIRECT("'"&amp;$G6&amp;"'!$E$37:$E$52"),INDIRECT("'"&amp;$G6&amp;"'!$B$37:$B$52"),"Salvage*"),0))</f>
        <v/>
      </c>
      <c r="O6" s="125" t="str">
        <f aca="true">IF($G6="","",IFERROR(INDEX(INDIRECT("'"&amp;$G6&amp;"'!$E$1:$E$70"),MATCH("Net Present Worth",INDIRECT("'"&amp;$G6&amp;"'!$B$1:$B$70"),0)),0))</f>
        <v/>
      </c>
      <c r="P6" s="125" t="str">
        <f aca="false">IF($G6="","",O6-MIN($O$4:$O$7))</f>
        <v/>
      </c>
      <c r="Q6" s="124" t="str">
        <f aca="true">IF($G6="","",IF(IFERROR(INDIRECT("'"&amp;$G6&amp;"'!$F$2"),0)&gt;0,SUM($AI$41:$AI$71),IFERROR(SUM(INDIRECT("'"&amp;$G6&amp;"'!$F$4:$F$10")),0)))</f>
        <v/>
      </c>
      <c r="R6" s="127" t="str">
        <f aca="false">IF($G6="","",1-Q6/('General Information'!$D$33*365))</f>
        <v/>
      </c>
      <c r="W6" s="128" t="s">
        <v>664</v>
      </c>
      <c r="X6" s="129" t="n">
        <f aca="false">IF(K4="",0,K4)</f>
        <v>1574420.72193685</v>
      </c>
      <c r="Y6" s="129" t="n">
        <f aca="false">IF(K5="",0,K5)</f>
        <v>522567.104910763</v>
      </c>
      <c r="Z6" s="129" t="n">
        <f aca="false">IF(K6="",0,K6)</f>
        <v>0</v>
      </c>
      <c r="AA6" s="129" t="n">
        <f aca="false">IF(K7="",0,K7)</f>
        <v>0</v>
      </c>
    </row>
    <row r="7" customFormat="false" ht="15" hidden="false" customHeight="false" outlineLevel="0" collapsed="false">
      <c r="G7" s="124" t="str">
        <f aca="false">IF(INDEX(Database!$D:$D,7)="","",INDEX(Database!$D:$D,7))</f>
        <v/>
      </c>
      <c r="H7" s="124" t="str">
        <f aca="false">IF($G7="","",INDEX(Database!$A:$A,7))</f>
        <v/>
      </c>
      <c r="I7" s="124" t="str">
        <f aca="false">IF($G7="","",INDEX(Database!$B:$B,7))</f>
        <v/>
      </c>
      <c r="J7" s="125" t="str">
        <f aca="true">IF($G7="","",IFERROR(INDEX(INDIRECT("'"&amp;$G7&amp;"'!$G$1:$G$70"),MATCH("Total",INDIRECT("'"&amp;$G7&amp;"'!$A$1:$A$70"),0)),0))</f>
        <v/>
      </c>
      <c r="K7" s="125" t="str">
        <f aca="true">IF($G7="","",IFERROR(SUMIFS(INDIRECT("'"&amp;$G7&amp;"'!$E$37:$E$52"),INDIRECT("'"&amp;$G7&amp;"'!$B$37:$B$52"),"Maintenance*",INDIRECT("'"&amp;$G7&amp;"'!$B$37:$B$52"),"&lt;&gt;*Indirect*"),0))</f>
        <v/>
      </c>
      <c r="L7" s="125" t="str">
        <f aca="true">IF($G7="","",IFERROR(SUMIFS(INDIRECT("'"&amp;$G7&amp;"'!$E$37:$E$52"),INDIRECT("'"&amp;$G7&amp;"'!$B$37:$B$52"),"Rehabilitation*",INDIRECT("'"&amp;$G7&amp;"'!$B$37:$B$52"),"&lt;&gt;*Indirect*"),0))</f>
        <v/>
      </c>
      <c r="M7" s="125" t="str">
        <f aca="true">IF($G7="","",IFERROR(SUMIFS(INDIRECT("'"&amp;$G7&amp;"'!$E$37:$E$52"),INDIRECT("'"&amp;$G7&amp;"'!$B$37:$B$52"),"*Indirect*"),0))</f>
        <v/>
      </c>
      <c r="N7" s="125" t="str">
        <f aca="true">IF($G7="","",IFERROR(SUMIFS(INDIRECT("'"&amp;$G7&amp;"'!$E$37:$E$52"),INDIRECT("'"&amp;$G7&amp;"'!$B$37:$B$52"),"Salvage*"),0))</f>
        <v/>
      </c>
      <c r="O7" s="125" t="str">
        <f aca="true">IF($G7="","",IFERROR(INDEX(INDIRECT("'"&amp;$G7&amp;"'!$E$1:$E$70"),MATCH("Net Present Worth",INDIRECT("'"&amp;$G7&amp;"'!$B$1:$B$70"),0)),0))</f>
        <v/>
      </c>
      <c r="P7" s="125" t="str">
        <f aca="false">IF($G7="","",O7-MIN($O$4:$O$7))</f>
        <v/>
      </c>
      <c r="Q7" s="124" t="str">
        <f aca="true">IF($G7="","",IF(IFERROR(INDIRECT("'"&amp;$G7&amp;"'!$F$2"),0)&gt;0,SUM($AJ$41:$AJ$71),IFERROR(SUM(INDIRECT("'"&amp;$G7&amp;"'!$F$4:$F$10")),0)))</f>
        <v/>
      </c>
      <c r="R7" s="127" t="str">
        <f aca="false">IF($G7="","",1-Q7/('General Information'!$D$33*365))</f>
        <v/>
      </c>
      <c r="W7" s="128" t="s">
        <v>665</v>
      </c>
      <c r="X7" s="129" t="n">
        <f aca="false">IF(L4="",0,L4)</f>
        <v>939071.040347879</v>
      </c>
      <c r="Y7" s="129" t="n">
        <f aca="false">IF(L5="",0,L5)</f>
        <v>482791.159867436</v>
      </c>
      <c r="Z7" s="129" t="n">
        <f aca="false">IF(L6="",0,L6)</f>
        <v>0</v>
      </c>
      <c r="AA7" s="129" t="n">
        <f aca="false">IF(L7="",0,L7)</f>
        <v>0</v>
      </c>
    </row>
    <row r="8" customFormat="false" ht="15" hidden="false" customHeight="false" outlineLevel="0" collapsed="false">
      <c r="W8" s="128" t="s">
        <v>666</v>
      </c>
      <c r="X8" s="129" t="n">
        <f aca="false">IF(M4="",0,M4)</f>
        <v>134639.61403581</v>
      </c>
      <c r="Y8" s="129" t="n">
        <f aca="false">IF(M5="",0,M5)</f>
        <v>46182.209105713</v>
      </c>
      <c r="Z8" s="129" t="n">
        <f aca="false">IF(M6="",0,M6)</f>
        <v>0</v>
      </c>
      <c r="AA8" s="129" t="n">
        <f aca="false">IF(M7="",0,M7)</f>
        <v>0</v>
      </c>
    </row>
    <row r="9" customFormat="false" ht="15" hidden="false" customHeight="false" outlineLevel="0" collapsed="false">
      <c r="G9" s="130" t="str">
        <f aca="false">IF(COUNT($O$4:$O$7)=0,"No alternatives yet. Go to General Information and click Alternative Setup.","Lowest present worth: "&amp;INDEX($H$4:$H$7,MATCH(MIN($O$4:$O$7),$O$4:$O$7,0))&amp;IF(COUNT($O$4:$O$7)&lt;2,"   |   only one alternative so far",IF(SMALL($O$4:$O$7,2)=MIN($O$4:$O$7),"   |   tied with the next alternative","   |   margin to next: "&amp;TEXT(SMALL($O$4:$O$7,2)-MIN($O$4:$O$7),"$#,##0")))&amp;"   |   "&amp;'General Information'!$D$34&amp;"% over "&amp;'General Information'!$D$33&amp;" years   |   lost revenue: "&amp;'General Information'!$D$38)</f>
        <v>Lowest present worth: Alternative 2   |   margin to next: $648,621   |   3% over 30 years   |   lost revenue: Yes</v>
      </c>
      <c r="H9" s="131"/>
      <c r="I9" s="131"/>
      <c r="J9" s="131"/>
      <c r="K9" s="131"/>
      <c r="L9" s="131"/>
      <c r="M9" s="131"/>
      <c r="N9" s="131"/>
      <c r="O9" s="131"/>
      <c r="P9" s="131"/>
      <c r="Q9" s="131"/>
      <c r="R9" s="131"/>
      <c r="W9" s="128" t="s">
        <v>40</v>
      </c>
      <c r="X9" s="129" t="n">
        <f aca="false">IF(N4="",0,N4)</f>
        <v>-87344.6308473242</v>
      </c>
      <c r="Y9" s="129" t="n">
        <f aca="false">IF(N5="",0,N5)</f>
        <v>-933403.974391597</v>
      </c>
      <c r="Z9" s="129" t="n">
        <f aca="false">IF(N6="",0,N6)</f>
        <v>0</v>
      </c>
      <c r="AA9" s="129" t="n">
        <f aca="false">IF(N7="",0,N7)</f>
        <v>0</v>
      </c>
    </row>
    <row r="10" customFormat="false" ht="15" hidden="false" customHeight="false" outlineLevel="0" collapsed="false">
      <c r="G10" s="122" t="str">
        <f aca="false">IF(COUNT($O$4:$O$7)&lt;2,"",IF(INDEX($H$4:$H$7,MATCH(MIN($O$4:$O$7),$O$4:$O$7,0))=INDEX($H$4:$H$7,MATCH(MIN($X$32:$AA$32),$X$32:$AA$32,0)),"The same alternative is lowest at the FAA AIP rate of 7%.","At the FAA AIP rate of 7% the lowest-cost alternative changes: see chart 2."))</f>
        <v>At the FAA AIP rate of 7% the lowest-cost alternative changes: see chart 2.</v>
      </c>
      <c r="W10" s="121" t="s">
        <v>667</v>
      </c>
    </row>
    <row r="11" customFormat="false" ht="15" hidden="false" customHeight="false" outlineLevel="0" collapsed="false">
      <c r="W11" s="123" t="s">
        <v>668</v>
      </c>
      <c r="X11" s="123" t="str">
        <f aca="false">X$4</f>
        <v>Alternative 1</v>
      </c>
      <c r="Y11" s="123" t="str">
        <f aca="false">Y$4</f>
        <v>Alternative 2</v>
      </c>
      <c r="Z11" s="123" t="str">
        <f aca="false">Z$4</f>
        <v>Alt 3</v>
      </c>
      <c r="AA11" s="123" t="str">
        <f aca="false">AA$4</f>
        <v>Alt 4</v>
      </c>
    </row>
    <row r="12" customFormat="false" ht="15" hidden="false" customHeight="false" outlineLevel="0" collapsed="false">
      <c r="G12" s="120" t="s">
        <v>669</v>
      </c>
      <c r="W12" s="132" t="n">
        <v>2</v>
      </c>
      <c r="X12" s="129" t="n">
        <f aca="true">IF($G$4="",0,IFERROR($J$4+SUMPRODUCT((INDIRECT("'"&amp;$G$4&amp;"'!$C$37:$C$52")&lt;='General Information'!$D$33)*INDIRECT("'"&amp;$G$4&amp;"'!$D$37:$D$52")/(1+$W12/100)^INDIRECT("'"&amp;$G$4&amp;"'!$C$37:$C$52")),0))</f>
        <v>10262552.894263</v>
      </c>
      <c r="Y12" s="129" t="n">
        <f aca="true">IF($G$5="",0,IFERROR($J$5+SUMPRODUCT((INDIRECT("'"&amp;$G$5&amp;"'!$C$37:$C$52")&lt;='General Information'!$D$33)*INDIRECT("'"&amp;$G$5&amp;"'!$D$37:$D$52")/(1+$W12/100)^INDIRECT("'"&amp;$G$5&amp;"'!$C$37:$C$52")),0))</f>
        <v>9127262.70353926</v>
      </c>
      <c r="Z12" s="129" t="n">
        <f aca="true">IF($G$6="",0,IFERROR($J$6+SUMPRODUCT((INDIRECT("'"&amp;$G$6&amp;"'!$C$37:$C$52")&lt;='General Information'!$D$33)*INDIRECT("'"&amp;$G$6&amp;"'!$D$37:$D$52")/(1+$W12/100)^INDIRECT("'"&amp;$G$6&amp;"'!$C$37:$C$52")),0))</f>
        <v>0</v>
      </c>
      <c r="AA12" s="129" t="n">
        <f aca="true">IF($G$7="",0,IFERROR($J$7+SUMPRODUCT((INDIRECT("'"&amp;$G$7&amp;"'!$C$37:$C$52")&lt;='General Information'!$D$33)*INDIRECT("'"&amp;$G$7&amp;"'!$D$37:$D$52")/(1+$W12/100)^INDIRECT("'"&amp;$G$7&amp;"'!$C$37:$C$52")),0))</f>
        <v>0</v>
      </c>
    </row>
    <row r="13" customFormat="false" ht="15" hidden="false" customHeight="false" outlineLevel="0" collapsed="false">
      <c r="W13" s="132" t="n">
        <v>2.25</v>
      </c>
      <c r="X13" s="129" t="n">
        <f aca="true">IF($G$4="",0,IFERROR($J$4+SUMPRODUCT((INDIRECT("'"&amp;$G$4&amp;"'!$C$37:$C$52")&lt;='General Information'!$D$33)*INDIRECT("'"&amp;$G$4&amp;"'!$D$37:$D$52")/(1+$W13/100)^INDIRECT("'"&amp;$G$4&amp;"'!$C$37:$C$52")),0))</f>
        <v>10146264.598081</v>
      </c>
      <c r="Y13" s="129" t="n">
        <f aca="true">IF($G$5="",0,IFERROR($J$5+SUMPRODUCT((INDIRECT("'"&amp;$G$5&amp;"'!$C$37:$C$52")&lt;='General Information'!$D$33)*INDIRECT("'"&amp;$G$5&amp;"'!$D$37:$D$52")/(1+$W13/100)^INDIRECT("'"&amp;$G$5&amp;"'!$C$37:$C$52")),0))</f>
        <v>9143740.59930613</v>
      </c>
      <c r="Z13" s="129" t="n">
        <f aca="true">IF($G$6="",0,IFERROR($J$6+SUMPRODUCT((INDIRECT("'"&amp;$G$6&amp;"'!$C$37:$C$52")&lt;='General Information'!$D$33)*INDIRECT("'"&amp;$G$6&amp;"'!$D$37:$D$52")/(1+$W13/100)^INDIRECT("'"&amp;$G$6&amp;"'!$C$37:$C$52")),0))</f>
        <v>0</v>
      </c>
      <c r="AA13" s="129" t="n">
        <f aca="true">IF($G$7="",0,IFERROR($J$7+SUMPRODUCT((INDIRECT("'"&amp;$G$7&amp;"'!$C$37:$C$52")&lt;='General Information'!$D$33)*INDIRECT("'"&amp;$G$7&amp;"'!$D$37:$D$52")/(1+$W13/100)^INDIRECT("'"&amp;$G$7&amp;"'!$C$37:$C$52")),0))</f>
        <v>0</v>
      </c>
    </row>
    <row r="14" customFormat="false" ht="15" hidden="false" customHeight="false" outlineLevel="0" collapsed="false">
      <c r="W14" s="132" t="n">
        <v>2.5</v>
      </c>
      <c r="X14" s="129" t="n">
        <f aca="true">IF($G$4="",0,IFERROR($J$4+SUMPRODUCT((INDIRECT("'"&amp;$G$4&amp;"'!$C$37:$C$52")&lt;='General Information'!$D$33)*INDIRECT("'"&amp;$G$4&amp;"'!$D$37:$D$52")/(1+$W14/100)^INDIRECT("'"&amp;$G$4&amp;"'!$C$37:$C$52")),0))</f>
        <v>10035470.4285864</v>
      </c>
      <c r="Y14" s="129" t="n">
        <f aca="true">IF($G$5="",0,IFERROR($J$5+SUMPRODUCT((INDIRECT("'"&amp;$G$5&amp;"'!$C$37:$C$52")&lt;='General Information'!$D$33)*INDIRECT("'"&amp;$G$5&amp;"'!$D$37:$D$52")/(1+$W14/100)^INDIRECT("'"&amp;$G$5&amp;"'!$C$37:$C$52")),0))</f>
        <v>9157977.79503656</v>
      </c>
      <c r="Z14" s="129" t="n">
        <f aca="true">IF($G$6="",0,IFERROR($J$6+SUMPRODUCT((INDIRECT("'"&amp;$G$6&amp;"'!$C$37:$C$52")&lt;='General Information'!$D$33)*INDIRECT("'"&amp;$G$6&amp;"'!$D$37:$D$52")/(1+$W14/100)^INDIRECT("'"&amp;$G$6&amp;"'!$C$37:$C$52")),0))</f>
        <v>0</v>
      </c>
      <c r="AA14" s="129" t="n">
        <f aca="true">IF($G$7="",0,IFERROR($J$7+SUMPRODUCT((INDIRECT("'"&amp;$G$7&amp;"'!$C$37:$C$52")&lt;='General Information'!$D$33)*INDIRECT("'"&amp;$G$7&amp;"'!$D$37:$D$52")/(1+$W14/100)^INDIRECT("'"&amp;$G$7&amp;"'!$C$37:$C$52")),0))</f>
        <v>0</v>
      </c>
    </row>
    <row r="15" customFormat="false" ht="15" hidden="false" customHeight="false" outlineLevel="0" collapsed="false">
      <c r="W15" s="132" t="n">
        <v>2.75</v>
      </c>
      <c r="X15" s="129" t="n">
        <f aca="true">IF($G$4="",0,IFERROR($J$4+SUMPRODUCT((INDIRECT("'"&amp;$G$4&amp;"'!$C$37:$C$52")&lt;='General Information'!$D$33)*INDIRECT("'"&amp;$G$4&amp;"'!$D$37:$D$52")/(1+$W15/100)^INDIRECT("'"&amp;$G$4&amp;"'!$C$37:$C$52")),0))</f>
        <v>9929881.09618256</v>
      </c>
      <c r="Y15" s="129" t="n">
        <f aca="true">IF($G$5="",0,IFERROR($J$5+SUMPRODUCT((INDIRECT("'"&amp;$G$5&amp;"'!$C$37:$C$52")&lt;='General Information'!$D$33)*INDIRECT("'"&amp;$G$5&amp;"'!$D$37:$D$52")/(1+$W15/100)^INDIRECT("'"&amp;$G$5&amp;"'!$C$37:$C$52")),0))</f>
        <v>9170197.41405273</v>
      </c>
      <c r="Z15" s="129" t="n">
        <f aca="true">IF($G$6="",0,IFERROR($J$6+SUMPRODUCT((INDIRECT("'"&amp;$G$6&amp;"'!$C$37:$C$52")&lt;='General Information'!$D$33)*INDIRECT("'"&amp;$G$6&amp;"'!$D$37:$D$52")/(1+$W15/100)^INDIRECT("'"&amp;$G$6&amp;"'!$C$37:$C$52")),0))</f>
        <v>0</v>
      </c>
      <c r="AA15" s="129" t="n">
        <f aca="true">IF($G$7="",0,IFERROR($J$7+SUMPRODUCT((INDIRECT("'"&amp;$G$7&amp;"'!$C$37:$C$52")&lt;='General Information'!$D$33)*INDIRECT("'"&amp;$G$7&amp;"'!$D$37:$D$52")/(1+$W15/100)^INDIRECT("'"&amp;$G$7&amp;"'!$C$37:$C$52")),0))</f>
        <v>0</v>
      </c>
    </row>
    <row r="16" customFormat="false" ht="15" hidden="false" customHeight="false" outlineLevel="0" collapsed="false">
      <c r="W16" s="132" t="n">
        <v>3</v>
      </c>
      <c r="X16" s="129" t="n">
        <f aca="true">IF($G$4="",0,IFERROR($J$4+SUMPRODUCT((INDIRECT("'"&amp;$G$4&amp;"'!$C$37:$C$52")&lt;='General Information'!$D$33)*INDIRECT("'"&amp;$G$4&amp;"'!$D$37:$D$52")/(1+$W16/100)^INDIRECT("'"&amp;$G$4&amp;"'!$C$37:$C$52")),0))</f>
        <v>9829223.74547321</v>
      </c>
      <c r="Y16" s="129" t="n">
        <f aca="true">IF($G$5="",0,IFERROR($J$5+SUMPRODUCT((INDIRECT("'"&amp;$G$5&amp;"'!$C$37:$C$52")&lt;='General Information'!$D$33)*INDIRECT("'"&amp;$G$5&amp;"'!$D$37:$D$52")/(1+$W16/100)^INDIRECT("'"&amp;$G$5&amp;"'!$C$37:$C$52")),0))</f>
        <v>9180602.24949232</v>
      </c>
      <c r="Z16" s="129" t="n">
        <f aca="true">IF($G$6="",0,IFERROR($J$6+SUMPRODUCT((INDIRECT("'"&amp;$G$6&amp;"'!$C$37:$C$52")&lt;='General Information'!$D$33)*INDIRECT("'"&amp;$G$6&amp;"'!$D$37:$D$52")/(1+$W16/100)^INDIRECT("'"&amp;$G$6&amp;"'!$C$37:$C$52")),0))</f>
        <v>0</v>
      </c>
      <c r="AA16" s="129" t="n">
        <f aca="true">IF($G$7="",0,IFERROR($J$7+SUMPRODUCT((INDIRECT("'"&amp;$G$7&amp;"'!$C$37:$C$52")&lt;='General Information'!$D$33)*INDIRECT("'"&amp;$G$7&amp;"'!$D$37:$D$52")/(1+$W16/100)^INDIRECT("'"&amp;$G$7&amp;"'!$C$37:$C$52")),0))</f>
        <v>0</v>
      </c>
    </row>
    <row r="17" customFormat="false" ht="15" hidden="false" customHeight="false" outlineLevel="0" collapsed="false">
      <c r="W17" s="132" t="n">
        <v>3.25</v>
      </c>
      <c r="X17" s="129" t="n">
        <f aca="true">IF($G$4="",0,IFERROR($J$4+SUMPRODUCT((INDIRECT("'"&amp;$G$4&amp;"'!$C$37:$C$52")&lt;='General Information'!$D$33)*INDIRECT("'"&amp;$G$4&amp;"'!$D$37:$D$52")/(1+$W17/100)^INDIRECT("'"&amp;$G$4&amp;"'!$C$37:$C$52")),0))</f>
        <v>9733240.96335756</v>
      </c>
      <c r="Y17" s="129" t="n">
        <f aca="true">IF($G$5="",0,IFERROR($J$5+SUMPRODUCT((INDIRECT("'"&amp;$G$5&amp;"'!$C$37:$C$52")&lt;='General Information'!$D$33)*INDIRECT("'"&amp;$G$5&amp;"'!$D$37:$D$52")/(1+$W17/100)^INDIRECT("'"&amp;$G$5&amp;"'!$C$37:$C$52")),0))</f>
        <v>9189376.56426341</v>
      </c>
      <c r="Z17" s="129" t="n">
        <f aca="true">IF($G$6="",0,IFERROR($J$6+SUMPRODUCT((INDIRECT("'"&amp;$G$6&amp;"'!$C$37:$C$52")&lt;='General Information'!$D$33)*INDIRECT("'"&amp;$G$6&amp;"'!$D$37:$D$52")/(1+$W17/100)^INDIRECT("'"&amp;$G$6&amp;"'!$C$37:$C$52")),0))</f>
        <v>0</v>
      </c>
      <c r="AA17" s="129" t="n">
        <f aca="true">IF($G$7="",0,IFERROR($J$7+SUMPRODUCT((INDIRECT("'"&amp;$G$7&amp;"'!$C$37:$C$52")&lt;='General Information'!$D$33)*INDIRECT("'"&amp;$G$7&amp;"'!$D$37:$D$52")/(1+$W17/100)^INDIRECT("'"&amp;$G$7&amp;"'!$C$37:$C$52")),0))</f>
        <v>0</v>
      </c>
    </row>
    <row r="18" customFormat="false" ht="15" hidden="false" customHeight="false" outlineLevel="0" collapsed="false">
      <c r="W18" s="132" t="n">
        <v>3.5</v>
      </c>
      <c r="X18" s="129" t="n">
        <f aca="true">IF($G$4="",0,IFERROR($J$4+SUMPRODUCT((INDIRECT("'"&amp;$G$4&amp;"'!$C$37:$C$52")&lt;='General Information'!$D$33)*INDIRECT("'"&amp;$G$4&amp;"'!$D$37:$D$52")/(1+$W18/100)^INDIRECT("'"&amp;$G$4&amp;"'!$C$37:$C$52")),0))</f>
        <v>9641689.85014773</v>
      </c>
      <c r="Y18" s="129" t="n">
        <f aca="true">IF($G$5="",0,IFERROR($J$5+SUMPRODUCT((INDIRECT("'"&amp;$G$5&amp;"'!$C$37:$C$52")&lt;='General Information'!$D$33)*INDIRECT("'"&amp;$G$5&amp;"'!$D$37:$D$52")/(1+$W18/100)^INDIRECT("'"&amp;$G$5&amp;"'!$C$37:$C$52")),0))</f>
        <v>9196687.73240377</v>
      </c>
      <c r="Z18" s="129" t="n">
        <f aca="true">IF($G$6="",0,IFERROR($J$6+SUMPRODUCT((INDIRECT("'"&amp;$G$6&amp;"'!$C$37:$C$52")&lt;='General Information'!$D$33)*INDIRECT("'"&amp;$G$6&amp;"'!$D$37:$D$52")/(1+$W18/100)^INDIRECT("'"&amp;$G$6&amp;"'!$C$37:$C$52")),0))</f>
        <v>0</v>
      </c>
      <c r="AA18" s="129" t="n">
        <f aca="true">IF($G$7="",0,IFERROR($J$7+SUMPRODUCT((INDIRECT("'"&amp;$G$7&amp;"'!$C$37:$C$52")&lt;='General Information'!$D$33)*INDIRECT("'"&amp;$G$7&amp;"'!$D$37:$D$52")/(1+$W18/100)^INDIRECT("'"&amp;$G$7&amp;"'!$C$37:$C$52")),0))</f>
        <v>0</v>
      </c>
    </row>
    <row r="19" customFormat="false" ht="15" hidden="false" customHeight="false" outlineLevel="0" collapsed="false">
      <c r="W19" s="132" t="n">
        <v>3.75</v>
      </c>
      <c r="X19" s="129" t="n">
        <f aca="true">IF($G$4="",0,IFERROR($J$4+SUMPRODUCT((INDIRECT("'"&amp;$G$4&amp;"'!$C$37:$C$52")&lt;='General Information'!$D$33)*INDIRECT("'"&amp;$G$4&amp;"'!$D$37:$D$52")/(1+$W19/100)^INDIRECT("'"&amp;$G$4&amp;"'!$C$37:$C$52")),0))</f>
        <v>9554341.14952141</v>
      </c>
      <c r="Y19" s="129" t="n">
        <f aca="true">IF($G$5="",0,IFERROR($J$5+SUMPRODUCT((INDIRECT("'"&amp;$G$5&amp;"'!$C$37:$C$52")&lt;='General Information'!$D$33)*INDIRECT("'"&amp;$G$5&amp;"'!$D$37:$D$52")/(1+$W19/100)^INDIRECT("'"&amp;$G$5&amp;"'!$C$37:$C$52")),0))</f>
        <v>9202687.7359094</v>
      </c>
      <c r="Z19" s="129" t="n">
        <f aca="true">IF($G$6="",0,IFERROR($J$6+SUMPRODUCT((INDIRECT("'"&amp;$G$6&amp;"'!$C$37:$C$52")&lt;='General Information'!$D$33)*INDIRECT("'"&amp;$G$6&amp;"'!$D$37:$D$52")/(1+$W19/100)^INDIRECT("'"&amp;$G$6&amp;"'!$C$37:$C$52")),0))</f>
        <v>0</v>
      </c>
      <c r="AA19" s="129" t="n">
        <f aca="true">IF($G$7="",0,IFERROR($J$7+SUMPRODUCT((INDIRECT("'"&amp;$G$7&amp;"'!$C$37:$C$52")&lt;='General Information'!$D$33)*INDIRECT("'"&amp;$G$7&amp;"'!$D$37:$D$52")/(1+$W19/100)^INDIRECT("'"&amp;$G$7&amp;"'!$C$37:$C$52")),0))</f>
        <v>0</v>
      </c>
    </row>
    <row r="20" customFormat="false" ht="15" hidden="false" customHeight="false" outlineLevel="0" collapsed="false">
      <c r="W20" s="132" t="n">
        <v>4</v>
      </c>
      <c r="X20" s="129" t="n">
        <f aca="true">IF($G$4="",0,IFERROR($J$4+SUMPRODUCT((INDIRECT("'"&amp;$G$4&amp;"'!$C$37:$C$52")&lt;='General Information'!$D$33)*INDIRECT("'"&amp;$G$4&amp;"'!$D$37:$D$52")/(1+$W20/100)^INDIRECT("'"&amp;$G$4&amp;"'!$C$37:$C$52")),0))</f>
        <v>9470978.43341119</v>
      </c>
      <c r="Y20" s="129" t="n">
        <f aca="true">IF($G$5="",0,IFERROR($J$5+SUMPRODUCT((INDIRECT("'"&amp;$G$5&amp;"'!$C$37:$C$52")&lt;='General Information'!$D$33)*INDIRECT("'"&amp;$G$5&amp;"'!$D$37:$D$52")/(1+$W20/100)^INDIRECT("'"&amp;$G$5&amp;"'!$C$37:$C$52")),0))</f>
        <v>9207514.52983484</v>
      </c>
      <c r="Z20" s="129" t="n">
        <f aca="true">IF($G$6="",0,IFERROR($J$6+SUMPRODUCT((INDIRECT("'"&amp;$G$6&amp;"'!$C$37:$C$52")&lt;='General Information'!$D$33)*INDIRECT("'"&amp;$G$6&amp;"'!$D$37:$D$52")/(1+$W20/100)^INDIRECT("'"&amp;$G$6&amp;"'!$C$37:$C$52")),0))</f>
        <v>0</v>
      </c>
      <c r="AA20" s="129" t="n">
        <f aca="true">IF($G$7="",0,IFERROR($J$7+SUMPRODUCT((INDIRECT("'"&amp;$G$7&amp;"'!$C$37:$C$52")&lt;='General Information'!$D$33)*INDIRECT("'"&amp;$G$7&amp;"'!$D$37:$D$52")/(1+$W20/100)^INDIRECT("'"&amp;$G$7&amp;"'!$C$37:$C$52")),0))</f>
        <v>0</v>
      </c>
    </row>
    <row r="21" customFormat="false" ht="15" hidden="false" customHeight="false" outlineLevel="0" collapsed="false">
      <c r="W21" s="132" t="n">
        <v>4.25</v>
      </c>
      <c r="X21" s="129" t="n">
        <f aca="true">IF($G$4="",0,IFERROR($J$4+SUMPRODUCT((INDIRECT("'"&amp;$G$4&amp;"'!$C$37:$C$52")&lt;='General Information'!$D$33)*INDIRECT("'"&amp;$G$4&amp;"'!$D$37:$D$52")/(1+$W21/100)^INDIRECT("'"&amp;$G$4&amp;"'!$C$37:$C$52")),0))</f>
        <v>9391397.33820115</v>
      </c>
      <c r="Y21" s="129" t="n">
        <f aca="true">IF($G$5="",0,IFERROR($J$5+SUMPRODUCT((INDIRECT("'"&amp;$G$5&amp;"'!$C$37:$C$52")&lt;='General Information'!$D$33)*INDIRECT("'"&amp;$G$5&amp;"'!$D$37:$D$52")/(1+$W21/100)^INDIRECT("'"&amp;$G$5&amp;"'!$C$37:$C$52")),0))</f>
        <v>9211293.28731988</v>
      </c>
      <c r="Z21" s="129" t="n">
        <f aca="true">IF($G$6="",0,IFERROR($J$6+SUMPRODUCT((INDIRECT("'"&amp;$G$6&amp;"'!$C$37:$C$52")&lt;='General Information'!$D$33)*INDIRECT("'"&amp;$G$6&amp;"'!$D$37:$D$52")/(1+$W21/100)^INDIRECT("'"&amp;$G$6&amp;"'!$C$37:$C$52")),0))</f>
        <v>0</v>
      </c>
      <c r="AA21" s="129" t="n">
        <f aca="true">IF($G$7="",0,IFERROR($J$7+SUMPRODUCT((INDIRECT("'"&amp;$G$7&amp;"'!$C$37:$C$52")&lt;='General Information'!$D$33)*INDIRECT("'"&amp;$G$7&amp;"'!$D$37:$D$52")/(1+$W21/100)^INDIRECT("'"&amp;$G$7&amp;"'!$C$37:$C$52")),0))</f>
        <v>0</v>
      </c>
    </row>
    <row r="22" customFormat="false" ht="15" hidden="false" customHeight="false" outlineLevel="0" collapsed="false">
      <c r="W22" s="132" t="n">
        <v>4.5</v>
      </c>
      <c r="X22" s="129" t="n">
        <f aca="true">IF($G$4="",0,IFERROR($J$4+SUMPRODUCT((INDIRECT("'"&amp;$G$4&amp;"'!$C$37:$C$52")&lt;='General Information'!$D$33)*INDIRECT("'"&amp;$G$4&amp;"'!$D$37:$D$52")/(1+$W22/100)^INDIRECT("'"&amp;$G$4&amp;"'!$C$37:$C$52")),0))</f>
        <v>9315404.84885081</v>
      </c>
      <c r="Y22" s="129" t="n">
        <f aca="true">IF($G$5="",0,IFERROR($J$5+SUMPRODUCT((INDIRECT("'"&amp;$G$5&amp;"'!$C$37:$C$52")&lt;='General Information'!$D$33)*INDIRECT("'"&amp;$G$5&amp;"'!$D$37:$D$52")/(1+$W22/100)^INDIRECT("'"&amp;$G$5&amp;"'!$C$37:$C$52")),0))</f>
        <v>9214137.53515365</v>
      </c>
      <c r="Z22" s="129" t="n">
        <f aca="true">IF($G$6="",0,IFERROR($J$6+SUMPRODUCT((INDIRECT("'"&amp;$G$6&amp;"'!$C$37:$C$52")&lt;='General Information'!$D$33)*INDIRECT("'"&amp;$G$6&amp;"'!$D$37:$D$52")/(1+$W22/100)^INDIRECT("'"&amp;$G$6&amp;"'!$C$37:$C$52")),0))</f>
        <v>0</v>
      </c>
      <c r="AA22" s="129" t="n">
        <f aca="true">IF($G$7="",0,IFERROR($J$7+SUMPRODUCT((INDIRECT("'"&amp;$G$7&amp;"'!$C$37:$C$52")&lt;='General Information'!$D$33)*INDIRECT("'"&amp;$G$7&amp;"'!$D$37:$D$52")/(1+$W22/100)^INDIRECT("'"&amp;$G$7&amp;"'!$C$37:$C$52")),0))</f>
        <v>0</v>
      </c>
    </row>
    <row r="23" customFormat="false" ht="15" hidden="false" customHeight="false" outlineLevel="0" collapsed="false">
      <c r="W23" s="132" t="n">
        <v>4.75</v>
      </c>
      <c r="X23" s="129" t="n">
        <f aca="true">IF($G$4="",0,IFERROR($J$4+SUMPRODUCT((INDIRECT("'"&amp;$G$4&amp;"'!$C$37:$C$52")&lt;='General Information'!$D$33)*INDIRECT("'"&amp;$G$4&amp;"'!$D$37:$D$52")/(1+$W23/100)^INDIRECT("'"&amp;$G$4&amp;"'!$C$37:$C$52")),0))</f>
        <v>9242818.62779832</v>
      </c>
      <c r="Y23" s="129" t="n">
        <f aca="true">IF($G$5="",0,IFERROR($J$5+SUMPRODUCT((INDIRECT("'"&amp;$G$5&amp;"'!$C$37:$C$52")&lt;='General Information'!$D$33)*INDIRECT("'"&amp;$G$5&amp;"'!$D$37:$D$52")/(1+$W23/100)^INDIRECT("'"&amp;$G$5&amp;"'!$C$37:$C$52")),0))</f>
        <v>9216150.18953936</v>
      </c>
      <c r="Z23" s="129" t="n">
        <f aca="true">IF($G$6="",0,IFERROR($J$6+SUMPRODUCT((INDIRECT("'"&amp;$G$6&amp;"'!$C$37:$C$52")&lt;='General Information'!$D$33)*INDIRECT("'"&amp;$G$6&amp;"'!$D$37:$D$52")/(1+$W23/100)^INDIRECT("'"&amp;$G$6&amp;"'!$C$37:$C$52")),0))</f>
        <v>0</v>
      </c>
      <c r="AA23" s="129" t="n">
        <f aca="true">IF($G$7="",0,IFERROR($J$7+SUMPRODUCT((INDIRECT("'"&amp;$G$7&amp;"'!$C$37:$C$52")&lt;='General Information'!$D$33)*INDIRECT("'"&amp;$G$7&amp;"'!$D$37:$D$52")/(1+$W23/100)^INDIRECT("'"&amp;$G$7&amp;"'!$C$37:$C$52")),0))</f>
        <v>0</v>
      </c>
    </row>
    <row r="24" customFormat="false" ht="15" hidden="false" customHeight="false" outlineLevel="0" collapsed="false">
      <c r="W24" s="132" t="n">
        <v>5</v>
      </c>
      <c r="X24" s="129" t="n">
        <f aca="true">IF($G$4="",0,IFERROR($J$4+SUMPRODUCT((INDIRECT("'"&amp;$G$4&amp;"'!$C$37:$C$52")&lt;='General Information'!$D$33)*INDIRECT("'"&amp;$G$4&amp;"'!$D$37:$D$52")/(1+$W24/100)^INDIRECT("'"&amp;$G$4&amp;"'!$C$37:$C$52")),0))</f>
        <v>9173466.38571005</v>
      </c>
      <c r="Y24" s="129" t="n">
        <f aca="true">IF($G$5="",0,IFERROR($J$5+SUMPRODUCT((INDIRECT("'"&amp;$G$5&amp;"'!$C$37:$C$52")&lt;='General Information'!$D$33)*INDIRECT("'"&amp;$G$5&amp;"'!$D$37:$D$52")/(1+$W24/100)^INDIRECT("'"&amp;$G$5&amp;"'!$C$37:$C$52")),0))</f>
        <v>9217424.50085983</v>
      </c>
      <c r="Z24" s="129" t="n">
        <f aca="true">IF($G$6="",0,IFERROR($J$6+SUMPRODUCT((INDIRECT("'"&amp;$G$6&amp;"'!$C$37:$C$52")&lt;='General Information'!$D$33)*INDIRECT("'"&amp;$G$6&amp;"'!$D$37:$D$52")/(1+$W24/100)^INDIRECT("'"&amp;$G$6&amp;"'!$C$37:$C$52")),0))</f>
        <v>0</v>
      </c>
      <c r="AA24" s="129" t="n">
        <f aca="true">IF($G$7="",0,IFERROR($J$7+SUMPRODUCT((INDIRECT("'"&amp;$G$7&amp;"'!$C$37:$C$52")&lt;='General Information'!$D$33)*INDIRECT("'"&amp;$G$7&amp;"'!$D$37:$D$52")/(1+$W24/100)^INDIRECT("'"&amp;$G$7&amp;"'!$C$37:$C$52")),0))</f>
        <v>0</v>
      </c>
    </row>
    <row r="25" customFormat="false" ht="15" hidden="false" customHeight="false" outlineLevel="0" collapsed="false">
      <c r="W25" s="132" t="n">
        <v>5.25</v>
      </c>
      <c r="X25" s="129" t="n">
        <f aca="true">IF($G$4="",0,IFERROR($J$4+SUMPRODUCT((INDIRECT("'"&amp;$G$4&amp;"'!$C$37:$C$52")&lt;='General Information'!$D$33)*INDIRECT("'"&amp;$G$4&amp;"'!$D$37:$D$52")/(1+$W25/100)^INDIRECT("'"&amp;$G$4&amp;"'!$C$37:$C$52")),0))</f>
        <v>9107185.29134381</v>
      </c>
      <c r="Y25" s="129" t="n">
        <f aca="true">IF($G$5="",0,IFERROR($J$5+SUMPRODUCT((INDIRECT("'"&amp;$G$5&amp;"'!$C$37:$C$52")&lt;='General Information'!$D$33)*INDIRECT("'"&amp;$G$5&amp;"'!$D$37:$D$52")/(1+$W25/100)^INDIRECT("'"&amp;$G$5&amp;"'!$C$37:$C$52")),0))</f>
        <v>9218044.91546017</v>
      </c>
      <c r="Z25" s="129" t="n">
        <f aca="true">IF($G$6="",0,IFERROR($J$6+SUMPRODUCT((INDIRECT("'"&amp;$G$6&amp;"'!$C$37:$C$52")&lt;='General Information'!$D$33)*INDIRECT("'"&amp;$G$6&amp;"'!$D$37:$D$52")/(1+$W25/100)^INDIRECT("'"&amp;$G$6&amp;"'!$C$37:$C$52")),0))</f>
        <v>0</v>
      </c>
      <c r="AA25" s="129" t="n">
        <f aca="true">IF($G$7="",0,IFERROR($J$7+SUMPRODUCT((INDIRECT("'"&amp;$G$7&amp;"'!$C$37:$C$52")&lt;='General Information'!$D$33)*INDIRECT("'"&amp;$G$7&amp;"'!$D$37:$D$52")/(1+$W25/100)^INDIRECT("'"&amp;$G$7&amp;"'!$C$37:$C$52")),0))</f>
        <v>0</v>
      </c>
    </row>
    <row r="26" customFormat="false" ht="15" hidden="false" customHeight="false" outlineLevel="0" collapsed="false">
      <c r="W26" s="132" t="n">
        <v>5.5</v>
      </c>
      <c r="X26" s="129" t="n">
        <f aca="true">IF($G$4="",0,IFERROR($J$4+SUMPRODUCT((INDIRECT("'"&amp;$G$4&amp;"'!$C$37:$C$52")&lt;='General Information'!$D$33)*INDIRECT("'"&amp;$G$4&amp;"'!$D$37:$D$52")/(1+$W26/100)^INDIRECT("'"&amp;$G$4&amp;"'!$C$37:$C$52")),0))</f>
        <v>9043821.41797902</v>
      </c>
      <c r="Y26" s="129" t="n">
        <f aca="true">IF($G$5="",0,IFERROR($J$5+SUMPRODUCT((INDIRECT("'"&amp;$G$5&amp;"'!$C$37:$C$52")&lt;='General Information'!$D$33)*INDIRECT("'"&amp;$G$5&amp;"'!$D$37:$D$52")/(1+$W26/100)^INDIRECT("'"&amp;$G$5&amp;"'!$C$37:$C$52")),0))</f>
        <v>9218087.86175034</v>
      </c>
      <c r="Z26" s="129" t="n">
        <f aca="true">IF($G$6="",0,IFERROR($J$6+SUMPRODUCT((INDIRECT("'"&amp;$G$6&amp;"'!$C$37:$C$52")&lt;='General Information'!$D$33)*INDIRECT("'"&amp;$G$6&amp;"'!$D$37:$D$52")/(1+$W26/100)^INDIRECT("'"&amp;$G$6&amp;"'!$C$37:$C$52")),0))</f>
        <v>0</v>
      </c>
      <c r="AA26" s="129" t="n">
        <f aca="true">IF($G$7="",0,IFERROR($J$7+SUMPRODUCT((INDIRECT("'"&amp;$G$7&amp;"'!$C$37:$C$52")&lt;='General Information'!$D$33)*INDIRECT("'"&amp;$G$7&amp;"'!$D$37:$D$52")/(1+$W26/100)^INDIRECT("'"&amp;$G$7&amp;"'!$C$37:$C$52")),0))</f>
        <v>0</v>
      </c>
    </row>
    <row r="27" customFormat="false" ht="15" hidden="false" customHeight="false" outlineLevel="0" collapsed="false">
      <c r="W27" s="132" t="n">
        <v>5.75</v>
      </c>
      <c r="X27" s="129" t="n">
        <f aca="true">IF($G$4="",0,IFERROR($J$4+SUMPRODUCT((INDIRECT("'"&amp;$G$4&amp;"'!$C$37:$C$52")&lt;='General Information'!$D$33)*INDIRECT("'"&amp;$G$4&amp;"'!$D$37:$D$52")/(1+$W27/100)^INDIRECT("'"&amp;$G$4&amp;"'!$C$37:$C$52")),0))</f>
        <v>8983229.22403956</v>
      </c>
      <c r="Y27" s="129" t="n">
        <f aca="true">IF($G$5="",0,IFERROR($J$5+SUMPRODUCT((INDIRECT("'"&amp;$G$5&amp;"'!$C$37:$C$52")&lt;='General Information'!$D$33)*INDIRECT("'"&amp;$G$5&amp;"'!$D$37:$D$52")/(1+$W27/100)^INDIRECT("'"&amp;$G$5&amp;"'!$C$37:$C$52")),0))</f>
        <v>9217622.46728144</v>
      </c>
      <c r="Z27" s="129" t="n">
        <f aca="true">IF($G$6="",0,IFERROR($J$6+SUMPRODUCT((INDIRECT("'"&amp;$G$6&amp;"'!$C$37:$C$52")&lt;='General Information'!$D$33)*INDIRECT("'"&amp;$G$6&amp;"'!$D$37:$D$52")/(1+$W27/100)^INDIRECT("'"&amp;$G$6&amp;"'!$C$37:$C$52")),0))</f>
        <v>0</v>
      </c>
      <c r="AA27" s="129" t="n">
        <f aca="true">IF($G$7="",0,IFERROR($J$7+SUMPRODUCT((INDIRECT("'"&amp;$G$7&amp;"'!$C$37:$C$52")&lt;='General Information'!$D$33)*INDIRECT("'"&amp;$G$7&amp;"'!$D$37:$D$52")/(1+$W27/100)^INDIRECT("'"&amp;$G$7&amp;"'!$C$37:$C$52")),0))</f>
        <v>0</v>
      </c>
    </row>
    <row r="28" customFormat="false" ht="15" hidden="false" customHeight="false" outlineLevel="0" collapsed="false">
      <c r="W28" s="132" t="n">
        <v>6</v>
      </c>
      <c r="X28" s="129" t="n">
        <f aca="true">IF($G$4="",0,IFERROR($J$4+SUMPRODUCT((INDIRECT("'"&amp;$G$4&amp;"'!$C$37:$C$52")&lt;='General Information'!$D$33)*INDIRECT("'"&amp;$G$4&amp;"'!$D$37:$D$52")/(1+$W28/100)^INDIRECT("'"&amp;$G$4&amp;"'!$C$37:$C$52")),0))</f>
        <v>8925271.06569606</v>
      </c>
      <c r="Y28" s="129" t="n">
        <f aca="true">IF($G$5="",0,IFERROR($J$5+SUMPRODUCT((INDIRECT("'"&amp;$G$5&amp;"'!$C$37:$C$52")&lt;='General Information'!$D$33)*INDIRECT("'"&amp;$G$5&amp;"'!$D$37:$D$52")/(1+$W28/100)^INDIRECT("'"&amp;$G$5&amp;"'!$C$37:$C$52")),0))</f>
        <v>9216711.21285899</v>
      </c>
      <c r="Z28" s="129" t="n">
        <f aca="true">IF($G$6="",0,IFERROR($J$6+SUMPRODUCT((INDIRECT("'"&amp;$G$6&amp;"'!$C$37:$C$52")&lt;='General Information'!$D$33)*INDIRECT("'"&amp;$G$6&amp;"'!$D$37:$D$52")/(1+$W28/100)^INDIRECT("'"&amp;$G$6&amp;"'!$C$37:$C$52")),0))</f>
        <v>0</v>
      </c>
      <c r="AA28" s="129" t="n">
        <f aca="true">IF($G$7="",0,IFERROR($J$7+SUMPRODUCT((INDIRECT("'"&amp;$G$7&amp;"'!$C$37:$C$52")&lt;='General Information'!$D$33)*INDIRECT("'"&amp;$G$7&amp;"'!$D$37:$D$52")/(1+$W28/100)^INDIRECT("'"&amp;$G$7&amp;"'!$C$37:$C$52")),0))</f>
        <v>0</v>
      </c>
    </row>
    <row r="29" customFormat="false" ht="15" hidden="false" customHeight="false" outlineLevel="0" collapsed="false">
      <c r="W29" s="132" t="n">
        <v>6.25</v>
      </c>
      <c r="X29" s="129" t="n">
        <f aca="true">IF($G$4="",0,IFERROR($J$4+SUMPRODUCT((INDIRECT("'"&amp;$G$4&amp;"'!$C$37:$C$52")&lt;='General Information'!$D$33)*INDIRECT("'"&amp;$G$4&amp;"'!$D$37:$D$52")/(1+$W29/100)^INDIRECT("'"&amp;$G$4&amp;"'!$C$37:$C$52")),0))</f>
        <v>8869816.73938347</v>
      </c>
      <c r="Y29" s="129" t="n">
        <f aca="true">IF($G$5="",0,IFERROR($J$5+SUMPRODUCT((INDIRECT("'"&amp;$G$5&amp;"'!$C$37:$C$52")&lt;='General Information'!$D$33)*INDIRECT("'"&amp;$G$5&amp;"'!$D$37:$D$52")/(1+$W29/100)^INDIRECT("'"&amp;$G$5&amp;"'!$C$37:$C$52")),0))</f>
        <v>9215410.52921935</v>
      </c>
      <c r="Z29" s="129" t="n">
        <f aca="true">IF($G$6="",0,IFERROR($J$6+SUMPRODUCT((INDIRECT("'"&amp;$G$6&amp;"'!$C$37:$C$52")&lt;='General Information'!$D$33)*INDIRECT("'"&amp;$G$6&amp;"'!$D$37:$D$52")/(1+$W29/100)^INDIRECT("'"&amp;$G$6&amp;"'!$C$37:$C$52")),0))</f>
        <v>0</v>
      </c>
      <c r="AA29" s="129" t="n">
        <f aca="true">IF($G$7="",0,IFERROR($J$7+SUMPRODUCT((INDIRECT("'"&amp;$G$7&amp;"'!$C$37:$C$52")&lt;='General Information'!$D$33)*INDIRECT("'"&amp;$G$7&amp;"'!$D$37:$D$52")/(1+$W29/100)^INDIRECT("'"&amp;$G$7&amp;"'!$C$37:$C$52")),0))</f>
        <v>0</v>
      </c>
    </row>
    <row r="30" customFormat="false" ht="15" hidden="false" customHeight="false" outlineLevel="0" collapsed="false">
      <c r="W30" s="132" t="n">
        <v>6.5</v>
      </c>
      <c r="X30" s="129" t="n">
        <f aca="true">IF($G$4="",0,IFERROR($J$4+SUMPRODUCT((INDIRECT("'"&amp;$G$4&amp;"'!$C$37:$C$52")&lt;='General Information'!$D$33)*INDIRECT("'"&amp;$G$4&amp;"'!$D$37:$D$52")/(1+$W30/100)^INDIRECT("'"&amp;$G$4&amp;"'!$C$37:$C$52")),0))</f>
        <v>8816743.0523088</v>
      </c>
      <c r="Y30" s="129" t="n">
        <f aca="true">IF($G$5="",0,IFERROR($J$5+SUMPRODUCT((INDIRECT("'"&amp;$G$5&amp;"'!$C$37:$C$52")&lt;='General Information'!$D$33)*INDIRECT("'"&amp;$G$5&amp;"'!$D$37:$D$52")/(1+$W30/100)^INDIRECT("'"&amp;$G$5&amp;"'!$C$37:$C$52")),0))</f>
        <v>9213771.34130587</v>
      </c>
      <c r="Z30" s="129" t="n">
        <f aca="true">IF($G$6="",0,IFERROR($J$6+SUMPRODUCT((INDIRECT("'"&amp;$G$6&amp;"'!$C$37:$C$52")&lt;='General Information'!$D$33)*INDIRECT("'"&amp;$G$6&amp;"'!$D$37:$D$52")/(1+$W30/100)^INDIRECT("'"&amp;$G$6&amp;"'!$C$37:$C$52")),0))</f>
        <v>0</v>
      </c>
      <c r="AA30" s="129" t="n">
        <f aca="true">IF($G$7="",0,IFERROR($J$7+SUMPRODUCT((INDIRECT("'"&amp;$G$7&amp;"'!$C$37:$C$52")&lt;='General Information'!$D$33)*INDIRECT("'"&amp;$G$7&amp;"'!$D$37:$D$52")/(1+$W30/100)^INDIRECT("'"&amp;$G$7&amp;"'!$C$37:$C$52")),0))</f>
        <v>0</v>
      </c>
    </row>
    <row r="31" customFormat="false" ht="15" hidden="false" customHeight="false" outlineLevel="0" collapsed="false">
      <c r="W31" s="132" t="n">
        <v>6.75</v>
      </c>
      <c r="X31" s="129" t="n">
        <f aca="true">IF($G$4="",0,IFERROR($J$4+SUMPRODUCT((INDIRECT("'"&amp;$G$4&amp;"'!$C$37:$C$52")&lt;='General Information'!$D$33)*INDIRECT("'"&amp;$G$4&amp;"'!$D$37:$D$52")/(1+$W31/100)^INDIRECT("'"&amp;$G$4&amp;"'!$C$37:$C$52")),0))</f>
        <v>8765933.419153</v>
      </c>
      <c r="Y31" s="129" t="n">
        <f aca="true">IF($G$5="",0,IFERROR($J$5+SUMPRODUCT((INDIRECT("'"&amp;$G$5&amp;"'!$C$37:$C$52")&lt;='General Information'!$D$33)*INDIRECT("'"&amp;$G$5&amp;"'!$D$37:$D$52")/(1+$W31/100)^INDIRECT("'"&amp;$G$5&amp;"'!$C$37:$C$52")),0))</f>
        <v>9211839.56473663</v>
      </c>
      <c r="Z31" s="129" t="n">
        <f aca="true">IF($G$6="",0,IFERROR($J$6+SUMPRODUCT((INDIRECT("'"&amp;$G$6&amp;"'!$C$37:$C$52")&lt;='General Information'!$D$33)*INDIRECT("'"&amp;$G$6&amp;"'!$D$37:$D$52")/(1+$W31/100)^INDIRECT("'"&amp;$G$6&amp;"'!$C$37:$C$52")),0))</f>
        <v>0</v>
      </c>
      <c r="AA31" s="129" t="n">
        <f aca="true">IF($G$7="",0,IFERROR($J$7+SUMPRODUCT((INDIRECT("'"&amp;$G$7&amp;"'!$C$37:$C$52")&lt;='General Information'!$D$33)*INDIRECT("'"&amp;$G$7&amp;"'!$D$37:$D$52")/(1+$W31/100)^INDIRECT("'"&amp;$G$7&amp;"'!$C$37:$C$52")),0))</f>
        <v>0</v>
      </c>
    </row>
    <row r="32" customFormat="false" ht="15" hidden="false" customHeight="false" outlineLevel="0" collapsed="false">
      <c r="W32" s="132" t="n">
        <v>7</v>
      </c>
      <c r="X32" s="129" t="n">
        <f aca="true">IF($G$4="",0,IFERROR($J$4+SUMPRODUCT((INDIRECT("'"&amp;$G$4&amp;"'!$C$37:$C$52")&lt;='General Information'!$D$33)*INDIRECT("'"&amp;$G$4&amp;"'!$D$37:$D$52")/(1+$W32/100)^INDIRECT("'"&amp;$G$4&amp;"'!$C$37:$C$52")),0))</f>
        <v>8717277.48329128</v>
      </c>
      <c r="Y32" s="129" t="n">
        <f aca="true">IF($G$5="",0,IFERROR($J$5+SUMPRODUCT((INDIRECT("'"&amp;$G$5&amp;"'!$C$37:$C$52")&lt;='General Information'!$D$33)*INDIRECT("'"&amp;$G$5&amp;"'!$D$37:$D$52")/(1+$W32/100)^INDIRECT("'"&amp;$G$5&amp;"'!$C$37:$C$52")),0))</f>
        <v>9209656.55864997</v>
      </c>
      <c r="Z32" s="129" t="n">
        <f aca="true">IF($G$6="",0,IFERROR($J$6+SUMPRODUCT((INDIRECT("'"&amp;$G$6&amp;"'!$C$37:$C$52")&lt;='General Information'!$D$33)*INDIRECT("'"&amp;$G$6&amp;"'!$D$37:$D$52")/(1+$W32/100)^INDIRECT("'"&amp;$G$6&amp;"'!$C$37:$C$52")),0))</f>
        <v>0</v>
      </c>
      <c r="AA32" s="129" t="n">
        <f aca="true">IF($G$7="",0,IFERROR($J$7+SUMPRODUCT((INDIRECT("'"&amp;$G$7&amp;"'!$C$37:$C$52")&lt;='General Information'!$D$33)*INDIRECT("'"&amp;$G$7&amp;"'!$D$37:$D$52")/(1+$W32/100)^INDIRECT("'"&amp;$G$7&amp;"'!$C$37:$C$52")),0))</f>
        <v>0</v>
      </c>
    </row>
    <row r="33" customFormat="false" ht="15" hidden="false" customHeight="false" outlineLevel="0" collapsed="false">
      <c r="W33" s="132" t="n">
        <v>7.25</v>
      </c>
      <c r="X33" s="129" t="n">
        <f aca="true">IF($G$4="",0,IFERROR($J$4+SUMPRODUCT((INDIRECT("'"&amp;$G$4&amp;"'!$C$37:$C$52")&lt;='General Information'!$D$33)*INDIRECT("'"&amp;$G$4&amp;"'!$D$37:$D$52")/(1+$W33/100)^INDIRECT("'"&amp;$G$4&amp;"'!$C$37:$C$52")),0))</f>
        <v>8670670.76096791</v>
      </c>
      <c r="Y33" s="129" t="n">
        <f aca="true">IF($G$5="",0,IFERROR($J$5+SUMPRODUCT((INDIRECT("'"&amp;$G$5&amp;"'!$C$37:$C$52")&lt;='General Information'!$D$33)*INDIRECT("'"&amp;$G$5&amp;"'!$D$37:$D$52")/(1+$W33/100)^INDIRECT("'"&amp;$G$5&amp;"'!$C$37:$C$52")),0))</f>
        <v>9207259.53874488</v>
      </c>
      <c r="Z33" s="129" t="n">
        <f aca="true">IF($G$6="",0,IFERROR($J$6+SUMPRODUCT((INDIRECT("'"&amp;$G$6&amp;"'!$C$37:$C$52")&lt;='General Information'!$D$33)*INDIRECT("'"&amp;$G$6&amp;"'!$D$37:$D$52")/(1+$W33/100)^INDIRECT("'"&amp;$G$6&amp;"'!$C$37:$C$52")),0))</f>
        <v>0</v>
      </c>
      <c r="AA33" s="129" t="n">
        <f aca="true">IF($G$7="",0,IFERROR($J$7+SUMPRODUCT((INDIRECT("'"&amp;$G$7&amp;"'!$C$37:$C$52")&lt;='General Information'!$D$33)*INDIRECT("'"&amp;$G$7&amp;"'!$D$37:$D$52")/(1+$W33/100)^INDIRECT("'"&amp;$G$7&amp;"'!$C$37:$C$52")),0))</f>
        <v>0</v>
      </c>
    </row>
    <row r="34" customFormat="false" ht="15" hidden="false" customHeight="false" outlineLevel="0" collapsed="false">
      <c r="W34" s="132" t="n">
        <v>7.5</v>
      </c>
      <c r="X34" s="129" t="n">
        <f aca="true">IF($G$4="",0,IFERROR($J$4+SUMPRODUCT((INDIRECT("'"&amp;$G$4&amp;"'!$C$37:$C$52")&lt;='General Information'!$D$33)*INDIRECT("'"&amp;$G$4&amp;"'!$D$37:$D$52")/(1+$W34/100)^INDIRECT("'"&amp;$G$4&amp;"'!$C$37:$C$52")),0))</f>
        <v>8626014.30696557</v>
      </c>
      <c r="Y34" s="129" t="n">
        <f aca="true">IF($G$5="",0,IFERROR($J$5+SUMPRODUCT((INDIRECT("'"&amp;$G$5&amp;"'!$C$37:$C$52")&lt;='General Information'!$D$33)*INDIRECT("'"&amp;$G$5&amp;"'!$D$37:$D$52")/(1+$W34/100)^INDIRECT("'"&amp;$G$5&amp;"'!$C$37:$C$52")),0))</f>
        <v>9204681.95399732</v>
      </c>
      <c r="Z34" s="129" t="n">
        <f aca="true">IF($G$6="",0,IFERROR($J$6+SUMPRODUCT((INDIRECT("'"&amp;$G$6&amp;"'!$C$37:$C$52")&lt;='General Information'!$D$33)*INDIRECT("'"&amp;$G$6&amp;"'!$D$37:$D$52")/(1+$W34/100)^INDIRECT("'"&amp;$G$6&amp;"'!$C$37:$C$52")),0))</f>
        <v>0</v>
      </c>
      <c r="AA34" s="129" t="n">
        <f aca="true">IF($G$7="",0,IFERROR($J$7+SUMPRODUCT((INDIRECT("'"&amp;$G$7&amp;"'!$C$37:$C$52")&lt;='General Information'!$D$33)*INDIRECT("'"&amp;$G$7&amp;"'!$D$37:$D$52")/(1+$W34/100)^INDIRECT("'"&amp;$G$7&amp;"'!$C$37:$C$52")),0))</f>
        <v>0</v>
      </c>
    </row>
    <row r="35" customFormat="false" ht="15" hidden="false" customHeight="false" outlineLevel="0" collapsed="false">
      <c r="W35" s="132" t="n">
        <v>7.75</v>
      </c>
      <c r="X35" s="129" t="n">
        <f aca="true">IF($G$4="",0,IFERROR($J$4+SUMPRODUCT((INDIRECT("'"&amp;$G$4&amp;"'!$C$37:$C$52")&lt;='General Information'!$D$33)*INDIRECT("'"&amp;$G$4&amp;"'!$D$37:$D$52")/(1+$W35/100)^INDIRECT("'"&amp;$G$4&amp;"'!$C$37:$C$52")),0))</f>
        <v>8583214.40040654</v>
      </c>
      <c r="Y35" s="129" t="n">
        <f aca="true">IF($G$5="",0,IFERROR($J$5+SUMPRODUCT((INDIRECT("'"&amp;$G$5&amp;"'!$C$37:$C$52")&lt;='General Information'!$D$33)*INDIRECT("'"&amp;$G$5&amp;"'!$D$37:$D$52")/(1+$W35/100)^INDIRECT("'"&amp;$G$5&amp;"'!$C$37:$C$52")),0))</f>
        <v>9201953.83022717</v>
      </c>
      <c r="Z35" s="129" t="n">
        <f aca="true">IF($G$6="",0,IFERROR($J$6+SUMPRODUCT((INDIRECT("'"&amp;$G$6&amp;"'!$C$37:$C$52")&lt;='General Information'!$D$33)*INDIRECT("'"&amp;$G$6&amp;"'!$D$37:$D$52")/(1+$W35/100)^INDIRECT("'"&amp;$G$6&amp;"'!$C$37:$C$52")),0))</f>
        <v>0</v>
      </c>
      <c r="AA35" s="129" t="n">
        <f aca="true">IF($G$7="",0,IFERROR($J$7+SUMPRODUCT((INDIRECT("'"&amp;$G$7&amp;"'!$C$37:$C$52")&lt;='General Information'!$D$33)*INDIRECT("'"&amp;$G$7&amp;"'!$D$37:$D$52")/(1+$W35/100)^INDIRECT("'"&amp;$G$7&amp;"'!$C$37:$C$52")),0))</f>
        <v>0</v>
      </c>
    </row>
    <row r="36" customFormat="false" ht="15" hidden="false" customHeight="false" outlineLevel="0" collapsed="false">
      <c r="W36" s="132" t="n">
        <v>8</v>
      </c>
      <c r="X36" s="129" t="n">
        <f aca="true">IF($G$4="",0,IFERROR($J$4+SUMPRODUCT((INDIRECT("'"&amp;$G$4&amp;"'!$C$37:$C$52")&lt;='General Information'!$D$33)*INDIRECT("'"&amp;$G$4&amp;"'!$D$37:$D$52")/(1+$W36/100)^INDIRECT("'"&amp;$G$4&amp;"'!$C$37:$C$52")),0))</f>
        <v>8542182.24941267</v>
      </c>
      <c r="Y36" s="129" t="n">
        <f aca="true">IF($G$5="",0,IFERROR($J$5+SUMPRODUCT((INDIRECT("'"&amp;$G$5&amp;"'!$C$37:$C$52")&lt;='General Information'!$D$33)*INDIRECT("'"&amp;$G$5&amp;"'!$D$37:$D$52")/(1+$W36/100)^INDIRECT("'"&amp;$G$5&amp;"'!$C$37:$C$52")),0))</f>
        <v>9199102.08341167</v>
      </c>
      <c r="Z36" s="129" t="n">
        <f aca="true">IF($G$6="",0,IFERROR($J$6+SUMPRODUCT((INDIRECT("'"&amp;$G$6&amp;"'!$C$37:$C$52")&lt;='General Information'!$D$33)*INDIRECT("'"&amp;$G$6&amp;"'!$D$37:$D$52")/(1+$W36/100)^INDIRECT("'"&amp;$G$6&amp;"'!$C$37:$C$52")),0))</f>
        <v>0</v>
      </c>
      <c r="AA36" s="129" t="n">
        <f aca="true">IF($G$7="",0,IFERROR($J$7+SUMPRODUCT((INDIRECT("'"&amp;$G$7&amp;"'!$C$37:$C$52")&lt;='General Information'!$D$33)*INDIRECT("'"&amp;$G$7&amp;"'!$D$37:$D$52")/(1+$W36/100)^INDIRECT("'"&amp;$G$7&amp;"'!$C$37:$C$52")),0))</f>
        <v>0</v>
      </c>
    </row>
    <row r="39" customFormat="false" ht="15" hidden="false" customHeight="false" outlineLevel="0" collapsed="false">
      <c r="W39" s="121" t="s">
        <v>670</v>
      </c>
    </row>
    <row r="40" customFormat="false" ht="23.85" hidden="false" customHeight="false" outlineLevel="0" collapsed="false">
      <c r="W40" s="123" t="s">
        <v>34</v>
      </c>
      <c r="X40" s="123" t="s">
        <v>671</v>
      </c>
      <c r="Y40" s="123" t="str">
        <f aca="false">X$4&amp;" spend"</f>
        <v>Alternative 1 spend</v>
      </c>
      <c r="Z40" s="123" t="str">
        <f aca="false">Y$4&amp;" spend"</f>
        <v>Alternative 2 spend</v>
      </c>
      <c r="AA40" s="123" t="str">
        <f aca="false">Z$4&amp;" spend"</f>
        <v>Alt 3 spend</v>
      </c>
      <c r="AB40" s="123" t="str">
        <f aca="false">AA$4&amp;" spend"</f>
        <v>Alt 4 spend</v>
      </c>
      <c r="AC40" s="123" t="str">
        <f aca="false">X$4&amp;" cumulative PW"</f>
        <v>Alternative 1 cumulative PW</v>
      </c>
      <c r="AD40" s="123" t="str">
        <f aca="false">Y$4&amp;" cumulative PW"</f>
        <v>Alternative 2 cumulative PW</v>
      </c>
      <c r="AE40" s="123" t="str">
        <f aca="false">Z$4&amp;" cumulative PW"</f>
        <v>Alt 3 cumulative PW</v>
      </c>
      <c r="AF40" s="123" t="str">
        <f aca="false">AA$4&amp;" cumulative PW"</f>
        <v>Alt 4 cumulative PW</v>
      </c>
      <c r="AG40" s="123" t="str">
        <f aca="false">X$4&amp;" closure days"</f>
        <v>Alternative 1 closure days</v>
      </c>
      <c r="AH40" s="123" t="str">
        <f aca="false">Y$4&amp;" closure days"</f>
        <v>Alternative 2 closure days</v>
      </c>
      <c r="AI40" s="123" t="str">
        <f aca="false">Z$4&amp;" closure days"</f>
        <v>Alt 3 closure days</v>
      </c>
      <c r="AJ40" s="123" t="str">
        <f aca="false">AA$4&amp;" closure days"</f>
        <v>Alt 4 closure days</v>
      </c>
    </row>
    <row r="41" customFormat="false" ht="15" hidden="false" customHeight="false" outlineLevel="0" collapsed="false">
      <c r="W41" s="128" t="n">
        <v>0</v>
      </c>
      <c r="X41" s="128" t="n">
        <f aca="false">'General Information'!$D$25+W41</f>
        <v>2028</v>
      </c>
      <c r="Y41" s="129" t="n">
        <f aca="true">IF($G$4="",0,IF(W41&gt;'General Information'!$D$33,0,IF(W41=0,$J$4,IFERROR(SUMIF(INDIRECT("'"&amp;$G$4&amp;"'!$C$37:$C$52"),W41,INDIRECT("'"&amp;$G$4&amp;"'!$D$37:$D$52")),0))))</f>
        <v>7268437</v>
      </c>
      <c r="Z41" s="129" t="n">
        <f aca="true">IF($G$5="",0,IF(W41&gt;'General Information'!$D$33,0,IF(W41=0,$J$5,IFERROR(SUMIF(INDIRECT("'"&amp;$G$5&amp;"'!$C$37:$C$52"),W41,INDIRECT("'"&amp;$G$5&amp;"'!$D$37:$D$52")),0))))</f>
        <v>9062465.75</v>
      </c>
      <c r="AA41" s="129" t="n">
        <f aca="true">IF($G$6="",0,IF(W41&gt;'General Information'!$D$33,0,IF(W41=0,$J$6,IFERROR(SUMIF(INDIRECT("'"&amp;$G$6&amp;"'!$C$37:$C$52"),W41,INDIRECT("'"&amp;$G$6&amp;"'!$D$37:$D$52")),0))))</f>
        <v>0</v>
      </c>
      <c r="AB41" s="129" t="n">
        <f aca="true">IF($G$7="",0,IF(W41&gt;'General Information'!$D$33,0,IF(W41=0,$J$7,IFERROR(SUMIF(INDIRECT("'"&amp;$G$7&amp;"'!$C$37:$C$52"),W41,INDIRECT("'"&amp;$G$7&amp;"'!$D$37:$D$52")),0))))</f>
        <v>0</v>
      </c>
      <c r="AC41" s="129" t="n">
        <f aca="true">IF($G$4="",0,IF(W41&gt;'General Information'!$D$33,0,IF(W41=0,$J$4,IFERROR(SUMIF(INDIRECT("'"&amp;$G$4&amp;"'!$C$37:$C$52"),W41,INDIRECT("'"&amp;$G$4&amp;"'!$E$37:$E$52")),0))))</f>
        <v>7268437</v>
      </c>
      <c r="AD41" s="129" t="n">
        <f aca="true">IF($G$5="",0,IF(W41&gt;'General Information'!$D$33,0,IF(W41=0,$J$5,IFERROR(SUMIF(INDIRECT("'"&amp;$G$5&amp;"'!$C$37:$C$52"),W41,INDIRECT("'"&amp;$G$5&amp;"'!$E$37:$E$52")),0))))</f>
        <v>9062465.75</v>
      </c>
      <c r="AE41" s="129" t="n">
        <f aca="true">IF($G$6="",0,IF(W41&gt;'General Information'!$D$33,0,IF(W41=0,$J$6,IFERROR(SUMIF(INDIRECT("'"&amp;$G$6&amp;"'!$C$37:$C$52"),W41,INDIRECT("'"&amp;$G$6&amp;"'!$E$37:$E$52")),0))))</f>
        <v>0</v>
      </c>
      <c r="AF41" s="129" t="n">
        <f aca="true">IF($G$7="",0,IF(W41&gt;'General Information'!$D$33,0,IF(W41=0,$J$7,IFERROR(SUMIF(INDIRECT("'"&amp;$G$7&amp;"'!$C$37:$C$52"),W41,INDIRECT("'"&amp;$G$7&amp;"'!$E$37:$E$52")),0))))</f>
        <v>0</v>
      </c>
      <c r="AG41" s="133" t="n">
        <f aca="true">IF($G$4="",0,IF(W41&gt;'General Information'!$D$33,0,IFERROR(SUMIFS(INDIRECT("'"&amp;$G$4&amp;"'!$D$37:$D$52"),INDIRECT("'"&amp;$G$4&amp;"'!$C$37:$C$52"),W41,INDIRECT("'"&amp;$G$4&amp;"'!$B$37:$B$52"),"*Indirect*")/INDIRECT("'"&amp;$G$4&amp;"'!$F$2"),0)))</f>
        <v>0</v>
      </c>
      <c r="AH41" s="133" t="n">
        <f aca="true">IF($G$5="",0,IF(W41&gt;'General Information'!$D$33,0,IFERROR(SUMIFS(INDIRECT("'"&amp;$G$5&amp;"'!$D$37:$D$52"),INDIRECT("'"&amp;$G$5&amp;"'!$C$37:$C$52"),W41,INDIRECT("'"&amp;$G$5&amp;"'!$B$37:$B$52"),"*Indirect*")/INDIRECT("'"&amp;$G$5&amp;"'!$F$2"),0)))</f>
        <v>0</v>
      </c>
      <c r="AI41" s="133" t="n">
        <f aca="true">IF($G$6="",0,IF(W41&gt;'General Information'!$D$33,0,IFERROR(SUMIFS(INDIRECT("'"&amp;$G$6&amp;"'!$D$37:$D$52"),INDIRECT("'"&amp;$G$6&amp;"'!$C$37:$C$52"),W41,INDIRECT("'"&amp;$G$6&amp;"'!$B$37:$B$52"),"*Indirect*")/INDIRECT("'"&amp;$G$6&amp;"'!$F$2"),0)))</f>
        <v>0</v>
      </c>
      <c r="AJ41" s="133" t="n">
        <f aca="true">IF($G$7="",0,IF(W41&gt;'General Information'!$D$33,0,IFERROR(SUMIFS(INDIRECT("'"&amp;$G$7&amp;"'!$D$37:$D$52"),INDIRECT("'"&amp;$G$7&amp;"'!$C$37:$C$52"),W41,INDIRECT("'"&amp;$G$7&amp;"'!$B$37:$B$52"),"*Indirect*")/INDIRECT("'"&amp;$G$7&amp;"'!$F$2"),0)))</f>
        <v>0</v>
      </c>
    </row>
    <row r="42" customFormat="false" ht="15" hidden="false" customHeight="false" outlineLevel="0" collapsed="false">
      <c r="W42" s="128" t="n">
        <v>1</v>
      </c>
      <c r="X42" s="128" t="n">
        <f aca="false">'General Information'!$D$25+W42</f>
        <v>2029</v>
      </c>
      <c r="Y42" s="129" t="n">
        <f aca="true">IF($G$4="",0,IF(W42&gt;'General Information'!$D$33,0,IF(W42=0,$J$4,IFERROR(SUMIF(INDIRECT("'"&amp;$G$4&amp;"'!$C$37:$C$52"),W42,INDIRECT("'"&amp;$G$4&amp;"'!$D$37:$D$52")),0))))</f>
        <v>0</v>
      </c>
      <c r="Z42" s="129" t="n">
        <f aca="true">IF($G$5="",0,IF(W42&gt;'General Information'!$D$33,0,IF(W42=0,$J$5,IFERROR(SUMIF(INDIRECT("'"&amp;$G$5&amp;"'!$C$37:$C$52"),W42,INDIRECT("'"&amp;$G$5&amp;"'!$D$37:$D$52")),0))))</f>
        <v>0</v>
      </c>
      <c r="AA42" s="129" t="n">
        <f aca="true">IF($G$6="",0,IF(W42&gt;'General Information'!$D$33,0,IF(W42=0,$J$6,IFERROR(SUMIF(INDIRECT("'"&amp;$G$6&amp;"'!$C$37:$C$52"),W42,INDIRECT("'"&amp;$G$6&amp;"'!$D$37:$D$52")),0))))</f>
        <v>0</v>
      </c>
      <c r="AB42" s="129" t="n">
        <f aca="true">IF($G$7="",0,IF(W42&gt;'General Information'!$D$33,0,IF(W42=0,$J$7,IFERROR(SUMIF(INDIRECT("'"&amp;$G$7&amp;"'!$C$37:$C$52"),W42,INDIRECT("'"&amp;$G$7&amp;"'!$D$37:$D$52")),0))))</f>
        <v>0</v>
      </c>
      <c r="AC42" s="129" t="n">
        <f aca="true">IF($G$4="",0,AC41+IF(W42&gt;'General Information'!$D$33,0,IF(W42=0,$J$4,IFERROR(SUMIF(INDIRECT("'"&amp;$G$4&amp;"'!$C$37:$C$52"),W42,INDIRECT("'"&amp;$G$4&amp;"'!$E$37:$E$52")),0))))</f>
        <v>7268437</v>
      </c>
      <c r="AD42" s="129" t="n">
        <f aca="true">IF($G$5="",0,AD41+IF(W42&gt;'General Information'!$D$33,0,IF(W42=0,$J$5,IFERROR(SUMIF(INDIRECT("'"&amp;$G$5&amp;"'!$C$37:$C$52"),W42,INDIRECT("'"&amp;$G$5&amp;"'!$E$37:$E$52")),0))))</f>
        <v>9062465.75</v>
      </c>
      <c r="AE42" s="129" t="n">
        <f aca="true">IF($G$6="",0,AE41+IF(W42&gt;'General Information'!$D$33,0,IF(W42=0,$J$6,IFERROR(SUMIF(INDIRECT("'"&amp;$G$6&amp;"'!$C$37:$C$52"),W42,INDIRECT("'"&amp;$G$6&amp;"'!$E$37:$E$52")),0))))</f>
        <v>0</v>
      </c>
      <c r="AF42" s="129" t="n">
        <f aca="true">IF($G$7="",0,AF41+IF(W42&gt;'General Information'!$D$33,0,IF(W42=0,$J$7,IFERROR(SUMIF(INDIRECT("'"&amp;$G$7&amp;"'!$C$37:$C$52"),W42,INDIRECT("'"&amp;$G$7&amp;"'!$E$37:$E$52")),0))))</f>
        <v>0</v>
      </c>
      <c r="AG42" s="133" t="n">
        <f aca="true">IF($G$4="",0,IF(W42&gt;'General Information'!$D$33,0,IFERROR(SUMIFS(INDIRECT("'"&amp;$G$4&amp;"'!$D$37:$D$52"),INDIRECT("'"&amp;$G$4&amp;"'!$C$37:$C$52"),W42,INDIRECT("'"&amp;$G$4&amp;"'!$B$37:$B$52"),"*Indirect*")/INDIRECT("'"&amp;$G$4&amp;"'!$F$2"),0)))</f>
        <v>0</v>
      </c>
      <c r="AH42" s="133" t="n">
        <f aca="true">IF($G$5="",0,IF(W42&gt;'General Information'!$D$33,0,IFERROR(SUMIFS(INDIRECT("'"&amp;$G$5&amp;"'!$D$37:$D$52"),INDIRECT("'"&amp;$G$5&amp;"'!$C$37:$C$52"),W42,INDIRECT("'"&amp;$G$5&amp;"'!$B$37:$B$52"),"*Indirect*")/INDIRECT("'"&amp;$G$5&amp;"'!$F$2"),0)))</f>
        <v>0</v>
      </c>
      <c r="AI42" s="133" t="n">
        <f aca="true">IF($G$6="",0,IF(W42&gt;'General Information'!$D$33,0,IFERROR(SUMIFS(INDIRECT("'"&amp;$G$6&amp;"'!$D$37:$D$52"),INDIRECT("'"&amp;$G$6&amp;"'!$C$37:$C$52"),W42,INDIRECT("'"&amp;$G$6&amp;"'!$B$37:$B$52"),"*Indirect*")/INDIRECT("'"&amp;$G$6&amp;"'!$F$2"),0)))</f>
        <v>0</v>
      </c>
      <c r="AJ42" s="133" t="n">
        <f aca="true">IF($G$7="",0,IF(W42&gt;'General Information'!$D$33,0,IFERROR(SUMIFS(INDIRECT("'"&amp;$G$7&amp;"'!$D$37:$D$52"),INDIRECT("'"&amp;$G$7&amp;"'!$C$37:$C$52"),W42,INDIRECT("'"&amp;$G$7&amp;"'!$B$37:$B$52"),"*Indirect*")/INDIRECT("'"&amp;$G$7&amp;"'!$F$2"),0)))</f>
        <v>0</v>
      </c>
    </row>
    <row r="43" customFormat="false" ht="15" hidden="false" customHeight="false" outlineLevel="0" collapsed="false">
      <c r="W43" s="128" t="n">
        <v>2</v>
      </c>
      <c r="X43" s="128" t="n">
        <f aca="false">'General Information'!$D$25+W43</f>
        <v>2030</v>
      </c>
      <c r="Y43" s="129" t="n">
        <f aca="true">IF($G$4="",0,IF(W43&gt;'General Information'!$D$33,0,IF(W43=0,$J$4,IFERROR(SUMIF(INDIRECT("'"&amp;$G$4&amp;"'!$C$37:$C$52"),W43,INDIRECT("'"&amp;$G$4&amp;"'!$D$37:$D$52")),0))))</f>
        <v>0</v>
      </c>
      <c r="Z43" s="129" t="n">
        <f aca="true">IF($G$5="",0,IF(W43&gt;'General Information'!$D$33,0,IF(W43=0,$J$5,IFERROR(SUMIF(INDIRECT("'"&amp;$G$5&amp;"'!$C$37:$C$52"),W43,INDIRECT("'"&amp;$G$5&amp;"'!$D$37:$D$52")),0))))</f>
        <v>0</v>
      </c>
      <c r="AA43" s="129" t="n">
        <f aca="true">IF($G$6="",0,IF(W43&gt;'General Information'!$D$33,0,IF(W43=0,$J$6,IFERROR(SUMIF(INDIRECT("'"&amp;$G$6&amp;"'!$C$37:$C$52"),W43,INDIRECT("'"&amp;$G$6&amp;"'!$D$37:$D$52")),0))))</f>
        <v>0</v>
      </c>
      <c r="AB43" s="129" t="n">
        <f aca="true">IF($G$7="",0,IF(W43&gt;'General Information'!$D$33,0,IF(W43=0,$J$7,IFERROR(SUMIF(INDIRECT("'"&amp;$G$7&amp;"'!$C$37:$C$52"),W43,INDIRECT("'"&amp;$G$7&amp;"'!$D$37:$D$52")),0))))</f>
        <v>0</v>
      </c>
      <c r="AC43" s="129" t="n">
        <f aca="true">IF($G$4="",0,AC42+IF(W43&gt;'General Information'!$D$33,0,IF(W43=0,$J$4,IFERROR(SUMIF(INDIRECT("'"&amp;$G$4&amp;"'!$C$37:$C$52"),W43,INDIRECT("'"&amp;$G$4&amp;"'!$E$37:$E$52")),0))))</f>
        <v>7268437</v>
      </c>
      <c r="AD43" s="129" t="n">
        <f aca="true">IF($G$5="",0,AD42+IF(W43&gt;'General Information'!$D$33,0,IF(W43=0,$J$5,IFERROR(SUMIF(INDIRECT("'"&amp;$G$5&amp;"'!$C$37:$C$52"),W43,INDIRECT("'"&amp;$G$5&amp;"'!$E$37:$E$52")),0))))</f>
        <v>9062465.75</v>
      </c>
      <c r="AE43" s="129" t="n">
        <f aca="true">IF($G$6="",0,AE42+IF(W43&gt;'General Information'!$D$33,0,IF(W43=0,$J$6,IFERROR(SUMIF(INDIRECT("'"&amp;$G$6&amp;"'!$C$37:$C$52"),W43,INDIRECT("'"&amp;$G$6&amp;"'!$E$37:$E$52")),0))))</f>
        <v>0</v>
      </c>
      <c r="AF43" s="129" t="n">
        <f aca="true">IF($G$7="",0,AF42+IF(W43&gt;'General Information'!$D$33,0,IF(W43=0,$J$7,IFERROR(SUMIF(INDIRECT("'"&amp;$G$7&amp;"'!$C$37:$C$52"),W43,INDIRECT("'"&amp;$G$7&amp;"'!$E$37:$E$52")),0))))</f>
        <v>0</v>
      </c>
      <c r="AG43" s="133" t="n">
        <f aca="true">IF($G$4="",0,IF(W43&gt;'General Information'!$D$33,0,IFERROR(SUMIFS(INDIRECT("'"&amp;$G$4&amp;"'!$D$37:$D$52"),INDIRECT("'"&amp;$G$4&amp;"'!$C$37:$C$52"),W43,INDIRECT("'"&amp;$G$4&amp;"'!$B$37:$B$52"),"*Indirect*")/INDIRECT("'"&amp;$G$4&amp;"'!$F$2"),0)))</f>
        <v>0</v>
      </c>
      <c r="AH43" s="133" t="n">
        <f aca="true">IF($G$5="",0,IF(W43&gt;'General Information'!$D$33,0,IFERROR(SUMIFS(INDIRECT("'"&amp;$G$5&amp;"'!$D$37:$D$52"),INDIRECT("'"&amp;$G$5&amp;"'!$C$37:$C$52"),W43,INDIRECT("'"&amp;$G$5&amp;"'!$B$37:$B$52"),"*Indirect*")/INDIRECT("'"&amp;$G$5&amp;"'!$F$2"),0)))</f>
        <v>0</v>
      </c>
      <c r="AI43" s="133" t="n">
        <f aca="true">IF($G$6="",0,IF(W43&gt;'General Information'!$D$33,0,IFERROR(SUMIFS(INDIRECT("'"&amp;$G$6&amp;"'!$D$37:$D$52"),INDIRECT("'"&amp;$G$6&amp;"'!$C$37:$C$52"),W43,INDIRECT("'"&amp;$G$6&amp;"'!$B$37:$B$52"),"*Indirect*")/INDIRECT("'"&amp;$G$6&amp;"'!$F$2"),0)))</f>
        <v>0</v>
      </c>
      <c r="AJ43" s="133" t="n">
        <f aca="true">IF($G$7="",0,IF(W43&gt;'General Information'!$D$33,0,IFERROR(SUMIFS(INDIRECT("'"&amp;$G$7&amp;"'!$D$37:$D$52"),INDIRECT("'"&amp;$G$7&amp;"'!$C$37:$C$52"),W43,INDIRECT("'"&amp;$G$7&amp;"'!$B$37:$B$52"),"*Indirect*")/INDIRECT("'"&amp;$G$7&amp;"'!$F$2"),0)))</f>
        <v>0</v>
      </c>
    </row>
    <row r="44" customFormat="false" ht="15" hidden="false" customHeight="false" outlineLevel="0" collapsed="false">
      <c r="W44" s="128" t="n">
        <v>3</v>
      </c>
      <c r="X44" s="128" t="n">
        <f aca="false">'General Information'!$D$25+W44</f>
        <v>2031</v>
      </c>
      <c r="Y44" s="129" t="n">
        <f aca="true">IF($G$4="",0,IF(W44&gt;'General Information'!$D$33,0,IF(W44=0,$J$4,IFERROR(SUMIF(INDIRECT("'"&amp;$G$4&amp;"'!$C$37:$C$52"),W44,INDIRECT("'"&amp;$G$4&amp;"'!$D$37:$D$52")),0))))</f>
        <v>0</v>
      </c>
      <c r="Z44" s="129" t="n">
        <f aca="true">IF($G$5="",0,IF(W44&gt;'General Information'!$D$33,0,IF(W44=0,$J$5,IFERROR(SUMIF(INDIRECT("'"&amp;$G$5&amp;"'!$C$37:$C$52"),W44,INDIRECT("'"&amp;$G$5&amp;"'!$D$37:$D$52")),0))))</f>
        <v>0</v>
      </c>
      <c r="AA44" s="129" t="n">
        <f aca="true">IF($G$6="",0,IF(W44&gt;'General Information'!$D$33,0,IF(W44=0,$J$6,IFERROR(SUMIF(INDIRECT("'"&amp;$G$6&amp;"'!$C$37:$C$52"),W44,INDIRECT("'"&amp;$G$6&amp;"'!$D$37:$D$52")),0))))</f>
        <v>0</v>
      </c>
      <c r="AB44" s="129" t="n">
        <f aca="true">IF($G$7="",0,IF(W44&gt;'General Information'!$D$33,0,IF(W44=0,$J$7,IFERROR(SUMIF(INDIRECT("'"&amp;$G$7&amp;"'!$C$37:$C$52"),W44,INDIRECT("'"&amp;$G$7&amp;"'!$D$37:$D$52")),0))))</f>
        <v>0</v>
      </c>
      <c r="AC44" s="129" t="n">
        <f aca="true">IF($G$4="",0,AC43+IF(W44&gt;'General Information'!$D$33,0,IF(W44=0,$J$4,IFERROR(SUMIF(INDIRECT("'"&amp;$G$4&amp;"'!$C$37:$C$52"),W44,INDIRECT("'"&amp;$G$4&amp;"'!$E$37:$E$52")),0))))</f>
        <v>7268437</v>
      </c>
      <c r="AD44" s="129" t="n">
        <f aca="true">IF($G$5="",0,AD43+IF(W44&gt;'General Information'!$D$33,0,IF(W44=0,$J$5,IFERROR(SUMIF(INDIRECT("'"&amp;$G$5&amp;"'!$C$37:$C$52"),W44,INDIRECT("'"&amp;$G$5&amp;"'!$E$37:$E$52")),0))))</f>
        <v>9062465.75</v>
      </c>
      <c r="AE44" s="129" t="n">
        <f aca="true">IF($G$6="",0,AE43+IF(W44&gt;'General Information'!$D$33,0,IF(W44=0,$J$6,IFERROR(SUMIF(INDIRECT("'"&amp;$G$6&amp;"'!$C$37:$C$52"),W44,INDIRECT("'"&amp;$G$6&amp;"'!$E$37:$E$52")),0))))</f>
        <v>0</v>
      </c>
      <c r="AF44" s="129" t="n">
        <f aca="true">IF($G$7="",0,AF43+IF(W44&gt;'General Information'!$D$33,0,IF(W44=0,$J$7,IFERROR(SUMIF(INDIRECT("'"&amp;$G$7&amp;"'!$C$37:$C$52"),W44,INDIRECT("'"&amp;$G$7&amp;"'!$E$37:$E$52")),0))))</f>
        <v>0</v>
      </c>
      <c r="AG44" s="133" t="n">
        <f aca="true">IF($G$4="",0,IF(W44&gt;'General Information'!$D$33,0,IFERROR(SUMIFS(INDIRECT("'"&amp;$G$4&amp;"'!$D$37:$D$52"),INDIRECT("'"&amp;$G$4&amp;"'!$C$37:$C$52"),W44,INDIRECT("'"&amp;$G$4&amp;"'!$B$37:$B$52"),"*Indirect*")/INDIRECT("'"&amp;$G$4&amp;"'!$F$2"),0)))</f>
        <v>0</v>
      </c>
      <c r="AH44" s="133" t="n">
        <f aca="true">IF($G$5="",0,IF(W44&gt;'General Information'!$D$33,0,IFERROR(SUMIFS(INDIRECT("'"&amp;$G$5&amp;"'!$D$37:$D$52"),INDIRECT("'"&amp;$G$5&amp;"'!$C$37:$C$52"),W44,INDIRECT("'"&amp;$G$5&amp;"'!$B$37:$B$52"),"*Indirect*")/INDIRECT("'"&amp;$G$5&amp;"'!$F$2"),0)))</f>
        <v>0</v>
      </c>
      <c r="AI44" s="133" t="n">
        <f aca="true">IF($G$6="",0,IF(W44&gt;'General Information'!$D$33,0,IFERROR(SUMIFS(INDIRECT("'"&amp;$G$6&amp;"'!$D$37:$D$52"),INDIRECT("'"&amp;$G$6&amp;"'!$C$37:$C$52"),W44,INDIRECT("'"&amp;$G$6&amp;"'!$B$37:$B$52"),"*Indirect*")/INDIRECT("'"&amp;$G$6&amp;"'!$F$2"),0)))</f>
        <v>0</v>
      </c>
      <c r="AJ44" s="133" t="n">
        <f aca="true">IF($G$7="",0,IF(W44&gt;'General Information'!$D$33,0,IFERROR(SUMIFS(INDIRECT("'"&amp;$G$7&amp;"'!$D$37:$D$52"),INDIRECT("'"&amp;$G$7&amp;"'!$C$37:$C$52"),W44,INDIRECT("'"&amp;$G$7&amp;"'!$B$37:$B$52"),"*Indirect*")/INDIRECT("'"&amp;$G$7&amp;"'!$F$2"),0)))</f>
        <v>0</v>
      </c>
    </row>
    <row r="45" customFormat="false" ht="15" hidden="false" customHeight="false" outlineLevel="0" collapsed="false">
      <c r="W45" s="128" t="n">
        <v>4</v>
      </c>
      <c r="X45" s="128" t="n">
        <f aca="false">'General Information'!$D$25+W45</f>
        <v>2032</v>
      </c>
      <c r="Y45" s="129" t="n">
        <f aca="true">IF($G$4="",0,IF(W45&gt;'General Information'!$D$33,0,IF(W45=0,$J$4,IFERROR(SUMIF(INDIRECT("'"&amp;$G$4&amp;"'!$C$37:$C$52"),W45,INDIRECT("'"&amp;$G$4&amp;"'!$D$37:$D$52")),0))))</f>
        <v>354260.596666667</v>
      </c>
      <c r="Z45" s="129" t="n">
        <f aca="true">IF($G$5="",0,IF(W45&gt;'General Information'!$D$33,0,IF(W45=0,$J$5,IFERROR(SUMIF(INDIRECT("'"&amp;$G$5&amp;"'!$C$37:$C$52"),W45,INDIRECT("'"&amp;$G$5&amp;"'!$D$37:$D$52")),0))))</f>
        <v>0</v>
      </c>
      <c r="AA45" s="129" t="n">
        <f aca="true">IF($G$6="",0,IF(W45&gt;'General Information'!$D$33,0,IF(W45=0,$J$6,IFERROR(SUMIF(INDIRECT("'"&amp;$G$6&amp;"'!$C$37:$C$52"),W45,INDIRECT("'"&amp;$G$6&amp;"'!$D$37:$D$52")),0))))</f>
        <v>0</v>
      </c>
      <c r="AB45" s="129" t="n">
        <f aca="true">IF($G$7="",0,IF(W45&gt;'General Information'!$D$33,0,IF(W45=0,$J$7,IFERROR(SUMIF(INDIRECT("'"&amp;$G$7&amp;"'!$C$37:$C$52"),W45,INDIRECT("'"&amp;$G$7&amp;"'!$D$37:$D$52")),0))))</f>
        <v>0</v>
      </c>
      <c r="AC45" s="129" t="n">
        <f aca="true">IF($G$4="",0,AC44+IF(W45&gt;'General Information'!$D$33,0,IF(W45=0,$J$4,IFERROR(SUMIF(INDIRECT("'"&amp;$G$4&amp;"'!$C$37:$C$52"),W45,INDIRECT("'"&amp;$G$4&amp;"'!$E$37:$E$52")),0))))</f>
        <v>7583192.95172522</v>
      </c>
      <c r="AD45" s="129" t="n">
        <f aca="true">IF($G$5="",0,AD44+IF(W45&gt;'General Information'!$D$33,0,IF(W45=0,$J$5,IFERROR(SUMIF(INDIRECT("'"&amp;$G$5&amp;"'!$C$37:$C$52"),W45,INDIRECT("'"&amp;$G$5&amp;"'!$E$37:$E$52")),0))))</f>
        <v>9062465.75</v>
      </c>
      <c r="AE45" s="129" t="n">
        <f aca="true">IF($G$6="",0,AE44+IF(W45&gt;'General Information'!$D$33,0,IF(W45=0,$J$6,IFERROR(SUMIF(INDIRECT("'"&amp;$G$6&amp;"'!$C$37:$C$52"),W45,INDIRECT("'"&amp;$G$6&amp;"'!$E$37:$E$52")),0))))</f>
        <v>0</v>
      </c>
      <c r="AF45" s="129" t="n">
        <f aca="true">IF($G$7="",0,AF44+IF(W45&gt;'General Information'!$D$33,0,IF(W45=0,$J$7,IFERROR(SUMIF(INDIRECT("'"&amp;$G$7&amp;"'!$C$37:$C$52"),W45,INDIRECT("'"&amp;$G$7&amp;"'!$E$37:$E$52")),0))))</f>
        <v>0</v>
      </c>
      <c r="AG45" s="133" t="n">
        <f aca="true">IF($G$4="",0,IF(W45&gt;'General Information'!$D$33,0,IFERROR(SUMIFS(INDIRECT("'"&amp;$G$4&amp;"'!$D$37:$D$52"),INDIRECT("'"&amp;$G$4&amp;"'!$C$37:$C$52"),W45,INDIRECT("'"&amp;$G$4&amp;"'!$B$37:$B$52"),"*Indirect*")/INDIRECT("'"&amp;$G$4&amp;"'!$F$2"),0)))</f>
        <v>7</v>
      </c>
      <c r="AH45" s="133" t="n">
        <f aca="true">IF($G$5="",0,IF(W45&gt;'General Information'!$D$33,0,IFERROR(SUMIFS(INDIRECT("'"&amp;$G$5&amp;"'!$D$37:$D$52"),INDIRECT("'"&amp;$G$5&amp;"'!$C$37:$C$52"),W45,INDIRECT("'"&amp;$G$5&amp;"'!$B$37:$B$52"),"*Indirect*")/INDIRECT("'"&amp;$G$5&amp;"'!$F$2"),0)))</f>
        <v>0</v>
      </c>
      <c r="AI45" s="133" t="n">
        <f aca="true">IF($G$6="",0,IF(W45&gt;'General Information'!$D$33,0,IFERROR(SUMIFS(INDIRECT("'"&amp;$G$6&amp;"'!$D$37:$D$52"),INDIRECT("'"&amp;$G$6&amp;"'!$C$37:$C$52"),W45,INDIRECT("'"&amp;$G$6&amp;"'!$B$37:$B$52"),"*Indirect*")/INDIRECT("'"&amp;$G$6&amp;"'!$F$2"),0)))</f>
        <v>0</v>
      </c>
      <c r="AJ45" s="133" t="n">
        <f aca="true">IF($G$7="",0,IF(W45&gt;'General Information'!$D$33,0,IFERROR(SUMIFS(INDIRECT("'"&amp;$G$7&amp;"'!$D$37:$D$52"),INDIRECT("'"&amp;$G$7&amp;"'!$C$37:$C$52"),W45,INDIRECT("'"&amp;$G$7&amp;"'!$B$37:$B$52"),"*Indirect*")/INDIRECT("'"&amp;$G$7&amp;"'!$F$2"),0)))</f>
        <v>0</v>
      </c>
    </row>
    <row r="46" customFormat="false" ht="15" hidden="false" customHeight="false" outlineLevel="0" collapsed="false">
      <c r="W46" s="128" t="n">
        <v>5</v>
      </c>
      <c r="X46" s="128" t="n">
        <f aca="false">'General Information'!$D$25+W46</f>
        <v>2033</v>
      </c>
      <c r="Y46" s="129" t="n">
        <f aca="true">IF($G$4="",0,IF(W46&gt;'General Information'!$D$33,0,IF(W46=0,$J$4,IFERROR(SUMIF(INDIRECT("'"&amp;$G$4&amp;"'!$C$37:$C$52"),W46,INDIRECT("'"&amp;$G$4&amp;"'!$D$37:$D$52")),0))))</f>
        <v>0</v>
      </c>
      <c r="Z46" s="129" t="n">
        <f aca="true">IF($G$5="",0,IF(W46&gt;'General Information'!$D$33,0,IF(W46=0,$J$5,IFERROR(SUMIF(INDIRECT("'"&amp;$G$5&amp;"'!$C$37:$C$52"),W46,INDIRECT("'"&amp;$G$5&amp;"'!$D$37:$D$52")),0))))</f>
        <v>0</v>
      </c>
      <c r="AA46" s="129" t="n">
        <f aca="true">IF($G$6="",0,IF(W46&gt;'General Information'!$D$33,0,IF(W46=0,$J$6,IFERROR(SUMIF(INDIRECT("'"&amp;$G$6&amp;"'!$C$37:$C$52"),W46,INDIRECT("'"&amp;$G$6&amp;"'!$D$37:$D$52")),0))))</f>
        <v>0</v>
      </c>
      <c r="AB46" s="129" t="n">
        <f aca="true">IF($G$7="",0,IF(W46&gt;'General Information'!$D$33,0,IF(W46=0,$J$7,IFERROR(SUMIF(INDIRECT("'"&amp;$G$7&amp;"'!$C$37:$C$52"),W46,INDIRECT("'"&amp;$G$7&amp;"'!$D$37:$D$52")),0))))</f>
        <v>0</v>
      </c>
      <c r="AC46" s="129" t="n">
        <f aca="true">IF($G$4="",0,AC45+IF(W46&gt;'General Information'!$D$33,0,IF(W46=0,$J$4,IFERROR(SUMIF(INDIRECT("'"&amp;$G$4&amp;"'!$C$37:$C$52"),W46,INDIRECT("'"&amp;$G$4&amp;"'!$E$37:$E$52")),0))))</f>
        <v>7583192.95172522</v>
      </c>
      <c r="AD46" s="129" t="n">
        <f aca="true">IF($G$5="",0,AD45+IF(W46&gt;'General Information'!$D$33,0,IF(W46=0,$J$5,IFERROR(SUMIF(INDIRECT("'"&amp;$G$5&amp;"'!$C$37:$C$52"),W46,INDIRECT("'"&amp;$G$5&amp;"'!$E$37:$E$52")),0))))</f>
        <v>9062465.75</v>
      </c>
      <c r="AE46" s="129" t="n">
        <f aca="true">IF($G$6="",0,AE45+IF(W46&gt;'General Information'!$D$33,0,IF(W46=0,$J$6,IFERROR(SUMIF(INDIRECT("'"&amp;$G$6&amp;"'!$C$37:$C$52"),W46,INDIRECT("'"&amp;$G$6&amp;"'!$E$37:$E$52")),0))))</f>
        <v>0</v>
      </c>
      <c r="AF46" s="129" t="n">
        <f aca="true">IF($G$7="",0,AF45+IF(W46&gt;'General Information'!$D$33,0,IF(W46=0,$J$7,IFERROR(SUMIF(INDIRECT("'"&amp;$G$7&amp;"'!$C$37:$C$52"),W46,INDIRECT("'"&amp;$G$7&amp;"'!$E$37:$E$52")),0))))</f>
        <v>0</v>
      </c>
      <c r="AG46" s="133" t="n">
        <f aca="true">IF($G$4="",0,IF(W46&gt;'General Information'!$D$33,0,IFERROR(SUMIFS(INDIRECT("'"&amp;$G$4&amp;"'!$D$37:$D$52"),INDIRECT("'"&amp;$G$4&amp;"'!$C$37:$C$52"),W46,INDIRECT("'"&amp;$G$4&amp;"'!$B$37:$B$52"),"*Indirect*")/INDIRECT("'"&amp;$G$4&amp;"'!$F$2"),0)))</f>
        <v>0</v>
      </c>
      <c r="AH46" s="133" t="n">
        <f aca="true">IF($G$5="",0,IF(W46&gt;'General Information'!$D$33,0,IFERROR(SUMIFS(INDIRECT("'"&amp;$G$5&amp;"'!$D$37:$D$52"),INDIRECT("'"&amp;$G$5&amp;"'!$C$37:$C$52"),W46,INDIRECT("'"&amp;$G$5&amp;"'!$B$37:$B$52"),"*Indirect*")/INDIRECT("'"&amp;$G$5&amp;"'!$F$2"),0)))</f>
        <v>0</v>
      </c>
      <c r="AI46" s="133" t="n">
        <f aca="true">IF($G$6="",0,IF(W46&gt;'General Information'!$D$33,0,IFERROR(SUMIFS(INDIRECT("'"&amp;$G$6&amp;"'!$D$37:$D$52"),INDIRECT("'"&amp;$G$6&amp;"'!$C$37:$C$52"),W46,INDIRECT("'"&amp;$G$6&amp;"'!$B$37:$B$52"),"*Indirect*")/INDIRECT("'"&amp;$G$6&amp;"'!$F$2"),0)))</f>
        <v>0</v>
      </c>
      <c r="AJ46" s="133" t="n">
        <f aca="true">IF($G$7="",0,IF(W46&gt;'General Information'!$D$33,0,IFERROR(SUMIFS(INDIRECT("'"&amp;$G$7&amp;"'!$D$37:$D$52"),INDIRECT("'"&amp;$G$7&amp;"'!$C$37:$C$52"),W46,INDIRECT("'"&amp;$G$7&amp;"'!$B$37:$B$52"),"*Indirect*")/INDIRECT("'"&amp;$G$7&amp;"'!$F$2"),0)))</f>
        <v>0</v>
      </c>
    </row>
    <row r="47" customFormat="false" ht="15" hidden="false" customHeight="false" outlineLevel="0" collapsed="false">
      <c r="W47" s="128" t="n">
        <v>6</v>
      </c>
      <c r="X47" s="128" t="n">
        <f aca="false">'General Information'!$D$25+W47</f>
        <v>2034</v>
      </c>
      <c r="Y47" s="129" t="n">
        <f aca="true">IF($G$4="",0,IF(W47&gt;'General Information'!$D$33,0,IF(W47=0,$J$4,IFERROR(SUMIF(INDIRECT("'"&amp;$G$4&amp;"'!$C$37:$C$52"),W47,INDIRECT("'"&amp;$G$4&amp;"'!$D$37:$D$52")),0))))</f>
        <v>0</v>
      </c>
      <c r="Z47" s="129" t="n">
        <f aca="true">IF($G$5="",0,IF(W47&gt;'General Information'!$D$33,0,IF(W47=0,$J$5,IFERROR(SUMIF(INDIRECT("'"&amp;$G$5&amp;"'!$C$37:$C$52"),W47,INDIRECT("'"&amp;$G$5&amp;"'!$D$37:$D$52")),0))))</f>
        <v>0</v>
      </c>
      <c r="AA47" s="129" t="n">
        <f aca="true">IF($G$6="",0,IF(W47&gt;'General Information'!$D$33,0,IF(W47=0,$J$6,IFERROR(SUMIF(INDIRECT("'"&amp;$G$6&amp;"'!$C$37:$C$52"),W47,INDIRECT("'"&amp;$G$6&amp;"'!$D$37:$D$52")),0))))</f>
        <v>0</v>
      </c>
      <c r="AB47" s="129" t="n">
        <f aca="true">IF($G$7="",0,IF(W47&gt;'General Information'!$D$33,0,IF(W47=0,$J$7,IFERROR(SUMIF(INDIRECT("'"&amp;$G$7&amp;"'!$C$37:$C$52"),W47,INDIRECT("'"&amp;$G$7&amp;"'!$D$37:$D$52")),0))))</f>
        <v>0</v>
      </c>
      <c r="AC47" s="129" t="n">
        <f aca="true">IF($G$4="",0,AC46+IF(W47&gt;'General Information'!$D$33,0,IF(W47=0,$J$4,IFERROR(SUMIF(INDIRECT("'"&amp;$G$4&amp;"'!$C$37:$C$52"),W47,INDIRECT("'"&amp;$G$4&amp;"'!$E$37:$E$52")),0))))</f>
        <v>7583192.95172522</v>
      </c>
      <c r="AD47" s="129" t="n">
        <f aca="true">IF($G$5="",0,AD46+IF(W47&gt;'General Information'!$D$33,0,IF(W47=0,$J$5,IFERROR(SUMIF(INDIRECT("'"&amp;$G$5&amp;"'!$C$37:$C$52"),W47,INDIRECT("'"&amp;$G$5&amp;"'!$E$37:$E$52")),0))))</f>
        <v>9062465.75</v>
      </c>
      <c r="AE47" s="129" t="n">
        <f aca="true">IF($G$6="",0,AE46+IF(W47&gt;'General Information'!$D$33,0,IF(W47=0,$J$6,IFERROR(SUMIF(INDIRECT("'"&amp;$G$6&amp;"'!$C$37:$C$52"),W47,INDIRECT("'"&amp;$G$6&amp;"'!$E$37:$E$52")),0))))</f>
        <v>0</v>
      </c>
      <c r="AF47" s="129" t="n">
        <f aca="true">IF($G$7="",0,AF46+IF(W47&gt;'General Information'!$D$33,0,IF(W47=0,$J$7,IFERROR(SUMIF(INDIRECT("'"&amp;$G$7&amp;"'!$C$37:$C$52"),W47,INDIRECT("'"&amp;$G$7&amp;"'!$E$37:$E$52")),0))))</f>
        <v>0</v>
      </c>
      <c r="AG47" s="133" t="n">
        <f aca="true">IF($G$4="",0,IF(W47&gt;'General Information'!$D$33,0,IFERROR(SUMIFS(INDIRECT("'"&amp;$G$4&amp;"'!$D$37:$D$52"),INDIRECT("'"&amp;$G$4&amp;"'!$C$37:$C$52"),W47,INDIRECT("'"&amp;$G$4&amp;"'!$B$37:$B$52"),"*Indirect*")/INDIRECT("'"&amp;$G$4&amp;"'!$F$2"),0)))</f>
        <v>0</v>
      </c>
      <c r="AH47" s="133" t="n">
        <f aca="true">IF($G$5="",0,IF(W47&gt;'General Information'!$D$33,0,IFERROR(SUMIFS(INDIRECT("'"&amp;$G$5&amp;"'!$D$37:$D$52"),INDIRECT("'"&amp;$G$5&amp;"'!$C$37:$C$52"),W47,INDIRECT("'"&amp;$G$5&amp;"'!$B$37:$B$52"),"*Indirect*")/INDIRECT("'"&amp;$G$5&amp;"'!$F$2"),0)))</f>
        <v>0</v>
      </c>
      <c r="AI47" s="133" t="n">
        <f aca="true">IF($G$6="",0,IF(W47&gt;'General Information'!$D$33,0,IFERROR(SUMIFS(INDIRECT("'"&amp;$G$6&amp;"'!$D$37:$D$52"),INDIRECT("'"&amp;$G$6&amp;"'!$C$37:$C$52"),W47,INDIRECT("'"&amp;$G$6&amp;"'!$B$37:$B$52"),"*Indirect*")/INDIRECT("'"&amp;$G$6&amp;"'!$F$2"),0)))</f>
        <v>0</v>
      </c>
      <c r="AJ47" s="133" t="n">
        <f aca="true">IF($G$7="",0,IF(W47&gt;'General Information'!$D$33,0,IFERROR(SUMIFS(INDIRECT("'"&amp;$G$7&amp;"'!$D$37:$D$52"),INDIRECT("'"&amp;$G$7&amp;"'!$C$37:$C$52"),W47,INDIRECT("'"&amp;$G$7&amp;"'!$B$37:$B$52"),"*Indirect*")/INDIRECT("'"&amp;$G$7&amp;"'!$F$2"),0)))</f>
        <v>0</v>
      </c>
    </row>
    <row r="48" customFormat="false" ht="15" hidden="false" customHeight="false" outlineLevel="0" collapsed="false">
      <c r="W48" s="128" t="n">
        <v>7</v>
      </c>
      <c r="X48" s="128" t="n">
        <f aca="false">'General Information'!$D$25+W48</f>
        <v>2035</v>
      </c>
      <c r="Y48" s="129" t="n">
        <f aca="true">IF($G$4="",0,IF(W48&gt;'General Information'!$D$33,0,IF(W48=0,$J$4,IFERROR(SUMIF(INDIRECT("'"&amp;$G$4&amp;"'!$C$37:$C$52"),W48,INDIRECT("'"&amp;$G$4&amp;"'!$D$37:$D$52")),0))))</f>
        <v>0</v>
      </c>
      <c r="Z48" s="129" t="n">
        <f aca="true">IF($G$5="",0,IF(W48&gt;'General Information'!$D$33,0,IF(W48=0,$J$5,IFERROR(SUMIF(INDIRECT("'"&amp;$G$5&amp;"'!$C$37:$C$52"),W48,INDIRECT("'"&amp;$G$5&amp;"'!$D$37:$D$52")),0))))</f>
        <v>0</v>
      </c>
      <c r="AA48" s="129" t="n">
        <f aca="true">IF($G$6="",0,IF(W48&gt;'General Information'!$D$33,0,IF(W48=0,$J$6,IFERROR(SUMIF(INDIRECT("'"&amp;$G$6&amp;"'!$C$37:$C$52"),W48,INDIRECT("'"&amp;$G$6&amp;"'!$D$37:$D$52")),0))))</f>
        <v>0</v>
      </c>
      <c r="AB48" s="129" t="n">
        <f aca="true">IF($G$7="",0,IF(W48&gt;'General Information'!$D$33,0,IF(W48=0,$J$7,IFERROR(SUMIF(INDIRECT("'"&amp;$G$7&amp;"'!$C$37:$C$52"),W48,INDIRECT("'"&amp;$G$7&amp;"'!$D$37:$D$52")),0))))</f>
        <v>0</v>
      </c>
      <c r="AC48" s="129" t="n">
        <f aca="true">IF($G$4="",0,AC47+IF(W48&gt;'General Information'!$D$33,0,IF(W48=0,$J$4,IFERROR(SUMIF(INDIRECT("'"&amp;$G$4&amp;"'!$C$37:$C$52"),W48,INDIRECT("'"&amp;$G$4&amp;"'!$E$37:$E$52")),0))))</f>
        <v>7583192.95172522</v>
      </c>
      <c r="AD48" s="129" t="n">
        <f aca="true">IF($G$5="",0,AD47+IF(W48&gt;'General Information'!$D$33,0,IF(W48=0,$J$5,IFERROR(SUMIF(INDIRECT("'"&amp;$G$5&amp;"'!$C$37:$C$52"),W48,INDIRECT("'"&amp;$G$5&amp;"'!$E$37:$E$52")),0))))</f>
        <v>9062465.75</v>
      </c>
      <c r="AE48" s="129" t="n">
        <f aca="true">IF($G$6="",0,AE47+IF(W48&gt;'General Information'!$D$33,0,IF(W48=0,$J$6,IFERROR(SUMIF(INDIRECT("'"&amp;$G$6&amp;"'!$C$37:$C$52"),W48,INDIRECT("'"&amp;$G$6&amp;"'!$E$37:$E$52")),0))))</f>
        <v>0</v>
      </c>
      <c r="AF48" s="129" t="n">
        <f aca="true">IF($G$7="",0,AF47+IF(W48&gt;'General Information'!$D$33,0,IF(W48=0,$J$7,IFERROR(SUMIF(INDIRECT("'"&amp;$G$7&amp;"'!$C$37:$C$52"),W48,INDIRECT("'"&amp;$G$7&amp;"'!$E$37:$E$52")),0))))</f>
        <v>0</v>
      </c>
      <c r="AG48" s="133" t="n">
        <f aca="true">IF($G$4="",0,IF(W48&gt;'General Information'!$D$33,0,IFERROR(SUMIFS(INDIRECT("'"&amp;$G$4&amp;"'!$D$37:$D$52"),INDIRECT("'"&amp;$G$4&amp;"'!$C$37:$C$52"),W48,INDIRECT("'"&amp;$G$4&amp;"'!$B$37:$B$52"),"*Indirect*")/INDIRECT("'"&amp;$G$4&amp;"'!$F$2"),0)))</f>
        <v>0</v>
      </c>
      <c r="AH48" s="133" t="n">
        <f aca="true">IF($G$5="",0,IF(W48&gt;'General Information'!$D$33,0,IFERROR(SUMIFS(INDIRECT("'"&amp;$G$5&amp;"'!$D$37:$D$52"),INDIRECT("'"&amp;$G$5&amp;"'!$C$37:$C$52"),W48,INDIRECT("'"&amp;$G$5&amp;"'!$B$37:$B$52"),"*Indirect*")/INDIRECT("'"&amp;$G$5&amp;"'!$F$2"),0)))</f>
        <v>0</v>
      </c>
      <c r="AI48" s="133" t="n">
        <f aca="true">IF($G$6="",0,IF(W48&gt;'General Information'!$D$33,0,IFERROR(SUMIFS(INDIRECT("'"&amp;$G$6&amp;"'!$D$37:$D$52"),INDIRECT("'"&amp;$G$6&amp;"'!$C$37:$C$52"),W48,INDIRECT("'"&amp;$G$6&amp;"'!$B$37:$B$52"),"*Indirect*")/INDIRECT("'"&amp;$G$6&amp;"'!$F$2"),0)))</f>
        <v>0</v>
      </c>
      <c r="AJ48" s="133" t="n">
        <f aca="true">IF($G$7="",0,IF(W48&gt;'General Information'!$D$33,0,IFERROR(SUMIFS(INDIRECT("'"&amp;$G$7&amp;"'!$D$37:$D$52"),INDIRECT("'"&amp;$G$7&amp;"'!$C$37:$C$52"),W48,INDIRECT("'"&amp;$G$7&amp;"'!$B$37:$B$52"),"*Indirect*")/INDIRECT("'"&amp;$G$7&amp;"'!$F$2"),0)))</f>
        <v>0</v>
      </c>
    </row>
    <row r="49" customFormat="false" ht="15" hidden="false" customHeight="false" outlineLevel="0" collapsed="false">
      <c r="W49" s="128" t="n">
        <v>8</v>
      </c>
      <c r="X49" s="128" t="n">
        <f aca="false">'General Information'!$D$25+W49</f>
        <v>2036</v>
      </c>
      <c r="Y49" s="129" t="n">
        <f aca="true">IF($G$4="",0,IF(W49&gt;'General Information'!$D$33,0,IF(W49=0,$J$4,IFERROR(SUMIF(INDIRECT("'"&amp;$G$4&amp;"'!$C$37:$C$52"),W49,INDIRECT("'"&amp;$G$4&amp;"'!$D$37:$D$52")),0))))</f>
        <v>354260.596666667</v>
      </c>
      <c r="Z49" s="129" t="n">
        <f aca="true">IF($G$5="",0,IF(W49&gt;'General Information'!$D$33,0,IF(W49=0,$J$5,IFERROR(SUMIF(INDIRECT("'"&amp;$G$5&amp;"'!$C$37:$C$52"),W49,INDIRECT("'"&amp;$G$5&amp;"'!$D$37:$D$52")),0))))</f>
        <v>0</v>
      </c>
      <c r="AA49" s="129" t="n">
        <f aca="true">IF($G$6="",0,IF(W49&gt;'General Information'!$D$33,0,IF(W49=0,$J$6,IFERROR(SUMIF(INDIRECT("'"&amp;$G$6&amp;"'!$C$37:$C$52"),W49,INDIRECT("'"&amp;$G$6&amp;"'!$D$37:$D$52")),0))))</f>
        <v>0</v>
      </c>
      <c r="AB49" s="129" t="n">
        <f aca="true">IF($G$7="",0,IF(W49&gt;'General Information'!$D$33,0,IF(W49=0,$J$7,IFERROR(SUMIF(INDIRECT("'"&amp;$G$7&amp;"'!$C$37:$C$52"),W49,INDIRECT("'"&amp;$G$7&amp;"'!$D$37:$D$52")),0))))</f>
        <v>0</v>
      </c>
      <c r="AC49" s="129" t="n">
        <f aca="true">IF($G$4="",0,AC48+IF(W49&gt;'General Information'!$D$33,0,IF(W49=0,$J$4,IFERROR(SUMIF(INDIRECT("'"&amp;$G$4&amp;"'!$C$37:$C$52"),W49,INDIRECT("'"&amp;$G$4&amp;"'!$E$37:$E$52")),0))))</f>
        <v>7862849.53808745</v>
      </c>
      <c r="AD49" s="129" t="n">
        <f aca="true">IF($G$5="",0,AD48+IF(W49&gt;'General Information'!$D$33,0,IF(W49=0,$J$5,IFERROR(SUMIF(INDIRECT("'"&amp;$G$5&amp;"'!$C$37:$C$52"),W49,INDIRECT("'"&amp;$G$5&amp;"'!$E$37:$E$52")),0))))</f>
        <v>9062465.75</v>
      </c>
      <c r="AE49" s="129" t="n">
        <f aca="true">IF($G$6="",0,AE48+IF(W49&gt;'General Information'!$D$33,0,IF(W49=0,$J$6,IFERROR(SUMIF(INDIRECT("'"&amp;$G$6&amp;"'!$C$37:$C$52"),W49,INDIRECT("'"&amp;$G$6&amp;"'!$E$37:$E$52")),0))))</f>
        <v>0</v>
      </c>
      <c r="AF49" s="129" t="n">
        <f aca="true">IF($G$7="",0,AF48+IF(W49&gt;'General Information'!$D$33,0,IF(W49=0,$J$7,IFERROR(SUMIF(INDIRECT("'"&amp;$G$7&amp;"'!$C$37:$C$52"),W49,INDIRECT("'"&amp;$G$7&amp;"'!$E$37:$E$52")),0))))</f>
        <v>0</v>
      </c>
      <c r="AG49" s="133" t="n">
        <f aca="true">IF($G$4="",0,IF(W49&gt;'General Information'!$D$33,0,IFERROR(SUMIFS(INDIRECT("'"&amp;$G$4&amp;"'!$D$37:$D$52"),INDIRECT("'"&amp;$G$4&amp;"'!$C$37:$C$52"),W49,INDIRECT("'"&amp;$G$4&amp;"'!$B$37:$B$52"),"*Indirect*")/INDIRECT("'"&amp;$G$4&amp;"'!$F$2"),0)))</f>
        <v>7</v>
      </c>
      <c r="AH49" s="133" t="n">
        <f aca="true">IF($G$5="",0,IF(W49&gt;'General Information'!$D$33,0,IFERROR(SUMIFS(INDIRECT("'"&amp;$G$5&amp;"'!$D$37:$D$52"),INDIRECT("'"&amp;$G$5&amp;"'!$C$37:$C$52"),W49,INDIRECT("'"&amp;$G$5&amp;"'!$B$37:$B$52"),"*Indirect*")/INDIRECT("'"&amp;$G$5&amp;"'!$F$2"),0)))</f>
        <v>0</v>
      </c>
      <c r="AI49" s="133" t="n">
        <f aca="true">IF($G$6="",0,IF(W49&gt;'General Information'!$D$33,0,IFERROR(SUMIFS(INDIRECT("'"&amp;$G$6&amp;"'!$D$37:$D$52"),INDIRECT("'"&amp;$G$6&amp;"'!$C$37:$C$52"),W49,INDIRECT("'"&amp;$G$6&amp;"'!$B$37:$B$52"),"*Indirect*")/INDIRECT("'"&amp;$G$6&amp;"'!$F$2"),0)))</f>
        <v>0</v>
      </c>
      <c r="AJ49" s="133" t="n">
        <f aca="true">IF($G$7="",0,IF(W49&gt;'General Information'!$D$33,0,IFERROR(SUMIFS(INDIRECT("'"&amp;$G$7&amp;"'!$D$37:$D$52"),INDIRECT("'"&amp;$G$7&amp;"'!$C$37:$C$52"),W49,INDIRECT("'"&amp;$G$7&amp;"'!$B$37:$B$52"),"*Indirect*")/INDIRECT("'"&amp;$G$7&amp;"'!$F$2"),0)))</f>
        <v>0</v>
      </c>
    </row>
    <row r="50" customFormat="false" ht="15" hidden="false" customHeight="false" outlineLevel="0" collapsed="false">
      <c r="W50" s="128" t="n">
        <v>9</v>
      </c>
      <c r="X50" s="128" t="n">
        <f aca="false">'General Information'!$D$25+W50</f>
        <v>2037</v>
      </c>
      <c r="Y50" s="129" t="n">
        <f aca="true">IF($G$4="",0,IF(W50&gt;'General Information'!$D$33,0,IF(W50=0,$J$4,IFERROR(SUMIF(INDIRECT("'"&amp;$G$4&amp;"'!$C$37:$C$52"),W50,INDIRECT("'"&amp;$G$4&amp;"'!$D$37:$D$52")),0))))</f>
        <v>0</v>
      </c>
      <c r="Z50" s="129" t="n">
        <f aca="true">IF($G$5="",0,IF(W50&gt;'General Information'!$D$33,0,IF(W50=0,$J$5,IFERROR(SUMIF(INDIRECT("'"&amp;$G$5&amp;"'!$C$37:$C$52"),W50,INDIRECT("'"&amp;$G$5&amp;"'!$D$37:$D$52")),0))))</f>
        <v>0</v>
      </c>
      <c r="AA50" s="129" t="n">
        <f aca="true">IF($G$6="",0,IF(W50&gt;'General Information'!$D$33,0,IF(W50=0,$J$6,IFERROR(SUMIF(INDIRECT("'"&amp;$G$6&amp;"'!$C$37:$C$52"),W50,INDIRECT("'"&amp;$G$6&amp;"'!$D$37:$D$52")),0))))</f>
        <v>0</v>
      </c>
      <c r="AB50" s="129" t="n">
        <f aca="true">IF($G$7="",0,IF(W50&gt;'General Information'!$D$33,0,IF(W50=0,$J$7,IFERROR(SUMIF(INDIRECT("'"&amp;$G$7&amp;"'!$C$37:$C$52"),W50,INDIRECT("'"&amp;$G$7&amp;"'!$D$37:$D$52")),0))))</f>
        <v>0</v>
      </c>
      <c r="AC50" s="129" t="n">
        <f aca="true">IF($G$4="",0,AC49+IF(W50&gt;'General Information'!$D$33,0,IF(W50=0,$J$4,IFERROR(SUMIF(INDIRECT("'"&amp;$G$4&amp;"'!$C$37:$C$52"),W50,INDIRECT("'"&amp;$G$4&amp;"'!$E$37:$E$52")),0))))</f>
        <v>7862849.53808745</v>
      </c>
      <c r="AD50" s="129" t="n">
        <f aca="true">IF($G$5="",0,AD49+IF(W50&gt;'General Information'!$D$33,0,IF(W50=0,$J$5,IFERROR(SUMIF(INDIRECT("'"&amp;$G$5&amp;"'!$C$37:$C$52"),W50,INDIRECT("'"&amp;$G$5&amp;"'!$E$37:$E$52")),0))))</f>
        <v>9062465.75</v>
      </c>
      <c r="AE50" s="129" t="n">
        <f aca="true">IF($G$6="",0,AE49+IF(W50&gt;'General Information'!$D$33,0,IF(W50=0,$J$6,IFERROR(SUMIF(INDIRECT("'"&amp;$G$6&amp;"'!$C$37:$C$52"),W50,INDIRECT("'"&amp;$G$6&amp;"'!$E$37:$E$52")),0))))</f>
        <v>0</v>
      </c>
      <c r="AF50" s="129" t="n">
        <f aca="true">IF($G$7="",0,AF49+IF(W50&gt;'General Information'!$D$33,0,IF(W50=0,$J$7,IFERROR(SUMIF(INDIRECT("'"&amp;$G$7&amp;"'!$C$37:$C$52"),W50,INDIRECT("'"&amp;$G$7&amp;"'!$E$37:$E$52")),0))))</f>
        <v>0</v>
      </c>
      <c r="AG50" s="133" t="n">
        <f aca="true">IF($G$4="",0,IF(W50&gt;'General Information'!$D$33,0,IFERROR(SUMIFS(INDIRECT("'"&amp;$G$4&amp;"'!$D$37:$D$52"),INDIRECT("'"&amp;$G$4&amp;"'!$C$37:$C$52"),W50,INDIRECT("'"&amp;$G$4&amp;"'!$B$37:$B$52"),"*Indirect*")/INDIRECT("'"&amp;$G$4&amp;"'!$F$2"),0)))</f>
        <v>0</v>
      </c>
      <c r="AH50" s="133" t="n">
        <f aca="true">IF($G$5="",0,IF(W50&gt;'General Information'!$D$33,0,IFERROR(SUMIFS(INDIRECT("'"&amp;$G$5&amp;"'!$D$37:$D$52"),INDIRECT("'"&amp;$G$5&amp;"'!$C$37:$C$52"),W50,INDIRECT("'"&amp;$G$5&amp;"'!$B$37:$B$52"),"*Indirect*")/INDIRECT("'"&amp;$G$5&amp;"'!$F$2"),0)))</f>
        <v>0</v>
      </c>
      <c r="AI50" s="133" t="n">
        <f aca="true">IF($G$6="",0,IF(W50&gt;'General Information'!$D$33,0,IFERROR(SUMIFS(INDIRECT("'"&amp;$G$6&amp;"'!$D$37:$D$52"),INDIRECT("'"&amp;$G$6&amp;"'!$C$37:$C$52"),W50,INDIRECT("'"&amp;$G$6&amp;"'!$B$37:$B$52"),"*Indirect*")/INDIRECT("'"&amp;$G$6&amp;"'!$F$2"),0)))</f>
        <v>0</v>
      </c>
      <c r="AJ50" s="133" t="n">
        <f aca="true">IF($G$7="",0,IF(W50&gt;'General Information'!$D$33,0,IFERROR(SUMIFS(INDIRECT("'"&amp;$G$7&amp;"'!$D$37:$D$52"),INDIRECT("'"&amp;$G$7&amp;"'!$C$37:$C$52"),W50,INDIRECT("'"&amp;$G$7&amp;"'!$B$37:$B$52"),"*Indirect*")/INDIRECT("'"&amp;$G$7&amp;"'!$F$2"),0)))</f>
        <v>0</v>
      </c>
    </row>
    <row r="51" customFormat="false" ht="15" hidden="false" customHeight="false" outlineLevel="0" collapsed="false">
      <c r="W51" s="128" t="n">
        <v>10</v>
      </c>
      <c r="X51" s="128" t="n">
        <f aca="false">'General Information'!$D$25+W51</f>
        <v>2038</v>
      </c>
      <c r="Y51" s="129" t="n">
        <f aca="true">IF($G$4="",0,IF(W51&gt;'General Information'!$D$33,0,IF(W51=0,$J$4,IFERROR(SUMIF(INDIRECT("'"&amp;$G$4&amp;"'!$C$37:$C$52"),W51,INDIRECT("'"&amp;$G$4&amp;"'!$D$37:$D$52")),0))))</f>
        <v>0</v>
      </c>
      <c r="Z51" s="129" t="n">
        <f aca="true">IF($G$5="",0,IF(W51&gt;'General Information'!$D$33,0,IF(W51=0,$J$5,IFERROR(SUMIF(INDIRECT("'"&amp;$G$5&amp;"'!$C$37:$C$52"),W51,INDIRECT("'"&amp;$G$5&amp;"'!$D$37:$D$52")),0))))</f>
        <v>0</v>
      </c>
      <c r="AA51" s="129" t="n">
        <f aca="true">IF($G$6="",0,IF(W51&gt;'General Information'!$D$33,0,IF(W51=0,$J$6,IFERROR(SUMIF(INDIRECT("'"&amp;$G$6&amp;"'!$C$37:$C$52"),W51,INDIRECT("'"&amp;$G$6&amp;"'!$D$37:$D$52")),0))))</f>
        <v>0</v>
      </c>
      <c r="AB51" s="129" t="n">
        <f aca="true">IF($G$7="",0,IF(W51&gt;'General Information'!$D$33,0,IF(W51=0,$J$7,IFERROR(SUMIF(INDIRECT("'"&amp;$G$7&amp;"'!$C$37:$C$52"),W51,INDIRECT("'"&amp;$G$7&amp;"'!$D$37:$D$52")),0))))</f>
        <v>0</v>
      </c>
      <c r="AC51" s="129" t="n">
        <f aca="true">IF($G$4="",0,AC50+IF(W51&gt;'General Information'!$D$33,0,IF(W51=0,$J$4,IFERROR(SUMIF(INDIRECT("'"&amp;$G$4&amp;"'!$C$37:$C$52"),W51,INDIRECT("'"&amp;$G$4&amp;"'!$E$37:$E$52")),0))))</f>
        <v>7862849.53808745</v>
      </c>
      <c r="AD51" s="129" t="n">
        <f aca="true">IF($G$5="",0,AD50+IF(W51&gt;'General Information'!$D$33,0,IF(W51=0,$J$5,IFERROR(SUMIF(INDIRECT("'"&amp;$G$5&amp;"'!$C$37:$C$52"),W51,INDIRECT("'"&amp;$G$5&amp;"'!$E$37:$E$52")),0))))</f>
        <v>9062465.75</v>
      </c>
      <c r="AE51" s="129" t="n">
        <f aca="true">IF($G$6="",0,AE50+IF(W51&gt;'General Information'!$D$33,0,IF(W51=0,$J$6,IFERROR(SUMIF(INDIRECT("'"&amp;$G$6&amp;"'!$C$37:$C$52"),W51,INDIRECT("'"&amp;$G$6&amp;"'!$E$37:$E$52")),0))))</f>
        <v>0</v>
      </c>
      <c r="AF51" s="129" t="n">
        <f aca="true">IF($G$7="",0,AF50+IF(W51&gt;'General Information'!$D$33,0,IF(W51=0,$J$7,IFERROR(SUMIF(INDIRECT("'"&amp;$G$7&amp;"'!$C$37:$C$52"),W51,INDIRECT("'"&amp;$G$7&amp;"'!$E$37:$E$52")),0))))</f>
        <v>0</v>
      </c>
      <c r="AG51" s="133" t="n">
        <f aca="true">IF($G$4="",0,IF(W51&gt;'General Information'!$D$33,0,IFERROR(SUMIFS(INDIRECT("'"&amp;$G$4&amp;"'!$D$37:$D$52"),INDIRECT("'"&amp;$G$4&amp;"'!$C$37:$C$52"),W51,INDIRECT("'"&amp;$G$4&amp;"'!$B$37:$B$52"),"*Indirect*")/INDIRECT("'"&amp;$G$4&amp;"'!$F$2"),0)))</f>
        <v>0</v>
      </c>
      <c r="AH51" s="133" t="n">
        <f aca="true">IF($G$5="",0,IF(W51&gt;'General Information'!$D$33,0,IFERROR(SUMIFS(INDIRECT("'"&amp;$G$5&amp;"'!$D$37:$D$52"),INDIRECT("'"&amp;$G$5&amp;"'!$C$37:$C$52"),W51,INDIRECT("'"&amp;$G$5&amp;"'!$B$37:$B$52"),"*Indirect*")/INDIRECT("'"&amp;$G$5&amp;"'!$F$2"),0)))</f>
        <v>0</v>
      </c>
      <c r="AI51" s="133" t="n">
        <f aca="true">IF($G$6="",0,IF(W51&gt;'General Information'!$D$33,0,IFERROR(SUMIFS(INDIRECT("'"&amp;$G$6&amp;"'!$D$37:$D$52"),INDIRECT("'"&amp;$G$6&amp;"'!$C$37:$C$52"),W51,INDIRECT("'"&amp;$G$6&amp;"'!$B$37:$B$52"),"*Indirect*")/INDIRECT("'"&amp;$G$6&amp;"'!$F$2"),0)))</f>
        <v>0</v>
      </c>
      <c r="AJ51" s="133" t="n">
        <f aca="true">IF($G$7="",0,IF(W51&gt;'General Information'!$D$33,0,IFERROR(SUMIFS(INDIRECT("'"&amp;$G$7&amp;"'!$D$37:$D$52"),INDIRECT("'"&amp;$G$7&amp;"'!$C$37:$C$52"),W51,INDIRECT("'"&amp;$G$7&amp;"'!$B$37:$B$52"),"*Indirect*")/INDIRECT("'"&amp;$G$7&amp;"'!$F$2"),0)))</f>
        <v>0</v>
      </c>
    </row>
    <row r="52" customFormat="false" ht="15" hidden="false" customHeight="false" outlineLevel="0" collapsed="false">
      <c r="W52" s="128" t="n">
        <v>11</v>
      </c>
      <c r="X52" s="128" t="n">
        <f aca="false">'General Information'!$D$25+W52</f>
        <v>2039</v>
      </c>
      <c r="Y52" s="129" t="n">
        <f aca="true">IF($G$4="",0,IF(W52&gt;'General Information'!$D$33,0,IF(W52=0,$J$4,IFERROR(SUMIF(INDIRECT("'"&amp;$G$4&amp;"'!$C$37:$C$52"),W52,INDIRECT("'"&amp;$G$4&amp;"'!$D$37:$D$52")),0))))</f>
        <v>0</v>
      </c>
      <c r="Z52" s="129" t="n">
        <f aca="true">IF($G$5="",0,IF(W52&gt;'General Information'!$D$33,0,IF(W52=0,$J$5,IFERROR(SUMIF(INDIRECT("'"&amp;$G$5&amp;"'!$C$37:$C$52"),W52,INDIRECT("'"&amp;$G$5&amp;"'!$D$37:$D$52")),0))))</f>
        <v>0</v>
      </c>
      <c r="AA52" s="129" t="n">
        <f aca="true">IF($G$6="",0,IF(W52&gt;'General Information'!$D$33,0,IF(W52=0,$J$6,IFERROR(SUMIF(INDIRECT("'"&amp;$G$6&amp;"'!$C$37:$C$52"),W52,INDIRECT("'"&amp;$G$6&amp;"'!$D$37:$D$52")),0))))</f>
        <v>0</v>
      </c>
      <c r="AB52" s="129" t="n">
        <f aca="true">IF($G$7="",0,IF(W52&gt;'General Information'!$D$33,0,IF(W52=0,$J$7,IFERROR(SUMIF(INDIRECT("'"&amp;$G$7&amp;"'!$C$37:$C$52"),W52,INDIRECT("'"&amp;$G$7&amp;"'!$D$37:$D$52")),0))))</f>
        <v>0</v>
      </c>
      <c r="AC52" s="129" t="n">
        <f aca="true">IF($G$4="",0,AC51+IF(W52&gt;'General Information'!$D$33,0,IF(W52=0,$J$4,IFERROR(SUMIF(INDIRECT("'"&amp;$G$4&amp;"'!$C$37:$C$52"),W52,INDIRECT("'"&amp;$G$4&amp;"'!$E$37:$E$52")),0))))</f>
        <v>7862849.53808745</v>
      </c>
      <c r="AD52" s="129" t="n">
        <f aca="true">IF($G$5="",0,AD51+IF(W52&gt;'General Information'!$D$33,0,IF(W52=0,$J$5,IFERROR(SUMIF(INDIRECT("'"&amp;$G$5&amp;"'!$C$37:$C$52"),W52,INDIRECT("'"&amp;$G$5&amp;"'!$E$37:$E$52")),0))))</f>
        <v>9062465.75</v>
      </c>
      <c r="AE52" s="129" t="n">
        <f aca="true">IF($G$6="",0,AE51+IF(W52&gt;'General Information'!$D$33,0,IF(W52=0,$J$6,IFERROR(SUMIF(INDIRECT("'"&amp;$G$6&amp;"'!$C$37:$C$52"),W52,INDIRECT("'"&amp;$G$6&amp;"'!$E$37:$E$52")),0))))</f>
        <v>0</v>
      </c>
      <c r="AF52" s="129" t="n">
        <f aca="true">IF($G$7="",0,AF51+IF(W52&gt;'General Information'!$D$33,0,IF(W52=0,$J$7,IFERROR(SUMIF(INDIRECT("'"&amp;$G$7&amp;"'!$C$37:$C$52"),W52,INDIRECT("'"&amp;$G$7&amp;"'!$E$37:$E$52")),0))))</f>
        <v>0</v>
      </c>
      <c r="AG52" s="133" t="n">
        <f aca="true">IF($G$4="",0,IF(W52&gt;'General Information'!$D$33,0,IFERROR(SUMIFS(INDIRECT("'"&amp;$G$4&amp;"'!$D$37:$D$52"),INDIRECT("'"&amp;$G$4&amp;"'!$C$37:$C$52"),W52,INDIRECT("'"&amp;$G$4&amp;"'!$B$37:$B$52"),"*Indirect*")/INDIRECT("'"&amp;$G$4&amp;"'!$F$2"),0)))</f>
        <v>0</v>
      </c>
      <c r="AH52" s="133" t="n">
        <f aca="true">IF($G$5="",0,IF(W52&gt;'General Information'!$D$33,0,IFERROR(SUMIFS(INDIRECT("'"&amp;$G$5&amp;"'!$D$37:$D$52"),INDIRECT("'"&amp;$G$5&amp;"'!$C$37:$C$52"),W52,INDIRECT("'"&amp;$G$5&amp;"'!$B$37:$B$52"),"*Indirect*")/INDIRECT("'"&amp;$G$5&amp;"'!$F$2"),0)))</f>
        <v>0</v>
      </c>
      <c r="AI52" s="133" t="n">
        <f aca="true">IF($G$6="",0,IF(W52&gt;'General Information'!$D$33,0,IFERROR(SUMIFS(INDIRECT("'"&amp;$G$6&amp;"'!$D$37:$D$52"),INDIRECT("'"&amp;$G$6&amp;"'!$C$37:$C$52"),W52,INDIRECT("'"&amp;$G$6&amp;"'!$B$37:$B$52"),"*Indirect*")/INDIRECT("'"&amp;$G$6&amp;"'!$F$2"),0)))</f>
        <v>0</v>
      </c>
      <c r="AJ52" s="133" t="n">
        <f aca="true">IF($G$7="",0,IF(W52&gt;'General Information'!$D$33,0,IFERROR(SUMIFS(INDIRECT("'"&amp;$G$7&amp;"'!$D$37:$D$52"),INDIRECT("'"&amp;$G$7&amp;"'!$C$37:$C$52"),W52,INDIRECT("'"&amp;$G$7&amp;"'!$B$37:$B$52"),"*Indirect*")/INDIRECT("'"&amp;$G$7&amp;"'!$F$2"),0)))</f>
        <v>0</v>
      </c>
    </row>
    <row r="53" customFormat="false" ht="15" hidden="false" customHeight="false" outlineLevel="0" collapsed="false">
      <c r="W53" s="128" t="n">
        <v>12</v>
      </c>
      <c r="X53" s="128" t="n">
        <f aca="false">'General Information'!$D$25+W53</f>
        <v>2040</v>
      </c>
      <c r="Y53" s="129" t="n">
        <f aca="true">IF($G$4="",0,IF(W53&gt;'General Information'!$D$33,0,IF(W53=0,$J$4,IFERROR(SUMIF(INDIRECT("'"&amp;$G$4&amp;"'!$C$37:$C$52"),W53,INDIRECT("'"&amp;$G$4&amp;"'!$D$37:$D$52")),0))))</f>
        <v>494427.545104167</v>
      </c>
      <c r="Z53" s="129" t="n">
        <f aca="true">IF($G$5="",0,IF(W53&gt;'General Information'!$D$33,0,IF(W53=0,$J$5,IFERROR(SUMIF(INDIRECT("'"&amp;$G$5&amp;"'!$C$37:$C$52"),W53,INDIRECT("'"&amp;$G$5&amp;"'!$D$37:$D$52")),0))))</f>
        <v>0</v>
      </c>
      <c r="AA53" s="129" t="n">
        <f aca="true">IF($G$6="",0,IF(W53&gt;'General Information'!$D$33,0,IF(W53=0,$J$6,IFERROR(SUMIF(INDIRECT("'"&amp;$G$6&amp;"'!$C$37:$C$52"),W53,INDIRECT("'"&amp;$G$6&amp;"'!$D$37:$D$52")),0))))</f>
        <v>0</v>
      </c>
      <c r="AB53" s="129" t="n">
        <f aca="true">IF($G$7="",0,IF(W53&gt;'General Information'!$D$33,0,IF(W53=0,$J$7,IFERROR(SUMIF(INDIRECT("'"&amp;$G$7&amp;"'!$C$37:$C$52"),W53,INDIRECT("'"&amp;$G$7&amp;"'!$D$37:$D$52")),0))))</f>
        <v>0</v>
      </c>
      <c r="AC53" s="129" t="n">
        <f aca="true">IF($G$4="",0,AC52+IF(W53&gt;'General Information'!$D$33,0,IF(W53=0,$J$4,IFERROR(SUMIF(INDIRECT("'"&amp;$G$4&amp;"'!$C$37:$C$52"),W53,INDIRECT("'"&amp;$G$4&amp;"'!$E$37:$E$52")),0))))</f>
        <v>8209631.07043672</v>
      </c>
      <c r="AD53" s="129" t="n">
        <f aca="true">IF($G$5="",0,AD52+IF(W53&gt;'General Information'!$D$33,0,IF(W53=0,$J$5,IFERROR(SUMIF(INDIRECT("'"&amp;$G$5&amp;"'!$C$37:$C$52"),W53,INDIRECT("'"&amp;$G$5&amp;"'!$E$37:$E$52")),0))))</f>
        <v>9062465.75</v>
      </c>
      <c r="AE53" s="129" t="n">
        <f aca="true">IF($G$6="",0,AE52+IF(W53&gt;'General Information'!$D$33,0,IF(W53=0,$J$6,IFERROR(SUMIF(INDIRECT("'"&amp;$G$6&amp;"'!$C$37:$C$52"),W53,INDIRECT("'"&amp;$G$6&amp;"'!$E$37:$E$52")),0))))</f>
        <v>0</v>
      </c>
      <c r="AF53" s="129" t="n">
        <f aca="true">IF($G$7="",0,AF52+IF(W53&gt;'General Information'!$D$33,0,IF(W53=0,$J$7,IFERROR(SUMIF(INDIRECT("'"&amp;$G$7&amp;"'!$C$37:$C$52"),W53,INDIRECT("'"&amp;$G$7&amp;"'!$E$37:$E$52")),0))))</f>
        <v>0</v>
      </c>
      <c r="AG53" s="133" t="n">
        <f aca="true">IF($G$4="",0,IF(W53&gt;'General Information'!$D$33,0,IFERROR(SUMIFS(INDIRECT("'"&amp;$G$4&amp;"'!$D$37:$D$52"),INDIRECT("'"&amp;$G$4&amp;"'!$C$37:$C$52"),W53,INDIRECT("'"&amp;$G$4&amp;"'!$B$37:$B$52"),"*Indirect*")/INDIRECT("'"&amp;$G$4&amp;"'!$F$2"),0)))</f>
        <v>9</v>
      </c>
      <c r="AH53" s="133" t="n">
        <f aca="true">IF($G$5="",0,IF(W53&gt;'General Information'!$D$33,0,IFERROR(SUMIFS(INDIRECT("'"&amp;$G$5&amp;"'!$D$37:$D$52"),INDIRECT("'"&amp;$G$5&amp;"'!$C$37:$C$52"),W53,INDIRECT("'"&amp;$G$5&amp;"'!$B$37:$B$52"),"*Indirect*")/INDIRECT("'"&amp;$G$5&amp;"'!$F$2"),0)))</f>
        <v>0</v>
      </c>
      <c r="AI53" s="133" t="n">
        <f aca="true">IF($G$6="",0,IF(W53&gt;'General Information'!$D$33,0,IFERROR(SUMIFS(INDIRECT("'"&amp;$G$6&amp;"'!$D$37:$D$52"),INDIRECT("'"&amp;$G$6&amp;"'!$C$37:$C$52"),W53,INDIRECT("'"&amp;$G$6&amp;"'!$B$37:$B$52"),"*Indirect*")/INDIRECT("'"&amp;$G$6&amp;"'!$F$2"),0)))</f>
        <v>0</v>
      </c>
      <c r="AJ53" s="133" t="n">
        <f aca="true">IF($G$7="",0,IF(W53&gt;'General Information'!$D$33,0,IFERROR(SUMIFS(INDIRECT("'"&amp;$G$7&amp;"'!$D$37:$D$52"),INDIRECT("'"&amp;$G$7&amp;"'!$C$37:$C$52"),W53,INDIRECT("'"&amp;$G$7&amp;"'!$B$37:$B$52"),"*Indirect*")/INDIRECT("'"&amp;$G$7&amp;"'!$F$2"),0)))</f>
        <v>0</v>
      </c>
    </row>
    <row r="54" customFormat="false" ht="15" hidden="false" customHeight="false" outlineLevel="0" collapsed="false">
      <c r="W54" s="128" t="n">
        <v>13</v>
      </c>
      <c r="X54" s="128" t="n">
        <f aca="false">'General Information'!$D$25+W54</f>
        <v>2041</v>
      </c>
      <c r="Y54" s="129" t="n">
        <f aca="true">IF($G$4="",0,IF(W54&gt;'General Information'!$D$33,0,IF(W54=0,$J$4,IFERROR(SUMIF(INDIRECT("'"&amp;$G$4&amp;"'!$C$37:$C$52"),W54,INDIRECT("'"&amp;$G$4&amp;"'!$D$37:$D$52")),0))))</f>
        <v>0</v>
      </c>
      <c r="Z54" s="129" t="n">
        <f aca="true">IF($G$5="",0,IF(W54&gt;'General Information'!$D$33,0,IF(W54=0,$J$5,IFERROR(SUMIF(INDIRECT("'"&amp;$G$5&amp;"'!$C$37:$C$52"),W54,INDIRECT("'"&amp;$G$5&amp;"'!$D$37:$D$52")),0))))</f>
        <v>0</v>
      </c>
      <c r="AA54" s="129" t="n">
        <f aca="true">IF($G$6="",0,IF(W54&gt;'General Information'!$D$33,0,IF(W54=0,$J$6,IFERROR(SUMIF(INDIRECT("'"&amp;$G$6&amp;"'!$C$37:$C$52"),W54,INDIRECT("'"&amp;$G$6&amp;"'!$D$37:$D$52")),0))))</f>
        <v>0</v>
      </c>
      <c r="AB54" s="129" t="n">
        <f aca="true">IF($G$7="",0,IF(W54&gt;'General Information'!$D$33,0,IF(W54=0,$J$7,IFERROR(SUMIF(INDIRECT("'"&amp;$G$7&amp;"'!$C$37:$C$52"),W54,INDIRECT("'"&amp;$G$7&amp;"'!$D$37:$D$52")),0))))</f>
        <v>0</v>
      </c>
      <c r="AC54" s="129" t="n">
        <f aca="true">IF($G$4="",0,AC53+IF(W54&gt;'General Information'!$D$33,0,IF(W54=0,$J$4,IFERROR(SUMIF(INDIRECT("'"&amp;$G$4&amp;"'!$C$37:$C$52"),W54,INDIRECT("'"&amp;$G$4&amp;"'!$E$37:$E$52")),0))))</f>
        <v>8209631.07043672</v>
      </c>
      <c r="AD54" s="129" t="n">
        <f aca="true">IF($G$5="",0,AD53+IF(W54&gt;'General Information'!$D$33,0,IF(W54=0,$J$5,IFERROR(SUMIF(INDIRECT("'"&amp;$G$5&amp;"'!$C$37:$C$52"),W54,INDIRECT("'"&amp;$G$5&amp;"'!$E$37:$E$52")),0))))</f>
        <v>9062465.75</v>
      </c>
      <c r="AE54" s="129" t="n">
        <f aca="true">IF($G$6="",0,AE53+IF(W54&gt;'General Information'!$D$33,0,IF(W54=0,$J$6,IFERROR(SUMIF(INDIRECT("'"&amp;$G$6&amp;"'!$C$37:$C$52"),W54,INDIRECT("'"&amp;$G$6&amp;"'!$E$37:$E$52")),0))))</f>
        <v>0</v>
      </c>
      <c r="AF54" s="129" t="n">
        <f aca="true">IF($G$7="",0,AF53+IF(W54&gt;'General Information'!$D$33,0,IF(W54=0,$J$7,IFERROR(SUMIF(INDIRECT("'"&amp;$G$7&amp;"'!$C$37:$C$52"),W54,INDIRECT("'"&amp;$G$7&amp;"'!$E$37:$E$52")),0))))</f>
        <v>0</v>
      </c>
      <c r="AG54" s="133" t="n">
        <f aca="true">IF($G$4="",0,IF(W54&gt;'General Information'!$D$33,0,IFERROR(SUMIFS(INDIRECT("'"&amp;$G$4&amp;"'!$D$37:$D$52"),INDIRECT("'"&amp;$G$4&amp;"'!$C$37:$C$52"),W54,INDIRECT("'"&amp;$G$4&amp;"'!$B$37:$B$52"),"*Indirect*")/INDIRECT("'"&amp;$G$4&amp;"'!$F$2"),0)))</f>
        <v>0</v>
      </c>
      <c r="AH54" s="133" t="n">
        <f aca="true">IF($G$5="",0,IF(W54&gt;'General Information'!$D$33,0,IFERROR(SUMIFS(INDIRECT("'"&amp;$G$5&amp;"'!$D$37:$D$52"),INDIRECT("'"&amp;$G$5&amp;"'!$C$37:$C$52"),W54,INDIRECT("'"&amp;$G$5&amp;"'!$B$37:$B$52"),"*Indirect*")/INDIRECT("'"&amp;$G$5&amp;"'!$F$2"),0)))</f>
        <v>0</v>
      </c>
      <c r="AI54" s="133" t="n">
        <f aca="true">IF($G$6="",0,IF(W54&gt;'General Information'!$D$33,0,IFERROR(SUMIFS(INDIRECT("'"&amp;$G$6&amp;"'!$D$37:$D$52"),INDIRECT("'"&amp;$G$6&amp;"'!$C$37:$C$52"),W54,INDIRECT("'"&amp;$G$6&amp;"'!$B$37:$B$52"),"*Indirect*")/INDIRECT("'"&amp;$G$6&amp;"'!$F$2"),0)))</f>
        <v>0</v>
      </c>
      <c r="AJ54" s="133" t="n">
        <f aca="true">IF($G$7="",0,IF(W54&gt;'General Information'!$D$33,0,IFERROR(SUMIFS(INDIRECT("'"&amp;$G$7&amp;"'!$D$37:$D$52"),INDIRECT("'"&amp;$G$7&amp;"'!$C$37:$C$52"),W54,INDIRECT("'"&amp;$G$7&amp;"'!$B$37:$B$52"),"*Indirect*")/INDIRECT("'"&amp;$G$7&amp;"'!$F$2"),0)))</f>
        <v>0</v>
      </c>
    </row>
    <row r="55" customFormat="false" ht="15" hidden="false" customHeight="false" outlineLevel="0" collapsed="false">
      <c r="W55" s="128" t="n">
        <v>14</v>
      </c>
      <c r="X55" s="128" t="n">
        <f aca="false">'General Information'!$D$25+W55</f>
        <v>2042</v>
      </c>
      <c r="Y55" s="129" t="n">
        <f aca="true">IF($G$4="",0,IF(W55&gt;'General Information'!$D$33,0,IF(W55=0,$J$4,IFERROR(SUMIF(INDIRECT("'"&amp;$G$4&amp;"'!$C$37:$C$52"),W55,INDIRECT("'"&amp;$G$4&amp;"'!$D$37:$D$52")),0))))</f>
        <v>0</v>
      </c>
      <c r="Z55" s="129" t="n">
        <f aca="true">IF($G$5="",0,IF(W55&gt;'General Information'!$D$33,0,IF(W55=0,$J$5,IFERROR(SUMIF(INDIRECT("'"&amp;$G$5&amp;"'!$C$37:$C$52"),W55,INDIRECT("'"&amp;$G$5&amp;"'!$D$37:$D$52")),0))))</f>
        <v>0</v>
      </c>
      <c r="AA55" s="129" t="n">
        <f aca="true">IF($G$6="",0,IF(W55&gt;'General Information'!$D$33,0,IF(W55=0,$J$6,IFERROR(SUMIF(INDIRECT("'"&amp;$G$6&amp;"'!$C$37:$C$52"),W55,INDIRECT("'"&amp;$G$6&amp;"'!$D$37:$D$52")),0))))</f>
        <v>0</v>
      </c>
      <c r="AB55" s="129" t="n">
        <f aca="true">IF($G$7="",0,IF(W55&gt;'General Information'!$D$33,0,IF(W55=0,$J$7,IFERROR(SUMIF(INDIRECT("'"&amp;$G$7&amp;"'!$C$37:$C$52"),W55,INDIRECT("'"&amp;$G$7&amp;"'!$D$37:$D$52")),0))))</f>
        <v>0</v>
      </c>
      <c r="AC55" s="129" t="n">
        <f aca="true">IF($G$4="",0,AC54+IF(W55&gt;'General Information'!$D$33,0,IF(W55=0,$J$4,IFERROR(SUMIF(INDIRECT("'"&amp;$G$4&amp;"'!$C$37:$C$52"),W55,INDIRECT("'"&amp;$G$4&amp;"'!$E$37:$E$52")),0))))</f>
        <v>8209631.07043672</v>
      </c>
      <c r="AD55" s="129" t="n">
        <f aca="true">IF($G$5="",0,AD54+IF(W55&gt;'General Information'!$D$33,0,IF(W55=0,$J$5,IFERROR(SUMIF(INDIRECT("'"&amp;$G$5&amp;"'!$C$37:$C$52"),W55,INDIRECT("'"&amp;$G$5&amp;"'!$E$37:$E$52")),0))))</f>
        <v>9062465.75</v>
      </c>
      <c r="AE55" s="129" t="n">
        <f aca="true">IF($G$6="",0,AE54+IF(W55&gt;'General Information'!$D$33,0,IF(W55=0,$J$6,IFERROR(SUMIF(INDIRECT("'"&amp;$G$6&amp;"'!$C$37:$C$52"),W55,INDIRECT("'"&amp;$G$6&amp;"'!$E$37:$E$52")),0))))</f>
        <v>0</v>
      </c>
      <c r="AF55" s="129" t="n">
        <f aca="true">IF($G$7="",0,AF54+IF(W55&gt;'General Information'!$D$33,0,IF(W55=0,$J$7,IFERROR(SUMIF(INDIRECT("'"&amp;$G$7&amp;"'!$C$37:$C$52"),W55,INDIRECT("'"&amp;$G$7&amp;"'!$E$37:$E$52")),0))))</f>
        <v>0</v>
      </c>
      <c r="AG55" s="133" t="n">
        <f aca="true">IF($G$4="",0,IF(W55&gt;'General Information'!$D$33,0,IFERROR(SUMIFS(INDIRECT("'"&amp;$G$4&amp;"'!$D$37:$D$52"),INDIRECT("'"&amp;$G$4&amp;"'!$C$37:$C$52"),W55,INDIRECT("'"&amp;$G$4&amp;"'!$B$37:$B$52"),"*Indirect*")/INDIRECT("'"&amp;$G$4&amp;"'!$F$2"),0)))</f>
        <v>0</v>
      </c>
      <c r="AH55" s="133" t="n">
        <f aca="true">IF($G$5="",0,IF(W55&gt;'General Information'!$D$33,0,IFERROR(SUMIFS(INDIRECT("'"&amp;$G$5&amp;"'!$D$37:$D$52"),INDIRECT("'"&amp;$G$5&amp;"'!$C$37:$C$52"),W55,INDIRECT("'"&amp;$G$5&amp;"'!$B$37:$B$52"),"*Indirect*")/INDIRECT("'"&amp;$G$5&amp;"'!$F$2"),0)))</f>
        <v>0</v>
      </c>
      <c r="AI55" s="133" t="n">
        <f aca="true">IF($G$6="",0,IF(W55&gt;'General Information'!$D$33,0,IFERROR(SUMIFS(INDIRECT("'"&amp;$G$6&amp;"'!$D$37:$D$52"),INDIRECT("'"&amp;$G$6&amp;"'!$C$37:$C$52"),W55,INDIRECT("'"&amp;$G$6&amp;"'!$B$37:$B$52"),"*Indirect*")/INDIRECT("'"&amp;$G$6&amp;"'!$F$2"),0)))</f>
        <v>0</v>
      </c>
      <c r="AJ55" s="133" t="n">
        <f aca="true">IF($G$7="",0,IF(W55&gt;'General Information'!$D$33,0,IFERROR(SUMIFS(INDIRECT("'"&amp;$G$7&amp;"'!$D$37:$D$52"),INDIRECT("'"&amp;$G$7&amp;"'!$C$37:$C$52"),W55,INDIRECT("'"&amp;$G$7&amp;"'!$B$37:$B$52"),"*Indirect*")/INDIRECT("'"&amp;$G$7&amp;"'!$F$2"),0)))</f>
        <v>0</v>
      </c>
    </row>
    <row r="56" customFormat="false" ht="15" hidden="false" customHeight="false" outlineLevel="0" collapsed="false">
      <c r="W56" s="128" t="n">
        <v>15</v>
      </c>
      <c r="X56" s="128" t="n">
        <f aca="false">'General Information'!$D$25+W56</f>
        <v>2043</v>
      </c>
      <c r="Y56" s="129" t="n">
        <f aca="true">IF($G$4="",0,IF(W56&gt;'General Information'!$D$33,0,IF(W56=0,$J$4,IFERROR(SUMIF(INDIRECT("'"&amp;$G$4&amp;"'!$C$37:$C$52"),W56,INDIRECT("'"&amp;$G$4&amp;"'!$D$37:$D$52")),0))))</f>
        <v>0</v>
      </c>
      <c r="Z56" s="129" t="n">
        <f aca="true">IF($G$5="",0,IF(W56&gt;'General Information'!$D$33,0,IF(W56=0,$J$5,IFERROR(SUMIF(INDIRECT("'"&amp;$G$5&amp;"'!$C$37:$C$52"),W56,INDIRECT("'"&amp;$G$5&amp;"'!$D$37:$D$52")),0))))</f>
        <v>0</v>
      </c>
      <c r="AA56" s="129" t="n">
        <f aca="true">IF($G$6="",0,IF(W56&gt;'General Information'!$D$33,0,IF(W56=0,$J$6,IFERROR(SUMIF(INDIRECT("'"&amp;$G$6&amp;"'!$C$37:$C$52"),W56,INDIRECT("'"&amp;$G$6&amp;"'!$D$37:$D$52")),0))))</f>
        <v>0</v>
      </c>
      <c r="AB56" s="129" t="n">
        <f aca="true">IF($G$7="",0,IF(W56&gt;'General Information'!$D$33,0,IF(W56=0,$J$7,IFERROR(SUMIF(INDIRECT("'"&amp;$G$7&amp;"'!$C$37:$C$52"),W56,INDIRECT("'"&amp;$G$7&amp;"'!$D$37:$D$52")),0))))</f>
        <v>0</v>
      </c>
      <c r="AC56" s="129" t="n">
        <f aca="true">IF($G$4="",0,AC55+IF(W56&gt;'General Information'!$D$33,0,IF(W56=0,$J$4,IFERROR(SUMIF(INDIRECT("'"&amp;$G$4&amp;"'!$C$37:$C$52"),W56,INDIRECT("'"&amp;$G$4&amp;"'!$E$37:$E$52")),0))))</f>
        <v>8209631.07043672</v>
      </c>
      <c r="AD56" s="129" t="n">
        <f aca="true">IF($G$5="",0,AD55+IF(W56&gt;'General Information'!$D$33,0,IF(W56=0,$J$5,IFERROR(SUMIF(INDIRECT("'"&amp;$G$5&amp;"'!$C$37:$C$52"),W56,INDIRECT("'"&amp;$G$5&amp;"'!$E$37:$E$52")),0))))</f>
        <v>9062465.75</v>
      </c>
      <c r="AE56" s="129" t="n">
        <f aca="true">IF($G$6="",0,AE55+IF(W56&gt;'General Information'!$D$33,0,IF(W56=0,$J$6,IFERROR(SUMIF(INDIRECT("'"&amp;$G$6&amp;"'!$C$37:$C$52"),W56,INDIRECT("'"&amp;$G$6&amp;"'!$E$37:$E$52")),0))))</f>
        <v>0</v>
      </c>
      <c r="AF56" s="129" t="n">
        <f aca="true">IF($G$7="",0,AF55+IF(W56&gt;'General Information'!$D$33,0,IF(W56=0,$J$7,IFERROR(SUMIF(INDIRECT("'"&amp;$G$7&amp;"'!$C$37:$C$52"),W56,INDIRECT("'"&amp;$G$7&amp;"'!$E$37:$E$52")),0))))</f>
        <v>0</v>
      </c>
      <c r="AG56" s="133" t="n">
        <f aca="true">IF($G$4="",0,IF(W56&gt;'General Information'!$D$33,0,IFERROR(SUMIFS(INDIRECT("'"&amp;$G$4&amp;"'!$D$37:$D$52"),INDIRECT("'"&amp;$G$4&amp;"'!$C$37:$C$52"),W56,INDIRECT("'"&amp;$G$4&amp;"'!$B$37:$B$52"),"*Indirect*")/INDIRECT("'"&amp;$G$4&amp;"'!$F$2"),0)))</f>
        <v>0</v>
      </c>
      <c r="AH56" s="133" t="n">
        <f aca="true">IF($G$5="",0,IF(W56&gt;'General Information'!$D$33,0,IFERROR(SUMIFS(INDIRECT("'"&amp;$G$5&amp;"'!$D$37:$D$52"),INDIRECT("'"&amp;$G$5&amp;"'!$C$37:$C$52"),W56,INDIRECT("'"&amp;$G$5&amp;"'!$B$37:$B$52"),"*Indirect*")/INDIRECT("'"&amp;$G$5&amp;"'!$F$2"),0)))</f>
        <v>0</v>
      </c>
      <c r="AI56" s="133" t="n">
        <f aca="true">IF($G$6="",0,IF(W56&gt;'General Information'!$D$33,0,IFERROR(SUMIFS(INDIRECT("'"&amp;$G$6&amp;"'!$D$37:$D$52"),INDIRECT("'"&amp;$G$6&amp;"'!$C$37:$C$52"),W56,INDIRECT("'"&amp;$G$6&amp;"'!$B$37:$B$52"),"*Indirect*")/INDIRECT("'"&amp;$G$6&amp;"'!$F$2"),0)))</f>
        <v>0</v>
      </c>
      <c r="AJ56" s="133" t="n">
        <f aca="true">IF($G$7="",0,IF(W56&gt;'General Information'!$D$33,0,IFERROR(SUMIFS(INDIRECT("'"&amp;$G$7&amp;"'!$D$37:$D$52"),INDIRECT("'"&amp;$G$7&amp;"'!$C$37:$C$52"),W56,INDIRECT("'"&amp;$G$7&amp;"'!$B$37:$B$52"),"*Indirect*")/INDIRECT("'"&amp;$G$7&amp;"'!$F$2"),0)))</f>
        <v>0</v>
      </c>
    </row>
    <row r="57" customFormat="false" ht="15" hidden="false" customHeight="false" outlineLevel="0" collapsed="false">
      <c r="W57" s="128" t="n">
        <v>16</v>
      </c>
      <c r="X57" s="128" t="n">
        <f aca="false">'General Information'!$D$25+W57</f>
        <v>2044</v>
      </c>
      <c r="Y57" s="129" t="n">
        <f aca="true">IF($G$4="",0,IF(W57&gt;'General Information'!$D$33,0,IF(W57=0,$J$4,IFERROR(SUMIF(INDIRECT("'"&amp;$G$4&amp;"'!$C$37:$C$52"),W57,INDIRECT("'"&amp;$G$4&amp;"'!$D$37:$D$52")),0))))</f>
        <v>515990.152916667</v>
      </c>
      <c r="Z57" s="129" t="n">
        <f aca="true">IF($G$5="",0,IF(W57&gt;'General Information'!$D$33,0,IF(W57=0,$J$5,IFERROR(SUMIF(INDIRECT("'"&amp;$G$5&amp;"'!$C$37:$C$52"),W57,INDIRECT("'"&amp;$G$5&amp;"'!$D$37:$D$52")),0))))</f>
        <v>0</v>
      </c>
      <c r="AA57" s="129" t="n">
        <f aca="true">IF($G$6="",0,IF(W57&gt;'General Information'!$D$33,0,IF(W57=0,$J$6,IFERROR(SUMIF(INDIRECT("'"&amp;$G$6&amp;"'!$C$37:$C$52"),W57,INDIRECT("'"&amp;$G$6&amp;"'!$D$37:$D$52")),0))))</f>
        <v>0</v>
      </c>
      <c r="AB57" s="129" t="n">
        <f aca="true">IF($G$7="",0,IF(W57&gt;'General Information'!$D$33,0,IF(W57=0,$J$7,IFERROR(SUMIF(INDIRECT("'"&amp;$G$7&amp;"'!$C$37:$C$52"),W57,INDIRECT("'"&amp;$G$7&amp;"'!$D$37:$D$52")),0))))</f>
        <v>0</v>
      </c>
      <c r="AC57" s="129" t="n">
        <f aca="true">IF($G$4="",0,AC56+IF(W57&gt;'General Information'!$D$33,0,IF(W57=0,$J$4,IFERROR(SUMIF(INDIRECT("'"&amp;$G$4&amp;"'!$C$37:$C$52"),W57,INDIRECT("'"&amp;$G$4&amp;"'!$E$37:$E$52")),0))))</f>
        <v>8531179.07469751</v>
      </c>
      <c r="AD57" s="129" t="n">
        <f aca="true">IF($G$5="",0,AD56+IF(W57&gt;'General Information'!$D$33,0,IF(W57=0,$J$5,IFERROR(SUMIF(INDIRECT("'"&amp;$G$5&amp;"'!$C$37:$C$52"),W57,INDIRECT("'"&amp;$G$5&amp;"'!$E$37:$E$52")),0))))</f>
        <v>9062465.75</v>
      </c>
      <c r="AE57" s="129" t="n">
        <f aca="true">IF($G$6="",0,AE56+IF(W57&gt;'General Information'!$D$33,0,IF(W57=0,$J$6,IFERROR(SUMIF(INDIRECT("'"&amp;$G$6&amp;"'!$C$37:$C$52"),W57,INDIRECT("'"&amp;$G$6&amp;"'!$E$37:$E$52")),0))))</f>
        <v>0</v>
      </c>
      <c r="AF57" s="129" t="n">
        <f aca="true">IF($G$7="",0,AF56+IF(W57&gt;'General Information'!$D$33,0,IF(W57=0,$J$7,IFERROR(SUMIF(INDIRECT("'"&amp;$G$7&amp;"'!$C$37:$C$52"),W57,INDIRECT("'"&amp;$G$7&amp;"'!$E$37:$E$52")),0))))</f>
        <v>0</v>
      </c>
      <c r="AG57" s="133" t="n">
        <f aca="true">IF($G$4="",0,IF(W57&gt;'General Information'!$D$33,0,IFERROR(SUMIFS(INDIRECT("'"&amp;$G$4&amp;"'!$D$37:$D$52"),INDIRECT("'"&amp;$G$4&amp;"'!$C$37:$C$52"),W57,INDIRECT("'"&amp;$G$4&amp;"'!$B$37:$B$52"),"*Indirect*")/INDIRECT("'"&amp;$G$4&amp;"'!$F$2"),0)))</f>
        <v>9</v>
      </c>
      <c r="AH57" s="133" t="n">
        <f aca="true">IF($G$5="",0,IF(W57&gt;'General Information'!$D$33,0,IFERROR(SUMIFS(INDIRECT("'"&amp;$G$5&amp;"'!$D$37:$D$52"),INDIRECT("'"&amp;$G$5&amp;"'!$C$37:$C$52"),W57,INDIRECT("'"&amp;$G$5&amp;"'!$B$37:$B$52"),"*Indirect*")/INDIRECT("'"&amp;$G$5&amp;"'!$F$2"),0)))</f>
        <v>0</v>
      </c>
      <c r="AI57" s="133" t="n">
        <f aca="true">IF($G$6="",0,IF(W57&gt;'General Information'!$D$33,0,IFERROR(SUMIFS(INDIRECT("'"&amp;$G$6&amp;"'!$D$37:$D$52"),INDIRECT("'"&amp;$G$6&amp;"'!$C$37:$C$52"),W57,INDIRECT("'"&amp;$G$6&amp;"'!$B$37:$B$52"),"*Indirect*")/INDIRECT("'"&amp;$G$6&amp;"'!$F$2"),0)))</f>
        <v>0</v>
      </c>
      <c r="AJ57" s="133" t="n">
        <f aca="true">IF($G$7="",0,IF(W57&gt;'General Information'!$D$33,0,IFERROR(SUMIFS(INDIRECT("'"&amp;$G$7&amp;"'!$D$37:$D$52"),INDIRECT("'"&amp;$G$7&amp;"'!$C$37:$C$52"),W57,INDIRECT("'"&amp;$G$7&amp;"'!$B$37:$B$52"),"*Indirect*")/INDIRECT("'"&amp;$G$7&amp;"'!$F$2"),0)))</f>
        <v>0</v>
      </c>
    </row>
    <row r="58" customFormat="false" ht="15" hidden="false" customHeight="false" outlineLevel="0" collapsed="false">
      <c r="W58" s="128" t="n">
        <v>17</v>
      </c>
      <c r="X58" s="128" t="n">
        <f aca="false">'General Information'!$D$25+W58</f>
        <v>2045</v>
      </c>
      <c r="Y58" s="129" t="n">
        <f aca="true">IF($G$4="",0,IF(W58&gt;'General Information'!$D$33,0,IF(W58=0,$J$4,IFERROR(SUMIF(INDIRECT("'"&amp;$G$4&amp;"'!$C$37:$C$52"),W58,INDIRECT("'"&amp;$G$4&amp;"'!$D$37:$D$52")),0))))</f>
        <v>0</v>
      </c>
      <c r="Z58" s="129" t="n">
        <f aca="true">IF($G$5="",0,IF(W58&gt;'General Information'!$D$33,0,IF(W58=0,$J$5,IFERROR(SUMIF(INDIRECT("'"&amp;$G$5&amp;"'!$C$37:$C$52"),W58,INDIRECT("'"&amp;$G$5&amp;"'!$D$37:$D$52")),0))))</f>
        <v>0</v>
      </c>
      <c r="AA58" s="129" t="n">
        <f aca="true">IF($G$6="",0,IF(W58&gt;'General Information'!$D$33,0,IF(W58=0,$J$6,IFERROR(SUMIF(INDIRECT("'"&amp;$G$6&amp;"'!$C$37:$C$52"),W58,INDIRECT("'"&amp;$G$6&amp;"'!$D$37:$D$52")),0))))</f>
        <v>0</v>
      </c>
      <c r="AB58" s="129" t="n">
        <f aca="true">IF($G$7="",0,IF(W58&gt;'General Information'!$D$33,0,IF(W58=0,$J$7,IFERROR(SUMIF(INDIRECT("'"&amp;$G$7&amp;"'!$C$37:$C$52"),W58,INDIRECT("'"&amp;$G$7&amp;"'!$D$37:$D$52")),0))))</f>
        <v>0</v>
      </c>
      <c r="AC58" s="129" t="n">
        <f aca="true">IF($G$4="",0,AC57+IF(W58&gt;'General Information'!$D$33,0,IF(W58=0,$J$4,IFERROR(SUMIF(INDIRECT("'"&amp;$G$4&amp;"'!$C$37:$C$52"),W58,INDIRECT("'"&amp;$G$4&amp;"'!$E$37:$E$52")),0))))</f>
        <v>8531179.07469751</v>
      </c>
      <c r="AD58" s="129" t="n">
        <f aca="true">IF($G$5="",0,AD57+IF(W58&gt;'General Information'!$D$33,0,IF(W58=0,$J$5,IFERROR(SUMIF(INDIRECT("'"&amp;$G$5&amp;"'!$C$37:$C$52"),W58,INDIRECT("'"&amp;$G$5&amp;"'!$E$37:$E$52")),0))))</f>
        <v>9062465.75</v>
      </c>
      <c r="AE58" s="129" t="n">
        <f aca="true">IF($G$6="",0,AE57+IF(W58&gt;'General Information'!$D$33,0,IF(W58=0,$J$6,IFERROR(SUMIF(INDIRECT("'"&amp;$G$6&amp;"'!$C$37:$C$52"),W58,INDIRECT("'"&amp;$G$6&amp;"'!$E$37:$E$52")),0))))</f>
        <v>0</v>
      </c>
      <c r="AF58" s="129" t="n">
        <f aca="true">IF($G$7="",0,AF57+IF(W58&gt;'General Information'!$D$33,0,IF(W58=0,$J$7,IFERROR(SUMIF(INDIRECT("'"&amp;$G$7&amp;"'!$C$37:$C$52"),W58,INDIRECT("'"&amp;$G$7&amp;"'!$E$37:$E$52")),0))))</f>
        <v>0</v>
      </c>
      <c r="AG58" s="133" t="n">
        <f aca="true">IF($G$4="",0,IF(W58&gt;'General Information'!$D$33,0,IFERROR(SUMIFS(INDIRECT("'"&amp;$G$4&amp;"'!$D$37:$D$52"),INDIRECT("'"&amp;$G$4&amp;"'!$C$37:$C$52"),W58,INDIRECT("'"&amp;$G$4&amp;"'!$B$37:$B$52"),"*Indirect*")/INDIRECT("'"&amp;$G$4&amp;"'!$F$2"),0)))</f>
        <v>0</v>
      </c>
      <c r="AH58" s="133" t="n">
        <f aca="true">IF($G$5="",0,IF(W58&gt;'General Information'!$D$33,0,IFERROR(SUMIFS(INDIRECT("'"&amp;$G$5&amp;"'!$D$37:$D$52"),INDIRECT("'"&amp;$G$5&amp;"'!$C$37:$C$52"),W58,INDIRECT("'"&amp;$G$5&amp;"'!$B$37:$B$52"),"*Indirect*")/INDIRECT("'"&amp;$G$5&amp;"'!$F$2"),0)))</f>
        <v>0</v>
      </c>
      <c r="AI58" s="133" t="n">
        <f aca="true">IF($G$6="",0,IF(W58&gt;'General Information'!$D$33,0,IFERROR(SUMIFS(INDIRECT("'"&amp;$G$6&amp;"'!$D$37:$D$52"),INDIRECT("'"&amp;$G$6&amp;"'!$C$37:$C$52"),W58,INDIRECT("'"&amp;$G$6&amp;"'!$B$37:$B$52"),"*Indirect*")/INDIRECT("'"&amp;$G$6&amp;"'!$F$2"),0)))</f>
        <v>0</v>
      </c>
      <c r="AJ58" s="133" t="n">
        <f aca="true">IF($G$7="",0,IF(W58&gt;'General Information'!$D$33,0,IFERROR(SUMIFS(INDIRECT("'"&amp;$G$7&amp;"'!$D$37:$D$52"),INDIRECT("'"&amp;$G$7&amp;"'!$C$37:$C$52"),W58,INDIRECT("'"&amp;$G$7&amp;"'!$B$37:$B$52"),"*Indirect*")/INDIRECT("'"&amp;$G$7&amp;"'!$F$2"),0)))</f>
        <v>0</v>
      </c>
    </row>
    <row r="59" customFormat="false" ht="15" hidden="false" customHeight="false" outlineLevel="0" collapsed="false">
      <c r="W59" s="128" t="n">
        <v>18</v>
      </c>
      <c r="X59" s="128" t="n">
        <f aca="false">'General Information'!$D$25+W59</f>
        <v>2046</v>
      </c>
      <c r="Y59" s="129" t="n">
        <f aca="true">IF($G$4="",0,IF(W59&gt;'General Information'!$D$33,0,IF(W59=0,$J$4,IFERROR(SUMIF(INDIRECT("'"&amp;$G$4&amp;"'!$C$37:$C$52"),W59,INDIRECT("'"&amp;$G$4&amp;"'!$D$37:$D$52")),0))))</f>
        <v>0</v>
      </c>
      <c r="Z59" s="129" t="n">
        <f aca="true">IF($G$5="",0,IF(W59&gt;'General Information'!$D$33,0,IF(W59=0,$J$5,IFERROR(SUMIF(INDIRECT("'"&amp;$G$5&amp;"'!$C$37:$C$52"),W59,INDIRECT("'"&amp;$G$5&amp;"'!$D$37:$D$52")),0))))</f>
        <v>0</v>
      </c>
      <c r="AA59" s="129" t="n">
        <f aca="true">IF($G$6="",0,IF(W59&gt;'General Information'!$D$33,0,IF(W59=0,$J$6,IFERROR(SUMIF(INDIRECT("'"&amp;$G$6&amp;"'!$C$37:$C$52"),W59,INDIRECT("'"&amp;$G$6&amp;"'!$D$37:$D$52")),0))))</f>
        <v>0</v>
      </c>
      <c r="AB59" s="129" t="n">
        <f aca="true">IF($G$7="",0,IF(W59&gt;'General Information'!$D$33,0,IF(W59=0,$J$7,IFERROR(SUMIF(INDIRECT("'"&amp;$G$7&amp;"'!$C$37:$C$52"),W59,INDIRECT("'"&amp;$G$7&amp;"'!$D$37:$D$52")),0))))</f>
        <v>0</v>
      </c>
      <c r="AC59" s="129" t="n">
        <f aca="true">IF($G$4="",0,AC58+IF(W59&gt;'General Information'!$D$33,0,IF(W59=0,$J$4,IFERROR(SUMIF(INDIRECT("'"&amp;$G$4&amp;"'!$C$37:$C$52"),W59,INDIRECT("'"&amp;$G$4&amp;"'!$E$37:$E$52")),0))))</f>
        <v>8531179.07469751</v>
      </c>
      <c r="AD59" s="129" t="n">
        <f aca="true">IF($G$5="",0,AD58+IF(W59&gt;'General Information'!$D$33,0,IF(W59=0,$J$5,IFERROR(SUMIF(INDIRECT("'"&amp;$G$5&amp;"'!$C$37:$C$52"),W59,INDIRECT("'"&amp;$G$5&amp;"'!$E$37:$E$52")),0))))</f>
        <v>9062465.75</v>
      </c>
      <c r="AE59" s="129" t="n">
        <f aca="true">IF($G$6="",0,AE58+IF(W59&gt;'General Information'!$D$33,0,IF(W59=0,$J$6,IFERROR(SUMIF(INDIRECT("'"&amp;$G$6&amp;"'!$C$37:$C$52"),W59,INDIRECT("'"&amp;$G$6&amp;"'!$E$37:$E$52")),0))))</f>
        <v>0</v>
      </c>
      <c r="AF59" s="129" t="n">
        <f aca="true">IF($G$7="",0,AF58+IF(W59&gt;'General Information'!$D$33,0,IF(W59=0,$J$7,IFERROR(SUMIF(INDIRECT("'"&amp;$G$7&amp;"'!$C$37:$C$52"),W59,INDIRECT("'"&amp;$G$7&amp;"'!$E$37:$E$52")),0))))</f>
        <v>0</v>
      </c>
      <c r="AG59" s="133" t="n">
        <f aca="true">IF($G$4="",0,IF(W59&gt;'General Information'!$D$33,0,IFERROR(SUMIFS(INDIRECT("'"&amp;$G$4&amp;"'!$D$37:$D$52"),INDIRECT("'"&amp;$G$4&amp;"'!$C$37:$C$52"),W59,INDIRECT("'"&amp;$G$4&amp;"'!$B$37:$B$52"),"*Indirect*")/INDIRECT("'"&amp;$G$4&amp;"'!$F$2"),0)))</f>
        <v>0</v>
      </c>
      <c r="AH59" s="133" t="n">
        <f aca="true">IF($G$5="",0,IF(W59&gt;'General Information'!$D$33,0,IFERROR(SUMIFS(INDIRECT("'"&amp;$G$5&amp;"'!$D$37:$D$52"),INDIRECT("'"&amp;$G$5&amp;"'!$C$37:$C$52"),W59,INDIRECT("'"&amp;$G$5&amp;"'!$B$37:$B$52"),"*Indirect*")/INDIRECT("'"&amp;$G$5&amp;"'!$F$2"),0)))</f>
        <v>0</v>
      </c>
      <c r="AI59" s="133" t="n">
        <f aca="true">IF($G$6="",0,IF(W59&gt;'General Information'!$D$33,0,IFERROR(SUMIFS(INDIRECT("'"&amp;$G$6&amp;"'!$D$37:$D$52"),INDIRECT("'"&amp;$G$6&amp;"'!$C$37:$C$52"),W59,INDIRECT("'"&amp;$G$6&amp;"'!$B$37:$B$52"),"*Indirect*")/INDIRECT("'"&amp;$G$6&amp;"'!$F$2"),0)))</f>
        <v>0</v>
      </c>
      <c r="AJ59" s="133" t="n">
        <f aca="true">IF($G$7="",0,IF(W59&gt;'General Information'!$D$33,0,IFERROR(SUMIFS(INDIRECT("'"&amp;$G$7&amp;"'!$D$37:$D$52"),INDIRECT("'"&amp;$G$7&amp;"'!$C$37:$C$52"),W59,INDIRECT("'"&amp;$G$7&amp;"'!$B$37:$B$52"),"*Indirect*")/INDIRECT("'"&amp;$G$7&amp;"'!$F$2"),0)))</f>
        <v>0</v>
      </c>
    </row>
    <row r="60" customFormat="false" ht="15" hidden="false" customHeight="false" outlineLevel="0" collapsed="false">
      <c r="W60" s="128" t="n">
        <v>19</v>
      </c>
      <c r="X60" s="128" t="n">
        <f aca="false">'General Information'!$D$25+W60</f>
        <v>2047</v>
      </c>
      <c r="Y60" s="129" t="n">
        <f aca="true">IF($G$4="",0,IF(W60&gt;'General Information'!$D$33,0,IF(W60=0,$J$4,IFERROR(SUMIF(INDIRECT("'"&amp;$G$4&amp;"'!$C$37:$C$52"),W60,INDIRECT("'"&amp;$G$4&amp;"'!$D$37:$D$52")),0))))</f>
        <v>0</v>
      </c>
      <c r="Z60" s="129" t="n">
        <f aca="true">IF($G$5="",0,IF(W60&gt;'General Information'!$D$33,0,IF(W60=0,$J$5,IFERROR(SUMIF(INDIRECT("'"&amp;$G$5&amp;"'!$C$37:$C$52"),W60,INDIRECT("'"&amp;$G$5&amp;"'!$D$37:$D$52")),0))))</f>
        <v>948718.4816</v>
      </c>
      <c r="AA60" s="129" t="n">
        <f aca="true">IF($G$6="",0,IF(W60&gt;'General Information'!$D$33,0,IF(W60=0,$J$6,IFERROR(SUMIF(INDIRECT("'"&amp;$G$6&amp;"'!$C$37:$C$52"),W60,INDIRECT("'"&amp;$G$6&amp;"'!$D$37:$D$52")),0))))</f>
        <v>0</v>
      </c>
      <c r="AB60" s="129" t="n">
        <f aca="true">IF($G$7="",0,IF(W60&gt;'General Information'!$D$33,0,IF(W60=0,$J$7,IFERROR(SUMIF(INDIRECT("'"&amp;$G$7&amp;"'!$C$37:$C$52"),W60,INDIRECT("'"&amp;$G$7&amp;"'!$D$37:$D$52")),0))))</f>
        <v>0</v>
      </c>
      <c r="AC60" s="129" t="n">
        <f aca="true">IF($G$4="",0,AC59+IF(W60&gt;'General Information'!$D$33,0,IF(W60=0,$J$4,IFERROR(SUMIF(INDIRECT("'"&amp;$G$4&amp;"'!$C$37:$C$52"),W60,INDIRECT("'"&amp;$G$4&amp;"'!$E$37:$E$52")),0))))</f>
        <v>8531179.07469751</v>
      </c>
      <c r="AD60" s="129" t="n">
        <f aca="true">IF($G$5="",0,AD59+IF(W60&gt;'General Information'!$D$33,0,IF(W60=0,$J$5,IFERROR(SUMIF(INDIRECT("'"&amp;$G$5&amp;"'!$C$37:$C$52"),W60,INDIRECT("'"&amp;$G$5&amp;"'!$E$37:$E$52")),0))))</f>
        <v>9603506.64343471</v>
      </c>
      <c r="AE60" s="129" t="n">
        <f aca="true">IF($G$6="",0,AE59+IF(W60&gt;'General Information'!$D$33,0,IF(W60=0,$J$6,IFERROR(SUMIF(INDIRECT("'"&amp;$G$6&amp;"'!$C$37:$C$52"),W60,INDIRECT("'"&amp;$G$6&amp;"'!$E$37:$E$52")),0))))</f>
        <v>0</v>
      </c>
      <c r="AF60" s="129" t="n">
        <f aca="true">IF($G$7="",0,AF59+IF(W60&gt;'General Information'!$D$33,0,IF(W60=0,$J$7,IFERROR(SUMIF(INDIRECT("'"&amp;$G$7&amp;"'!$C$37:$C$52"),W60,INDIRECT("'"&amp;$G$7&amp;"'!$E$37:$E$52")),0))))</f>
        <v>0</v>
      </c>
      <c r="AG60" s="133" t="n">
        <f aca="true">IF($G$4="",0,IF(W60&gt;'General Information'!$D$33,0,IFERROR(SUMIFS(INDIRECT("'"&amp;$G$4&amp;"'!$D$37:$D$52"),INDIRECT("'"&amp;$G$4&amp;"'!$C$37:$C$52"),W60,INDIRECT("'"&amp;$G$4&amp;"'!$B$37:$B$52"),"*Indirect*")/INDIRECT("'"&amp;$G$4&amp;"'!$F$2"),0)))</f>
        <v>0</v>
      </c>
      <c r="AH60" s="133" t="n">
        <f aca="true">IF($G$5="",0,IF(W60&gt;'General Information'!$D$33,0,IFERROR(SUMIFS(INDIRECT("'"&amp;$G$5&amp;"'!$D$37:$D$52"),INDIRECT("'"&amp;$G$5&amp;"'!$C$37:$C$52"),W60,INDIRECT("'"&amp;$G$5&amp;"'!$B$37:$B$52"),"*Indirect*")/INDIRECT("'"&amp;$G$5&amp;"'!$F$2"),0)))</f>
        <v>10</v>
      </c>
      <c r="AI60" s="133" t="n">
        <f aca="true">IF($G$6="",0,IF(W60&gt;'General Information'!$D$33,0,IFERROR(SUMIFS(INDIRECT("'"&amp;$G$6&amp;"'!$D$37:$D$52"),INDIRECT("'"&amp;$G$6&amp;"'!$C$37:$C$52"),W60,INDIRECT("'"&amp;$G$6&amp;"'!$B$37:$B$52"),"*Indirect*")/INDIRECT("'"&amp;$G$6&amp;"'!$F$2"),0)))</f>
        <v>0</v>
      </c>
      <c r="AJ60" s="133" t="n">
        <f aca="true">IF($G$7="",0,IF(W60&gt;'General Information'!$D$33,0,IFERROR(SUMIFS(INDIRECT("'"&amp;$G$7&amp;"'!$D$37:$D$52"),INDIRECT("'"&amp;$G$7&amp;"'!$C$37:$C$52"),W60,INDIRECT("'"&amp;$G$7&amp;"'!$B$37:$B$52"),"*Indirect*")/INDIRECT("'"&amp;$G$7&amp;"'!$F$2"),0)))</f>
        <v>0</v>
      </c>
    </row>
    <row r="61" customFormat="false" ht="15" hidden="false" customHeight="false" outlineLevel="0" collapsed="false">
      <c r="W61" s="128" t="n">
        <v>20</v>
      </c>
      <c r="X61" s="128" t="n">
        <f aca="false">'General Information'!$D$25+W61</f>
        <v>2048</v>
      </c>
      <c r="Y61" s="129" t="n">
        <f aca="true">IF($G$4="",0,IF(W61&gt;'General Information'!$D$33,0,IF(W61=0,$J$4,IFERROR(SUMIF(INDIRECT("'"&amp;$G$4&amp;"'!$C$37:$C$52"),W61,INDIRECT("'"&amp;$G$4&amp;"'!$D$37:$D$52")),0))))</f>
        <v>1757615.166125</v>
      </c>
      <c r="Z61" s="129" t="n">
        <f aca="true">IF($G$5="",0,IF(W61&gt;'General Information'!$D$33,0,IF(W61=0,$J$5,IFERROR(SUMIF(INDIRECT("'"&amp;$G$5&amp;"'!$C$37:$C$52"),W61,INDIRECT("'"&amp;$G$5&amp;"'!$D$37:$D$52")),0))))</f>
        <v>0</v>
      </c>
      <c r="AA61" s="129" t="n">
        <f aca="true">IF($G$6="",0,IF(W61&gt;'General Information'!$D$33,0,IF(W61=0,$J$6,IFERROR(SUMIF(INDIRECT("'"&amp;$G$6&amp;"'!$C$37:$C$52"),W61,INDIRECT("'"&amp;$G$6&amp;"'!$D$37:$D$52")),0))))</f>
        <v>0</v>
      </c>
      <c r="AB61" s="129" t="n">
        <f aca="true">IF($G$7="",0,IF(W61&gt;'General Information'!$D$33,0,IF(W61=0,$J$7,IFERROR(SUMIF(INDIRECT("'"&amp;$G$7&amp;"'!$C$37:$C$52"),W61,INDIRECT("'"&amp;$G$7&amp;"'!$D$37:$D$52")),0))))</f>
        <v>0</v>
      </c>
      <c r="AC61" s="129" t="n">
        <f aca="true">IF($G$4="",0,AC60+IF(W61&gt;'General Information'!$D$33,0,IF(W61=0,$J$4,IFERROR(SUMIF(INDIRECT("'"&amp;$G$4&amp;"'!$C$37:$C$52"),W61,INDIRECT("'"&amp;$G$4&amp;"'!$E$37:$E$52")),0))))</f>
        <v>9504327.97737111</v>
      </c>
      <c r="AD61" s="129" t="n">
        <f aca="true">IF($G$5="",0,AD60+IF(W61&gt;'General Information'!$D$33,0,IF(W61=0,$J$5,IFERROR(SUMIF(INDIRECT("'"&amp;$G$5&amp;"'!$C$37:$C$52"),W61,INDIRECT("'"&amp;$G$5&amp;"'!$E$37:$E$52")),0))))</f>
        <v>9603506.64343471</v>
      </c>
      <c r="AE61" s="129" t="n">
        <f aca="true">IF($G$6="",0,AE60+IF(W61&gt;'General Information'!$D$33,0,IF(W61=0,$J$6,IFERROR(SUMIF(INDIRECT("'"&amp;$G$6&amp;"'!$C$37:$C$52"),W61,INDIRECT("'"&amp;$G$6&amp;"'!$E$37:$E$52")),0))))</f>
        <v>0</v>
      </c>
      <c r="AF61" s="129" t="n">
        <f aca="true">IF($G$7="",0,AF60+IF(W61&gt;'General Information'!$D$33,0,IF(W61=0,$J$7,IFERROR(SUMIF(INDIRECT("'"&amp;$G$7&amp;"'!$C$37:$C$52"),W61,INDIRECT("'"&amp;$G$7&amp;"'!$E$37:$E$52")),0))))</f>
        <v>0</v>
      </c>
      <c r="AG61" s="133" t="n">
        <f aca="true">IF($G$4="",0,IF(W61&gt;'General Information'!$D$33,0,IFERROR(SUMIFS(INDIRECT("'"&amp;$G$4&amp;"'!$D$37:$D$52"),INDIRECT("'"&amp;$G$4&amp;"'!$C$37:$C$52"),W61,INDIRECT("'"&amp;$G$4&amp;"'!$B$37:$B$52"),"*Indirect*")/INDIRECT("'"&amp;$G$4&amp;"'!$F$2"),0)))</f>
        <v>19</v>
      </c>
      <c r="AH61" s="133" t="n">
        <f aca="true">IF($G$5="",0,IF(W61&gt;'General Information'!$D$33,0,IFERROR(SUMIFS(INDIRECT("'"&amp;$G$5&amp;"'!$D$37:$D$52"),INDIRECT("'"&amp;$G$5&amp;"'!$C$37:$C$52"),W61,INDIRECT("'"&amp;$G$5&amp;"'!$B$37:$B$52"),"*Indirect*")/INDIRECT("'"&amp;$G$5&amp;"'!$F$2"),0)))</f>
        <v>0</v>
      </c>
      <c r="AI61" s="133" t="n">
        <f aca="true">IF($G$6="",0,IF(W61&gt;'General Information'!$D$33,0,IFERROR(SUMIFS(INDIRECT("'"&amp;$G$6&amp;"'!$D$37:$D$52"),INDIRECT("'"&amp;$G$6&amp;"'!$C$37:$C$52"),W61,INDIRECT("'"&amp;$G$6&amp;"'!$B$37:$B$52"),"*Indirect*")/INDIRECT("'"&amp;$G$6&amp;"'!$F$2"),0)))</f>
        <v>0</v>
      </c>
      <c r="AJ61" s="133" t="n">
        <f aca="true">IF($G$7="",0,IF(W61&gt;'General Information'!$D$33,0,IFERROR(SUMIFS(INDIRECT("'"&amp;$G$7&amp;"'!$D$37:$D$52"),INDIRECT("'"&amp;$G$7&amp;"'!$C$37:$C$52"),W61,INDIRECT("'"&amp;$G$7&amp;"'!$B$37:$B$52"),"*Indirect*")/INDIRECT("'"&amp;$G$7&amp;"'!$F$2"),0)))</f>
        <v>0</v>
      </c>
    </row>
    <row r="62" customFormat="false" ht="15" hidden="false" customHeight="false" outlineLevel="0" collapsed="false">
      <c r="W62" s="128" t="n">
        <v>21</v>
      </c>
      <c r="X62" s="128" t="n">
        <f aca="false">'General Information'!$D$25+W62</f>
        <v>2049</v>
      </c>
      <c r="Y62" s="129" t="n">
        <f aca="true">IF($G$4="",0,IF(W62&gt;'General Information'!$D$33,0,IF(W62=0,$J$4,IFERROR(SUMIF(INDIRECT("'"&amp;$G$4&amp;"'!$C$37:$C$52"),W62,INDIRECT("'"&amp;$G$4&amp;"'!$D$37:$D$52")),0))))</f>
        <v>0</v>
      </c>
      <c r="Z62" s="129" t="n">
        <f aca="true">IF($G$5="",0,IF(W62&gt;'General Information'!$D$33,0,IF(W62=0,$J$5,IFERROR(SUMIF(INDIRECT("'"&amp;$G$5&amp;"'!$C$37:$C$52"),W62,INDIRECT("'"&amp;$G$5&amp;"'!$D$37:$D$52")),0))))</f>
        <v>0</v>
      </c>
      <c r="AA62" s="129" t="n">
        <f aca="true">IF($G$6="",0,IF(W62&gt;'General Information'!$D$33,0,IF(W62=0,$J$6,IFERROR(SUMIF(INDIRECT("'"&amp;$G$6&amp;"'!$C$37:$C$52"),W62,INDIRECT("'"&amp;$G$6&amp;"'!$D$37:$D$52")),0))))</f>
        <v>0</v>
      </c>
      <c r="AB62" s="129" t="n">
        <f aca="true">IF($G$7="",0,IF(W62&gt;'General Information'!$D$33,0,IF(W62=0,$J$7,IFERROR(SUMIF(INDIRECT("'"&amp;$G$7&amp;"'!$C$37:$C$52"),W62,INDIRECT("'"&amp;$G$7&amp;"'!$D$37:$D$52")),0))))</f>
        <v>0</v>
      </c>
      <c r="AC62" s="129" t="n">
        <f aca="true">IF($G$4="",0,AC61+IF(W62&gt;'General Information'!$D$33,0,IF(W62=0,$J$4,IFERROR(SUMIF(INDIRECT("'"&amp;$G$4&amp;"'!$C$37:$C$52"),W62,INDIRECT("'"&amp;$G$4&amp;"'!$E$37:$E$52")),0))))</f>
        <v>9504327.97737111</v>
      </c>
      <c r="AD62" s="129" t="n">
        <f aca="true">IF($G$5="",0,AD61+IF(W62&gt;'General Information'!$D$33,0,IF(W62=0,$J$5,IFERROR(SUMIF(INDIRECT("'"&amp;$G$5&amp;"'!$C$37:$C$52"),W62,INDIRECT("'"&amp;$G$5&amp;"'!$E$37:$E$52")),0))))</f>
        <v>9603506.64343471</v>
      </c>
      <c r="AE62" s="129" t="n">
        <f aca="true">IF($G$6="",0,AE61+IF(W62&gt;'General Information'!$D$33,0,IF(W62=0,$J$6,IFERROR(SUMIF(INDIRECT("'"&amp;$G$6&amp;"'!$C$37:$C$52"),W62,INDIRECT("'"&amp;$G$6&amp;"'!$E$37:$E$52")),0))))</f>
        <v>0</v>
      </c>
      <c r="AF62" s="129" t="n">
        <f aca="true">IF($G$7="",0,AF61+IF(W62&gt;'General Information'!$D$33,0,IF(W62=0,$J$7,IFERROR(SUMIF(INDIRECT("'"&amp;$G$7&amp;"'!$C$37:$C$52"),W62,INDIRECT("'"&amp;$G$7&amp;"'!$E$37:$E$52")),0))))</f>
        <v>0</v>
      </c>
      <c r="AG62" s="133" t="n">
        <f aca="true">IF($G$4="",0,IF(W62&gt;'General Information'!$D$33,0,IFERROR(SUMIFS(INDIRECT("'"&amp;$G$4&amp;"'!$D$37:$D$52"),INDIRECT("'"&amp;$G$4&amp;"'!$C$37:$C$52"),W62,INDIRECT("'"&amp;$G$4&amp;"'!$B$37:$B$52"),"*Indirect*")/INDIRECT("'"&amp;$G$4&amp;"'!$F$2"),0)))</f>
        <v>0</v>
      </c>
      <c r="AH62" s="133" t="n">
        <f aca="true">IF($G$5="",0,IF(W62&gt;'General Information'!$D$33,0,IFERROR(SUMIFS(INDIRECT("'"&amp;$G$5&amp;"'!$D$37:$D$52"),INDIRECT("'"&amp;$G$5&amp;"'!$C$37:$C$52"),W62,INDIRECT("'"&amp;$G$5&amp;"'!$B$37:$B$52"),"*Indirect*")/INDIRECT("'"&amp;$G$5&amp;"'!$F$2"),0)))</f>
        <v>0</v>
      </c>
      <c r="AI62" s="133" t="n">
        <f aca="true">IF($G$6="",0,IF(W62&gt;'General Information'!$D$33,0,IFERROR(SUMIFS(INDIRECT("'"&amp;$G$6&amp;"'!$D$37:$D$52"),INDIRECT("'"&amp;$G$6&amp;"'!$C$37:$C$52"),W62,INDIRECT("'"&amp;$G$6&amp;"'!$B$37:$B$52"),"*Indirect*")/INDIRECT("'"&amp;$G$6&amp;"'!$F$2"),0)))</f>
        <v>0</v>
      </c>
      <c r="AJ62" s="133" t="n">
        <f aca="true">IF($G$7="",0,IF(W62&gt;'General Information'!$D$33,0,IFERROR(SUMIFS(INDIRECT("'"&amp;$G$7&amp;"'!$D$37:$D$52"),INDIRECT("'"&amp;$G$7&amp;"'!$C$37:$C$52"),W62,INDIRECT("'"&amp;$G$7&amp;"'!$B$37:$B$52"),"*Indirect*")/INDIRECT("'"&amp;$G$7&amp;"'!$F$2"),0)))</f>
        <v>0</v>
      </c>
    </row>
    <row r="63" customFormat="false" ht="15" hidden="false" customHeight="false" outlineLevel="0" collapsed="false">
      <c r="W63" s="128" t="n">
        <v>22</v>
      </c>
      <c r="X63" s="128" t="n">
        <f aca="false">'General Information'!$D$25+W63</f>
        <v>2050</v>
      </c>
      <c r="Y63" s="129" t="n">
        <f aca="true">IF($G$4="",0,IF(W63&gt;'General Information'!$D$33,0,IF(W63=0,$J$4,IFERROR(SUMIF(INDIRECT("'"&amp;$G$4&amp;"'!$C$37:$C$52"),W63,INDIRECT("'"&amp;$G$4&amp;"'!$D$37:$D$52")),0))))</f>
        <v>0</v>
      </c>
      <c r="Z63" s="129" t="n">
        <f aca="true">IF($G$5="",0,IF(W63&gt;'General Information'!$D$33,0,IF(W63=0,$J$5,IFERROR(SUMIF(INDIRECT("'"&amp;$G$5&amp;"'!$C$37:$C$52"),W63,INDIRECT("'"&amp;$G$5&amp;"'!$D$37:$D$52")),0))))</f>
        <v>0</v>
      </c>
      <c r="AA63" s="129" t="n">
        <f aca="true">IF($G$6="",0,IF(W63&gt;'General Information'!$D$33,0,IF(W63=0,$J$6,IFERROR(SUMIF(INDIRECT("'"&amp;$G$6&amp;"'!$C$37:$C$52"),W63,INDIRECT("'"&amp;$G$6&amp;"'!$D$37:$D$52")),0))))</f>
        <v>0</v>
      </c>
      <c r="AB63" s="129" t="n">
        <f aca="true">IF($G$7="",0,IF(W63&gt;'General Information'!$D$33,0,IF(W63=0,$J$7,IFERROR(SUMIF(INDIRECT("'"&amp;$G$7&amp;"'!$C$37:$C$52"),W63,INDIRECT("'"&amp;$G$7&amp;"'!$D$37:$D$52")),0))))</f>
        <v>0</v>
      </c>
      <c r="AC63" s="129" t="n">
        <f aca="true">IF($G$4="",0,AC62+IF(W63&gt;'General Information'!$D$33,0,IF(W63=0,$J$4,IFERROR(SUMIF(INDIRECT("'"&amp;$G$4&amp;"'!$C$37:$C$52"),W63,INDIRECT("'"&amp;$G$4&amp;"'!$E$37:$E$52")),0))))</f>
        <v>9504327.97737111</v>
      </c>
      <c r="AD63" s="129" t="n">
        <f aca="true">IF($G$5="",0,AD62+IF(W63&gt;'General Information'!$D$33,0,IF(W63=0,$J$5,IFERROR(SUMIF(INDIRECT("'"&amp;$G$5&amp;"'!$C$37:$C$52"),W63,INDIRECT("'"&amp;$G$5&amp;"'!$E$37:$E$52")),0))))</f>
        <v>9603506.64343471</v>
      </c>
      <c r="AE63" s="129" t="n">
        <f aca="true">IF($G$6="",0,AE62+IF(W63&gt;'General Information'!$D$33,0,IF(W63=0,$J$6,IFERROR(SUMIF(INDIRECT("'"&amp;$G$6&amp;"'!$C$37:$C$52"),W63,INDIRECT("'"&amp;$G$6&amp;"'!$E$37:$E$52")),0))))</f>
        <v>0</v>
      </c>
      <c r="AF63" s="129" t="n">
        <f aca="true">IF($G$7="",0,AF62+IF(W63&gt;'General Information'!$D$33,0,IF(W63=0,$J$7,IFERROR(SUMIF(INDIRECT("'"&amp;$G$7&amp;"'!$C$37:$C$52"),W63,INDIRECT("'"&amp;$G$7&amp;"'!$E$37:$E$52")),0))))</f>
        <v>0</v>
      </c>
      <c r="AG63" s="133" t="n">
        <f aca="true">IF($G$4="",0,IF(W63&gt;'General Information'!$D$33,0,IFERROR(SUMIFS(INDIRECT("'"&amp;$G$4&amp;"'!$D$37:$D$52"),INDIRECT("'"&amp;$G$4&amp;"'!$C$37:$C$52"),W63,INDIRECT("'"&amp;$G$4&amp;"'!$B$37:$B$52"),"*Indirect*")/INDIRECT("'"&amp;$G$4&amp;"'!$F$2"),0)))</f>
        <v>0</v>
      </c>
      <c r="AH63" s="133" t="n">
        <f aca="true">IF($G$5="",0,IF(W63&gt;'General Information'!$D$33,0,IFERROR(SUMIFS(INDIRECT("'"&amp;$G$5&amp;"'!$D$37:$D$52"),INDIRECT("'"&amp;$G$5&amp;"'!$C$37:$C$52"),W63,INDIRECT("'"&amp;$G$5&amp;"'!$B$37:$B$52"),"*Indirect*")/INDIRECT("'"&amp;$G$5&amp;"'!$F$2"),0)))</f>
        <v>0</v>
      </c>
      <c r="AI63" s="133" t="n">
        <f aca="true">IF($G$6="",0,IF(W63&gt;'General Information'!$D$33,0,IFERROR(SUMIFS(INDIRECT("'"&amp;$G$6&amp;"'!$D$37:$D$52"),INDIRECT("'"&amp;$G$6&amp;"'!$C$37:$C$52"),W63,INDIRECT("'"&amp;$G$6&amp;"'!$B$37:$B$52"),"*Indirect*")/INDIRECT("'"&amp;$G$6&amp;"'!$F$2"),0)))</f>
        <v>0</v>
      </c>
      <c r="AJ63" s="133" t="n">
        <f aca="true">IF($G$7="",0,IF(W63&gt;'General Information'!$D$33,0,IFERROR(SUMIFS(INDIRECT("'"&amp;$G$7&amp;"'!$D$37:$D$52"),INDIRECT("'"&amp;$G$7&amp;"'!$C$37:$C$52"),W63,INDIRECT("'"&amp;$G$7&amp;"'!$B$37:$B$52"),"*Indirect*")/INDIRECT("'"&amp;$G$7&amp;"'!$F$2"),0)))</f>
        <v>0</v>
      </c>
    </row>
    <row r="64" customFormat="false" ht="15" hidden="false" customHeight="false" outlineLevel="0" collapsed="false">
      <c r="W64" s="128" t="n">
        <v>23</v>
      </c>
      <c r="X64" s="128" t="n">
        <f aca="false">'General Information'!$D$25+W64</f>
        <v>2051</v>
      </c>
      <c r="Y64" s="129" t="n">
        <f aca="true">IF($G$4="",0,IF(W64&gt;'General Information'!$D$33,0,IF(W64=0,$J$4,IFERROR(SUMIF(INDIRECT("'"&amp;$G$4&amp;"'!$C$37:$C$52"),W64,INDIRECT("'"&amp;$G$4&amp;"'!$D$37:$D$52")),0))))</f>
        <v>0</v>
      </c>
      <c r="Z64" s="129" t="n">
        <f aca="true">IF($G$5="",0,IF(W64&gt;'General Information'!$D$33,0,IF(W64=0,$J$5,IFERROR(SUMIF(INDIRECT("'"&amp;$G$5&amp;"'!$C$37:$C$52"),W64,INDIRECT("'"&amp;$G$5&amp;"'!$D$37:$D$52")),0))))</f>
        <v>0</v>
      </c>
      <c r="AA64" s="129" t="n">
        <f aca="true">IF($G$6="",0,IF(W64&gt;'General Information'!$D$33,0,IF(W64=0,$J$6,IFERROR(SUMIF(INDIRECT("'"&amp;$G$6&amp;"'!$C$37:$C$52"),W64,INDIRECT("'"&amp;$G$6&amp;"'!$D$37:$D$52")),0))))</f>
        <v>0</v>
      </c>
      <c r="AB64" s="129" t="n">
        <f aca="true">IF($G$7="",0,IF(W64&gt;'General Information'!$D$33,0,IF(W64=0,$J$7,IFERROR(SUMIF(INDIRECT("'"&amp;$G$7&amp;"'!$C$37:$C$52"),W64,INDIRECT("'"&amp;$G$7&amp;"'!$D$37:$D$52")),0))))</f>
        <v>0</v>
      </c>
      <c r="AC64" s="129" t="n">
        <f aca="true">IF($G$4="",0,AC63+IF(W64&gt;'General Information'!$D$33,0,IF(W64=0,$J$4,IFERROR(SUMIF(INDIRECT("'"&amp;$G$4&amp;"'!$C$37:$C$52"),W64,INDIRECT("'"&amp;$G$4&amp;"'!$E$37:$E$52")),0))))</f>
        <v>9504327.97737111</v>
      </c>
      <c r="AD64" s="129" t="n">
        <f aca="true">IF($G$5="",0,AD63+IF(W64&gt;'General Information'!$D$33,0,IF(W64=0,$J$5,IFERROR(SUMIF(INDIRECT("'"&amp;$G$5&amp;"'!$C$37:$C$52"),W64,INDIRECT("'"&amp;$G$5&amp;"'!$E$37:$E$52")),0))))</f>
        <v>9603506.64343471</v>
      </c>
      <c r="AE64" s="129" t="n">
        <f aca="true">IF($G$6="",0,AE63+IF(W64&gt;'General Information'!$D$33,0,IF(W64=0,$J$6,IFERROR(SUMIF(INDIRECT("'"&amp;$G$6&amp;"'!$C$37:$C$52"),W64,INDIRECT("'"&amp;$G$6&amp;"'!$E$37:$E$52")),0))))</f>
        <v>0</v>
      </c>
      <c r="AF64" s="129" t="n">
        <f aca="true">IF($G$7="",0,AF63+IF(W64&gt;'General Information'!$D$33,0,IF(W64=0,$J$7,IFERROR(SUMIF(INDIRECT("'"&amp;$G$7&amp;"'!$C$37:$C$52"),W64,INDIRECT("'"&amp;$G$7&amp;"'!$E$37:$E$52")),0))))</f>
        <v>0</v>
      </c>
      <c r="AG64" s="133" t="n">
        <f aca="true">IF($G$4="",0,IF(W64&gt;'General Information'!$D$33,0,IFERROR(SUMIFS(INDIRECT("'"&amp;$G$4&amp;"'!$D$37:$D$52"),INDIRECT("'"&amp;$G$4&amp;"'!$C$37:$C$52"),W64,INDIRECT("'"&amp;$G$4&amp;"'!$B$37:$B$52"),"*Indirect*")/INDIRECT("'"&amp;$G$4&amp;"'!$F$2"),0)))</f>
        <v>0</v>
      </c>
      <c r="AH64" s="133" t="n">
        <f aca="true">IF($G$5="",0,IF(W64&gt;'General Information'!$D$33,0,IFERROR(SUMIFS(INDIRECT("'"&amp;$G$5&amp;"'!$D$37:$D$52"),INDIRECT("'"&amp;$G$5&amp;"'!$C$37:$C$52"),W64,INDIRECT("'"&amp;$G$5&amp;"'!$B$37:$B$52"),"*Indirect*")/INDIRECT("'"&amp;$G$5&amp;"'!$F$2"),0)))</f>
        <v>0</v>
      </c>
      <c r="AI64" s="133" t="n">
        <f aca="true">IF($G$6="",0,IF(W64&gt;'General Information'!$D$33,0,IFERROR(SUMIFS(INDIRECT("'"&amp;$G$6&amp;"'!$D$37:$D$52"),INDIRECT("'"&amp;$G$6&amp;"'!$C$37:$C$52"),W64,INDIRECT("'"&amp;$G$6&amp;"'!$B$37:$B$52"),"*Indirect*")/INDIRECT("'"&amp;$G$6&amp;"'!$F$2"),0)))</f>
        <v>0</v>
      </c>
      <c r="AJ64" s="133" t="n">
        <f aca="true">IF($G$7="",0,IF(W64&gt;'General Information'!$D$33,0,IFERROR(SUMIFS(INDIRECT("'"&amp;$G$7&amp;"'!$D$37:$D$52"),INDIRECT("'"&amp;$G$7&amp;"'!$C$37:$C$52"),W64,INDIRECT("'"&amp;$G$7&amp;"'!$B$37:$B$52"),"*Indirect*")/INDIRECT("'"&amp;$G$7&amp;"'!$F$2"),0)))</f>
        <v>0</v>
      </c>
    </row>
    <row r="65" customFormat="false" ht="15" hidden="false" customHeight="false" outlineLevel="0" collapsed="false">
      <c r="W65" s="128" t="n">
        <v>24</v>
      </c>
      <c r="X65" s="128" t="n">
        <f aca="false">'General Information'!$D$25+W65</f>
        <v>2052</v>
      </c>
      <c r="Y65" s="129" t="n">
        <f aca="true">IF($G$4="",0,IF(W65&gt;'General Information'!$D$33,0,IF(W65=0,$J$4,IFERROR(SUMIF(INDIRECT("'"&amp;$G$4&amp;"'!$C$37:$C$52"),W65,INDIRECT("'"&amp;$G$4&amp;"'!$D$37:$D$52")),0))))</f>
        <v>354260.596666667</v>
      </c>
      <c r="Z65" s="129" t="n">
        <f aca="true">IF($G$5="",0,IF(W65&gt;'General Information'!$D$33,0,IF(W65=0,$J$5,IFERROR(SUMIF(INDIRECT("'"&amp;$G$5&amp;"'!$C$37:$C$52"),W65,INDIRECT("'"&amp;$G$5&amp;"'!$D$37:$D$52")),0))))</f>
        <v>0</v>
      </c>
      <c r="AA65" s="129" t="n">
        <f aca="true">IF($G$6="",0,IF(W65&gt;'General Information'!$D$33,0,IF(W65=0,$J$6,IFERROR(SUMIF(INDIRECT("'"&amp;$G$6&amp;"'!$C$37:$C$52"),W65,INDIRECT("'"&amp;$G$6&amp;"'!$D$37:$D$52")),0))))</f>
        <v>0</v>
      </c>
      <c r="AB65" s="129" t="n">
        <f aca="true">IF($G$7="",0,IF(W65&gt;'General Information'!$D$33,0,IF(W65=0,$J$7,IFERROR(SUMIF(INDIRECT("'"&amp;$G$7&amp;"'!$C$37:$C$52"),W65,INDIRECT("'"&amp;$G$7&amp;"'!$D$37:$D$52")),0))))</f>
        <v>0</v>
      </c>
      <c r="AC65" s="129" t="n">
        <f aca="true">IF($G$4="",0,AC64+IF(W65&gt;'General Information'!$D$33,0,IF(W65=0,$J$4,IFERROR(SUMIF(INDIRECT("'"&amp;$G$4&amp;"'!$C$37:$C$52"),W65,INDIRECT("'"&amp;$G$4&amp;"'!$E$37:$E$52")),0))))</f>
        <v>9678600.71632721</v>
      </c>
      <c r="AD65" s="129" t="n">
        <f aca="true">IF($G$5="",0,AD64+IF(W65&gt;'General Information'!$D$33,0,IF(W65=0,$J$5,IFERROR(SUMIF(INDIRECT("'"&amp;$G$5&amp;"'!$C$37:$C$52"),W65,INDIRECT("'"&amp;$G$5&amp;"'!$E$37:$E$52")),0))))</f>
        <v>9603506.64343471</v>
      </c>
      <c r="AE65" s="129" t="n">
        <f aca="true">IF($G$6="",0,AE64+IF(W65&gt;'General Information'!$D$33,0,IF(W65=0,$J$6,IFERROR(SUMIF(INDIRECT("'"&amp;$G$6&amp;"'!$C$37:$C$52"),W65,INDIRECT("'"&amp;$G$6&amp;"'!$E$37:$E$52")),0))))</f>
        <v>0</v>
      </c>
      <c r="AF65" s="129" t="n">
        <f aca="true">IF($G$7="",0,AF64+IF(W65&gt;'General Information'!$D$33,0,IF(W65=0,$J$7,IFERROR(SUMIF(INDIRECT("'"&amp;$G$7&amp;"'!$C$37:$C$52"),W65,INDIRECT("'"&amp;$G$7&amp;"'!$E$37:$E$52")),0))))</f>
        <v>0</v>
      </c>
      <c r="AG65" s="133" t="n">
        <f aca="true">IF($G$4="",0,IF(W65&gt;'General Information'!$D$33,0,IFERROR(SUMIFS(INDIRECT("'"&amp;$G$4&amp;"'!$D$37:$D$52"),INDIRECT("'"&amp;$G$4&amp;"'!$C$37:$C$52"),W65,INDIRECT("'"&amp;$G$4&amp;"'!$B$37:$B$52"),"*Indirect*")/INDIRECT("'"&amp;$G$4&amp;"'!$F$2"),0)))</f>
        <v>7</v>
      </c>
      <c r="AH65" s="133" t="n">
        <f aca="true">IF($G$5="",0,IF(W65&gt;'General Information'!$D$33,0,IFERROR(SUMIFS(INDIRECT("'"&amp;$G$5&amp;"'!$D$37:$D$52"),INDIRECT("'"&amp;$G$5&amp;"'!$C$37:$C$52"),W65,INDIRECT("'"&amp;$G$5&amp;"'!$B$37:$B$52"),"*Indirect*")/INDIRECT("'"&amp;$G$5&amp;"'!$F$2"),0)))</f>
        <v>0</v>
      </c>
      <c r="AI65" s="133" t="n">
        <f aca="true">IF($G$6="",0,IF(W65&gt;'General Information'!$D$33,0,IFERROR(SUMIFS(INDIRECT("'"&amp;$G$6&amp;"'!$D$37:$D$52"),INDIRECT("'"&amp;$G$6&amp;"'!$C$37:$C$52"),W65,INDIRECT("'"&amp;$G$6&amp;"'!$B$37:$B$52"),"*Indirect*")/INDIRECT("'"&amp;$G$6&amp;"'!$F$2"),0)))</f>
        <v>0</v>
      </c>
      <c r="AJ65" s="133" t="n">
        <f aca="true">IF($G$7="",0,IF(W65&gt;'General Information'!$D$33,0,IFERROR(SUMIFS(INDIRECT("'"&amp;$G$7&amp;"'!$D$37:$D$52"),INDIRECT("'"&amp;$G$7&amp;"'!$C$37:$C$52"),W65,INDIRECT("'"&amp;$G$7&amp;"'!$B$37:$B$52"),"*Indirect*")/INDIRECT("'"&amp;$G$7&amp;"'!$F$2"),0)))</f>
        <v>0</v>
      </c>
    </row>
    <row r="66" customFormat="false" ht="15" hidden="false" customHeight="false" outlineLevel="0" collapsed="false">
      <c r="W66" s="128" t="n">
        <v>25</v>
      </c>
      <c r="X66" s="128" t="n">
        <f aca="false">'General Information'!$D$25+W66</f>
        <v>2053</v>
      </c>
      <c r="Y66" s="129" t="n">
        <f aca="true">IF($G$4="",0,IF(W66&gt;'General Information'!$D$33,0,IF(W66=0,$J$4,IFERROR(SUMIF(INDIRECT("'"&amp;$G$4&amp;"'!$C$37:$C$52"),W66,INDIRECT("'"&amp;$G$4&amp;"'!$D$37:$D$52")),0))))</f>
        <v>0</v>
      </c>
      <c r="Z66" s="129" t="n">
        <f aca="true">IF($G$5="",0,IF(W66&gt;'General Information'!$D$33,0,IF(W66=0,$J$5,IFERROR(SUMIF(INDIRECT("'"&amp;$G$5&amp;"'!$C$37:$C$52"),W66,INDIRECT("'"&amp;$G$5&amp;"'!$D$37:$D$52")),0))))</f>
        <v>0</v>
      </c>
      <c r="AA66" s="129" t="n">
        <f aca="true">IF($G$6="",0,IF(W66&gt;'General Information'!$D$33,0,IF(W66=0,$J$6,IFERROR(SUMIF(INDIRECT("'"&amp;$G$6&amp;"'!$C$37:$C$52"),W66,INDIRECT("'"&amp;$G$6&amp;"'!$D$37:$D$52")),0))))</f>
        <v>0</v>
      </c>
      <c r="AB66" s="129" t="n">
        <f aca="true">IF($G$7="",0,IF(W66&gt;'General Information'!$D$33,0,IF(W66=0,$J$7,IFERROR(SUMIF(INDIRECT("'"&amp;$G$7&amp;"'!$C$37:$C$52"),W66,INDIRECT("'"&amp;$G$7&amp;"'!$D$37:$D$52")),0))))</f>
        <v>0</v>
      </c>
      <c r="AC66" s="129" t="n">
        <f aca="true">IF($G$4="",0,AC65+IF(W66&gt;'General Information'!$D$33,0,IF(W66=0,$J$4,IFERROR(SUMIF(INDIRECT("'"&amp;$G$4&amp;"'!$C$37:$C$52"),W66,INDIRECT("'"&amp;$G$4&amp;"'!$E$37:$E$52")),0))))</f>
        <v>9678600.71632721</v>
      </c>
      <c r="AD66" s="129" t="n">
        <f aca="true">IF($G$5="",0,AD65+IF(W66&gt;'General Information'!$D$33,0,IF(W66=0,$J$5,IFERROR(SUMIF(INDIRECT("'"&amp;$G$5&amp;"'!$C$37:$C$52"),W66,INDIRECT("'"&amp;$G$5&amp;"'!$E$37:$E$52")),0))))</f>
        <v>9603506.64343471</v>
      </c>
      <c r="AE66" s="129" t="n">
        <f aca="true">IF($G$6="",0,AE65+IF(W66&gt;'General Information'!$D$33,0,IF(W66=0,$J$6,IFERROR(SUMIF(INDIRECT("'"&amp;$G$6&amp;"'!$C$37:$C$52"),W66,INDIRECT("'"&amp;$G$6&amp;"'!$E$37:$E$52")),0))))</f>
        <v>0</v>
      </c>
      <c r="AF66" s="129" t="n">
        <f aca="true">IF($G$7="",0,AF65+IF(W66&gt;'General Information'!$D$33,0,IF(W66=0,$J$7,IFERROR(SUMIF(INDIRECT("'"&amp;$G$7&amp;"'!$C$37:$C$52"),W66,INDIRECT("'"&amp;$G$7&amp;"'!$E$37:$E$52")),0))))</f>
        <v>0</v>
      </c>
      <c r="AG66" s="133" t="n">
        <f aca="true">IF($G$4="",0,IF(W66&gt;'General Information'!$D$33,0,IFERROR(SUMIFS(INDIRECT("'"&amp;$G$4&amp;"'!$D$37:$D$52"),INDIRECT("'"&amp;$G$4&amp;"'!$C$37:$C$52"),W66,INDIRECT("'"&amp;$G$4&amp;"'!$B$37:$B$52"),"*Indirect*")/INDIRECT("'"&amp;$G$4&amp;"'!$F$2"),0)))</f>
        <v>0</v>
      </c>
      <c r="AH66" s="133" t="n">
        <f aca="true">IF($G$5="",0,IF(W66&gt;'General Information'!$D$33,0,IFERROR(SUMIFS(INDIRECT("'"&amp;$G$5&amp;"'!$D$37:$D$52"),INDIRECT("'"&amp;$G$5&amp;"'!$C$37:$C$52"),W66,INDIRECT("'"&amp;$G$5&amp;"'!$B$37:$B$52"),"*Indirect*")/INDIRECT("'"&amp;$G$5&amp;"'!$F$2"),0)))</f>
        <v>0</v>
      </c>
      <c r="AI66" s="133" t="n">
        <f aca="true">IF($G$6="",0,IF(W66&gt;'General Information'!$D$33,0,IFERROR(SUMIFS(INDIRECT("'"&amp;$G$6&amp;"'!$D$37:$D$52"),INDIRECT("'"&amp;$G$6&amp;"'!$C$37:$C$52"),W66,INDIRECT("'"&amp;$G$6&amp;"'!$B$37:$B$52"),"*Indirect*")/INDIRECT("'"&amp;$G$6&amp;"'!$F$2"),0)))</f>
        <v>0</v>
      </c>
      <c r="AJ66" s="133" t="n">
        <f aca="true">IF($G$7="",0,IF(W66&gt;'General Information'!$D$33,0,IFERROR(SUMIFS(INDIRECT("'"&amp;$G$7&amp;"'!$D$37:$D$52"),INDIRECT("'"&amp;$G$7&amp;"'!$C$37:$C$52"),W66,INDIRECT("'"&amp;$G$7&amp;"'!$B$37:$B$52"),"*Indirect*")/INDIRECT("'"&amp;$G$7&amp;"'!$F$2"),0)))</f>
        <v>0</v>
      </c>
    </row>
    <row r="67" customFormat="false" ht="15" hidden="false" customHeight="false" outlineLevel="0" collapsed="false">
      <c r="W67" s="128" t="n">
        <v>26</v>
      </c>
      <c r="X67" s="128" t="n">
        <f aca="false">'General Information'!$D$25+W67</f>
        <v>2054</v>
      </c>
      <c r="Y67" s="129" t="n">
        <f aca="true">IF($G$4="",0,IF(W67&gt;'General Information'!$D$33,0,IF(W67=0,$J$4,IFERROR(SUMIF(INDIRECT("'"&amp;$G$4&amp;"'!$C$37:$C$52"),W67,INDIRECT("'"&amp;$G$4&amp;"'!$D$37:$D$52")),0))))</f>
        <v>0</v>
      </c>
      <c r="Z67" s="129" t="n">
        <f aca="true">IF($G$5="",0,IF(W67&gt;'General Information'!$D$33,0,IF(W67=0,$J$5,IFERROR(SUMIF(INDIRECT("'"&amp;$G$5&amp;"'!$C$37:$C$52"),W67,INDIRECT("'"&amp;$G$5&amp;"'!$D$37:$D$52")),0))))</f>
        <v>0</v>
      </c>
      <c r="AA67" s="129" t="n">
        <f aca="true">IF($G$6="",0,IF(W67&gt;'General Information'!$D$33,0,IF(W67=0,$J$6,IFERROR(SUMIF(INDIRECT("'"&amp;$G$6&amp;"'!$C$37:$C$52"),W67,INDIRECT("'"&amp;$G$6&amp;"'!$D$37:$D$52")),0))))</f>
        <v>0</v>
      </c>
      <c r="AB67" s="129" t="n">
        <f aca="true">IF($G$7="",0,IF(W67&gt;'General Information'!$D$33,0,IF(W67=0,$J$7,IFERROR(SUMIF(INDIRECT("'"&amp;$G$7&amp;"'!$C$37:$C$52"),W67,INDIRECT("'"&amp;$G$7&amp;"'!$D$37:$D$52")),0))))</f>
        <v>0</v>
      </c>
      <c r="AC67" s="129" t="n">
        <f aca="true">IF($G$4="",0,AC66+IF(W67&gt;'General Information'!$D$33,0,IF(W67=0,$J$4,IFERROR(SUMIF(INDIRECT("'"&amp;$G$4&amp;"'!$C$37:$C$52"),W67,INDIRECT("'"&amp;$G$4&amp;"'!$E$37:$E$52")),0))))</f>
        <v>9678600.71632721</v>
      </c>
      <c r="AD67" s="129" t="n">
        <f aca="true">IF($G$5="",0,AD66+IF(W67&gt;'General Information'!$D$33,0,IF(W67=0,$J$5,IFERROR(SUMIF(INDIRECT("'"&amp;$G$5&amp;"'!$C$37:$C$52"),W67,INDIRECT("'"&amp;$G$5&amp;"'!$E$37:$E$52")),0))))</f>
        <v>9603506.64343471</v>
      </c>
      <c r="AE67" s="129" t="n">
        <f aca="true">IF($G$6="",0,AE66+IF(W67&gt;'General Information'!$D$33,0,IF(W67=0,$J$6,IFERROR(SUMIF(INDIRECT("'"&amp;$G$6&amp;"'!$C$37:$C$52"),W67,INDIRECT("'"&amp;$G$6&amp;"'!$E$37:$E$52")),0))))</f>
        <v>0</v>
      </c>
      <c r="AF67" s="129" t="n">
        <f aca="true">IF($G$7="",0,AF66+IF(W67&gt;'General Information'!$D$33,0,IF(W67=0,$J$7,IFERROR(SUMIF(INDIRECT("'"&amp;$G$7&amp;"'!$C$37:$C$52"),W67,INDIRECT("'"&amp;$G$7&amp;"'!$E$37:$E$52")),0))))</f>
        <v>0</v>
      </c>
      <c r="AG67" s="133" t="n">
        <f aca="true">IF($G$4="",0,IF(W67&gt;'General Information'!$D$33,0,IFERROR(SUMIFS(INDIRECT("'"&amp;$G$4&amp;"'!$D$37:$D$52"),INDIRECT("'"&amp;$G$4&amp;"'!$C$37:$C$52"),W67,INDIRECT("'"&amp;$G$4&amp;"'!$B$37:$B$52"),"*Indirect*")/INDIRECT("'"&amp;$G$4&amp;"'!$F$2"),0)))</f>
        <v>0</v>
      </c>
      <c r="AH67" s="133" t="n">
        <f aca="true">IF($G$5="",0,IF(W67&gt;'General Information'!$D$33,0,IFERROR(SUMIFS(INDIRECT("'"&amp;$G$5&amp;"'!$D$37:$D$52"),INDIRECT("'"&amp;$G$5&amp;"'!$C$37:$C$52"),W67,INDIRECT("'"&amp;$G$5&amp;"'!$B$37:$B$52"),"*Indirect*")/INDIRECT("'"&amp;$G$5&amp;"'!$F$2"),0)))</f>
        <v>0</v>
      </c>
      <c r="AI67" s="133" t="n">
        <f aca="true">IF($G$6="",0,IF(W67&gt;'General Information'!$D$33,0,IFERROR(SUMIFS(INDIRECT("'"&amp;$G$6&amp;"'!$D$37:$D$52"),INDIRECT("'"&amp;$G$6&amp;"'!$C$37:$C$52"),W67,INDIRECT("'"&amp;$G$6&amp;"'!$B$37:$B$52"),"*Indirect*")/INDIRECT("'"&amp;$G$6&amp;"'!$F$2"),0)))</f>
        <v>0</v>
      </c>
      <c r="AJ67" s="133" t="n">
        <f aca="true">IF($G$7="",0,IF(W67&gt;'General Information'!$D$33,0,IFERROR(SUMIFS(INDIRECT("'"&amp;$G$7&amp;"'!$D$37:$D$52"),INDIRECT("'"&amp;$G$7&amp;"'!$C$37:$C$52"),W67,INDIRECT("'"&amp;$G$7&amp;"'!$B$37:$B$52"),"*Indirect*")/INDIRECT("'"&amp;$G$7&amp;"'!$F$2"),0)))</f>
        <v>0</v>
      </c>
    </row>
    <row r="68" customFormat="false" ht="15" hidden="false" customHeight="false" outlineLevel="0" collapsed="false">
      <c r="W68" s="128" t="n">
        <v>27</v>
      </c>
      <c r="X68" s="128" t="n">
        <f aca="false">'General Information'!$D$25+W68</f>
        <v>2055</v>
      </c>
      <c r="Y68" s="129" t="n">
        <f aca="true">IF($G$4="",0,IF(W68&gt;'General Information'!$D$33,0,IF(W68=0,$J$4,IFERROR(SUMIF(INDIRECT("'"&amp;$G$4&amp;"'!$C$37:$C$52"),W68,INDIRECT("'"&amp;$G$4&amp;"'!$D$37:$D$52")),0))))</f>
        <v>0</v>
      </c>
      <c r="Z68" s="129" t="n">
        <f aca="true">IF($G$5="",0,IF(W68&gt;'General Information'!$D$33,0,IF(W68=0,$J$5,IFERROR(SUMIF(INDIRECT("'"&amp;$G$5&amp;"'!$C$37:$C$52"),W68,INDIRECT("'"&amp;$G$5&amp;"'!$D$37:$D$52")),0))))</f>
        <v>1133967.1054</v>
      </c>
      <c r="AA68" s="129" t="n">
        <f aca="true">IF($G$6="",0,IF(W68&gt;'General Information'!$D$33,0,IF(W68=0,$J$6,IFERROR(SUMIF(INDIRECT("'"&amp;$G$6&amp;"'!$C$37:$C$52"),W68,INDIRECT("'"&amp;$G$6&amp;"'!$D$37:$D$52")),0))))</f>
        <v>0</v>
      </c>
      <c r="AB68" s="129" t="n">
        <f aca="true">IF($G$7="",0,IF(W68&gt;'General Information'!$D$33,0,IF(W68=0,$J$7,IFERROR(SUMIF(INDIRECT("'"&amp;$G$7&amp;"'!$C$37:$C$52"),W68,INDIRECT("'"&amp;$G$7&amp;"'!$D$37:$D$52")),0))))</f>
        <v>0</v>
      </c>
      <c r="AC68" s="129" t="n">
        <f aca="true">IF($G$4="",0,AC67+IF(W68&gt;'General Information'!$D$33,0,IF(W68=0,$J$4,IFERROR(SUMIF(INDIRECT("'"&amp;$G$4&amp;"'!$C$37:$C$52"),W68,INDIRECT("'"&amp;$G$4&amp;"'!$E$37:$E$52")),0))))</f>
        <v>9678600.71632721</v>
      </c>
      <c r="AD68" s="129" t="n">
        <f aca="true">IF($G$5="",0,AD67+IF(W68&gt;'General Information'!$D$33,0,IF(W68=0,$J$5,IFERROR(SUMIF(INDIRECT("'"&amp;$G$5&amp;"'!$C$37:$C$52"),W68,INDIRECT("'"&amp;$G$5&amp;"'!$E$37:$E$52")),0))))</f>
        <v>10114006.2238839</v>
      </c>
      <c r="AE68" s="129" t="n">
        <f aca="true">IF($G$6="",0,AE67+IF(W68&gt;'General Information'!$D$33,0,IF(W68=0,$J$6,IFERROR(SUMIF(INDIRECT("'"&amp;$G$6&amp;"'!$C$37:$C$52"),W68,INDIRECT("'"&amp;$G$6&amp;"'!$E$37:$E$52")),0))))</f>
        <v>0</v>
      </c>
      <c r="AF68" s="129" t="n">
        <f aca="true">IF($G$7="",0,AF67+IF(W68&gt;'General Information'!$D$33,0,IF(W68=0,$J$7,IFERROR(SUMIF(INDIRECT("'"&amp;$G$7&amp;"'!$C$37:$C$52"),W68,INDIRECT("'"&amp;$G$7&amp;"'!$E$37:$E$52")),0))))</f>
        <v>0</v>
      </c>
      <c r="AG68" s="133" t="n">
        <f aca="true">IF($G$4="",0,IF(W68&gt;'General Information'!$D$33,0,IFERROR(SUMIFS(INDIRECT("'"&amp;$G$4&amp;"'!$D$37:$D$52"),INDIRECT("'"&amp;$G$4&amp;"'!$C$37:$C$52"),W68,INDIRECT("'"&amp;$G$4&amp;"'!$B$37:$B$52"),"*Indirect*")/INDIRECT("'"&amp;$G$4&amp;"'!$F$2"),0)))</f>
        <v>0</v>
      </c>
      <c r="AH68" s="133" t="n">
        <f aca="true">IF($G$5="",0,IF(W68&gt;'General Information'!$D$33,0,IFERROR(SUMIFS(INDIRECT("'"&amp;$G$5&amp;"'!$D$37:$D$52"),INDIRECT("'"&amp;$G$5&amp;"'!$C$37:$C$52"),W68,INDIRECT("'"&amp;$G$5&amp;"'!$B$37:$B$52"),"*Indirect*")/INDIRECT("'"&amp;$G$5&amp;"'!$F$2"),0)))</f>
        <v>19</v>
      </c>
      <c r="AI68" s="133" t="n">
        <f aca="true">IF($G$6="",0,IF(W68&gt;'General Information'!$D$33,0,IFERROR(SUMIFS(INDIRECT("'"&amp;$G$6&amp;"'!$D$37:$D$52"),INDIRECT("'"&amp;$G$6&amp;"'!$C$37:$C$52"),W68,INDIRECT("'"&amp;$G$6&amp;"'!$B$37:$B$52"),"*Indirect*")/INDIRECT("'"&amp;$G$6&amp;"'!$F$2"),0)))</f>
        <v>0</v>
      </c>
      <c r="AJ68" s="133" t="n">
        <f aca="true">IF($G$7="",0,IF(W68&gt;'General Information'!$D$33,0,IFERROR(SUMIFS(INDIRECT("'"&amp;$G$7&amp;"'!$D$37:$D$52"),INDIRECT("'"&amp;$G$7&amp;"'!$C$37:$C$52"),W68,INDIRECT("'"&amp;$G$7&amp;"'!$B$37:$B$52"),"*Indirect*")/INDIRECT("'"&amp;$G$7&amp;"'!$F$2"),0)))</f>
        <v>0</v>
      </c>
    </row>
    <row r="69" customFormat="false" ht="15" hidden="false" customHeight="false" outlineLevel="0" collapsed="false">
      <c r="G69" s="122" t="s">
        <v>672</v>
      </c>
      <c r="W69" s="128" t="n">
        <v>28</v>
      </c>
      <c r="X69" s="128" t="n">
        <f aca="false">'General Information'!$D$25+W69</f>
        <v>2056</v>
      </c>
      <c r="Y69" s="129" t="n">
        <f aca="true">IF($G$4="",0,IF(W69&gt;'General Information'!$D$33,0,IF(W69=0,$J$4,IFERROR(SUMIF(INDIRECT("'"&amp;$G$4&amp;"'!$C$37:$C$52"),W69,INDIRECT("'"&amp;$G$4&amp;"'!$D$37:$D$52")),0))))</f>
        <v>544452.795229167</v>
      </c>
      <c r="Z69" s="129" t="n">
        <f aca="true">IF($G$5="",0,IF(W69&gt;'General Information'!$D$33,0,IF(W69=0,$J$5,IFERROR(SUMIF(INDIRECT("'"&amp;$G$5&amp;"'!$C$37:$C$52"),W69,INDIRECT("'"&amp;$G$5&amp;"'!$D$37:$D$52")),0))))</f>
        <v>0</v>
      </c>
      <c r="AA69" s="129" t="n">
        <f aca="true">IF($G$6="",0,IF(W69&gt;'General Information'!$D$33,0,IF(W69=0,$J$6,IFERROR(SUMIF(INDIRECT("'"&amp;$G$6&amp;"'!$C$37:$C$52"),W69,INDIRECT("'"&amp;$G$6&amp;"'!$D$37:$D$52")),0))))</f>
        <v>0</v>
      </c>
      <c r="AB69" s="129" t="n">
        <f aca="true">IF($G$7="",0,IF(W69&gt;'General Information'!$D$33,0,IF(W69=0,$J$7,IFERROR(SUMIF(INDIRECT("'"&amp;$G$7&amp;"'!$C$37:$C$52"),W69,INDIRECT("'"&amp;$G$7&amp;"'!$D$37:$D$52")),0))))</f>
        <v>0</v>
      </c>
      <c r="AC69" s="129" t="n">
        <f aca="true">IF($G$4="",0,AC68+IF(W69&gt;'General Information'!$D$33,0,IF(W69=0,$J$4,IFERROR(SUMIF(INDIRECT("'"&amp;$G$4&amp;"'!$C$37:$C$52"),W69,INDIRECT("'"&amp;$G$4&amp;"'!$E$37:$E$52")),0))))</f>
        <v>9916568.37632054</v>
      </c>
      <c r="AD69" s="129" t="n">
        <f aca="true">IF($G$5="",0,AD68+IF(W69&gt;'General Information'!$D$33,0,IF(W69=0,$J$5,IFERROR(SUMIF(INDIRECT("'"&amp;$G$5&amp;"'!$C$37:$C$52"),W69,INDIRECT("'"&amp;$G$5&amp;"'!$E$37:$E$52")),0))))</f>
        <v>10114006.2238839</v>
      </c>
      <c r="AE69" s="129" t="n">
        <f aca="true">IF($G$6="",0,AE68+IF(W69&gt;'General Information'!$D$33,0,IF(W69=0,$J$6,IFERROR(SUMIF(INDIRECT("'"&amp;$G$6&amp;"'!$C$37:$C$52"),W69,INDIRECT("'"&amp;$G$6&amp;"'!$E$37:$E$52")),0))))</f>
        <v>0</v>
      </c>
      <c r="AF69" s="129" t="n">
        <f aca="true">IF($G$7="",0,AF68+IF(W69&gt;'General Information'!$D$33,0,IF(W69=0,$J$7,IFERROR(SUMIF(INDIRECT("'"&amp;$G$7&amp;"'!$C$37:$C$52"),W69,INDIRECT("'"&amp;$G$7&amp;"'!$E$37:$E$52")),0))))</f>
        <v>0</v>
      </c>
      <c r="AG69" s="133" t="n">
        <f aca="true">IF($G$4="",0,IF(W69&gt;'General Information'!$D$33,0,IFERROR(SUMIFS(INDIRECT("'"&amp;$G$4&amp;"'!$D$37:$D$52"),INDIRECT("'"&amp;$G$4&amp;"'!$C$37:$C$52"),W69,INDIRECT("'"&amp;$G$4&amp;"'!$B$37:$B$52"),"*Indirect*")/INDIRECT("'"&amp;$G$4&amp;"'!$F$2"),0)))</f>
        <v>9</v>
      </c>
      <c r="AH69" s="133" t="n">
        <f aca="true">IF($G$5="",0,IF(W69&gt;'General Information'!$D$33,0,IFERROR(SUMIFS(INDIRECT("'"&amp;$G$5&amp;"'!$D$37:$D$52"),INDIRECT("'"&amp;$G$5&amp;"'!$C$37:$C$52"),W69,INDIRECT("'"&amp;$G$5&amp;"'!$B$37:$B$52"),"*Indirect*")/INDIRECT("'"&amp;$G$5&amp;"'!$F$2"),0)))</f>
        <v>0</v>
      </c>
      <c r="AI69" s="133" t="n">
        <f aca="true">IF($G$6="",0,IF(W69&gt;'General Information'!$D$33,0,IFERROR(SUMIFS(INDIRECT("'"&amp;$G$6&amp;"'!$D$37:$D$52"),INDIRECT("'"&amp;$G$6&amp;"'!$C$37:$C$52"),W69,INDIRECT("'"&amp;$G$6&amp;"'!$B$37:$B$52"),"*Indirect*")/INDIRECT("'"&amp;$G$6&amp;"'!$F$2"),0)))</f>
        <v>0</v>
      </c>
      <c r="AJ69" s="133" t="n">
        <f aca="true">IF($G$7="",0,IF(W69&gt;'General Information'!$D$33,0,IFERROR(SUMIFS(INDIRECT("'"&amp;$G$7&amp;"'!$D$37:$D$52"),INDIRECT("'"&amp;$G$7&amp;"'!$C$37:$C$52"),W69,INDIRECT("'"&amp;$G$7&amp;"'!$B$37:$B$52"),"*Indirect*")/INDIRECT("'"&amp;$G$7&amp;"'!$F$2"),0)))</f>
        <v>0</v>
      </c>
    </row>
    <row r="70" customFormat="false" ht="15" hidden="false" customHeight="false" outlineLevel="0" collapsed="false">
      <c r="W70" s="128" t="n">
        <v>29</v>
      </c>
      <c r="X70" s="128" t="n">
        <f aca="false">'General Information'!$D$25+W70</f>
        <v>2057</v>
      </c>
      <c r="Y70" s="129" t="n">
        <f aca="true">IF($G$4="",0,IF(W70&gt;'General Information'!$D$33,0,IF(W70=0,$J$4,IFERROR(SUMIF(INDIRECT("'"&amp;$G$4&amp;"'!$C$37:$C$52"),W70,INDIRECT("'"&amp;$G$4&amp;"'!$D$37:$D$52")),0))))</f>
        <v>0</v>
      </c>
      <c r="Z70" s="129" t="n">
        <f aca="true">IF($G$5="",0,IF(W70&gt;'General Information'!$D$33,0,IF(W70=0,$J$5,IFERROR(SUMIF(INDIRECT("'"&amp;$G$5&amp;"'!$C$37:$C$52"),W70,INDIRECT("'"&amp;$G$5&amp;"'!$D$37:$D$52")),0))))</f>
        <v>0</v>
      </c>
      <c r="AA70" s="129" t="n">
        <f aca="true">IF($G$6="",0,IF(W70&gt;'General Information'!$D$33,0,IF(W70=0,$J$6,IFERROR(SUMIF(INDIRECT("'"&amp;$G$6&amp;"'!$C$37:$C$52"),W70,INDIRECT("'"&amp;$G$6&amp;"'!$D$37:$D$52")),0))))</f>
        <v>0</v>
      </c>
      <c r="AB70" s="129" t="n">
        <f aca="true">IF($G$7="",0,IF(W70&gt;'General Information'!$D$33,0,IF(W70=0,$J$7,IFERROR(SUMIF(INDIRECT("'"&amp;$G$7&amp;"'!$C$37:$C$52"),W70,INDIRECT("'"&amp;$G$7&amp;"'!$D$37:$D$52")),0))))</f>
        <v>0</v>
      </c>
      <c r="AC70" s="129" t="n">
        <f aca="true">IF($G$4="",0,AC69+IF(W70&gt;'General Information'!$D$33,0,IF(W70=0,$J$4,IFERROR(SUMIF(INDIRECT("'"&amp;$G$4&amp;"'!$C$37:$C$52"),W70,INDIRECT("'"&amp;$G$4&amp;"'!$E$37:$E$52")),0))))</f>
        <v>9916568.37632054</v>
      </c>
      <c r="AD70" s="129" t="n">
        <f aca="true">IF($G$5="",0,AD69+IF(W70&gt;'General Information'!$D$33,0,IF(W70=0,$J$5,IFERROR(SUMIF(INDIRECT("'"&amp;$G$5&amp;"'!$C$37:$C$52"),W70,INDIRECT("'"&amp;$G$5&amp;"'!$E$37:$E$52")),0))))</f>
        <v>10114006.2238839</v>
      </c>
      <c r="AE70" s="129" t="n">
        <f aca="true">IF($G$6="",0,AE69+IF(W70&gt;'General Information'!$D$33,0,IF(W70=0,$J$6,IFERROR(SUMIF(INDIRECT("'"&amp;$G$6&amp;"'!$C$37:$C$52"),W70,INDIRECT("'"&amp;$G$6&amp;"'!$E$37:$E$52")),0))))</f>
        <v>0</v>
      </c>
      <c r="AF70" s="129" t="n">
        <f aca="true">IF($G$7="",0,AF69+IF(W70&gt;'General Information'!$D$33,0,IF(W70=0,$J$7,IFERROR(SUMIF(INDIRECT("'"&amp;$G$7&amp;"'!$C$37:$C$52"),W70,INDIRECT("'"&amp;$G$7&amp;"'!$E$37:$E$52")),0))))</f>
        <v>0</v>
      </c>
      <c r="AG70" s="133" t="n">
        <f aca="true">IF($G$4="",0,IF(W70&gt;'General Information'!$D$33,0,IFERROR(SUMIFS(INDIRECT("'"&amp;$G$4&amp;"'!$D$37:$D$52"),INDIRECT("'"&amp;$G$4&amp;"'!$C$37:$C$52"),W70,INDIRECT("'"&amp;$G$4&amp;"'!$B$37:$B$52"),"*Indirect*")/INDIRECT("'"&amp;$G$4&amp;"'!$F$2"),0)))</f>
        <v>0</v>
      </c>
      <c r="AH70" s="133" t="n">
        <f aca="true">IF($G$5="",0,IF(W70&gt;'General Information'!$D$33,0,IFERROR(SUMIFS(INDIRECT("'"&amp;$G$5&amp;"'!$D$37:$D$52"),INDIRECT("'"&amp;$G$5&amp;"'!$C$37:$C$52"),W70,INDIRECT("'"&amp;$G$5&amp;"'!$B$37:$B$52"),"*Indirect*")/INDIRECT("'"&amp;$G$5&amp;"'!$F$2"),0)))</f>
        <v>0</v>
      </c>
      <c r="AI70" s="133" t="n">
        <f aca="true">IF($G$6="",0,IF(W70&gt;'General Information'!$D$33,0,IFERROR(SUMIFS(INDIRECT("'"&amp;$G$6&amp;"'!$D$37:$D$52"),INDIRECT("'"&amp;$G$6&amp;"'!$C$37:$C$52"),W70,INDIRECT("'"&amp;$G$6&amp;"'!$B$37:$B$52"),"*Indirect*")/INDIRECT("'"&amp;$G$6&amp;"'!$F$2"),0)))</f>
        <v>0</v>
      </c>
      <c r="AJ70" s="133" t="n">
        <f aca="true">IF($G$7="",0,IF(W70&gt;'General Information'!$D$33,0,IFERROR(SUMIFS(INDIRECT("'"&amp;$G$7&amp;"'!$D$37:$D$52"),INDIRECT("'"&amp;$G$7&amp;"'!$C$37:$C$52"),W70,INDIRECT("'"&amp;$G$7&amp;"'!$B$37:$B$52"),"*Indirect*")/INDIRECT("'"&amp;$G$7&amp;"'!$F$2"),0)))</f>
        <v>0</v>
      </c>
    </row>
    <row r="71" customFormat="false" ht="15" hidden="false" customHeight="false" outlineLevel="0" collapsed="false">
      <c r="W71" s="128" t="n">
        <v>30</v>
      </c>
      <c r="X71" s="128" t="n">
        <f aca="false">'General Information'!$D$25+W71</f>
        <v>2058</v>
      </c>
      <c r="Y71" s="129" t="n">
        <f aca="true">IF($G$4="",0,IF(W71&gt;'General Information'!$D$33,0,IF(W71=0,$J$4,IFERROR(SUMIF(INDIRECT("'"&amp;$G$4&amp;"'!$C$37:$C$52"),W71,INDIRECT("'"&amp;$G$4&amp;"'!$D$37:$D$52")),0))))</f>
        <v>-212008.344515625</v>
      </c>
      <c r="Z71" s="129" t="n">
        <f aca="true">IF($G$5="",0,IF(W71&gt;'General Information'!$D$33,0,IF(W71=0,$J$5,IFERROR(SUMIF(INDIRECT("'"&amp;$G$5&amp;"'!$C$37:$C$52"),W71,INDIRECT("'"&amp;$G$5&amp;"'!$D$37:$D$52")),0))))</f>
        <v>-2265616.4375</v>
      </c>
      <c r="AA71" s="129" t="n">
        <f aca="true">IF($G$6="",0,IF(W71&gt;'General Information'!$D$33,0,IF(W71=0,$J$6,IFERROR(SUMIF(INDIRECT("'"&amp;$G$6&amp;"'!$C$37:$C$52"),W71,INDIRECT("'"&amp;$G$6&amp;"'!$D$37:$D$52")),0))))</f>
        <v>0</v>
      </c>
      <c r="AB71" s="129" t="n">
        <f aca="true">IF($G$7="",0,IF(W71&gt;'General Information'!$D$33,0,IF(W71=0,$J$7,IFERROR(SUMIF(INDIRECT("'"&amp;$G$7&amp;"'!$C$37:$C$52"),W71,INDIRECT("'"&amp;$G$7&amp;"'!$D$37:$D$52")),0))))</f>
        <v>0</v>
      </c>
      <c r="AC71" s="129" t="n">
        <f aca="true">IF($G$4="",0,AC70+IF(W71&gt;'General Information'!$D$33,0,IF(W71=0,$J$4,IFERROR(SUMIF(INDIRECT("'"&amp;$G$4&amp;"'!$C$37:$C$52"),W71,INDIRECT("'"&amp;$G$4&amp;"'!$E$37:$E$52")),0))))</f>
        <v>9829223.74547321</v>
      </c>
      <c r="AD71" s="129" t="n">
        <f aca="true">IF($G$5="",0,AD70+IF(W71&gt;'General Information'!$D$33,0,IF(W71=0,$J$5,IFERROR(SUMIF(INDIRECT("'"&amp;$G$5&amp;"'!$C$37:$C$52"),W71,INDIRECT("'"&amp;$G$5&amp;"'!$E$37:$E$52")),0))))</f>
        <v>9180602.24949232</v>
      </c>
      <c r="AE71" s="129" t="n">
        <f aca="true">IF($G$6="",0,AE70+IF(W71&gt;'General Information'!$D$33,0,IF(W71=0,$J$6,IFERROR(SUMIF(INDIRECT("'"&amp;$G$6&amp;"'!$C$37:$C$52"),W71,INDIRECT("'"&amp;$G$6&amp;"'!$E$37:$E$52")),0))))</f>
        <v>0</v>
      </c>
      <c r="AF71" s="129" t="n">
        <f aca="true">IF($G$7="",0,AF70+IF(W71&gt;'General Information'!$D$33,0,IF(W71=0,$J$7,IFERROR(SUMIF(INDIRECT("'"&amp;$G$7&amp;"'!$C$37:$C$52"),W71,INDIRECT("'"&amp;$G$7&amp;"'!$E$37:$E$52")),0))))</f>
        <v>0</v>
      </c>
      <c r="AG71" s="133" t="n">
        <f aca="true">IF($G$4="",0,IF(W71&gt;'General Information'!$D$33,0,IFERROR(SUMIFS(INDIRECT("'"&amp;$G$4&amp;"'!$D$37:$D$52"),INDIRECT("'"&amp;$G$4&amp;"'!$C$37:$C$52"),W71,INDIRECT("'"&amp;$G$4&amp;"'!$B$37:$B$52"),"*Indirect*")/INDIRECT("'"&amp;$G$4&amp;"'!$F$2"),0)))</f>
        <v>0</v>
      </c>
      <c r="AH71" s="133" t="n">
        <f aca="true">IF($G$5="",0,IF(W71&gt;'General Information'!$D$33,0,IFERROR(SUMIFS(INDIRECT("'"&amp;$G$5&amp;"'!$D$37:$D$52"),INDIRECT("'"&amp;$G$5&amp;"'!$C$37:$C$52"),W71,INDIRECT("'"&amp;$G$5&amp;"'!$B$37:$B$52"),"*Indirect*")/INDIRECT("'"&amp;$G$5&amp;"'!$F$2"),0)))</f>
        <v>0</v>
      </c>
      <c r="AI71" s="133" t="n">
        <f aca="true">IF($G$6="",0,IF(W71&gt;'General Information'!$D$33,0,IFERROR(SUMIFS(INDIRECT("'"&amp;$G$6&amp;"'!$D$37:$D$52"),INDIRECT("'"&amp;$G$6&amp;"'!$C$37:$C$52"),W71,INDIRECT("'"&amp;$G$6&amp;"'!$B$37:$B$52"),"*Indirect*")/INDIRECT("'"&amp;$G$6&amp;"'!$F$2"),0)))</f>
        <v>0</v>
      </c>
      <c r="AJ71" s="133" t="n">
        <f aca="true">IF($G$7="",0,IF(W71&gt;'General Information'!$D$33,0,IFERROR(SUMIFS(INDIRECT("'"&amp;$G$7&amp;"'!$D$37:$D$52"),INDIRECT("'"&amp;$G$7&amp;"'!$C$37:$C$52"),W71,INDIRECT("'"&amp;$G$7&amp;"'!$B$37:$B$52"),"*Indirect*")/INDIRECT("'"&amp;$G$7&amp;"'!$F$2"),0)))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33.43"/>
    <col collapsed="false" customWidth="true" hidden="false" outlineLevel="0" max="2" min="2" style="0" width="32.86"/>
    <col collapsed="false" customWidth="true" hidden="false" outlineLevel="0" max="3" min="3" style="0" width="41.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15" hidden="false" customHeight="false" outlineLevel="0" collapsed="false">
      <c r="I1" s="0" t="s">
        <v>0</v>
      </c>
    </row>
    <row r="2" customFormat="false" ht="15" hidden="false" customHeight="false" outlineLevel="0" collapsed="false">
      <c r="A2" s="3" t="s">
        <v>1</v>
      </c>
      <c r="E2" s="4" t="s">
        <v>601</v>
      </c>
      <c r="F2" s="5"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3239.39</v>
      </c>
      <c r="G2" s="0" t="str">
        <f aca="false">IF(AND('General Information'!$D$38="Yes",F2=0),"No revenue data for this airport - lost revenue set to $0. Contact Aeronautics.","")</f>
        <v/>
      </c>
      <c r="J2" s="6" t="s">
        <v>3</v>
      </c>
      <c r="R2" s="3" t="s">
        <v>564</v>
      </c>
      <c r="Z2" s="6" t="s">
        <v>565</v>
      </c>
      <c r="AH2" s="3" t="s">
        <v>570</v>
      </c>
      <c r="AP2" s="6" t="s">
        <v>4</v>
      </c>
      <c r="AX2" s="3" t="s">
        <v>576</v>
      </c>
      <c r="BF2" s="6" t="s">
        <v>577</v>
      </c>
    </row>
    <row r="3" customFormat="false" ht="15" hidden="false" customHeight="false" outlineLevel="0" collapsed="false">
      <c r="E3" s="7"/>
      <c r="F3" s="8"/>
    </row>
    <row r="4" customFormat="false" ht="15" hidden="false" customHeight="false" outlineLevel="0" collapsed="false">
      <c r="A4" s="0" t="s">
        <v>5</v>
      </c>
      <c r="C4" s="9" t="s">
        <v>553</v>
      </c>
      <c r="E4" s="7" t="s">
        <v>7</v>
      </c>
      <c r="F4" s="10" t="n">
        <f aca="false">ROUNDUP((C5/15000),0)+ROUNDUP((C8/20000),0)+ROUNDUP((C8/50000),0)</f>
        <v>7</v>
      </c>
    </row>
    <row r="5" customFormat="false" ht="15" hidden="false" customHeight="false" outlineLevel="0" collapsed="false">
      <c r="A5" s="0" t="s">
        <v>8</v>
      </c>
      <c r="C5" s="0" t="n">
        <f aca="false">'General Information'!D26</f>
        <v>66667</v>
      </c>
      <c r="D5" s="0" t="s">
        <v>9</v>
      </c>
      <c r="E5" s="7" t="s">
        <v>602</v>
      </c>
      <c r="F5" s="10" t="n">
        <f aca="false">ROUNDUP((C5/15000),0)+ROUNDUP((C8/20000),0)+ROUNDUP((C8/50000),0)</f>
        <v>7</v>
      </c>
    </row>
    <row r="6" customFormat="false" ht="15" hidden="false" customHeight="false" outlineLevel="0" collapsed="false">
      <c r="A6" s="0" t="s">
        <v>11</v>
      </c>
      <c r="C6" s="0" t="n">
        <f aca="false">'General Information'!D25</f>
        <v>2028</v>
      </c>
      <c r="E6" s="7" t="s">
        <v>603</v>
      </c>
      <c r="F6" s="10" t="n">
        <f aca="false">ROUNDUP((C5/15000),0)+ROUNDUP((C8/20000),0)+ROUNDUP((C8/50000),0)+ROUNDUP((C5*'Maintenance Policies'!D15/10000),0)+ROUNDUP((C5*'Maintenance Policies'!D14/5000),0)</f>
        <v>9</v>
      </c>
      <c r="AP6" s="1" t="s">
        <v>604</v>
      </c>
      <c r="AQ6" s="1" t="n">
        <v>2</v>
      </c>
      <c r="AR6" s="1" t="s">
        <v>605</v>
      </c>
    </row>
    <row r="7" customFormat="false" ht="15" hidden="false" customHeight="false" outlineLevel="0" collapsed="false">
      <c r="A7" s="0" t="s">
        <v>606</v>
      </c>
      <c r="C7" s="98" t="s">
        <v>517</v>
      </c>
      <c r="D7" s="0" t="s">
        <v>607</v>
      </c>
      <c r="E7" s="7" t="s">
        <v>608</v>
      </c>
      <c r="F7" s="10" t="n">
        <f aca="false">ROUNDUP((C5/15000),0)+ROUNDUP((C8/20000),0)+ROUNDUP((C8/50000),0)+ROUNDUP((C5*'Maintenance Policies'!D18/10000),0)+ROUNDUP((C5*'Maintenance Policies'!D19/5000),0)</f>
        <v>9</v>
      </c>
      <c r="AP7" s="1" t="s">
        <v>609</v>
      </c>
      <c r="AQ7" s="1" t="n">
        <v>120</v>
      </c>
      <c r="AR7" s="1" t="s">
        <v>610</v>
      </c>
    </row>
    <row r="8" customFormat="false" ht="15" hidden="false" customHeight="false" outlineLevel="0" collapsed="false">
      <c r="A8" s="0" t="s">
        <v>12</v>
      </c>
      <c r="C8" s="0" t="n">
        <f aca="false">'General Information'!D28</f>
        <v>15000</v>
      </c>
      <c r="D8" s="0" t="s">
        <v>13</v>
      </c>
      <c r="E8" s="7" t="s">
        <v>10</v>
      </c>
      <c r="F8" s="10" t="n">
        <f aca="false">ROUNDUP((C5/3800),0)+ROUNDUP((C8/50000),0)</f>
        <v>19</v>
      </c>
    </row>
    <row r="9" customFormat="false" ht="15" hidden="false" customHeight="false" outlineLevel="0" collapsed="false">
      <c r="C9" s="9"/>
      <c r="E9" s="7" t="s">
        <v>611</v>
      </c>
      <c r="F9" s="10" t="n">
        <f aca="false">ROUNDUP((C5/15000),0)+ROUNDUP((C8/20000),0)+ROUNDUP((C8/50000),0)</f>
        <v>7</v>
      </c>
      <c r="AP9" s="1" t="s">
        <v>612</v>
      </c>
      <c r="AQ9" s="1" t="n">
        <v>0.1</v>
      </c>
      <c r="AR9" s="1" t="s">
        <v>613</v>
      </c>
    </row>
    <row r="10" customFormat="false" ht="15" hidden="false" customHeight="false" outlineLevel="0" collapsed="false">
      <c r="D10" s="14"/>
      <c r="E10" s="11" t="s">
        <v>614</v>
      </c>
      <c r="F10" s="12" t="n">
        <f aca="false">ROUNDUP((C5/15000),0)+ROUNDUP((C8/20000),0)+ROUNDUP((C8/50000),0)+ROUNDUP((C5*'Maintenance Policies'!D28/10000),0)+ROUNDUP((C5*'Maintenance Policies'!D29/5000),0)</f>
        <v>9</v>
      </c>
    </row>
    <row r="12" customFormat="false" ht="15" hidden="false" customHeight="false" outlineLevel="0" collapsed="false">
      <c r="A12" s="0" t="s">
        <v>16</v>
      </c>
      <c r="B12" s="0" t="s">
        <v>17</v>
      </c>
      <c r="C12" s="0" t="s">
        <v>18</v>
      </c>
      <c r="D12" s="0" t="s">
        <v>19</v>
      </c>
      <c r="E12" s="0" t="s">
        <v>20</v>
      </c>
      <c r="F12" s="0" t="s">
        <v>21</v>
      </c>
      <c r="G12" s="0" t="s">
        <v>22</v>
      </c>
      <c r="J12" s="1" t="s">
        <v>16</v>
      </c>
      <c r="K12" s="1" t="s">
        <v>17</v>
      </c>
      <c r="L12" s="1" t="s">
        <v>18</v>
      </c>
      <c r="M12" s="1" t="s">
        <v>19</v>
      </c>
      <c r="N12" s="1" t="s">
        <v>20</v>
      </c>
      <c r="O12" s="1" t="s">
        <v>21</v>
      </c>
      <c r="P12" s="1" t="s">
        <v>22</v>
      </c>
      <c r="R12" s="15" t="s">
        <v>16</v>
      </c>
      <c r="S12" s="15" t="s">
        <v>17</v>
      </c>
      <c r="T12" s="15" t="s">
        <v>18</v>
      </c>
      <c r="U12" s="15" t="s">
        <v>19</v>
      </c>
      <c r="V12" s="15" t="s">
        <v>20</v>
      </c>
      <c r="W12" s="15" t="s">
        <v>21</v>
      </c>
      <c r="X12" s="15" t="s">
        <v>22</v>
      </c>
      <c r="Z12" s="1" t="s">
        <v>16</v>
      </c>
      <c r="AA12" s="1" t="s">
        <v>17</v>
      </c>
      <c r="AB12" s="1" t="s">
        <v>18</v>
      </c>
      <c r="AC12" s="1" t="s">
        <v>19</v>
      </c>
      <c r="AD12" s="1" t="s">
        <v>20</v>
      </c>
      <c r="AE12" s="1" t="s">
        <v>21</v>
      </c>
      <c r="AF12" s="1" t="s">
        <v>22</v>
      </c>
      <c r="AH12" s="15" t="s">
        <v>16</v>
      </c>
      <c r="AI12" s="15" t="s">
        <v>17</v>
      </c>
      <c r="AJ12" s="15" t="s">
        <v>18</v>
      </c>
      <c r="AK12" s="15" t="s">
        <v>19</v>
      </c>
      <c r="AL12" s="15" t="s">
        <v>20</v>
      </c>
      <c r="AM12" s="15" t="s">
        <v>21</v>
      </c>
      <c r="AN12" s="15" t="s">
        <v>22</v>
      </c>
      <c r="AP12" s="1" t="s">
        <v>16</v>
      </c>
      <c r="AQ12" s="1" t="s">
        <v>17</v>
      </c>
      <c r="AR12" s="1" t="s">
        <v>18</v>
      </c>
      <c r="AS12" s="1" t="s">
        <v>19</v>
      </c>
      <c r="AT12" s="1" t="s">
        <v>20</v>
      </c>
      <c r="AU12" s="1" t="s">
        <v>21</v>
      </c>
      <c r="AV12" s="1" t="s">
        <v>22</v>
      </c>
      <c r="AX12" s="15" t="s">
        <v>16</v>
      </c>
      <c r="AY12" s="15" t="s">
        <v>17</v>
      </c>
      <c r="AZ12" s="15" t="s">
        <v>18</v>
      </c>
      <c r="BA12" s="15" t="s">
        <v>19</v>
      </c>
      <c r="BB12" s="15" t="s">
        <v>20</v>
      </c>
      <c r="BC12" s="15" t="s">
        <v>21</v>
      </c>
      <c r="BD12" s="15" t="s">
        <v>22</v>
      </c>
      <c r="BF12" s="1" t="s">
        <v>16</v>
      </c>
      <c r="BG12" s="1" t="s">
        <v>17</v>
      </c>
      <c r="BH12" s="1" t="s">
        <v>18</v>
      </c>
      <c r="BI12" s="1" t="s">
        <v>19</v>
      </c>
      <c r="BJ12" s="1" t="s">
        <v>20</v>
      </c>
      <c r="BK12" s="1" t="s">
        <v>21</v>
      </c>
      <c r="BL12" s="1" t="s">
        <v>22</v>
      </c>
    </row>
    <row r="13" customFormat="false" ht="19.5" hidden="false" customHeight="true" outlineLevel="0" collapsed="false">
      <c r="A13" s="0" t="n">
        <v>1</v>
      </c>
      <c r="B13" s="16" t="str">
        <f aca="false">IF(C13="",0,VLOOKUP(C13,CHOOSE({1,2},Table2[Pay Item Description],Table2[Pay Item No.]),2,0))</f>
        <v>P-155-8.1</v>
      </c>
      <c r="C13" s="17" t="s">
        <v>451</v>
      </c>
      <c r="D13" s="18" t="str">
        <f aca="false">IF(C13="","N/A",VLOOKUP(C13,CHOOSE({1,2},Table2[Pay Item Description],Table2[Units]),2,0))</f>
        <v>S.Y.</v>
      </c>
      <c r="E13" s="99" t="n">
        <v>66667</v>
      </c>
      <c r="F13" s="20" t="n">
        <f aca="false">IF(C13="","N/A",VLOOKUP(C13,CHOOSE({1,2},Table2[Pay Item Description],Table2[Unit Cost]),2,0))</f>
        <v>10</v>
      </c>
      <c r="G13" s="21" t="n">
        <f aca="false">IF(B13&lt;&gt;0,F13*E13,0)</f>
        <v>666670</v>
      </c>
      <c r="J13" s="1" t="n">
        <v>1</v>
      </c>
      <c r="K13" s="100" t="str">
        <f aca="false">IF(L13="",0,VLOOKUP(L13,CHOOSE({1,2},Table2[Pay Item Description],Table2[Pay Item No.]),2,0))</f>
        <v>P-608-8.1</v>
      </c>
      <c r="L13" s="1" t="str">
        <f aca="false">C7</f>
        <v>Emulsified Asphalt Surface Treatment</v>
      </c>
      <c r="M13" s="101" t="str">
        <f aca="false">VLOOKUP(L13,CHOOSE({1,2},Table2[Pay Item Description],Table2[Units]),2,0)</f>
        <v>S.Y.</v>
      </c>
      <c r="N13" s="102" t="n">
        <f aca="false">'Maintenance Policies'!D10*$C$5</f>
        <v>66667</v>
      </c>
      <c r="O13" s="103" t="n">
        <f aca="false">IF(L13="","N/A",VLOOKUP(L13,CHOOSE({1,2},Table2[Pay Item Description],Table2[Unit Cost]),2,0))</f>
        <v>4</v>
      </c>
      <c r="P13" s="24" t="n">
        <f aca="false">O13*N13</f>
        <v>266668</v>
      </c>
      <c r="R13" s="0" t="n">
        <v>1</v>
      </c>
      <c r="S13" s="16" t="str">
        <f aca="false">IF(T13="",0,VLOOKUP(T13,CHOOSE({1,2},Table2[Pay Item Description],Table2[Pay Item No.]),2,0))</f>
        <v>P-608-8.1</v>
      </c>
      <c r="T13" s="0" t="str">
        <f aca="false">C7</f>
        <v>Emulsified Asphalt Surface Treatment</v>
      </c>
      <c r="U13" s="18" t="str">
        <f aca="false">VLOOKUP(T13,CHOOSE({1,2},Table2[Pay Item Description],Table2[Units]),2,0)</f>
        <v>S.Y.</v>
      </c>
      <c r="V13" s="104" t="n">
        <f aca="false">'Maintenance Policies'!D12*$C$5</f>
        <v>66667</v>
      </c>
      <c r="W13" s="59" t="n">
        <f aca="false">IF(T13="","N/A",VLOOKUP(T13,CHOOSE({1,2},Table2[Pay Item Description],Table2[Unit Cost]),2,0))</f>
        <v>4</v>
      </c>
      <c r="X13" s="27" t="n">
        <f aca="false">W13*V13</f>
        <v>266668</v>
      </c>
      <c r="Z13" s="1" t="n">
        <v>1</v>
      </c>
      <c r="AA13" s="1" t="str">
        <f aca="false">IF(AB13="",0,VLOOKUP(AB13,CHOOSE({1,2},Table2[Pay Item Description],Table2[Pay Item No.]),2,0))</f>
        <v>P-101-5.4a</v>
      </c>
      <c r="AB13" s="1" t="str">
        <f aca="false">Pay_Items!D11</f>
        <v>Spall Repair, Asphalt</v>
      </c>
      <c r="AC13" s="105" t="str">
        <f aca="false">IF(AB13="","N/A",VLOOKUP(AB13,CHOOSE({1,2},Table2[Pay Item Description],Table2[Units]),2,0))</f>
        <v>S.F.</v>
      </c>
      <c r="AD13" s="102" t="n">
        <f aca="false">'Maintenance Policies'!D14*($C$5*9)</f>
        <v>4500.0225</v>
      </c>
      <c r="AE13" s="106" t="n">
        <f aca="false">IF(AB13="","N/A",VLOOKUP(AB13,CHOOSE({1,2},Table2[Pay Item Description],Table2[Unit Cost]),2,0))</f>
        <v>8.5</v>
      </c>
      <c r="AF13" s="24" t="n">
        <f aca="false">AE13*AD13</f>
        <v>38250.19125</v>
      </c>
      <c r="AH13" s="0" t="n">
        <v>1</v>
      </c>
      <c r="AI13" s="0" t="str">
        <f aca="false">IF(AJ13="",0,VLOOKUP(AJ13,CHOOSE({1,2},Table2[Pay Item Description],Table2[Pay Item No.]),2,0))</f>
        <v>P-101-5.4a</v>
      </c>
      <c r="AJ13" s="0" t="str">
        <f aca="false">Pay_Items!D11</f>
        <v>Spall Repair, Asphalt</v>
      </c>
      <c r="AK13" s="107" t="str">
        <f aca="false">IF(AJ13="","N/A",VLOOKUP(AJ13,CHOOSE({1,2},Table2[Pay Item Description],Table2[Units]),2,0))</f>
        <v>S.F.</v>
      </c>
      <c r="AL13" s="104" t="n">
        <f aca="false">'Maintenance Policies'!D18*($C$5*9)</f>
        <v>6000.03</v>
      </c>
      <c r="AM13" s="108" t="n">
        <f aca="false">IF(AJ13="","N/A",VLOOKUP(AJ13,CHOOSE({1,2},Table2[Pay Item Description],Table2[Unit Cost]),2,0))</f>
        <v>8.5</v>
      </c>
      <c r="AN13" s="27" t="n">
        <f aca="false">AM13*AL13</f>
        <v>51000.255</v>
      </c>
      <c r="AP13" s="1" t="n">
        <v>1</v>
      </c>
      <c r="AQ13" s="1" t="str">
        <f aca="false">IF(AR13="",0,VLOOKUP(AR13,CHOOSE({1,2},Table2[Pay Item Description],Table2[Pay Item No.]),2,0))</f>
        <v>P-101-5.6</v>
      </c>
      <c r="AR13" s="1" t="str">
        <f aca="false">Pay_Items!D16</f>
        <v>Cold Milling</v>
      </c>
      <c r="AS13" s="105" t="str">
        <f aca="false">IF(AR13="","N/A",VLOOKUP(AR13,CHOOSE({1,2},Table2[Pay Item Description],Table2[Units]),2,0))</f>
        <v>S.Y.</v>
      </c>
      <c r="AT13" s="102" t="n">
        <f aca="false">'Maintenance Policies'!D22*$C$5</f>
        <v>66667</v>
      </c>
      <c r="AU13" s="106" t="n">
        <f aca="false">IF(AR13="","N/A",VLOOKUP(AR13,CHOOSE({1,2},Table2[Pay Item Description],Table2[Unit Cost]),2,0))</f>
        <v>5</v>
      </c>
      <c r="AV13" s="24" t="n">
        <f aca="false">AU13*AT13</f>
        <v>333335</v>
      </c>
      <c r="AX13" s="0" t="n">
        <v>1</v>
      </c>
      <c r="AY13" s="16" t="str">
        <f aca="false">IF(AZ13="",0,VLOOKUP(AZ13,CHOOSE({1,2},Table2[Pay Item Description],Table2[Pay Item No.]),2,0))</f>
        <v>P-608-8.1</v>
      </c>
      <c r="AZ13" s="0" t="str">
        <f aca="false">C7</f>
        <v>Emulsified Asphalt Surface Treatment</v>
      </c>
      <c r="BA13" s="18" t="str">
        <f aca="false">IF(AZ13="","N/A",VLOOKUP(AZ13,CHOOSE({1,2},Table2[Pay Item Description],Table2[Units]),2,0))</f>
        <v>S.Y.</v>
      </c>
      <c r="BB13" s="104" t="n">
        <f aca="false">'Maintenance Policies'!D26*$C$5</f>
        <v>66667</v>
      </c>
      <c r="BC13" s="59" t="n">
        <f aca="false">IF(AZ13="","N/A",VLOOKUP(AZ13,CHOOSE({1,2},Table2[Pay Item Description],Table2[Unit Cost]),2,0))</f>
        <v>4</v>
      </c>
      <c r="BD13" s="27" t="n">
        <f aca="false">BC13*BB13</f>
        <v>266668</v>
      </c>
      <c r="BF13" s="1" t="n">
        <v>1</v>
      </c>
      <c r="BG13" s="1" t="str">
        <f aca="false">IF(BH13="",0,VLOOKUP(BH13,CHOOSE({1,2},Table2[Pay Item Description],Table2[Pay Item No.]),2,0))</f>
        <v>P-101-5.4a</v>
      </c>
      <c r="BH13" s="1" t="str">
        <f aca="false">Pay_Items!D11</f>
        <v>Spall Repair, Asphalt</v>
      </c>
      <c r="BI13" s="105" t="str">
        <f aca="false">IF(BH13="","N/A",VLOOKUP(BH13,CHOOSE({1,2},Table2[Pay Item Description],Table2[Units]),2,0))</f>
        <v>S.F.</v>
      </c>
      <c r="BJ13" s="102" t="n">
        <f aca="false">'Maintenance Policies'!D28*($C$5*9)</f>
        <v>7500.0375</v>
      </c>
      <c r="BK13" s="106" t="n">
        <f aca="false">IF(BH13="","N/A",VLOOKUP(BH13,CHOOSE({1,2},Table2[Pay Item Description],Table2[Unit Cost]),2,0))</f>
        <v>8.5</v>
      </c>
      <c r="BL13" s="24" t="n">
        <f aca="false">BK13*BJ13</f>
        <v>63750.31875</v>
      </c>
    </row>
    <row r="14" customFormat="false" ht="19.5" hidden="false" customHeight="true" outlineLevel="0" collapsed="false">
      <c r="A14" s="0" t="n">
        <v>2</v>
      </c>
      <c r="B14" s="16" t="str">
        <f aca="false">IF(C14="",0,VLOOKUP(C14,CHOOSE({1,2},Table2[Pay Item Description],Table2[Pay Item No.]),2,0))</f>
        <v>P-154-5.1</v>
      </c>
      <c r="C14" s="17" t="s">
        <v>447</v>
      </c>
      <c r="D14" s="18" t="str">
        <f aca="false">IF(C14="","N/A",VLOOKUP(C14,CHOOSE({1,2},Table2[Pay Item Description],Table2[Units]),2,0))</f>
        <v>C.Y.</v>
      </c>
      <c r="E14" s="99" t="n">
        <v>14815</v>
      </c>
      <c r="F14" s="20" t="n">
        <f aca="false">IF(C14="","N/A",VLOOKUP(C14,CHOOSE({1,2},Table2[Pay Item Description],Table2[Unit Cost]),2,0))</f>
        <v>55</v>
      </c>
      <c r="G14" s="21" t="n">
        <f aca="false">IF(B14&lt;&gt;0,F14*E14,0)</f>
        <v>814825</v>
      </c>
      <c r="J14" s="1" t="n">
        <v>2</v>
      </c>
      <c r="K14" s="1" t="str">
        <f aca="false">IF(L14="",0,VLOOKUP(L14,CHOOSE({1,2},Table2[Pay Item Description],Table2[Pay Item No.]),2,0))</f>
        <v>P-101-5.3</v>
      </c>
      <c r="L14" s="1" t="str">
        <f aca="false">Pay_Items!D10</f>
        <v>Markings Removal</v>
      </c>
      <c r="M14" s="105" t="str">
        <f aca="false">IF(L14="","N/A",VLOOKUP(L14,CHOOSE({1,2},Table2[Pay Item Description],Table2[Units]),2,0))</f>
        <v>S.F.</v>
      </c>
      <c r="N14" s="102" t="n">
        <f aca="false">'Maintenance Policies'!D10*$C$8</f>
        <v>15000</v>
      </c>
      <c r="O14" s="106" t="n">
        <f aca="false">IF(L14="","N/A",VLOOKUP(L14,CHOOSE({1,2},Table2[Pay Item Description],Table2[Unit Cost]),2,0))</f>
        <v>0.777777777777778</v>
      </c>
      <c r="P14" s="24" t="n">
        <f aca="false">O14*N14</f>
        <v>11666.6666666667</v>
      </c>
      <c r="R14" s="0" t="n">
        <v>2</v>
      </c>
      <c r="S14" s="0" t="str">
        <f aca="false">IF(T14="",0,VLOOKUP(T14,CHOOSE({1,2},Table2[Pay Item Description],Table2[Pay Item No.]),2,0))</f>
        <v>P-101-5.3</v>
      </c>
      <c r="T14" s="0" t="str">
        <f aca="false">Pay_Items!D10</f>
        <v>Markings Removal</v>
      </c>
      <c r="U14" s="107" t="str">
        <f aca="false">IF(T14="","N/A",VLOOKUP(T14,CHOOSE({1,2},Table2[Pay Item Description],Table2[Units]),2,0))</f>
        <v>S.F.</v>
      </c>
      <c r="V14" s="104" t="n">
        <f aca="false">'Maintenance Policies'!D12*$C$8</f>
        <v>15000</v>
      </c>
      <c r="W14" s="108" t="n">
        <f aca="false">IF(T14="","N/A",VLOOKUP(T14,CHOOSE({1,2},Table2[Pay Item Description],Table2[Unit Cost]),2,0))</f>
        <v>0.777777777777778</v>
      </c>
      <c r="X14" s="27" t="n">
        <f aca="false">W14*V14</f>
        <v>11666.6666666667</v>
      </c>
      <c r="Z14" s="1" t="n">
        <v>2</v>
      </c>
      <c r="AA14" s="1" t="str">
        <f aca="false">IF(AB14="",0,VLOOKUP(AB14,CHOOSE({1,2},Table2[Pay Item Description],Table2[Pay Item No.]),2,0))</f>
        <v>P-101-5.2a</v>
      </c>
      <c r="AB14" s="1" t="str">
        <f aca="false">Pay_Items!D6</f>
        <v>Crack Repair (Type I), Asphalt</v>
      </c>
      <c r="AC14" s="105" t="str">
        <f aca="false">IF(AB14="","N/A",VLOOKUP(AB14,CHOOSE({1,2},Table2[Pay Item Description],Table2[Units]),2,0))</f>
        <v>L.F.</v>
      </c>
      <c r="AD14" s="102" t="n">
        <f aca="false">'Maintenance Policies'!D15*($C$5*9)</f>
        <v>19500.0975</v>
      </c>
      <c r="AE14" s="106" t="n">
        <f aca="false">IF(AB14="","N/A",VLOOKUP(AB14,CHOOSE({1,2},Table2[Pay Item Description],Table2[Unit Cost]),2,0))</f>
        <v>4</v>
      </c>
      <c r="AF14" s="24" t="n">
        <f aca="false">AE14*AD14</f>
        <v>78000.39</v>
      </c>
      <c r="AH14" s="0" t="n">
        <v>2</v>
      </c>
      <c r="AI14" s="0" t="str">
        <f aca="false">IF(AJ14="",0,VLOOKUP(AJ14,CHOOSE({1,2},Table2[Pay Item Description],Table2[Pay Item No.]),2,0))</f>
        <v>P-101-5.2a</v>
      </c>
      <c r="AJ14" s="0" t="str">
        <f aca="false">Pay_Items!D6</f>
        <v>Crack Repair (Type I), Asphalt</v>
      </c>
      <c r="AK14" s="107" t="str">
        <f aca="false">IF(AJ14="","N/A",VLOOKUP(AJ14,CHOOSE({1,2},Table2[Pay Item Description],Table2[Units]),2,0))</f>
        <v>L.F.</v>
      </c>
      <c r="AL14" s="104" t="n">
        <f aca="false">'Maintenance Policies'!D19*($C$5*9)</f>
        <v>21000.105</v>
      </c>
      <c r="AM14" s="108" t="n">
        <f aca="false">IF(AJ14="","N/A",VLOOKUP(AJ14,CHOOSE({1,2},Table2[Pay Item Description],Table2[Unit Cost]),2,0))</f>
        <v>4</v>
      </c>
      <c r="AN14" s="27" t="n">
        <f aca="false">AM14*AL14</f>
        <v>84000.42</v>
      </c>
      <c r="AP14" s="1" t="n">
        <v>2</v>
      </c>
      <c r="AQ14" s="1" t="str">
        <f aca="false">IF(AR14="",0,VLOOKUP(AR14,CHOOSE({1,2},Table2[Pay Item Description],Table2[Pay Item No.]),2,0))</f>
        <v>P-603-5.1</v>
      </c>
      <c r="AR14" s="1" t="str">
        <f aca="false">Pay_Items!D54</f>
        <v>Emulsified Asphalt Tack Coat</v>
      </c>
      <c r="AS14" s="105" t="str">
        <f aca="false">IF(AR14="","N/A",VLOOKUP(AR14,CHOOSE({1,2},Table2[Pay Item Description],Table2[Units]),2,0))</f>
        <v>GAL</v>
      </c>
      <c r="AT14" s="102" t="n">
        <f aca="false">'Maintenance Policies'!D22*$C$5*AQ9</f>
        <v>6666.7</v>
      </c>
      <c r="AU14" s="106" t="n">
        <f aca="false">IF(AR14="","N/A",VLOOKUP(AR14,CHOOSE({1,2},Table2[Pay Item Description],Table2[Unit Cost]),2,0))</f>
        <v>4.5</v>
      </c>
      <c r="AV14" s="24" t="n">
        <f aca="false">AU14*AT14</f>
        <v>30000.15</v>
      </c>
      <c r="AX14" s="0" t="n">
        <v>2</v>
      </c>
      <c r="AY14" s="0" t="str">
        <f aca="false">IF(AZ14="",0,VLOOKUP(AZ14,CHOOSE({1,2},Table2[Pay Item Description],Table2[Pay Item No.]),2,0))</f>
        <v>P-101-5.3</v>
      </c>
      <c r="AZ14" s="0" t="str">
        <f aca="false">Pay_Items!D10</f>
        <v>Markings Removal</v>
      </c>
      <c r="BA14" s="107" t="str">
        <f aca="false">IF(AZ14="","N/A",VLOOKUP(AZ14,CHOOSE({1,2},Table2[Pay Item Description],Table2[Units]),2,0))</f>
        <v>S.F.</v>
      </c>
      <c r="BB14" s="104" t="n">
        <f aca="false">'Maintenance Policies'!D26*$C$8</f>
        <v>15000</v>
      </c>
      <c r="BC14" s="108" t="n">
        <f aca="false">IF(AZ14="","N/A",VLOOKUP(AZ14,CHOOSE({1,2},Table2[Pay Item Description],Table2[Unit Cost]),2,0))</f>
        <v>0.777777777777778</v>
      </c>
      <c r="BD14" s="27" t="n">
        <f aca="false">BC14*BB14</f>
        <v>11666.6666666667</v>
      </c>
      <c r="BF14" s="1" t="n">
        <v>2</v>
      </c>
      <c r="BG14" s="1" t="str">
        <f aca="false">IF(BH14="",0,VLOOKUP(BH14,CHOOSE({1,2},Table2[Pay Item Description],Table2[Pay Item No.]),2,0))</f>
        <v>P-101-5.2a</v>
      </c>
      <c r="BH14" s="1" t="str">
        <f aca="false">Pay_Items!D6</f>
        <v>Crack Repair (Type I), Asphalt</v>
      </c>
      <c r="BI14" s="105" t="str">
        <f aca="false">IF(BH14="","N/A",VLOOKUP(BH14,CHOOSE({1,2},Table2[Pay Item Description],Table2[Units]),2,0))</f>
        <v>L.F.</v>
      </c>
      <c r="BJ14" s="102" t="n">
        <f aca="false">'Maintenance Policies'!D29*($C$5*9)</f>
        <v>24000.12</v>
      </c>
      <c r="BK14" s="106" t="n">
        <f aca="false">IF(BH14="","N/A",VLOOKUP(BH14,CHOOSE({1,2},Table2[Pay Item Description],Table2[Unit Cost]),2,0))</f>
        <v>4</v>
      </c>
      <c r="BL14" s="24" t="n">
        <f aca="false">BK14*BJ14</f>
        <v>96000.48</v>
      </c>
    </row>
    <row r="15" customFormat="false" ht="19.5" hidden="false" customHeight="true" outlineLevel="0" collapsed="false">
      <c r="A15" s="0" t="n">
        <v>3</v>
      </c>
      <c r="B15" s="16" t="str">
        <f aca="false">IF(C15="",0,VLOOKUP(C15,CHOOSE({1,2},Table2[Pay Item Description],Table2[Pay Item No.]),2,0))</f>
        <v>P-209-5.1</v>
      </c>
      <c r="C15" s="17" t="s">
        <v>469</v>
      </c>
      <c r="D15" s="18" t="str">
        <f aca="false">IF(C15="","N/A",VLOOKUP(C15,CHOOSE({1,2},Table2[Pay Item Description],Table2[Units]),2,0))</f>
        <v>C.Y.</v>
      </c>
      <c r="E15" s="99" t="n">
        <v>11111</v>
      </c>
      <c r="F15" s="20" t="n">
        <f aca="false">IF(C15="","N/A",VLOOKUP(C15,CHOOSE({1,2},Table2[Pay Item Description],Table2[Unit Cost]),2,0))</f>
        <v>65</v>
      </c>
      <c r="G15" s="21" t="n">
        <f aca="false">IF(B15&lt;&gt;0,F15*E15,0)</f>
        <v>722215</v>
      </c>
      <c r="J15" s="1" t="n">
        <v>3</v>
      </c>
      <c r="K15" s="1" t="str">
        <f aca="false">IF(L15="",0,VLOOKUP(L15,CHOOSE({1,2},Table2[Pay Item Description],Table2[Pay Item No.]),2,0))</f>
        <v>P-620-5.1a</v>
      </c>
      <c r="L15" s="1" t="str">
        <f aca="false">Pay_Items!D56</f>
        <v>Markings (prep, markings, reflective media)</v>
      </c>
      <c r="M15" s="105" t="str">
        <f aca="false">IF(L15="","N/A",VLOOKUP(L15,CHOOSE({1,2},Table2[Pay Item Description],Table2[Units]),2,0))</f>
        <v>S.F.</v>
      </c>
      <c r="N15" s="102" t="n">
        <f aca="false">'Maintenance Policies'!D11*$C$8</f>
        <v>15000</v>
      </c>
      <c r="O15" s="106" t="n">
        <f aca="false">IF(L15="","N/A",VLOOKUP(L15,CHOOSE({1,2},Table2[Pay Item Description],Table2[Unit Cost]),2,0))</f>
        <v>0.666666666666667</v>
      </c>
      <c r="P15" s="24" t="n">
        <f aca="false">O15*N15</f>
        <v>10000</v>
      </c>
      <c r="R15" s="0" t="n">
        <v>3</v>
      </c>
      <c r="S15" s="0" t="str">
        <f aca="false">IF(T15="",0,VLOOKUP(T15,CHOOSE({1,2},Table2[Pay Item Description],Table2[Pay Item No.]),2,0))</f>
        <v>P-620-5.1a</v>
      </c>
      <c r="T15" s="0" t="str">
        <f aca="false">Pay_Items!D56</f>
        <v>Markings (prep, markings, reflective media)</v>
      </c>
      <c r="U15" s="107" t="str">
        <f aca="false">Pay_Items!E56</f>
        <v>S.F.</v>
      </c>
      <c r="V15" s="104" t="n">
        <f aca="false">'Maintenance Policies'!D13*$C$8</f>
        <v>15000</v>
      </c>
      <c r="W15" s="108" t="n">
        <f aca="false">IF(T15="","N/A",VLOOKUP(T15,CHOOSE({1,2},Table2[Pay Item Description],Table2[Unit Cost]),2,0))</f>
        <v>0.666666666666667</v>
      </c>
      <c r="X15" s="27" t="n">
        <f aca="false">W15*V15</f>
        <v>10000</v>
      </c>
      <c r="Z15" s="1" t="n">
        <v>3</v>
      </c>
      <c r="AA15" s="100" t="str">
        <f aca="false">IF(AB15="",0,VLOOKUP(AB15,CHOOSE({1,2},Table2[Pay Item Description],Table2[Pay Item No.]),2,0))</f>
        <v>P-608-8.1</v>
      </c>
      <c r="AB15" s="1" t="str">
        <f aca="false">C7</f>
        <v>Emulsified Asphalt Surface Treatment</v>
      </c>
      <c r="AC15" s="101" t="str">
        <f aca="false">IF(AB15="","N/A",VLOOKUP(AB15,CHOOSE({1,2},Table2[Pay Item Description],Table2[Units]),2,0))</f>
        <v>S.Y.</v>
      </c>
      <c r="AD15" s="102" t="n">
        <f aca="false">'Maintenance Policies'!D16*$C$5</f>
        <v>66667</v>
      </c>
      <c r="AE15" s="103" t="n">
        <f aca="false">IF(AB15="","N/A",VLOOKUP(AB15,CHOOSE({1,2},Table2[Pay Item Description],Table2[Unit Cost]),2,0))</f>
        <v>4</v>
      </c>
      <c r="AF15" s="24" t="n">
        <f aca="false">AE15*AD15</f>
        <v>266668</v>
      </c>
      <c r="AH15" s="0" t="n">
        <v>3</v>
      </c>
      <c r="AI15" s="16" t="str">
        <f aca="false">IF(AJ15="",0,VLOOKUP(AJ15,CHOOSE({1,2},Table2[Pay Item Description],Table2[Pay Item No.]),2,0))</f>
        <v>P-608-8.1</v>
      </c>
      <c r="AJ15" s="0" t="str">
        <f aca="false">C7</f>
        <v>Emulsified Asphalt Surface Treatment</v>
      </c>
      <c r="AK15" s="18" t="str">
        <f aca="false">IF(AJ15="","N/A",VLOOKUP(AJ15,CHOOSE({1,2},Table2[Pay Item Description],Table2[Units]),2,0))</f>
        <v>S.Y.</v>
      </c>
      <c r="AL15" s="104" t="n">
        <f aca="false">'Maintenance Policies'!D20*$C$5</f>
        <v>66667</v>
      </c>
      <c r="AM15" s="59" t="n">
        <f aca="false">IF(AJ15="","N/A",VLOOKUP(AJ15,CHOOSE({1,2},Table2[Pay Item Description],Table2[Unit Cost]),2,0))</f>
        <v>4</v>
      </c>
      <c r="AN15" s="27" t="n">
        <f aca="false">AM15*AL15</f>
        <v>266668</v>
      </c>
      <c r="AP15" s="1" t="n">
        <v>3</v>
      </c>
      <c r="AQ15" s="1" t="str">
        <f aca="false">IF(AR15="",0,VLOOKUP(AR15,CHOOSE({1,2},Table2[Pay Item Description],Table2[Pay Item No.]),2,0))</f>
        <v>P-401-8.1a</v>
      </c>
      <c r="AR15" s="1" t="str">
        <f aca="false">Pay_Items!D37</f>
        <v>Asphalt Surface Course</v>
      </c>
      <c r="AS15" s="105" t="str">
        <f aca="false">IF(AR15="","N/A",VLOOKUP(AR15,CHOOSE({1,2},Table2[Pay Item Description],Table2[Units]),2,0))</f>
        <v>TON</v>
      </c>
      <c r="AT15" s="102" t="n">
        <f aca="false">'Maintenance Policies'!D22*$C$5*AQ6*AQ7/2000</f>
        <v>8000.04</v>
      </c>
      <c r="AU15" s="106" t="n">
        <f aca="false">IF(AR15="","N/A",VLOOKUP(AR15,CHOOSE({1,2},Table2[Pay Item Description],Table2[Unit Cost]),2,0))</f>
        <v>130</v>
      </c>
      <c r="AV15" s="24" t="n">
        <f aca="false">AU15*AT15</f>
        <v>1040005.2</v>
      </c>
      <c r="AX15" s="0" t="n">
        <v>3</v>
      </c>
      <c r="AY15" s="0" t="str">
        <f aca="false">IF(AZ15="",0,VLOOKUP(AZ15,CHOOSE({1,2},Table2[Pay Item Description],Table2[Pay Item No.]),2,0))</f>
        <v>P-620-5.1a</v>
      </c>
      <c r="AZ15" s="0" t="str">
        <f aca="false">Pay_Items!D56</f>
        <v>Markings (prep, markings, reflective media)</v>
      </c>
      <c r="BA15" s="107" t="str">
        <f aca="false">IF(AZ15="","N/A",VLOOKUP(AZ15,CHOOSE({1,2},Table2[Pay Item Description],Table2[Units]),2,0))</f>
        <v>S.F.</v>
      </c>
      <c r="BB15" s="104" t="n">
        <f aca="false">'Maintenance Policies'!D27*$C$8</f>
        <v>15000</v>
      </c>
      <c r="BC15" s="108" t="n">
        <f aca="false">IF(AZ15="","N/A",VLOOKUP(AZ15,CHOOSE({1,2},Table2[Pay Item Description],Table2[Unit Cost]),2,0))</f>
        <v>0.666666666666667</v>
      </c>
      <c r="BD15" s="27" t="n">
        <f aca="false">BC15*BB15</f>
        <v>10000</v>
      </c>
      <c r="BF15" s="1" t="n">
        <v>3</v>
      </c>
      <c r="BG15" s="100" t="str">
        <f aca="false">IF(BH15="",0,VLOOKUP(BH15,CHOOSE({1,2},Table2[Pay Item Description],Table2[Pay Item No.]),2,0))</f>
        <v>P-608-8.1</v>
      </c>
      <c r="BH15" s="1" t="str">
        <f aca="false">C7</f>
        <v>Emulsified Asphalt Surface Treatment</v>
      </c>
      <c r="BI15" s="101" t="str">
        <f aca="false">IF(BH15="","N/A",VLOOKUP(BH15,CHOOSE({1,2},Table2[Pay Item Description],Table2[Units]),2,0))</f>
        <v>S.Y.</v>
      </c>
      <c r="BJ15" s="102" t="n">
        <f aca="false">'Maintenance Policies'!D30*$C$5</f>
        <v>66667</v>
      </c>
      <c r="BK15" s="103" t="n">
        <f aca="false">IF(BH15="","N/A",VLOOKUP(BH15,CHOOSE({1,2},Table2[Pay Item Description],Table2[Unit Cost]),2,0))</f>
        <v>4</v>
      </c>
      <c r="BL15" s="24" t="n">
        <f aca="false">BK15*BJ15</f>
        <v>266668</v>
      </c>
    </row>
    <row r="16" customFormat="false" ht="19.5" hidden="false" customHeight="true" outlineLevel="0" collapsed="false">
      <c r="A16" s="0" t="n">
        <v>4</v>
      </c>
      <c r="B16" s="16" t="str">
        <f aca="false">IF(C16="",0,VLOOKUP(C16,CHOOSE({1,2},Table2[Pay Item Description],Table2[Pay Item No.]),2,0))</f>
        <v>P-401-8.1b</v>
      </c>
      <c r="C16" s="17" t="s">
        <v>493</v>
      </c>
      <c r="D16" s="18" t="str">
        <f aca="false">IF(C16="","N/A",VLOOKUP(C16,CHOOSE({1,2},Table2[Pay Item Description],Table2[Units]),2,0))</f>
        <v>TON</v>
      </c>
      <c r="E16" s="99" t="n">
        <v>18333</v>
      </c>
      <c r="F16" s="20" t="n">
        <f aca="false">IF(C16="","N/A",VLOOKUP(C16,CHOOSE({1,2},Table2[Pay Item Description],Table2[Unit Cost]),2,0))</f>
        <v>120</v>
      </c>
      <c r="G16" s="21" t="n">
        <f aca="false">IF(B16&lt;&gt;0,F16*E16,0)</f>
        <v>2199960</v>
      </c>
      <c r="O16" s="1" t="s">
        <v>23</v>
      </c>
      <c r="P16" s="24" t="n">
        <f aca="false">SUM(P13:P15)</f>
        <v>288334.666666667</v>
      </c>
      <c r="W16" s="15" t="s">
        <v>23</v>
      </c>
      <c r="X16" s="27" t="n">
        <f aca="false">SUM(X13:X15)</f>
        <v>288334.666666667</v>
      </c>
      <c r="Z16" s="1" t="n">
        <v>4</v>
      </c>
      <c r="AA16" s="1" t="str">
        <f aca="false">IF(AB16="",0,VLOOKUP(AB16,CHOOSE({1,2},Table2[Pay Item Description],Table2[Pay Item No.]),2,0))</f>
        <v>P-101-5.3</v>
      </c>
      <c r="AB16" s="1" t="str">
        <f aca="false">Pay_Items!D10</f>
        <v>Markings Removal</v>
      </c>
      <c r="AC16" s="105" t="str">
        <f aca="false">IF(AB16="","N/A",VLOOKUP(AB16,CHOOSE({1,2},Table2[Pay Item Description],Table2[Units]),2,0))</f>
        <v>S.F.</v>
      </c>
      <c r="AD16" s="102" t="n">
        <f aca="false">'Maintenance Policies'!D16*$C$8</f>
        <v>15000</v>
      </c>
      <c r="AE16" s="106" t="n">
        <f aca="false">IF(AB16="","N/A",VLOOKUP(AB16,CHOOSE({1,2},Table2[Pay Item Description],Table2[Unit Cost]),2,0))</f>
        <v>0.777777777777778</v>
      </c>
      <c r="AF16" s="24" t="n">
        <f aca="false">AE16*AD16</f>
        <v>11666.6666666667</v>
      </c>
      <c r="AH16" s="0" t="n">
        <v>4</v>
      </c>
      <c r="AI16" s="0" t="str">
        <f aca="false">IF(AJ16="",0,VLOOKUP(AJ16,CHOOSE({1,2},Table2[Pay Item Description],Table2[Pay Item No.]),2,0))</f>
        <v>P-101-5.3</v>
      </c>
      <c r="AJ16" s="0" t="str">
        <f aca="false">Pay_Items!D10</f>
        <v>Markings Removal</v>
      </c>
      <c r="AK16" s="107" t="str">
        <f aca="false">IF(AJ16="","N/A",VLOOKUP(AJ16,CHOOSE({1,2},Table2[Pay Item Description],Table2[Units]),2,0))</f>
        <v>S.F.</v>
      </c>
      <c r="AL16" s="104" t="n">
        <f aca="false">'Maintenance Policies'!D20*$C$8</f>
        <v>15000</v>
      </c>
      <c r="AM16" s="108" t="n">
        <f aca="false">IF(AJ16="","N/A",VLOOKUP(AJ16,CHOOSE({1,2},Table2[Pay Item Description],Table2[Unit Cost]),2,0))</f>
        <v>0.777777777777778</v>
      </c>
      <c r="AN16" s="27" t="n">
        <f aca="false">AM16*AL16</f>
        <v>11666.6666666667</v>
      </c>
      <c r="AP16" s="1" t="n">
        <v>4</v>
      </c>
      <c r="AQ16" s="1" t="str">
        <f aca="false">IF(AR16="",0,VLOOKUP(AR16,CHOOSE({1,2},Table2[Pay Item Description],Table2[Pay Item No.]),2,0))</f>
        <v>P-101-5.2a</v>
      </c>
      <c r="AR16" s="1" t="str">
        <f aca="false">Pay_Items!D6</f>
        <v>Crack Repair (Type I), Asphalt</v>
      </c>
      <c r="AS16" s="105" t="str">
        <f aca="false">IF(AR16="","N/A",VLOOKUP(AR16,CHOOSE({1,2},Table2[Pay Item Description],Table2[Units]),2,0))</f>
        <v>L.F.</v>
      </c>
      <c r="AT16" s="102" t="n">
        <f aca="false">'Maintenance Policies'!D23*($C$5*9)</f>
        <v>9000.045</v>
      </c>
      <c r="AU16" s="106" t="n">
        <f aca="false">IF(AR16="","N/A",VLOOKUP(AR16,CHOOSE({1,2},Table2[Pay Item Description],Table2[Unit Cost]),2,0))</f>
        <v>4</v>
      </c>
      <c r="AV16" s="24" t="n">
        <f aca="false">AU16*AT16</f>
        <v>36000.18</v>
      </c>
      <c r="BC16" s="15" t="s">
        <v>23</v>
      </c>
      <c r="BD16" s="27" t="n">
        <f aca="false">SUM(BD13:BD15)</f>
        <v>288334.666666667</v>
      </c>
      <c r="BF16" s="1" t="n">
        <v>4</v>
      </c>
      <c r="BG16" s="1" t="str">
        <f aca="false">IF(BH16="",0,VLOOKUP(BH16,CHOOSE({1,2},Table2[Pay Item Description],Table2[Pay Item No.]),2,0))</f>
        <v>P-101-5.3</v>
      </c>
      <c r="BH16" s="1" t="str">
        <f aca="false">Pay_Items!D10</f>
        <v>Markings Removal</v>
      </c>
      <c r="BI16" s="105" t="str">
        <f aca="false">IF(BH16="","N/A",VLOOKUP(BH16,CHOOSE({1,2},Table2[Pay Item Description],Table2[Units]),2,0))</f>
        <v>S.F.</v>
      </c>
      <c r="BJ16" s="102" t="n">
        <f aca="false">C8</f>
        <v>15000</v>
      </c>
      <c r="BK16" s="106" t="n">
        <f aca="false">IF(BH16="","N/A",VLOOKUP(BH16,CHOOSE({1,2},Table2[Pay Item Description],Table2[Unit Cost]),2,0))</f>
        <v>0.777777777777778</v>
      </c>
      <c r="BL16" s="24" t="n">
        <f aca="false">BK16*BJ16</f>
        <v>11666.6666666667</v>
      </c>
    </row>
    <row r="17" customFormat="false" ht="19.5" hidden="false" customHeight="true" outlineLevel="0" collapsed="false">
      <c r="A17" s="0" t="n">
        <v>5</v>
      </c>
      <c r="B17" s="16" t="str">
        <f aca="false">IF(C17="",0,VLOOKUP(C17,CHOOSE({1,2},Table2[Pay Item Description],Table2[Pay Item No.]),2,0))</f>
        <v>P-401-8.1a</v>
      </c>
      <c r="C17" s="17" t="s">
        <v>490</v>
      </c>
      <c r="D17" s="18" t="str">
        <f aca="false">IF(C17="","N/A",VLOOKUP(C17,CHOOSE({1,2},Table2[Pay Item Description],Table2[Units]),2,0))</f>
        <v>TON</v>
      </c>
      <c r="E17" s="99" t="n">
        <v>14667</v>
      </c>
      <c r="F17" s="20" t="n">
        <f aca="false">IF(C17="","N/A",VLOOKUP(C17,CHOOSE({1,2},Table2[Pay Item Description],Table2[Unit Cost]),2,0))</f>
        <v>130</v>
      </c>
      <c r="G17" s="21" t="n">
        <f aca="false">IF(B17&lt;&gt;0,F17*E17,0)</f>
        <v>1906710</v>
      </c>
      <c r="L17" s="1" t="s">
        <v>24</v>
      </c>
      <c r="P17" s="24" t="n">
        <f aca="false">('General Information'!$D$36/100)*P16</f>
        <v>28833.4666666667</v>
      </c>
      <c r="T17" s="15" t="s">
        <v>24</v>
      </c>
      <c r="X17" s="27" t="n">
        <f aca="false">('General Information'!$D$36/100)*X16</f>
        <v>28833.4666666667</v>
      </c>
      <c r="Z17" s="1" t="n">
        <v>5</v>
      </c>
      <c r="AA17" s="1" t="str">
        <f aca="false">IF(AB17="",0,VLOOKUP(AB17,CHOOSE({1,2},Table2[Pay Item Description],Table2[Pay Item No.]),2,0))</f>
        <v>P-620-5.1a</v>
      </c>
      <c r="AB17" s="1" t="str">
        <f aca="false">Pay_Items!D56</f>
        <v>Markings (prep, markings, reflective media)</v>
      </c>
      <c r="AC17" s="105" t="str">
        <f aca="false">IF(AB17="","N/A",VLOOKUP(AB17,CHOOSE({1,2},Table2[Pay Item Description],Table2[Units]),2,0))</f>
        <v>S.F.</v>
      </c>
      <c r="AD17" s="102" t="n">
        <f aca="false">'Maintenance Policies'!D17*$C$8</f>
        <v>15000</v>
      </c>
      <c r="AE17" s="106" t="n">
        <f aca="false">IF(AB17="","N/A",VLOOKUP(AB17,CHOOSE({1,2},Table2[Pay Item Description],Table2[Unit Cost]),2,0))</f>
        <v>0.666666666666667</v>
      </c>
      <c r="AF17" s="24" t="n">
        <f aca="false">AE17*AD17</f>
        <v>10000</v>
      </c>
      <c r="AH17" s="0" t="n">
        <v>5</v>
      </c>
      <c r="AI17" s="0" t="str">
        <f aca="false">IF(AJ17="",0,VLOOKUP(AJ17,CHOOSE({1,2},Table2[Pay Item Description],Table2[Pay Item No.]),2,0))</f>
        <v>P-620-5.1a</v>
      </c>
      <c r="AJ17" s="0" t="str">
        <f aca="false">Pay_Items!D56</f>
        <v>Markings (prep, markings, reflective media)</v>
      </c>
      <c r="AK17" s="107" t="str">
        <f aca="false">IF(AJ17="","N/A",VLOOKUP(AJ17,CHOOSE({1,2},Table2[Pay Item Description],Table2[Units]),2,0))</f>
        <v>S.F.</v>
      </c>
      <c r="AL17" s="104" t="n">
        <f aca="false">'Maintenance Policies'!D21*$C$8</f>
        <v>15000</v>
      </c>
      <c r="AM17" s="108" t="n">
        <f aca="false">IF(AJ17="","N/A",VLOOKUP(AJ17,CHOOSE({1,2},Table2[Pay Item Description],Table2[Unit Cost]),2,0))</f>
        <v>0.666666666666667</v>
      </c>
      <c r="AN17" s="27" t="n">
        <f aca="false">AM17*AL17</f>
        <v>10000</v>
      </c>
      <c r="AP17" s="1" t="n">
        <v>5</v>
      </c>
      <c r="AQ17" s="1" t="str">
        <f aca="false">IF(AR17="",0,VLOOKUP(AR17,CHOOSE({1,2},Table2[Pay Item Description],Table2[Pay Item No.]),2,0))</f>
        <v>P-101-5.4a</v>
      </c>
      <c r="AR17" s="1" t="str">
        <f aca="false">Pay_Items!D11</f>
        <v>Spall Repair, Asphalt</v>
      </c>
      <c r="AS17" s="105" t="str">
        <f aca="false">IF(AR17="","N/A",VLOOKUP(AR17,CHOOSE({1,2},Table2[Pay Item Description],Table2[Units]),2,0))</f>
        <v>S.F.</v>
      </c>
      <c r="AT17" s="102" t="n">
        <f aca="false">'Maintenance Policies'!D24*($C$5*9)</f>
        <v>3000.015</v>
      </c>
      <c r="AU17" s="106" t="n">
        <f aca="false">IF(AR17="","N/A",VLOOKUP(AR17,CHOOSE({1,2},Table2[Pay Item Description],Table2[Unit Cost]),2,0))</f>
        <v>8.5</v>
      </c>
      <c r="AV17" s="24" t="n">
        <f aca="false">AU17*AT17</f>
        <v>25500.1275</v>
      </c>
      <c r="AZ17" s="15" t="s">
        <v>24</v>
      </c>
      <c r="BD17" s="27" t="n">
        <f aca="false">('General Information'!$D$36/100)*BD16</f>
        <v>28833.4666666667</v>
      </c>
      <c r="BF17" s="1" t="n">
        <v>5</v>
      </c>
      <c r="BG17" s="1" t="str">
        <f aca="false">IF(BH17="",0,VLOOKUP(BH17,CHOOSE({1,2},Table2[Pay Item Description],Table2[Pay Item No.]),2,0))</f>
        <v>P-620-5.1a</v>
      </c>
      <c r="BH17" s="1" t="str">
        <f aca="false">Pay_Items!D56</f>
        <v>Markings (prep, markings, reflective media)</v>
      </c>
      <c r="BI17" s="105" t="str">
        <f aca="false">IF(BH17="","N/A",VLOOKUP(BH17,CHOOSE({1,2},Table2[Pay Item Description],Table2[Units]),2,0))</f>
        <v>S.F.</v>
      </c>
      <c r="BJ17" s="102" t="n">
        <f aca="false">'Maintenance Policies'!D31*$C$8</f>
        <v>15000</v>
      </c>
      <c r="BK17" s="106" t="n">
        <f aca="false">IF(BH17="","N/A",VLOOKUP(BH17,CHOOSE({1,2},Table2[Pay Item Description],Table2[Unit Cost]),2,0))</f>
        <v>0.666666666666667</v>
      </c>
      <c r="BL17" s="24" t="n">
        <f aca="false">BK17*BJ17</f>
        <v>10000</v>
      </c>
    </row>
    <row r="18" customFormat="false" ht="19.5" hidden="false" customHeight="true" outlineLevel="0" collapsed="false">
      <c r="A18" s="0" t="n">
        <v>6</v>
      </c>
      <c r="B18" s="16" t="str">
        <f aca="false">IF(C18="",0,VLOOKUP(C18,CHOOSE({1,2},Table2[Pay Item Description],Table2[Pay Item No.]),2,0))</f>
        <v>P-620-5.1a</v>
      </c>
      <c r="C18" s="17" t="s">
        <v>540</v>
      </c>
      <c r="D18" s="18" t="str">
        <f aca="false">IF(C18="","N/A",VLOOKUP(C18,CHOOSE({1,2},Table2[Pay Item Description],Table2[Units]),2,0))</f>
        <v>S.F.</v>
      </c>
      <c r="E18" s="99" t="n">
        <v>15000</v>
      </c>
      <c r="F18" s="20" t="n">
        <f aca="false">IF(C18="","N/A",VLOOKUP(C18,CHOOSE({1,2},Table2[Pay Item Description],Table2[Unit Cost]),2,0))</f>
        <v>0.666666666666667</v>
      </c>
      <c r="G18" s="21" t="n">
        <f aca="false">IF(B18&lt;&gt;0,F18*E18,0)</f>
        <v>10000</v>
      </c>
      <c r="L18" s="1" t="s">
        <v>25</v>
      </c>
      <c r="P18" s="24" t="n">
        <f aca="false">('General Information'!$D$37/100)*P16</f>
        <v>14416.7333333333</v>
      </c>
      <c r="T18" s="15" t="s">
        <v>25</v>
      </c>
      <c r="X18" s="27" t="n">
        <f aca="false">('General Information'!$D$37/100)*X16</f>
        <v>14416.7333333333</v>
      </c>
      <c r="AE18" s="1" t="s">
        <v>23</v>
      </c>
      <c r="AF18" s="24" t="n">
        <f aca="false">SUM(AF13:AF17)</f>
        <v>404585.247916667</v>
      </c>
      <c r="AM18" s="15" t="s">
        <v>23</v>
      </c>
      <c r="AN18" s="27" t="n">
        <f aca="false">SUM(AN13:AN17)</f>
        <v>423335.341666667</v>
      </c>
      <c r="AP18" s="1" t="n">
        <v>6</v>
      </c>
      <c r="AQ18" s="1" t="str">
        <f aca="false">IF(AR18="",0,VLOOKUP(AR18,CHOOSE({1,2},Table2[Pay Item Description],Table2[Pay Item No.]),2,0))</f>
        <v>P-620-5.1a</v>
      </c>
      <c r="AR18" s="1" t="str">
        <f aca="false">Pay_Items!D56</f>
        <v>Markings (prep, markings, reflective media)</v>
      </c>
      <c r="AS18" s="105" t="str">
        <f aca="false">IF(AR18="","N/A",VLOOKUP(AR18,CHOOSE({1,2},Table2[Pay Item Description],Table2[Units]),2,0))</f>
        <v>S.F.</v>
      </c>
      <c r="AT18" s="102" t="n">
        <f aca="false">'Maintenance Policies'!D25*$C$8</f>
        <v>15000</v>
      </c>
      <c r="AU18" s="106" t="n">
        <f aca="false">IF(AR18="","N/A",VLOOKUP(AR18,CHOOSE({1,2},Table2[Pay Item Description],Table2[Unit Cost]),2,0))</f>
        <v>0.666666666666667</v>
      </c>
      <c r="AV18" s="24" t="n">
        <f aca="false">AU18*AT18</f>
        <v>10000</v>
      </c>
      <c r="AZ18" s="15" t="s">
        <v>25</v>
      </c>
      <c r="BD18" s="27" t="n">
        <f aca="false">('General Information'!$D$37/100)*BD16</f>
        <v>14416.7333333333</v>
      </c>
      <c r="BK18" s="1" t="s">
        <v>23</v>
      </c>
      <c r="BL18" s="24" t="n">
        <f aca="false">SUM(BL13:BL17)</f>
        <v>448085.465416667</v>
      </c>
    </row>
    <row r="19" customFormat="false" ht="19.5" hidden="false" customHeight="true" outlineLevel="0" collapsed="false">
      <c r="A19" s="0" t="n">
        <v>7</v>
      </c>
      <c r="B19" s="16" t="n">
        <f aca="false">IF(C19="",0,VLOOKUP(C19,CHOOSE({1,2},Table2[Pay Item Description],Table2[Pay Item No.]),2,0))</f>
        <v>0</v>
      </c>
      <c r="C19" s="17"/>
      <c r="D19" s="18" t="str">
        <f aca="false">IF(C19="","N/A",VLOOKUP(C19,CHOOSE({1,2},Table2[Pay Item Description],Table2[Units]),2,0))</f>
        <v>N/A</v>
      </c>
      <c r="E19" s="99"/>
      <c r="F19" s="20" t="str">
        <f aca="false">IF(C19="","N/A",VLOOKUP(C19,CHOOSE({1,2},Table2[Pay Item Description],Table2[Unit Cost]),2,0))</f>
        <v>N/A</v>
      </c>
      <c r="G19" s="21" t="n">
        <f aca="false">IF(B19&lt;&gt;0,F19*E19,0)</f>
        <v>0</v>
      </c>
      <c r="O19" s="1" t="s">
        <v>26</v>
      </c>
      <c r="P19" s="24" t="n">
        <f aca="false">SUM(P16:P18)</f>
        <v>331584.866666667</v>
      </c>
      <c r="W19" s="15" t="s">
        <v>26</v>
      </c>
      <c r="X19" s="27" t="n">
        <f aca="false">SUM(X16:X18)</f>
        <v>331584.866666667</v>
      </c>
      <c r="AB19" s="1" t="s">
        <v>24</v>
      </c>
      <c r="AF19" s="24" t="n">
        <f aca="false">('General Information'!$D$36/100)*AF18</f>
        <v>40458.5247916667</v>
      </c>
      <c r="AJ19" s="15" t="s">
        <v>24</v>
      </c>
      <c r="AN19" s="27" t="n">
        <f aca="false">('General Information'!$D$36/100)*AN18</f>
        <v>42333.5341666667</v>
      </c>
      <c r="AU19" s="1" t="s">
        <v>23</v>
      </c>
      <c r="AV19" s="24" t="n">
        <f aca="false">SUM(AV13:AV18)</f>
        <v>1474840.6575</v>
      </c>
      <c r="BC19" s="15" t="s">
        <v>26</v>
      </c>
      <c r="BD19" s="27" t="n">
        <f aca="false">SUM(BD16:BD18)</f>
        <v>331584.866666667</v>
      </c>
      <c r="BH19" s="1" t="s">
        <v>24</v>
      </c>
      <c r="BL19" s="24" t="n">
        <f aca="false">('General Information'!$D$36/100)*BL18</f>
        <v>44808.5465416667</v>
      </c>
    </row>
    <row r="20" customFormat="false" ht="19.5" hidden="false" customHeight="true" outlineLevel="0" collapsed="false">
      <c r="A20" s="0" t="n">
        <v>8</v>
      </c>
      <c r="B20" s="16" t="n">
        <f aca="false">IF(C20="",0,VLOOKUP(C20,CHOOSE({1,2},Table2[Pay Item Description],Table2[Pay Item No.]),2,0))</f>
        <v>0</v>
      </c>
      <c r="C20" s="17"/>
      <c r="D20" s="18" t="str">
        <f aca="false">IF(C20="","N/A",VLOOKUP(C20,CHOOSE({1,2},Table2[Pay Item Description],Table2[Units]),2,0))</f>
        <v>N/A</v>
      </c>
      <c r="E20" s="99"/>
      <c r="F20" s="20" t="str">
        <f aca="false">IF(C20="","N/A",VLOOKUP(C20,CHOOSE({1,2},Table2[Pay Item Description],Table2[Unit Cost]),2,0))</f>
        <v>N/A</v>
      </c>
      <c r="G20" s="21" t="n">
        <f aca="false">IF(B20&lt;&gt;0,F20*E20,0)</f>
        <v>0</v>
      </c>
      <c r="P20" s="24"/>
      <c r="X20" s="27"/>
      <c r="AB20" s="1" t="s">
        <v>25</v>
      </c>
      <c r="AF20" s="24" t="n">
        <f aca="false">('General Information'!$D$37/100)*AF18</f>
        <v>20229.2623958333</v>
      </c>
      <c r="AJ20" s="15" t="s">
        <v>25</v>
      </c>
      <c r="AN20" s="27" t="n">
        <f aca="false">('General Information'!$D$37/100)*AN18</f>
        <v>21166.7670833333</v>
      </c>
      <c r="AR20" s="1" t="s">
        <v>24</v>
      </c>
      <c r="AV20" s="24" t="n">
        <f aca="false">('General Information'!$D$36/100)*AV19</f>
        <v>147484.06575</v>
      </c>
      <c r="BH20" s="1" t="s">
        <v>25</v>
      </c>
      <c r="BL20" s="24" t="n">
        <f aca="false">('General Information'!$D$37/100)*BL18</f>
        <v>22404.2732708333</v>
      </c>
    </row>
    <row r="21" customFormat="false" ht="19.5" hidden="false" customHeight="true" outlineLevel="0" collapsed="false">
      <c r="A21" s="0" t="n">
        <v>9</v>
      </c>
      <c r="B21" s="16" t="n">
        <f aca="false">IF(C21="",0,VLOOKUP(C21,CHOOSE({1,2},Table2[Pay Item Description],Table2[Pay Item No.]),2,0))</f>
        <v>0</v>
      </c>
      <c r="C21" s="17"/>
      <c r="D21" s="18" t="str">
        <f aca="false">IF(C21="","N/A",VLOOKUP(C21,CHOOSE({1,2},Table2[Pay Item Description],Table2[Units]),2,0))</f>
        <v>N/A</v>
      </c>
      <c r="E21" s="99"/>
      <c r="F21" s="20" t="str">
        <f aca="false">IF(C21="","N/A",VLOOKUP(C21,CHOOSE({1,2},Table2[Pay Item Description],Table2[Unit Cost]),2,0))</f>
        <v>N/A</v>
      </c>
      <c r="G21" s="21" t="n">
        <f aca="false">IF(B21&lt;&gt;0,F21*E21,0)</f>
        <v>0</v>
      </c>
      <c r="P21" s="24"/>
      <c r="X21" s="27"/>
      <c r="AE21" s="1" t="s">
        <v>26</v>
      </c>
      <c r="AF21" s="24" t="n">
        <f aca="false">SUM(AF18:AF20)</f>
        <v>465273.035104167</v>
      </c>
      <c r="AM21" s="15" t="s">
        <v>26</v>
      </c>
      <c r="AN21" s="27" t="n">
        <f aca="false">SUM(AN18:AN20)</f>
        <v>486835.642916667</v>
      </c>
      <c r="AR21" s="1" t="s">
        <v>25</v>
      </c>
      <c r="AV21" s="24" t="n">
        <f aca="false">('General Information'!$D$37/100)*AV19</f>
        <v>73742.032875</v>
      </c>
      <c r="BK21" s="1" t="s">
        <v>26</v>
      </c>
      <c r="BL21" s="24" t="n">
        <f aca="false">SUM(BL18:BL20)</f>
        <v>515298.285229167</v>
      </c>
    </row>
    <row r="22" customFormat="false" ht="19.5" hidden="false" customHeight="true" outlineLevel="0" collapsed="false">
      <c r="A22" s="0" t="n">
        <v>10</v>
      </c>
      <c r="B22" s="16" t="n">
        <f aca="false">IF(C22="",0,VLOOKUP(C22,CHOOSE({1,2},Table2[Pay Item Description],Table2[Pay Item No.]),2,0))</f>
        <v>0</v>
      </c>
      <c r="C22" s="17"/>
      <c r="D22" s="18" t="str">
        <f aca="false">IF(C22="","N/A",VLOOKUP(C22,CHOOSE({1,2},Table2[Pay Item Description],Table2[Units]),2,0))</f>
        <v>N/A</v>
      </c>
      <c r="E22" s="99"/>
      <c r="F22" s="20" t="str">
        <f aca="false">IF(C22="","N/A",VLOOKUP(C22,CHOOSE({1,2},Table2[Pay Item Description],Table2[Unit Cost]),2,0))</f>
        <v>N/A</v>
      </c>
      <c r="G22" s="21" t="n">
        <f aca="false">IF(B22&lt;&gt;0,F22*E22,0)</f>
        <v>0</v>
      </c>
      <c r="AU22" s="1" t="s">
        <v>26</v>
      </c>
      <c r="AV22" s="24" t="n">
        <f aca="false">SUM(AV19:AV21)</f>
        <v>1696066.756125</v>
      </c>
    </row>
    <row r="23" customFormat="false" ht="15" hidden="false" customHeight="false" outlineLevel="0" collapsed="false">
      <c r="G23" s="27"/>
    </row>
    <row r="24" customFormat="false" ht="15" hidden="false" customHeight="false" outlineLevel="0" collapsed="false">
      <c r="A24" s="0" t="s">
        <v>23</v>
      </c>
      <c r="G24" s="27" t="n">
        <f aca="false">SUM(G13:G22)</f>
        <v>6320380</v>
      </c>
    </row>
    <row r="25" customFormat="false" ht="15" hidden="false" customHeight="false" outlineLevel="0" collapsed="false">
      <c r="B25" s="0" t="s">
        <v>24</v>
      </c>
      <c r="G25" s="27" t="n">
        <f aca="false">('General Information'!$D$36/100)*G24</f>
        <v>632038</v>
      </c>
    </row>
    <row r="26" customFormat="false" ht="15" hidden="false" customHeight="false" outlineLevel="0" collapsed="false">
      <c r="B26" s="0" t="s">
        <v>25</v>
      </c>
      <c r="G26" s="27" t="n">
        <f aca="false">('General Information'!$D$37/100)*G24</f>
        <v>316019</v>
      </c>
    </row>
    <row r="27" customFormat="false" ht="15" hidden="false" customHeight="false" outlineLevel="0" collapsed="false">
      <c r="A27" s="3" t="s">
        <v>26</v>
      </c>
      <c r="G27" s="109" t="n">
        <f aca="false">SUM(G24:G26)</f>
        <v>7268437</v>
      </c>
    </row>
    <row r="32" customFormat="false" ht="15" hidden="false" customHeight="false" outlineLevel="0" collapsed="false">
      <c r="A32" s="3" t="s">
        <v>27</v>
      </c>
    </row>
    <row r="33" customFormat="false" ht="15" hidden="false" customHeight="false" outlineLevel="0" collapsed="false">
      <c r="A33" s="3" t="s">
        <v>615</v>
      </c>
      <c r="I33" s="0" t="s">
        <v>0</v>
      </c>
    </row>
    <row r="35" customFormat="false" ht="15" hidden="false" customHeight="false" outlineLevel="0" collapsed="false">
      <c r="B35" s="30" t="s">
        <v>29</v>
      </c>
      <c r="C35" s="31" t="s">
        <v>30</v>
      </c>
      <c r="D35" s="31" t="s">
        <v>31</v>
      </c>
      <c r="E35" s="32" t="s">
        <v>32</v>
      </c>
    </row>
    <row r="36" customFormat="false" ht="15" hidden="false" customHeight="false" outlineLevel="0" collapsed="false">
      <c r="B36" s="33" t="s">
        <v>33</v>
      </c>
      <c r="C36" s="34" t="n">
        <f aca="false">C6</f>
        <v>2028</v>
      </c>
      <c r="D36" s="35" t="n">
        <f aca="false">G27</f>
        <v>7268437</v>
      </c>
      <c r="E36" s="36" t="n">
        <f aca="false">D36</f>
        <v>7268437</v>
      </c>
      <c r="K36" s="1" t="s">
        <v>34</v>
      </c>
      <c r="L36" s="110" t="s">
        <v>35</v>
      </c>
      <c r="M36" s="110" t="s">
        <v>36</v>
      </c>
      <c r="N36" s="110" t="s">
        <v>37</v>
      </c>
    </row>
    <row r="37" customFormat="false" ht="15" hidden="false" customHeight="false" outlineLevel="0" collapsed="false">
      <c r="B37" s="37" t="s">
        <v>3</v>
      </c>
      <c r="C37" s="38" t="n">
        <f aca="false">'Maintenance Policies'!E10</f>
        <v>4</v>
      </c>
      <c r="D37" s="39" t="n">
        <f aca="false">P19</f>
        <v>331584.866666667</v>
      </c>
      <c r="E37" s="40" t="n">
        <f aca="false">IF(C37&gt;'General Information'!$D$33,0,D37/(1+('General Information'!$D$34/100))^C37)</f>
        <v>294608.859318184</v>
      </c>
      <c r="K37" s="1" t="n">
        <f aca="false">C6</f>
        <v>2028</v>
      </c>
      <c r="L37" s="111" t="n">
        <f aca="false">IF(K37-$C$6&gt;'General Information'!$D$33,0,IF(K37=$C$6,$D$36,0)+SUMIFS($D$37:$D$51,$C$37:$C$51,K37-$C$6,$B$37:$B$51,"&lt;&gt;*Indirect*"))</f>
        <v>7268437</v>
      </c>
      <c r="M37" s="111" t="n">
        <f aca="false">IF(K37-$C$6&gt;'General Information'!$D$33,0,SUMIFS($D$37:$D$51,$C$37:$C$51,K37-$C$6,$B$37:$B$51,"*Indirect*"))</f>
        <v>0</v>
      </c>
      <c r="N37" s="111" t="n">
        <f aca="false">IF(K37-$C$6&gt;'General Information'!$D$33,0,IF(K37=$C$6,$E$36,0)+SUMIF($C$37:$C$51,K37-$C$6,$E$37:$E$51))</f>
        <v>7268437</v>
      </c>
    </row>
    <row r="38" customFormat="false" ht="18.75" hidden="false" customHeight="true" outlineLevel="0" collapsed="false">
      <c r="B38" s="37" t="s">
        <v>38</v>
      </c>
      <c r="C38" s="38" t="n">
        <f aca="false">'Maintenance Policies'!E10</f>
        <v>4</v>
      </c>
      <c r="D38" s="39" t="n">
        <f aca="false">F2*F4</f>
        <v>22675.73</v>
      </c>
      <c r="E38" s="40" t="n">
        <f aca="false">IF(C38&gt;'General Information'!$D$33,0,D38/(1+('General Information'!$D$34/100))^C38)</f>
        <v>20147.0924070332</v>
      </c>
      <c r="K38" s="1" t="n">
        <f aca="false">K37+1</f>
        <v>2029</v>
      </c>
      <c r="L38" s="111" t="n">
        <f aca="false">IF(K38-$C$6&gt;'General Information'!$D$33,0,IF(K38=$C$6,$D$36,0)+SUMIFS($D$37:$D$51,$C$37:$C$51,K38-$C$6,$B$37:$B$51,"&lt;&gt;*Indirect*"))</f>
        <v>0</v>
      </c>
      <c r="M38" s="111" t="n">
        <f aca="false">IF(K38-$C$6&gt;'General Information'!$D$33,0,SUMIFS($D$37:$D$51,$C$37:$C$51,K38-$C$6,$B$37:$B$51,"*Indirect*"))</f>
        <v>0</v>
      </c>
      <c r="N38" s="111" t="n">
        <f aca="false">IF(K38-$C$6&gt;'General Information'!$D$33,0,IF(K38=$C$6,$E$36,0)+SUMIF($C$37:$C$51,K38-$C$6,$E$37:$E$51))</f>
        <v>0</v>
      </c>
    </row>
    <row r="39" customFormat="false" ht="15" hidden="false" customHeight="false" outlineLevel="0" collapsed="false">
      <c r="B39" s="37" t="s">
        <v>564</v>
      </c>
      <c r="C39" s="38" t="n">
        <f aca="false">'Maintenance Policies'!E12</f>
        <v>8</v>
      </c>
      <c r="D39" s="39" t="n">
        <f aca="false">X19</f>
        <v>331584.866666667</v>
      </c>
      <c r="E39" s="40" t="n">
        <f aca="false">IF(C39&gt;'General Information'!$D$33,0,D39/(1+('General Information'!$D$34/100))^C39)</f>
        <v>261756.155705422</v>
      </c>
      <c r="K39" s="1" t="n">
        <f aca="false">K38+1</f>
        <v>2030</v>
      </c>
      <c r="L39" s="111" t="n">
        <f aca="false">IF(K39-$C$6&gt;'General Information'!$D$33,0,IF(K39=$C$6,$D$36,0)+SUMIFS($D$37:$D$51,$C$37:$C$51,K39-$C$6,$B$37:$B$51,"&lt;&gt;*Indirect*"))</f>
        <v>0</v>
      </c>
      <c r="M39" s="111" t="n">
        <f aca="false">IF(K39-$C$6&gt;'General Information'!$D$33,0,SUMIFS($D$37:$D$51,$C$37:$C$51,K39-$C$6,$B$37:$B$51,"*Indirect*"))</f>
        <v>0</v>
      </c>
      <c r="N39" s="111" t="n">
        <f aca="false">IF(K39-$C$6&gt;'General Information'!$D$33,0,IF(K39=$C$6,$E$36,0)+SUMIF($C$37:$C$51,K39-$C$6,$E$37:$E$51))</f>
        <v>0</v>
      </c>
    </row>
    <row r="40" customFormat="false" ht="15" hidden="false" customHeight="false" outlineLevel="0" collapsed="false">
      <c r="B40" s="37" t="s">
        <v>616</v>
      </c>
      <c r="C40" s="38" t="n">
        <f aca="false">'Maintenance Policies'!E12</f>
        <v>8</v>
      </c>
      <c r="D40" s="39" t="n">
        <f aca="false">F2*F5</f>
        <v>22675.73</v>
      </c>
      <c r="E40" s="40" t="n">
        <f aca="false">IF(C40&gt;'General Information'!$D$33,0,D40/(1+('General Information'!$D$34/100))^C40)</f>
        <v>17900.4306568095</v>
      </c>
      <c r="K40" s="1" t="n">
        <f aca="false">K39+1</f>
        <v>2031</v>
      </c>
      <c r="L40" s="111" t="n">
        <f aca="false">IF(K40-$C$6&gt;'General Information'!$D$33,0,IF(K40=$C$6,$D$36,0)+SUMIFS($D$37:$D$51,$C$37:$C$51,K40-$C$6,$B$37:$B$51,"&lt;&gt;*Indirect*"))</f>
        <v>0</v>
      </c>
      <c r="M40" s="111" t="n">
        <f aca="false">IF(K40-$C$6&gt;'General Information'!$D$33,0,SUMIFS($D$37:$D$51,$C$37:$C$51,K40-$C$6,$B$37:$B$51,"*Indirect*"))</f>
        <v>0</v>
      </c>
      <c r="N40" s="111" t="n">
        <f aca="false">IF(K40-$C$6&gt;'General Information'!$D$33,0,IF(K40=$C$6,$E$36,0)+SUMIF($C$37:$C$51,K40-$C$6,$E$37:$E$51))</f>
        <v>0</v>
      </c>
    </row>
    <row r="41" customFormat="false" ht="15" hidden="false" customHeight="false" outlineLevel="0" collapsed="false">
      <c r="B41" s="37" t="s">
        <v>565</v>
      </c>
      <c r="C41" s="38" t="n">
        <f aca="false">'Maintenance Policies'!E14</f>
        <v>12</v>
      </c>
      <c r="D41" s="39" t="n">
        <f aca="false">AF21</f>
        <v>465273.035104167</v>
      </c>
      <c r="E41" s="40" t="n">
        <f aca="false">IF(C41&gt;'General Information'!$D$33,0,D41/(1+('General Information'!$D$34/100))^C41)</f>
        <v>326333.145618381</v>
      </c>
      <c r="K41" s="1" t="n">
        <f aca="false">K40+1</f>
        <v>2032</v>
      </c>
      <c r="L41" s="111" t="n">
        <f aca="false">IF(K41-$C$6&gt;'General Information'!$D$33,0,IF(K41=$C$6,$D$36,0)+SUMIFS($D$37:$D$51,$C$37:$C$51,K41-$C$6,$B$37:$B$51,"&lt;&gt;*Indirect*"))</f>
        <v>331584.866666667</v>
      </c>
      <c r="M41" s="111" t="n">
        <f aca="false">IF(K41-$C$6&gt;'General Information'!$D$33,0,SUMIFS($D$37:$D$51,$C$37:$C$51,K41-$C$6,$B$37:$B$51,"*Indirect*"))</f>
        <v>22675.73</v>
      </c>
      <c r="N41" s="111" t="n">
        <f aca="false">IF(K41-$C$6&gt;'General Information'!$D$33,0,IF(K41=$C$6,$E$36,0)+SUMIF($C$37:$C$51,K41-$C$6,$E$37:$E$51))</f>
        <v>314755.951725217</v>
      </c>
    </row>
    <row r="42" customFormat="false" ht="15" hidden="false" customHeight="false" outlineLevel="0" collapsed="false">
      <c r="B42" s="37" t="s">
        <v>617</v>
      </c>
      <c r="C42" s="38" t="n">
        <f aca="false">'Maintenance Policies'!E14</f>
        <v>12</v>
      </c>
      <c r="D42" s="39" t="n">
        <f aca="false">F2*F6</f>
        <v>29154.51</v>
      </c>
      <c r="E42" s="40" t="n">
        <f aca="false">IF(C42&gt;'General Information'!$D$33,0,D42/(1+('General Information'!$D$34/100))^C42)</f>
        <v>20448.3867308848</v>
      </c>
      <c r="K42" s="1" t="n">
        <f aca="false">K41+1</f>
        <v>2033</v>
      </c>
      <c r="L42" s="111" t="n">
        <f aca="false">IF(K42-$C$6&gt;'General Information'!$D$33,0,IF(K42=$C$6,$D$36,0)+SUMIFS($D$37:$D$51,$C$37:$C$51,K42-$C$6,$B$37:$B$51,"&lt;&gt;*Indirect*"))</f>
        <v>0</v>
      </c>
      <c r="M42" s="111" t="n">
        <f aca="false">IF(K42-$C$6&gt;'General Information'!$D$33,0,SUMIFS($D$37:$D$51,$C$37:$C$51,K42-$C$6,$B$37:$B$51,"*Indirect*"))</f>
        <v>0</v>
      </c>
      <c r="N42" s="111" t="n">
        <f aca="false">IF(K42-$C$6&gt;'General Information'!$D$33,0,IF(K42=$C$6,$E$36,0)+SUMIF($C$37:$C$51,K42-$C$6,$E$37:$E$51))</f>
        <v>0</v>
      </c>
    </row>
    <row r="43" customFormat="false" ht="15" hidden="false" customHeight="false" outlineLevel="0" collapsed="false">
      <c r="B43" s="37" t="s">
        <v>570</v>
      </c>
      <c r="C43" s="38" t="n">
        <f aca="false">'Maintenance Policies'!E18</f>
        <v>16</v>
      </c>
      <c r="D43" s="39" t="n">
        <f aca="false">AN21</f>
        <v>486835.642916667</v>
      </c>
      <c r="E43" s="40" t="n">
        <f aca="false">IF(C43&gt;'General Information'!$D$33,0,D43/(1+('General Information'!$D$34/100))^C43)</f>
        <v>303379.877499636</v>
      </c>
      <c r="K43" s="1" t="n">
        <f aca="false">K42+1</f>
        <v>2034</v>
      </c>
      <c r="L43" s="111" t="n">
        <f aca="false">IF(K43-$C$6&gt;'General Information'!$D$33,0,IF(K43=$C$6,$D$36,0)+SUMIFS($D$37:$D$51,$C$37:$C$51,K43-$C$6,$B$37:$B$51,"&lt;&gt;*Indirect*"))</f>
        <v>0</v>
      </c>
      <c r="M43" s="111" t="n">
        <f aca="false">IF(K43-$C$6&gt;'General Information'!$D$33,0,SUMIFS($D$37:$D$51,$C$37:$C$51,K43-$C$6,$B$37:$B$51,"*Indirect*"))</f>
        <v>0</v>
      </c>
      <c r="N43" s="111" t="n">
        <f aca="false">IF(K43-$C$6&gt;'General Information'!$D$33,0,IF(K43=$C$6,$E$36,0)+SUMIF($C$37:$C$51,K43-$C$6,$E$37:$E$51))</f>
        <v>0</v>
      </c>
    </row>
    <row r="44" customFormat="false" ht="15" hidden="false" customHeight="false" outlineLevel="0" collapsed="false">
      <c r="B44" s="37" t="s">
        <v>618</v>
      </c>
      <c r="C44" s="38" t="n">
        <f aca="false">'Maintenance Policies'!E18</f>
        <v>16</v>
      </c>
      <c r="D44" s="39" t="n">
        <f aca="false">F2*F7</f>
        <v>29154.51</v>
      </c>
      <c r="E44" s="40" t="n">
        <f aca="false">IF(C44&gt;'General Information'!$D$33,0,D44/(1+('General Information'!$D$34/100))^C44)</f>
        <v>18168.1267611622</v>
      </c>
      <c r="K44" s="1" t="n">
        <f aca="false">K43+1</f>
        <v>2035</v>
      </c>
      <c r="L44" s="111" t="n">
        <f aca="false">IF(K44-$C$6&gt;'General Information'!$D$33,0,IF(K44=$C$6,$D$36,0)+SUMIFS($D$37:$D$51,$C$37:$C$51,K44-$C$6,$B$37:$B$51,"&lt;&gt;*Indirect*"))</f>
        <v>0</v>
      </c>
      <c r="M44" s="111" t="n">
        <f aca="false">IF(K44-$C$6&gt;'General Information'!$D$33,0,SUMIFS($D$37:$D$51,$C$37:$C$51,K44-$C$6,$B$37:$B$51,"*Indirect*"))</f>
        <v>0</v>
      </c>
      <c r="N44" s="111" t="n">
        <f aca="false">IF(K44-$C$6&gt;'General Information'!$D$33,0,IF(K44=$C$6,$E$36,0)+SUMIF($C$37:$C$51,K44-$C$6,$E$37:$E$51))</f>
        <v>0</v>
      </c>
    </row>
    <row r="45" customFormat="false" ht="15" hidden="false" customHeight="false" outlineLevel="0" collapsed="false">
      <c r="B45" s="37" t="s">
        <v>4</v>
      </c>
      <c r="C45" s="38" t="n">
        <f aca="false">'Maintenance Policies'!E22</f>
        <v>20</v>
      </c>
      <c r="D45" s="39" t="n">
        <f aca="false">AV22</f>
        <v>1696066.756125</v>
      </c>
      <c r="E45" s="40" t="n">
        <f aca="false">IF(C45&gt;'General Information'!$D$33,0,D45/(1+('General Information'!$D$34/100))^C45)</f>
        <v>939071.040347879</v>
      </c>
      <c r="K45" s="1" t="n">
        <f aca="false">K44+1</f>
        <v>2036</v>
      </c>
      <c r="L45" s="111" t="n">
        <f aca="false">IF(K45-$C$6&gt;'General Information'!$D$33,0,IF(K45=$C$6,$D$36,0)+SUMIFS($D$37:$D$51,$C$37:$C$51,K45-$C$6,$B$37:$B$51,"&lt;&gt;*Indirect*"))</f>
        <v>331584.866666667</v>
      </c>
      <c r="M45" s="111" t="n">
        <f aca="false">IF(K45-$C$6&gt;'General Information'!$D$33,0,SUMIFS($D$37:$D$51,$C$37:$C$51,K45-$C$6,$B$37:$B$51,"*Indirect*"))</f>
        <v>22675.73</v>
      </c>
      <c r="N45" s="111" t="n">
        <f aca="false">IF(K45-$C$6&gt;'General Information'!$D$33,0,IF(K45=$C$6,$E$36,0)+SUMIF($C$37:$C$51,K45-$C$6,$E$37:$E$51))</f>
        <v>279656.586362231</v>
      </c>
    </row>
    <row r="46" customFormat="false" ht="15" hidden="false" customHeight="false" outlineLevel="0" collapsed="false">
      <c r="B46" s="37" t="s">
        <v>39</v>
      </c>
      <c r="C46" s="38" t="n">
        <f aca="false">'Maintenance Policies'!E22</f>
        <v>20</v>
      </c>
      <c r="D46" s="39" t="n">
        <f aca="false">F2*F8</f>
        <v>61548.41</v>
      </c>
      <c r="E46" s="40" t="n">
        <f aca="false">IF(C46&gt;'General Information'!$D$33,0,D46/(1+('General Information'!$D$34/100))^C46)</f>
        <v>34077.8623257197</v>
      </c>
      <c r="K46" s="1" t="n">
        <f aca="false">K45+1</f>
        <v>2037</v>
      </c>
      <c r="L46" s="111" t="n">
        <f aca="false">IF(K46-$C$6&gt;'General Information'!$D$33,0,IF(K46=$C$6,$D$36,0)+SUMIFS($D$37:$D$51,$C$37:$C$51,K46-$C$6,$B$37:$B$51,"&lt;&gt;*Indirect*"))</f>
        <v>0</v>
      </c>
      <c r="M46" s="111" t="n">
        <f aca="false">IF(K46-$C$6&gt;'General Information'!$D$33,0,SUMIFS($D$37:$D$51,$C$37:$C$51,K46-$C$6,$B$37:$B$51,"*Indirect*"))</f>
        <v>0</v>
      </c>
      <c r="N46" s="111" t="n">
        <f aca="false">IF(K46-$C$6&gt;'General Information'!$D$33,0,IF(K46=$C$6,$E$36,0)+SUMIF($C$37:$C$51,K46-$C$6,$E$37:$E$51))</f>
        <v>0</v>
      </c>
    </row>
    <row r="47" customFormat="false" ht="15" hidden="false" customHeight="false" outlineLevel="0" collapsed="false">
      <c r="B47" s="37" t="s">
        <v>576</v>
      </c>
      <c r="C47" s="38" t="n">
        <f aca="false">'Maintenance Policies'!E26</f>
        <v>24</v>
      </c>
      <c r="D47" s="39" t="n">
        <f aca="false">BD19</f>
        <v>331584.866666667</v>
      </c>
      <c r="E47" s="40" t="n">
        <f aca="false">IF(C47&gt;'General Information'!$D$33,0,D47/(1+('General Information'!$D$34/100))^C47)</f>
        <v>163117.782372971</v>
      </c>
      <c r="K47" s="1" t="n">
        <f aca="false">K46+1</f>
        <v>2038</v>
      </c>
      <c r="L47" s="111" t="n">
        <f aca="false">IF(K47-$C$6&gt;'General Information'!$D$33,0,IF(K47=$C$6,$D$36,0)+SUMIFS($D$37:$D$51,$C$37:$C$51,K47-$C$6,$B$37:$B$51,"&lt;&gt;*Indirect*"))</f>
        <v>0</v>
      </c>
      <c r="M47" s="111" t="n">
        <f aca="false">IF(K47-$C$6&gt;'General Information'!$D$33,0,SUMIFS($D$37:$D$51,$C$37:$C$51,K47-$C$6,$B$37:$B$51,"*Indirect*"))</f>
        <v>0</v>
      </c>
      <c r="N47" s="111" t="n">
        <f aca="false">IF(K47-$C$6&gt;'General Information'!$D$33,0,IF(K47=$C$6,$E$36,0)+SUMIF($C$37:$C$51,K47-$C$6,$E$37:$E$51))</f>
        <v>0</v>
      </c>
    </row>
    <row r="48" customFormat="false" ht="15" hidden="false" customHeight="false" outlineLevel="0" collapsed="false">
      <c r="B48" s="37" t="s">
        <v>619</v>
      </c>
      <c r="C48" s="38" t="n">
        <f aca="false">'Maintenance Policies'!E26</f>
        <v>24</v>
      </c>
      <c r="D48" s="39" t="n">
        <f aca="false">F2*F9</f>
        <v>22675.73</v>
      </c>
      <c r="E48" s="40" t="n">
        <f aca="false">IF(C48&gt;'General Information'!$D$33,0,D48/(1+('General Information'!$D$34/100))^C48)</f>
        <v>11154.9565831259</v>
      </c>
      <c r="K48" s="1" t="n">
        <f aca="false">K47+1</f>
        <v>2039</v>
      </c>
      <c r="L48" s="111" t="n">
        <f aca="false">IF(K48-$C$6&gt;'General Information'!$D$33,0,IF(K48=$C$6,$D$36,0)+SUMIFS($D$37:$D$51,$C$37:$C$51,K48-$C$6,$B$37:$B$51,"&lt;&gt;*Indirect*"))</f>
        <v>0</v>
      </c>
      <c r="M48" s="111" t="n">
        <f aca="false">IF(K48-$C$6&gt;'General Information'!$D$33,0,SUMIFS($D$37:$D$51,$C$37:$C$51,K48-$C$6,$B$37:$B$51,"*Indirect*"))</f>
        <v>0</v>
      </c>
      <c r="N48" s="111" t="n">
        <f aca="false">IF(K48-$C$6&gt;'General Information'!$D$33,0,IF(K48=$C$6,$E$36,0)+SUMIF($C$37:$C$51,K48-$C$6,$E$37:$E$51))</f>
        <v>0</v>
      </c>
    </row>
    <row r="49" customFormat="false" ht="15" hidden="false" customHeight="false" outlineLevel="0" collapsed="false">
      <c r="B49" s="37" t="s">
        <v>577</v>
      </c>
      <c r="C49" s="38" t="n">
        <f aca="false">'Maintenance Policies'!E28</f>
        <v>28</v>
      </c>
      <c r="D49" s="39" t="n">
        <f aca="false">BL21</f>
        <v>515298.285229167</v>
      </c>
      <c r="E49" s="40" t="n">
        <f aca="false">IF(C49&gt;'General Information'!$D$33,0,D49/(1+('General Information'!$D$34/100))^C49)</f>
        <v>225224.901422252</v>
      </c>
      <c r="K49" s="1" t="n">
        <f aca="false">K48+1</f>
        <v>2040</v>
      </c>
      <c r="L49" s="111" t="n">
        <f aca="false">IF(K49-$C$6&gt;'General Information'!$D$33,0,IF(K49=$C$6,$D$36,0)+SUMIFS($D$37:$D$51,$C$37:$C$51,K49-$C$6,$B$37:$B$51,"&lt;&gt;*Indirect*"))</f>
        <v>465273.035104167</v>
      </c>
      <c r="M49" s="111" t="n">
        <f aca="false">IF(K49-$C$6&gt;'General Information'!$D$33,0,SUMIFS($D$37:$D$51,$C$37:$C$51,K49-$C$6,$B$37:$B$51,"*Indirect*"))</f>
        <v>29154.51</v>
      </c>
      <c r="N49" s="111" t="n">
        <f aca="false">IF(K49-$C$6&gt;'General Information'!$D$33,0,IF(K49=$C$6,$E$36,0)+SUMIF($C$37:$C$51,K49-$C$6,$E$37:$E$51))</f>
        <v>346781.532349266</v>
      </c>
    </row>
    <row r="50" customFormat="false" ht="15" hidden="false" customHeight="false" outlineLevel="0" collapsed="false">
      <c r="B50" s="37" t="s">
        <v>620</v>
      </c>
      <c r="C50" s="38" t="n">
        <f aca="false">'Maintenance Policies'!E28</f>
        <v>28</v>
      </c>
      <c r="D50" s="39" t="n">
        <f aca="false">F2*F10</f>
        <v>29154.51</v>
      </c>
      <c r="E50" s="40" t="n">
        <f aca="false">IF(C50&gt;'General Information'!$D$33,0,D50/(1+('General Information'!$D$34/100))^C50)</f>
        <v>12742.7585710747</v>
      </c>
      <c r="K50" s="1" t="n">
        <f aca="false">K49+1</f>
        <v>2041</v>
      </c>
      <c r="L50" s="111" t="n">
        <f aca="false">IF(K50-$C$6&gt;'General Information'!$D$33,0,IF(K50=$C$6,$D$36,0)+SUMIFS($D$37:$D$51,$C$37:$C$51,K50-$C$6,$B$37:$B$51,"&lt;&gt;*Indirect*"))</f>
        <v>0</v>
      </c>
      <c r="M50" s="111" t="n">
        <f aca="false">IF(K50-$C$6&gt;'General Information'!$D$33,0,SUMIFS($D$37:$D$51,$C$37:$C$51,K50-$C$6,$B$37:$B$51,"*Indirect*"))</f>
        <v>0</v>
      </c>
      <c r="N50" s="111" t="n">
        <f aca="false">IF(K50-$C$6&gt;'General Information'!$D$33,0,IF(K50=$C$6,$E$36,0)+SUMIF($C$37:$C$51,K50-$C$6,$E$37:$E$51))</f>
        <v>0</v>
      </c>
    </row>
    <row r="51" customFormat="false" ht="15" hidden="false" customHeight="false" outlineLevel="0" collapsed="false">
      <c r="B51" s="37" t="s">
        <v>40</v>
      </c>
      <c r="C51" s="38" t="n">
        <f aca="false">'General Information'!D33</f>
        <v>30</v>
      </c>
      <c r="D51" s="39" t="n">
        <f aca="false">-'Maintenance Policies'!D32*AV22</f>
        <v>-212008.344515625</v>
      </c>
      <c r="E51" s="40" t="n">
        <f aca="false">IF(C51&gt;'General Information'!$D$33,0,D51/(1+('General Information'!$D$34/100))^C51)</f>
        <v>-87344.6308473242</v>
      </c>
      <c r="K51" s="1" t="n">
        <f aca="false">K50+1</f>
        <v>2042</v>
      </c>
      <c r="L51" s="111" t="n">
        <f aca="false">IF(K51-$C$6&gt;'General Information'!$D$33,0,IF(K51=$C$6,$D$36,0)+SUMIFS($D$37:$D$51,$C$37:$C$51,K51-$C$6,$B$37:$B$51,"&lt;&gt;*Indirect*"))</f>
        <v>0</v>
      </c>
      <c r="M51" s="111" t="n">
        <f aca="false">IF(K51-$C$6&gt;'General Information'!$D$33,0,SUMIFS($D$37:$D$51,$C$37:$C$51,K51-$C$6,$B$37:$B$51,"*Indirect*"))</f>
        <v>0</v>
      </c>
      <c r="N51" s="111" t="n">
        <f aca="false">IF(K51-$C$6&gt;'General Information'!$D$33,0,IF(K51=$C$6,$E$36,0)+SUMIF($C$37:$C$51,K51-$C$6,$E$37:$E$51))</f>
        <v>0</v>
      </c>
    </row>
    <row r="52" customFormat="false" ht="15" hidden="false" customHeight="false" outlineLevel="0" collapsed="false">
      <c r="B52" s="41" t="s">
        <v>27</v>
      </c>
      <c r="C52" s="42"/>
      <c r="D52" s="42"/>
      <c r="E52" s="43" t="n">
        <f aca="false">SUM(E36:E51)</f>
        <v>9829223.74547321</v>
      </c>
      <c r="K52" s="1" t="n">
        <f aca="false">K51+1</f>
        <v>2043</v>
      </c>
      <c r="L52" s="111" t="n">
        <f aca="false">IF(K52-$C$6&gt;'General Information'!$D$33,0,IF(K52=$C$6,$D$36,0)+SUMIFS($D$37:$D$51,$C$37:$C$51,K52-$C$6,$B$37:$B$51,"&lt;&gt;*Indirect*"))</f>
        <v>0</v>
      </c>
      <c r="M52" s="111" t="n">
        <f aca="false">IF(K52-$C$6&gt;'General Information'!$D$33,0,SUMIFS($D$37:$D$51,$C$37:$C$51,K52-$C$6,$B$37:$B$51,"*Indirect*"))</f>
        <v>0</v>
      </c>
      <c r="N52" s="111" t="n">
        <f aca="false">IF(K52-$C$6&gt;'General Information'!$D$33,0,IF(K52=$C$6,$E$36,0)+SUMIF($C$37:$C$51,K52-$C$6,$E$37:$E$51))</f>
        <v>0</v>
      </c>
    </row>
    <row r="53" customFormat="false" ht="15" hidden="false" customHeight="false" outlineLevel="0" collapsed="false">
      <c r="K53" s="1" t="n">
        <f aca="false">K52+1</f>
        <v>2044</v>
      </c>
      <c r="L53" s="111" t="n">
        <f aca="false">IF(K53-$C$6&gt;'General Information'!$D$33,0,IF(K53=$C$6,$D$36,0)+SUMIFS($D$37:$D$51,$C$37:$C$51,K53-$C$6,$B$37:$B$51,"&lt;&gt;*Indirect*"))</f>
        <v>486835.642916667</v>
      </c>
      <c r="M53" s="111" t="n">
        <f aca="false">IF(K53-$C$6&gt;'General Information'!$D$33,0,SUMIFS($D$37:$D$51,$C$37:$C$51,K53-$C$6,$B$37:$B$51,"*Indirect*"))</f>
        <v>29154.51</v>
      </c>
      <c r="N53" s="111" t="n">
        <f aca="false">IF(K53-$C$6&gt;'General Information'!$D$33,0,IF(K53=$C$6,$E$36,0)+SUMIF($C$37:$C$51,K53-$C$6,$E$37:$E$51))</f>
        <v>321548.004260798</v>
      </c>
    </row>
    <row r="54" customFormat="false" ht="15" hidden="false" customHeight="false" outlineLevel="0" collapsed="false">
      <c r="K54" s="1" t="n">
        <f aca="false">K53+1</f>
        <v>2045</v>
      </c>
      <c r="L54" s="111" t="n">
        <f aca="false">IF(K54-$C$6&gt;'General Information'!$D$33,0,IF(K54=$C$6,$D$36,0)+SUMIFS($D$37:$D$51,$C$37:$C$51,K54-$C$6,$B$37:$B$51,"&lt;&gt;*Indirect*"))</f>
        <v>0</v>
      </c>
      <c r="M54" s="111" t="n">
        <f aca="false">IF(K54-$C$6&gt;'General Information'!$D$33,0,SUMIFS($D$37:$D$51,$C$37:$C$51,K54-$C$6,$B$37:$B$51,"*Indirect*"))</f>
        <v>0</v>
      </c>
      <c r="N54" s="111" t="n">
        <f aca="false">IF(K54-$C$6&gt;'General Information'!$D$33,0,IF(K54=$C$6,$E$36,0)+SUMIF($C$37:$C$51,K54-$C$6,$E$37:$E$51))</f>
        <v>0</v>
      </c>
    </row>
    <row r="55" customFormat="false" ht="15" hidden="false" customHeight="false" outlineLevel="0" collapsed="false">
      <c r="K55" s="1" t="n">
        <f aca="false">K54+1</f>
        <v>2046</v>
      </c>
      <c r="L55" s="111" t="n">
        <f aca="false">IF(K55-$C$6&gt;'General Information'!$D$33,0,IF(K55=$C$6,$D$36,0)+SUMIFS($D$37:$D$51,$C$37:$C$51,K55-$C$6,$B$37:$B$51,"&lt;&gt;*Indirect*"))</f>
        <v>0</v>
      </c>
      <c r="M55" s="111" t="n">
        <f aca="false">IF(K55-$C$6&gt;'General Information'!$D$33,0,SUMIFS($D$37:$D$51,$C$37:$C$51,K55-$C$6,$B$37:$B$51,"*Indirect*"))</f>
        <v>0</v>
      </c>
      <c r="N55" s="111" t="n">
        <f aca="false">IF(K55-$C$6&gt;'General Information'!$D$33,0,IF(K55=$C$6,$E$36,0)+SUMIF($C$37:$C$51,K55-$C$6,$E$37:$E$51))</f>
        <v>0</v>
      </c>
    </row>
    <row r="56" customFormat="false" ht="15" hidden="false" customHeight="false" outlineLevel="0" collapsed="false">
      <c r="K56" s="1" t="n">
        <f aca="false">K55+1</f>
        <v>2047</v>
      </c>
      <c r="L56" s="111" t="n">
        <f aca="false">IF(K56-$C$6&gt;'General Information'!$D$33,0,IF(K56=$C$6,$D$36,0)+SUMIFS($D$37:$D$51,$C$37:$C$51,K56-$C$6,$B$37:$B$51,"&lt;&gt;*Indirect*"))</f>
        <v>0</v>
      </c>
      <c r="M56" s="111" t="n">
        <f aca="false">IF(K56-$C$6&gt;'General Information'!$D$33,0,SUMIFS($D$37:$D$51,$C$37:$C$51,K56-$C$6,$B$37:$B$51,"*Indirect*"))</f>
        <v>0</v>
      </c>
      <c r="N56" s="111" t="n">
        <f aca="false">IF(K56-$C$6&gt;'General Information'!$D$33,0,IF(K56=$C$6,$E$36,0)+SUMIF($C$37:$C$51,K56-$C$6,$E$37:$E$51))</f>
        <v>0</v>
      </c>
    </row>
    <row r="57" customFormat="false" ht="15" hidden="false" customHeight="false" outlineLevel="0" collapsed="false">
      <c r="K57" s="1" t="n">
        <f aca="false">K56+1</f>
        <v>2048</v>
      </c>
      <c r="L57" s="111" t="n">
        <f aca="false">IF(K57-$C$6&gt;'General Information'!$D$33,0,IF(K57=$C$6,$D$36,0)+SUMIFS($D$37:$D$51,$C$37:$C$51,K57-$C$6,$B$37:$B$51,"&lt;&gt;*Indirect*"))</f>
        <v>1696066.756125</v>
      </c>
      <c r="M57" s="111" t="n">
        <f aca="false">IF(K57-$C$6&gt;'General Information'!$D$33,0,SUMIFS($D$37:$D$51,$C$37:$C$51,K57-$C$6,$B$37:$B$51,"*Indirect*"))</f>
        <v>61548.41</v>
      </c>
      <c r="N57" s="111" t="n">
        <f aca="false">IF(K57-$C$6&gt;'General Information'!$D$33,0,IF(K57=$C$6,$E$36,0)+SUMIF($C$37:$C$51,K57-$C$6,$E$37:$E$51))</f>
        <v>973148.902673599</v>
      </c>
    </row>
    <row r="58" customFormat="false" ht="15" hidden="false" customHeight="false" outlineLevel="0" collapsed="false">
      <c r="K58" s="1" t="n">
        <f aca="false">K57+1</f>
        <v>2049</v>
      </c>
      <c r="L58" s="111" t="n">
        <f aca="false">IF(K58-$C$6&gt;'General Information'!$D$33,0,IF(K58=$C$6,$D$36,0)+SUMIFS($D$37:$D$51,$C$37:$C$51,K58-$C$6,$B$37:$B$51,"&lt;&gt;*Indirect*"))</f>
        <v>0</v>
      </c>
      <c r="M58" s="111" t="n">
        <f aca="false">IF(K58-$C$6&gt;'General Information'!$D$33,0,SUMIFS($D$37:$D$51,$C$37:$C$51,K58-$C$6,$B$37:$B$51,"*Indirect*"))</f>
        <v>0</v>
      </c>
      <c r="N58" s="111" t="n">
        <f aca="false">IF(K58-$C$6&gt;'General Information'!$D$33,0,IF(K58=$C$6,$E$36,0)+SUMIF($C$37:$C$51,K58-$C$6,$E$37:$E$51))</f>
        <v>0</v>
      </c>
    </row>
    <row r="59" customFormat="false" ht="15" hidden="false" customHeight="false" outlineLevel="0" collapsed="false">
      <c r="K59" s="1" t="n">
        <f aca="false">K58+1</f>
        <v>2050</v>
      </c>
      <c r="L59" s="111" t="n">
        <f aca="false">IF(K59-$C$6&gt;'General Information'!$D$33,0,IF(K59=$C$6,$D$36,0)+SUMIFS($D$37:$D$51,$C$37:$C$51,K59-$C$6,$B$37:$B$51,"&lt;&gt;*Indirect*"))</f>
        <v>0</v>
      </c>
      <c r="M59" s="111" t="n">
        <f aca="false">IF(K59-$C$6&gt;'General Information'!$D$33,0,SUMIFS($D$37:$D$51,$C$37:$C$51,K59-$C$6,$B$37:$B$51,"*Indirect*"))</f>
        <v>0</v>
      </c>
      <c r="N59" s="111" t="n">
        <f aca="false">IF(K59-$C$6&gt;'General Information'!$D$33,0,IF(K59=$C$6,$E$36,0)+SUMIF($C$37:$C$51,K59-$C$6,$E$37:$E$51))</f>
        <v>0</v>
      </c>
    </row>
    <row r="60" customFormat="false" ht="15" hidden="false" customHeight="false" outlineLevel="0" collapsed="false">
      <c r="K60" s="1" t="n">
        <f aca="false">K59+1</f>
        <v>2051</v>
      </c>
      <c r="L60" s="111" t="n">
        <f aca="false">IF(K60-$C$6&gt;'General Information'!$D$33,0,IF(K60=$C$6,$D$36,0)+SUMIFS($D$37:$D$51,$C$37:$C$51,K60-$C$6,$B$37:$B$51,"&lt;&gt;*Indirect*"))</f>
        <v>0</v>
      </c>
      <c r="M60" s="111" t="n">
        <f aca="false">IF(K60-$C$6&gt;'General Information'!$D$33,0,SUMIFS($D$37:$D$51,$C$37:$C$51,K60-$C$6,$B$37:$B$51,"*Indirect*"))</f>
        <v>0</v>
      </c>
      <c r="N60" s="111" t="n">
        <f aca="false">IF(K60-$C$6&gt;'General Information'!$D$33,0,IF(K60=$C$6,$E$36,0)+SUMIF($C$37:$C$51,K60-$C$6,$E$37:$E$51))</f>
        <v>0</v>
      </c>
    </row>
    <row r="61" customFormat="false" ht="15" hidden="false" customHeight="false" outlineLevel="0" collapsed="false">
      <c r="K61" s="1" t="n">
        <f aca="false">K60+1</f>
        <v>2052</v>
      </c>
      <c r="L61" s="111" t="n">
        <f aca="false">IF(K61-$C$6&gt;'General Information'!$D$33,0,IF(K61=$C$6,$D$36,0)+SUMIFS($D$37:$D$51,$C$37:$C$51,K61-$C$6,$B$37:$B$51,"&lt;&gt;*Indirect*"))</f>
        <v>331584.866666667</v>
      </c>
      <c r="M61" s="111" t="n">
        <f aca="false">IF(K61-$C$6&gt;'General Information'!$D$33,0,SUMIFS($D$37:$D$51,$C$37:$C$51,K61-$C$6,$B$37:$B$51,"*Indirect*"))</f>
        <v>22675.73</v>
      </c>
      <c r="N61" s="111" t="n">
        <f aca="false">IF(K61-$C$6&gt;'General Information'!$D$33,0,IF(K61=$C$6,$E$36,0)+SUMIF($C$37:$C$51,K61-$C$6,$E$37:$E$51))</f>
        <v>174272.738956097</v>
      </c>
    </row>
    <row r="62" customFormat="false" ht="15" hidden="false" customHeight="false" outlineLevel="0" collapsed="false">
      <c r="K62" s="1" t="n">
        <f aca="false">K61+1</f>
        <v>2053</v>
      </c>
      <c r="L62" s="111" t="n">
        <f aca="false">IF(K62-$C$6&gt;'General Information'!$D$33,0,IF(K62=$C$6,$D$36,0)+SUMIFS($D$37:$D$51,$C$37:$C$51,K62-$C$6,$B$37:$B$51,"&lt;&gt;*Indirect*"))</f>
        <v>0</v>
      </c>
      <c r="M62" s="111" t="n">
        <f aca="false">IF(K62-$C$6&gt;'General Information'!$D$33,0,SUMIFS($D$37:$D$51,$C$37:$C$51,K62-$C$6,$B$37:$B$51,"*Indirect*"))</f>
        <v>0</v>
      </c>
      <c r="N62" s="111" t="n">
        <f aca="false">IF(K62-$C$6&gt;'General Information'!$D$33,0,IF(K62=$C$6,$E$36,0)+SUMIF($C$37:$C$51,K62-$C$6,$E$37:$E$51))</f>
        <v>0</v>
      </c>
    </row>
    <row r="63" customFormat="false" ht="15" hidden="false" customHeight="false" outlineLevel="0" collapsed="false">
      <c r="K63" s="1" t="n">
        <f aca="false">K62+1</f>
        <v>2054</v>
      </c>
      <c r="L63" s="111" t="n">
        <f aca="false">IF(K63-$C$6&gt;'General Information'!$D$33,0,IF(K63=$C$6,$D$36,0)+SUMIFS($D$37:$D$51,$C$37:$C$51,K63-$C$6,$B$37:$B$51,"&lt;&gt;*Indirect*"))</f>
        <v>0</v>
      </c>
      <c r="M63" s="111" t="n">
        <f aca="false">IF(K63-$C$6&gt;'General Information'!$D$33,0,SUMIFS($D$37:$D$51,$C$37:$C$51,K63-$C$6,$B$37:$B$51,"*Indirect*"))</f>
        <v>0</v>
      </c>
      <c r="N63" s="111" t="n">
        <f aca="false">IF(K63-$C$6&gt;'General Information'!$D$33,0,IF(K63=$C$6,$E$36,0)+SUMIF($C$37:$C$51,K63-$C$6,$E$37:$E$51))</f>
        <v>0</v>
      </c>
    </row>
    <row r="64" customFormat="false" ht="15" hidden="false" customHeight="false" outlineLevel="0" collapsed="false">
      <c r="K64" s="1" t="n">
        <f aca="false">K63+1</f>
        <v>2055</v>
      </c>
      <c r="L64" s="111" t="n">
        <f aca="false">IF(K64-$C$6&gt;'General Information'!$D$33,0,IF(K64=$C$6,$D$36,0)+SUMIFS($D$37:$D$51,$C$37:$C$51,K64-$C$6,$B$37:$B$51,"&lt;&gt;*Indirect*"))</f>
        <v>0</v>
      </c>
      <c r="M64" s="111" t="n">
        <f aca="false">IF(K64-$C$6&gt;'General Information'!$D$33,0,SUMIFS($D$37:$D$51,$C$37:$C$51,K64-$C$6,$B$37:$B$51,"*Indirect*"))</f>
        <v>0</v>
      </c>
      <c r="N64" s="111" t="n">
        <f aca="false">IF(K64-$C$6&gt;'General Information'!$D$33,0,IF(K64=$C$6,$E$36,0)+SUMIF($C$37:$C$51,K64-$C$6,$E$37:$E$51))</f>
        <v>0</v>
      </c>
    </row>
    <row r="65" customFormat="false" ht="15" hidden="false" customHeight="false" outlineLevel="0" collapsed="false">
      <c r="K65" s="1" t="n">
        <f aca="false">K64+1</f>
        <v>2056</v>
      </c>
      <c r="L65" s="111" t="n">
        <f aca="false">IF(K65-$C$6&gt;'General Information'!$D$33,0,IF(K65=$C$6,$D$36,0)+SUMIFS($D$37:$D$51,$C$37:$C$51,K65-$C$6,$B$37:$B$51,"&lt;&gt;*Indirect*"))</f>
        <v>515298.285229167</v>
      </c>
      <c r="M65" s="111" t="n">
        <f aca="false">IF(K65-$C$6&gt;'General Information'!$D$33,0,SUMIFS($D$37:$D$51,$C$37:$C$51,K65-$C$6,$B$37:$B$51,"*Indirect*"))</f>
        <v>29154.51</v>
      </c>
      <c r="N65" s="111" t="n">
        <f aca="false">IF(K65-$C$6&gt;'General Information'!$D$33,0,IF(K65=$C$6,$E$36,0)+SUMIF($C$37:$C$51,K65-$C$6,$E$37:$E$51))</f>
        <v>237967.659993326</v>
      </c>
    </row>
    <row r="66" customFormat="false" ht="15" hidden="false" customHeight="false" outlineLevel="0" collapsed="false">
      <c r="K66" s="1" t="n">
        <f aca="false">K65+1</f>
        <v>2057</v>
      </c>
      <c r="L66" s="111" t="n">
        <f aca="false">IF(K66-$C$6&gt;'General Information'!$D$33,0,IF(K66=$C$6,$D$36,0)+SUMIFS($D$37:$D$51,$C$37:$C$51,K66-$C$6,$B$37:$B$51,"&lt;&gt;*Indirect*"))</f>
        <v>0</v>
      </c>
      <c r="M66" s="111" t="n">
        <f aca="false">IF(K66-$C$6&gt;'General Information'!$D$33,0,SUMIFS($D$37:$D$51,$C$37:$C$51,K66-$C$6,$B$37:$B$51,"*Indirect*"))</f>
        <v>0</v>
      </c>
      <c r="N66" s="111" t="n">
        <f aca="false">IF(K66-$C$6&gt;'General Information'!$D$33,0,IF(K66=$C$6,$E$36,0)+SUMIF($C$37:$C$51,K66-$C$6,$E$37:$E$51))</f>
        <v>0</v>
      </c>
    </row>
    <row r="67" customFormat="false" ht="15" hidden="false" customHeight="false" outlineLevel="0" collapsed="false">
      <c r="K67" s="1" t="n">
        <f aca="false">K66+1</f>
        <v>2058</v>
      </c>
      <c r="L67" s="111" t="n">
        <f aca="false">IF(K67-$C$6&gt;'General Information'!$D$33,0,IF(K67=$C$6,$D$36,0)+SUMIFS($D$37:$D$51,$C$37:$C$51,K67-$C$6,$B$37:$B$51,"&lt;&gt;*Indirect*"))</f>
        <v>-212008.344515625</v>
      </c>
      <c r="M67" s="111" t="n">
        <f aca="false">IF(K67-$C$6&gt;'General Information'!$D$33,0,SUMIFS($D$37:$D$51,$C$37:$C$51,K67-$C$6,$B$37:$B$51,"*Indirect*"))</f>
        <v>0</v>
      </c>
      <c r="N67" s="111" t="n">
        <f aca="false">IF(K67-$C$6&gt;'General Information'!$D$33,0,IF(K67=$C$6,$E$36,0)+SUMIF($C$37:$C$51,K67-$C$6,$E$37:$E$51))</f>
        <v>-87344.6308473242</v>
      </c>
    </row>
  </sheetData>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15" hidden="false" customHeight="false" outlineLevel="0" collapsed="false">
      <c r="C1" s="0" t="str">
        <f aca="false">Pay_Items!D55</f>
        <v>Joint Clean and Reseal, Concrete</v>
      </c>
      <c r="I1" s="0" t="s">
        <v>0</v>
      </c>
    </row>
    <row r="2" customFormat="false" ht="15" hidden="false" customHeight="false" outlineLevel="0" collapsed="false">
      <c r="A2" s="3" t="s">
        <v>1</v>
      </c>
      <c r="E2" s="4" t="s">
        <v>2</v>
      </c>
      <c r="F2" s="5"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3239.39</v>
      </c>
      <c r="G2" s="0" t="str">
        <f aca="false">IF(AND('General Information'!$D$38="Yes",F2=0),"No revenue data for this airport - lost revenue set to $0. Contact Aeronautics.","")</f>
        <v/>
      </c>
      <c r="J2" s="6" t="s">
        <v>3</v>
      </c>
      <c r="R2" s="3" t="s">
        <v>4</v>
      </c>
    </row>
    <row r="3" customFormat="false" ht="15" hidden="false" customHeight="false" outlineLevel="0" collapsed="false">
      <c r="E3" s="7"/>
      <c r="F3" s="8"/>
    </row>
    <row r="4" customFormat="false" ht="15" hidden="false" customHeight="false" outlineLevel="0" collapsed="false">
      <c r="A4" s="0" t="s">
        <v>5</v>
      </c>
      <c r="C4" s="9" t="s">
        <v>6</v>
      </c>
      <c r="E4" s="7" t="s">
        <v>7</v>
      </c>
      <c r="F4" s="10" t="n">
        <f aca="false">ROUNDUP(C5*550/(50*100/9)/10000,0)+ROUNDUP(C5*'Maintenance Policies'!D38/10000,0)+ROUNDUP(C5*'Maintenance Policies'!D39/5000,0)+ROUNDUP(C5*'Maintenance Policies'!D40/5000,0)</f>
        <v>10</v>
      </c>
    </row>
    <row r="5" customFormat="false" ht="15" hidden="false" customHeight="false" outlineLevel="0" collapsed="false">
      <c r="A5" s="0" t="s">
        <v>8</v>
      </c>
      <c r="C5" s="0" t="n">
        <f aca="false">'General Information'!D26</f>
        <v>66667</v>
      </c>
      <c r="D5" s="0" t="s">
        <v>9</v>
      </c>
      <c r="E5" s="11" t="s">
        <v>10</v>
      </c>
      <c r="F5" s="12" t="n">
        <f aca="false">ROUNDUP(C5*550/(50*100/9)/10000,0)+ROUNDUP(C5*'Maintenance Policies'!D44/10000,0)+ROUNDUP(C5*'Maintenance Policies'!D43/5000,0)+ROUNDUP(C5*'Maintenance Policies'!D42/5000,0)+ROUNDUP(C5*'Maintenance Policies'!D41/1000,0)+7</f>
        <v>19</v>
      </c>
    </row>
    <row r="6" customFormat="false" ht="15" hidden="false" customHeight="false" outlineLevel="0" collapsed="false">
      <c r="A6" s="0" t="s">
        <v>11</v>
      </c>
      <c r="C6" s="0" t="n">
        <f aca="false">'General Information'!D25</f>
        <v>2028</v>
      </c>
    </row>
    <row r="7" customFormat="false" ht="15" hidden="false" customHeight="false" outlineLevel="0" collapsed="false">
      <c r="A7" s="0" t="s">
        <v>12</v>
      </c>
      <c r="C7" s="0" t="n">
        <f aca="false">'General Information'!D28</f>
        <v>15000</v>
      </c>
      <c r="D7" s="0" t="s">
        <v>13</v>
      </c>
      <c r="J7" s="1" t="s">
        <v>14</v>
      </c>
      <c r="K7" s="13" t="n">
        <f aca="false">C5/((12.5*12.5)/9)</f>
        <v>3840.0192</v>
      </c>
    </row>
    <row r="8" customFormat="false" ht="15" hidden="false" customHeight="false" outlineLevel="0" collapsed="false">
      <c r="C8" s="14"/>
      <c r="J8" s="1" t="s">
        <v>15</v>
      </c>
      <c r="K8" s="1" t="n">
        <f aca="false">K7*25+((K7/8)*12.5)</f>
        <v>102000.51</v>
      </c>
    </row>
    <row r="9" customFormat="false" ht="15" hidden="false" customHeight="false" outlineLevel="0" collapsed="false">
      <c r="C9" s="14"/>
    </row>
    <row r="10" customFormat="false" ht="15" hidden="false" customHeight="false" outlineLevel="0" collapsed="false">
      <c r="C10" s="14"/>
    </row>
    <row r="12" customFormat="false" ht="15" hidden="false" customHeight="false" outlineLevel="0" collapsed="false">
      <c r="A12" s="0" t="s">
        <v>16</v>
      </c>
      <c r="B12" s="0" t="s">
        <v>17</v>
      </c>
      <c r="C12" s="0" t="s">
        <v>18</v>
      </c>
      <c r="D12" s="0" t="s">
        <v>19</v>
      </c>
      <c r="E12" s="0" t="s">
        <v>20</v>
      </c>
      <c r="F12" s="0" t="s">
        <v>21</v>
      </c>
      <c r="G12" s="0" t="s">
        <v>22</v>
      </c>
      <c r="J12" s="1" t="s">
        <v>16</v>
      </c>
      <c r="K12" s="1" t="s">
        <v>17</v>
      </c>
      <c r="L12" s="2" t="s">
        <v>18</v>
      </c>
      <c r="M12" s="1" t="s">
        <v>19</v>
      </c>
      <c r="N12" s="1" t="s">
        <v>20</v>
      </c>
      <c r="O12" s="1" t="s">
        <v>21</v>
      </c>
      <c r="P12" s="1" t="s">
        <v>22</v>
      </c>
      <c r="R12" s="0" t="s">
        <v>16</v>
      </c>
      <c r="S12" s="0" t="s">
        <v>17</v>
      </c>
      <c r="T12" s="0" t="s">
        <v>18</v>
      </c>
      <c r="U12" s="0" t="s">
        <v>19</v>
      </c>
      <c r="V12" s="0" t="s">
        <v>20</v>
      </c>
      <c r="W12" s="0" t="s">
        <v>21</v>
      </c>
      <c r="X12" s="0" t="s">
        <v>22</v>
      </c>
    </row>
    <row r="13" customFormat="false" ht="19.5" hidden="false" customHeight="true" outlineLevel="0" collapsed="false">
      <c r="A13" s="0" t="n">
        <v>1</v>
      </c>
      <c r="B13" s="16" t="str">
        <f aca="false">IF(C13="",0,VLOOKUP(C13,CHOOSE({1,2},Table2[Pay Item Description],Table2[Pay Item No.]),2,0))</f>
        <v>P-155-8.1</v>
      </c>
      <c r="C13" s="17" t="s">
        <v>451</v>
      </c>
      <c r="D13" s="18" t="str">
        <f aca="false">IF(C13="","N/A",VLOOKUP(C13,CHOOSE({1,2},Table2[Pay Item Description],Table2[Units]),2,0))</f>
        <v>S.Y.</v>
      </c>
      <c r="E13" s="19" t="n">
        <v>66667</v>
      </c>
      <c r="F13" s="20" t="n">
        <f aca="false">IF(C13="","N/A",VLOOKUP(C13,CHOOSE({1,2},Table2[Pay Item Description],Table2[Unit Cost]),2,0))</f>
        <v>10</v>
      </c>
      <c r="G13" s="21" t="n">
        <f aca="false">IF(B13&lt;&gt;0,F13*E13,0)</f>
        <v>666670</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2" t="n">
        <f aca="false">K8*'Maintenance Policies'!D37</f>
        <v>102000.51</v>
      </c>
      <c r="O13" s="23" t="n">
        <f aca="false">IF(L13="","N/A",VLOOKUP(L13,CHOOSE({1,2},Table2[Pay Item Description],Table2[Unit Cost]),2,0))</f>
        <v>7</v>
      </c>
      <c r="P13" s="24" t="n">
        <f aca="false">O13*N13</f>
        <v>714003.57</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5" t="n">
        <f aca="false">'Maintenance Policies'!D41*C5</f>
        <v>1333.34</v>
      </c>
      <c r="W13" s="26" t="n">
        <f aca="false">IF(T13="","N/A",VLOOKUP(T13,CHOOSE({1,2},Table2[Pay Item Description],Table2[Unit Cost]),2,0))</f>
        <v>100</v>
      </c>
      <c r="X13" s="27" t="n">
        <f aca="false">W13*V13</f>
        <v>133334</v>
      </c>
    </row>
    <row r="14" customFormat="false" ht="19.5" hidden="false" customHeight="true" outlineLevel="0" collapsed="false">
      <c r="A14" s="0" t="n">
        <v>2</v>
      </c>
      <c r="B14" s="16" t="str">
        <f aca="false">IF(C14="",0,VLOOKUP(C14,CHOOSE({1,2},Table2[Pay Item Description],Table2[Pay Item No.]),2,0))</f>
        <v>P-154-5.1</v>
      </c>
      <c r="C14" s="17" t="s">
        <v>447</v>
      </c>
      <c r="D14" s="18" t="str">
        <f aca="false">IF(C14="","N/A",VLOOKUP(C14,CHOOSE({1,2},Table2[Pay Item Description],Table2[Units]),2,0))</f>
        <v>C.Y.</v>
      </c>
      <c r="E14" s="19" t="n">
        <v>14815</v>
      </c>
      <c r="F14" s="20" t="n">
        <f aca="false">IF(C14="","N/A",VLOOKUP(C14,CHOOSE({1,2},Table2[Pay Item Description],Table2[Unit Cost]),2,0))</f>
        <v>55</v>
      </c>
      <c r="G14" s="21" t="n">
        <f aca="false">IF(B14&lt;&gt;0,F14*E14,0)</f>
        <v>814825</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2" t="n">
        <f aca="false">'Maintenance Policies'!D38*(C5*9)</f>
        <v>1500.0075</v>
      </c>
      <c r="O14" s="23" t="n">
        <f aca="false">IF(L14="","N/A",VLOOKUP(L14,CHOOSE({1,2},Table2[Pay Item Description],Table2[Unit Cost]),2,0))</f>
        <v>8</v>
      </c>
      <c r="P14" s="24" t="n">
        <f aca="false">O14*N14</f>
        <v>12000.06</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5" t="n">
        <f aca="false">'Maintenance Policies'!D42*C5</f>
        <v>200.001</v>
      </c>
      <c r="W14" s="26" t="n">
        <f aca="false">IF(T14="","N/A",VLOOKUP(T14,CHOOSE({1,2},Table2[Pay Item Description],Table2[Unit Cost]),2,0))</f>
        <v>120</v>
      </c>
      <c r="X14" s="27" t="n">
        <f aca="false">W14*V14</f>
        <v>24000.12</v>
      </c>
    </row>
    <row r="15" customFormat="false" ht="19.5" hidden="false" customHeight="true" outlineLevel="0" collapsed="false">
      <c r="A15" s="0" t="n">
        <v>3</v>
      </c>
      <c r="B15" s="16" t="str">
        <f aca="false">IF(C15="",0,VLOOKUP(C15,CHOOSE({1,2},Table2[Pay Item Description],Table2[Pay Item No.]),2,0))</f>
        <v>P-209-5.1</v>
      </c>
      <c r="C15" s="17" t="s">
        <v>469</v>
      </c>
      <c r="D15" s="18" t="str">
        <f aca="false">IF(C15="","N/A",VLOOKUP(C15,CHOOSE({1,2},Table2[Pay Item Description],Table2[Units]),2,0))</f>
        <v>C.Y.</v>
      </c>
      <c r="E15" s="19" t="n">
        <v>11111</v>
      </c>
      <c r="F15" s="20" t="n">
        <f aca="false">IF(C15="","N/A",VLOOKUP(C15,CHOOSE({1,2},Table2[Pay Item Description],Table2[Unit Cost]),2,0))</f>
        <v>65</v>
      </c>
      <c r="G15" s="21" t="n">
        <f aca="false">IF(B15&lt;&gt;0,F15*E15,0)</f>
        <v>722215</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2" t="n">
        <f aca="false">'Maintenance Policies'!D39*(C5*9)</f>
        <v>780.0039</v>
      </c>
      <c r="O15" s="23" t="n">
        <f aca="false">IF(L15="","N/A",VLOOKUP(L15,CHOOSE({1,2},Table2[Pay Item Description],Table2[Unit Cost]),2,0))</f>
        <v>60</v>
      </c>
      <c r="P15" s="24" t="n">
        <f aca="false">O15*N15</f>
        <v>46800.234</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5" t="n">
        <f aca="false">'Maintenance Policies'!D43*(C5*9)</f>
        <v>780.0039</v>
      </c>
      <c r="W15" s="26" t="n">
        <f aca="false">IF(T15="","N/A",VLOOKUP(T15,CHOOSE({1,2},Table2[Pay Item Description],Table2[Unit Cost]),2,0))</f>
        <v>60</v>
      </c>
      <c r="X15" s="27" t="n">
        <f aca="false">W15*V15</f>
        <v>46800.234</v>
      </c>
    </row>
    <row r="16" customFormat="false" ht="19.5" hidden="false" customHeight="true" outlineLevel="0" collapsed="false">
      <c r="A16" s="0" t="n">
        <v>4</v>
      </c>
      <c r="B16" s="16" t="str">
        <f aca="false">IF(C16="",0,VLOOKUP(C16,CHOOSE({1,2},Table2[Pay Item Description],Table2[Pay Item No.]),2,0))</f>
        <v>P-501-8.1c</v>
      </c>
      <c r="C16" s="17" t="s">
        <v>511</v>
      </c>
      <c r="D16" s="18" t="str">
        <f aca="false">IF(C16="","N/A",VLOOKUP(C16,CHOOSE({1,2},Table2[Pay Item Description],Table2[Units]),2,0))</f>
        <v>S.Y.</v>
      </c>
      <c r="E16" s="19" t="n">
        <v>66667</v>
      </c>
      <c r="F16" s="20" t="n">
        <f aca="false">IF(C16="","N/A",VLOOKUP(C16,CHOOSE({1,2},Table2[Pay Item Description],Table2[Unit Cost]),2,0))</f>
        <v>85</v>
      </c>
      <c r="G16" s="21" t="n">
        <f aca="false">IF(B16&lt;&gt;0,F16*E16,0)</f>
        <v>5666695</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2" t="n">
        <f aca="false">'Maintenance Policies'!D40*C5</f>
        <v>200.001</v>
      </c>
      <c r="O16" s="23" t="n">
        <f aca="false">IF(L16="","N/A",VLOOKUP(L16,CHOOSE({1,2},Table2[Pay Item Description],Table2[Unit Cost]),2,0))</f>
        <v>120</v>
      </c>
      <c r="P16" s="24" t="n">
        <f aca="false">O16*N16</f>
        <v>24000.12</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5" t="n">
        <f aca="false">'Maintenance Policies'!D44*(C5*9)</f>
        <v>1800.009</v>
      </c>
      <c r="W16" s="26" t="n">
        <f aca="false">IF(T16="","N/A",VLOOKUP(T16,CHOOSE({1,2},Table2[Pay Item Description],Table2[Unit Cost]),2,0))</f>
        <v>8</v>
      </c>
      <c r="X16" s="27" t="n">
        <f aca="false">W16*V16</f>
        <v>14400.072</v>
      </c>
    </row>
    <row r="17" customFormat="false" ht="19.5" hidden="false" customHeight="true" outlineLevel="0" collapsed="false">
      <c r="A17" s="0" t="n">
        <v>5</v>
      </c>
      <c r="B17" s="16" t="str">
        <f aca="false">IF(C17="",0,VLOOKUP(C17,CHOOSE({1,2},Table2[Pay Item Description],Table2[Pay Item No.]),2,0))</f>
        <v>P-620-5.1a</v>
      </c>
      <c r="C17" s="17" t="s">
        <v>540</v>
      </c>
      <c r="D17" s="18" t="str">
        <f aca="false">IF(C17="","N/A",VLOOKUP(C17,CHOOSE({1,2},Table2[Pay Item Description],Table2[Units]),2,0))</f>
        <v>S.F.</v>
      </c>
      <c r="E17" s="19" t="n">
        <v>15000</v>
      </c>
      <c r="F17" s="20" t="n">
        <f aca="false">IF(C17="","N/A",VLOOKUP(C17,CHOOSE({1,2},Table2[Pay Item Description],Table2[Unit Cost]),2,0))</f>
        <v>0.666666666666667</v>
      </c>
      <c r="G17" s="21" t="n">
        <f aca="false">IF(B17&lt;&gt;0,F17*E17,0)</f>
        <v>10000</v>
      </c>
      <c r="O17" s="1" t="s">
        <v>23</v>
      </c>
      <c r="P17" s="24" t="n">
        <f aca="false">SUM(P13:P16)</f>
        <v>796803.984</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5" t="n">
        <f aca="false">'Maintenance Policies'!D45*K8</f>
        <v>102000.51</v>
      </c>
      <c r="W17" s="26" t="n">
        <f aca="false">IF(T17="","N/A",VLOOKUP(T17,CHOOSE({1,2},Table2[Pay Item Description],Table2[Unit Cost]),2,0))</f>
        <v>7</v>
      </c>
      <c r="X17" s="27" t="n">
        <f aca="false">W17*V17</f>
        <v>714003.57</v>
      </c>
    </row>
    <row r="18" customFormat="false" ht="19.5" hidden="false" customHeight="true" outlineLevel="0" collapsed="false">
      <c r="A18" s="0" t="n">
        <v>6</v>
      </c>
      <c r="B18" s="16" t="n">
        <f aca="false">IF(C18="",0,VLOOKUP(C18,CHOOSE({1,2},Table2[Pay Item Description],Table2[Pay Item No.]),2,0))</f>
        <v>0</v>
      </c>
      <c r="C18" s="17"/>
      <c r="D18" s="18" t="str">
        <f aca="false">IF(C18="","N/A",VLOOKUP(C18,CHOOSE({1,2},Table2[Pay Item Description],Table2[Units]),2,0))</f>
        <v>N/A</v>
      </c>
      <c r="E18" s="19"/>
      <c r="F18" s="20" t="str">
        <f aca="false">IF(C18="","N/A",VLOOKUP(C18,CHOOSE({1,2},Table2[Pay Item Description],Table2[Unit Cost]),2,0))</f>
        <v>N/A</v>
      </c>
      <c r="G18" s="21" t="n">
        <f aca="false">IF(B18&lt;&gt;0,F18*E18,0)</f>
        <v>0</v>
      </c>
      <c r="L18" s="2" t="s">
        <v>24</v>
      </c>
      <c r="P18" s="24" t="n">
        <f aca="false">('General Information'!$D$36/100)*P17</f>
        <v>79680.3984</v>
      </c>
      <c r="W18" s="0" t="s">
        <v>23</v>
      </c>
      <c r="X18" s="27" t="n">
        <f aca="false">SUM(X13:X17)</f>
        <v>932537.996</v>
      </c>
    </row>
    <row r="19" customFormat="false" ht="19.5" hidden="false" customHeight="true" outlineLevel="0" collapsed="false">
      <c r="A19" s="0" t="n">
        <v>7</v>
      </c>
      <c r="B19" s="16" t="n">
        <f aca="false">IF(C19="",0,VLOOKUP(C19,CHOOSE({1,2},Table2[Pay Item Description],Table2[Pay Item No.]),2,0))</f>
        <v>0</v>
      </c>
      <c r="C19" s="17"/>
      <c r="D19" s="18" t="str">
        <f aca="false">IF(C19="","N/A",VLOOKUP(C19,CHOOSE({1,2},Table2[Pay Item Description],Table2[Units]),2,0))</f>
        <v>N/A</v>
      </c>
      <c r="E19" s="19"/>
      <c r="F19" s="20" t="str">
        <f aca="false">IF(C19="","N/A",VLOOKUP(C19,CHOOSE({1,2},Table2[Pay Item Description],Table2[Unit Cost]),2,0))</f>
        <v>N/A</v>
      </c>
      <c r="G19" s="21" t="n">
        <f aca="false">IF(B19&lt;&gt;0,F19*E19,0)</f>
        <v>0</v>
      </c>
      <c r="L19" s="2" t="s">
        <v>25</v>
      </c>
      <c r="P19" s="24" t="n">
        <f aca="false">('General Information'!$D$37/100)*P17</f>
        <v>39840.1992</v>
      </c>
      <c r="T19" s="0" t="s">
        <v>24</v>
      </c>
      <c r="X19" s="27" t="n">
        <f aca="false">('General Information'!$D$36/100)*X18</f>
        <v>93253.7996</v>
      </c>
    </row>
    <row r="20" customFormat="false" ht="19.5" hidden="false" customHeight="true" outlineLevel="0" collapsed="false">
      <c r="A20" s="0" t="n">
        <v>8</v>
      </c>
      <c r="B20" s="16" t="n">
        <f aca="false">IF(C20="",0,VLOOKUP(C20,CHOOSE({1,2},Table2[Pay Item Description],Table2[Pay Item No.]),2,0))</f>
        <v>0</v>
      </c>
      <c r="C20" s="17"/>
      <c r="D20" s="18" t="str">
        <f aca="false">IF(C20="","N/A",VLOOKUP(C20,CHOOSE({1,2},Table2[Pay Item Description],Table2[Units]),2,0))</f>
        <v>N/A</v>
      </c>
      <c r="E20" s="19"/>
      <c r="F20" s="20" t="str">
        <f aca="false">IF(C20="","N/A",VLOOKUP(C20,CHOOSE({1,2},Table2[Pay Item Description],Table2[Unit Cost]),2,0))</f>
        <v>N/A</v>
      </c>
      <c r="G20" s="21" t="n">
        <f aca="false">IF(B20&lt;&gt;0,F20*E20,0)</f>
        <v>0</v>
      </c>
      <c r="O20" s="1" t="s">
        <v>26</v>
      </c>
      <c r="P20" s="24" t="n">
        <f aca="false">SUM(P17:P19)</f>
        <v>916324.5816</v>
      </c>
      <c r="T20" s="0" t="s">
        <v>25</v>
      </c>
      <c r="X20" s="27" t="n">
        <f aca="false">('General Information'!$D$37/100)*X18</f>
        <v>46626.8998</v>
      </c>
    </row>
    <row r="21" customFormat="false" ht="19.5" hidden="false" customHeight="true" outlineLevel="0" collapsed="false">
      <c r="A21" s="0" t="n">
        <v>9</v>
      </c>
      <c r="B21" s="16" t="n">
        <f aca="false">IF(C21="",0,VLOOKUP(C21,CHOOSE({1,2},Table2[Pay Item Description],Table2[Pay Item No.]),2,0))</f>
        <v>0</v>
      </c>
      <c r="C21" s="17"/>
      <c r="D21" s="18" t="str">
        <f aca="false">IF(C21="","N/A",VLOOKUP(C21,CHOOSE({1,2},Table2[Pay Item Description],Table2[Units]),2,0))</f>
        <v>N/A</v>
      </c>
      <c r="E21" s="19"/>
      <c r="F21" s="20" t="str">
        <f aca="false">IF(C21="","N/A",VLOOKUP(C21,CHOOSE({1,2},Table2[Pay Item Description],Table2[Unit Cost]),2,0))</f>
        <v>N/A</v>
      </c>
      <c r="G21" s="21" t="n">
        <f aca="false">IF(B21&lt;&gt;0,F21*E21,0)</f>
        <v>0</v>
      </c>
      <c r="W21" s="0" t="s">
        <v>26</v>
      </c>
      <c r="X21" s="27" t="n">
        <f aca="false">SUM(X18:X20)</f>
        <v>1072418.6954</v>
      </c>
    </row>
    <row r="22" customFormat="false" ht="19.5" hidden="false" customHeight="true" outlineLevel="0" collapsed="false">
      <c r="A22" s="0" t="n">
        <v>10</v>
      </c>
      <c r="B22" s="16" t="n">
        <f aca="false">IF(C22="",0,VLOOKUP(C22,CHOOSE({1,2},Table2[Pay Item Description],Table2[Pay Item No.]),2,0))</f>
        <v>0</v>
      </c>
      <c r="C22" s="17"/>
      <c r="D22" s="18" t="str">
        <f aca="false">IF(C22="","N/A",VLOOKUP(C22,CHOOSE({1,2},Table2[Pay Item Description],Table2[Units]),2,0))</f>
        <v>N/A</v>
      </c>
      <c r="E22" s="19"/>
      <c r="F22" s="20" t="str">
        <f aca="false">IF(C22="","N/A",VLOOKUP(C22,CHOOSE({1,2},Table2[Pay Item Description],Table2[Unit Cost]),2,0))</f>
        <v>N/A</v>
      </c>
      <c r="G22" s="21" t="n">
        <f aca="false">IF(B22&lt;&gt;0,F22*E22,0)</f>
        <v>0</v>
      </c>
    </row>
    <row r="23" customFormat="false" ht="15" hidden="false" customHeight="false" outlineLevel="0" collapsed="false">
      <c r="G23" s="27"/>
    </row>
    <row r="24" customFormat="false" ht="15" hidden="false" customHeight="false" outlineLevel="0" collapsed="false">
      <c r="A24" s="0" t="s">
        <v>23</v>
      </c>
      <c r="G24" s="21" t="n">
        <f aca="false">SUM(G13:G22)</f>
        <v>7880405</v>
      </c>
    </row>
    <row r="25" customFormat="false" ht="15" hidden="false" customHeight="false" outlineLevel="0" collapsed="false">
      <c r="B25" s="0" t="s">
        <v>24</v>
      </c>
      <c r="G25" s="21" t="n">
        <f aca="false">('General Information'!$D$36/100)*G24</f>
        <v>788040.5</v>
      </c>
    </row>
    <row r="26" customFormat="false" ht="15" hidden="false" customHeight="false" outlineLevel="0" collapsed="false">
      <c r="B26" s="0" t="s">
        <v>25</v>
      </c>
      <c r="G26" s="21" t="n">
        <f aca="false">('General Information'!$D$37/100)*G24</f>
        <v>394020.25</v>
      </c>
    </row>
    <row r="27" customFormat="false" ht="15" hidden="false" customHeight="false" outlineLevel="0" collapsed="false">
      <c r="A27" s="3" t="s">
        <v>26</v>
      </c>
      <c r="B27" s="3"/>
      <c r="C27" s="3"/>
      <c r="D27" s="3"/>
      <c r="E27" s="3"/>
      <c r="F27" s="3"/>
      <c r="G27" s="28" t="n">
        <f aca="false">SUM(G24:G26)</f>
        <v>9062465.75</v>
      </c>
      <c r="H27" s="3"/>
      <c r="I27" s="3"/>
      <c r="J27" s="6"/>
      <c r="K27" s="6"/>
      <c r="L27" s="29"/>
      <c r="M27" s="6"/>
      <c r="N27" s="6"/>
      <c r="O27" s="6"/>
      <c r="P27" s="6"/>
      <c r="Q27" s="3"/>
      <c r="R27" s="3"/>
      <c r="S27" s="3"/>
      <c r="T27" s="3"/>
      <c r="U27" s="3"/>
      <c r="V27" s="3"/>
      <c r="W27" s="3"/>
      <c r="X27" s="3"/>
    </row>
    <row r="33" customFormat="false" ht="15" hidden="false" customHeight="false" outlineLevel="0" collapsed="false">
      <c r="A33" s="3" t="s">
        <v>27</v>
      </c>
    </row>
    <row r="34" customFormat="false" ht="15" hidden="false" customHeight="false" outlineLevel="0" collapsed="false">
      <c r="A34" s="3" t="s">
        <v>28</v>
      </c>
      <c r="I34" s="0" t="s">
        <v>0</v>
      </c>
    </row>
    <row r="36" customFormat="false" ht="15" hidden="false" customHeight="false" outlineLevel="0" collapsed="false">
      <c r="B36" s="30" t="s">
        <v>29</v>
      </c>
      <c r="C36" s="31" t="s">
        <v>30</v>
      </c>
      <c r="D36" s="31" t="s">
        <v>31</v>
      </c>
      <c r="E36" s="32" t="s">
        <v>32</v>
      </c>
    </row>
    <row r="37" customFormat="false" ht="15" hidden="false" customHeight="false" outlineLevel="0" collapsed="false">
      <c r="B37" s="33" t="s">
        <v>33</v>
      </c>
      <c r="C37" s="34" t="n">
        <f aca="false">C6</f>
        <v>2028</v>
      </c>
      <c r="D37" s="35" t="n">
        <f aca="false">G27</f>
        <v>9062465.75</v>
      </c>
      <c r="E37" s="36" t="n">
        <f aca="false">D37</f>
        <v>9062465.75</v>
      </c>
      <c r="K37" s="1" t="s">
        <v>34</v>
      </c>
      <c r="L37" s="2" t="s">
        <v>35</v>
      </c>
      <c r="M37" s="1" t="s">
        <v>36</v>
      </c>
      <c r="N37" s="1" t="s">
        <v>37</v>
      </c>
    </row>
    <row r="38" customFormat="false" ht="15" hidden="false" customHeight="false" outlineLevel="0" collapsed="false">
      <c r="B38" s="37" t="s">
        <v>3</v>
      </c>
      <c r="C38" s="38" t="n">
        <f aca="false">'Maintenance Policies'!E37</f>
        <v>19</v>
      </c>
      <c r="D38" s="39" t="n">
        <f aca="false">P20</f>
        <v>916324.5816</v>
      </c>
      <c r="E38" s="40" t="n">
        <f aca="false">IF(C38&gt;'General Information'!$D$33,0,D38/(1+('General Information'!$D$34/100))^C38)</f>
        <v>522567.104910763</v>
      </c>
      <c r="K38" s="1" t="n">
        <f aca="false">C6</f>
        <v>2028</v>
      </c>
      <c r="L38" s="2" t="n">
        <f aca="false">IF(K38-$C$6&gt;'General Information'!$D$33,0,IF(K38=$C$6,$D$37,0)+SUMIFS($D$38:$D$42,$C$38:$C$42,K38-$C$6,$B$38:$B$42,"&lt;&gt;*Indirect*"))</f>
        <v>9062465.75</v>
      </c>
      <c r="M38" s="2" t="n">
        <f aca="false">IF(K38-$C$6&gt;'General Information'!$D$33,0,SUMIFS($D$38:$D$42,$C$38:$C$42,K38-$C$6,$B$38:$B$42,"*Indirect*"))</f>
        <v>0</v>
      </c>
      <c r="N38" s="2" t="n">
        <f aca="false">IF(K38-$C$6&gt;'General Information'!$D$33,0,IF(K38=$C$6,$E$37,0)+SUMIF($C$38:$C$42,K38-$C$6,$E$38:$E$42))</f>
        <v>9062465.75</v>
      </c>
    </row>
    <row r="39" customFormat="false" ht="15" hidden="false" customHeight="false" outlineLevel="0" collapsed="false">
      <c r="B39" s="37" t="s">
        <v>38</v>
      </c>
      <c r="C39" s="38" t="n">
        <f aca="false">'Maintenance Policies'!E37</f>
        <v>19</v>
      </c>
      <c r="D39" s="39" t="n">
        <f aca="false">F2*F4</f>
        <v>32393.9</v>
      </c>
      <c r="E39" s="40" t="n">
        <f aca="false">IF(C39&gt;'General Information'!$D$33,0,D39/(1+('General Information'!$D$34/100))^C39)</f>
        <v>18473.7885239428</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37" t="s">
        <v>4</v>
      </c>
      <c r="C40" s="38" t="n">
        <f aca="false">'Maintenance Policies'!E41</f>
        <v>27</v>
      </c>
      <c r="D40" s="39" t="n">
        <f aca="false">X21</f>
        <v>1072418.6954</v>
      </c>
      <c r="E40" s="40" t="n">
        <f aca="false">IF(C40&gt;'General Information'!$D$33,0,D40/(1+('General Information'!$D$34/100))^C40)</f>
        <v>482791.159867436</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37" t="s">
        <v>39</v>
      </c>
      <c r="C41" s="38" t="n">
        <f aca="false">'Maintenance Policies'!E41</f>
        <v>27</v>
      </c>
      <c r="D41" s="39" t="n">
        <f aca="false">F2*F5</f>
        <v>61548.41</v>
      </c>
      <c r="E41" s="40" t="n">
        <f aca="false">IF(C41&gt;'General Information'!$D$33,0,D41/(1+('General Information'!$D$34/100))^C41)</f>
        <v>27708.4205817702</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37" t="s">
        <v>40</v>
      </c>
      <c r="C42" s="38" t="n">
        <f aca="false">'General Information'!D33</f>
        <v>30</v>
      </c>
      <c r="D42" s="39" t="n">
        <f aca="false">-'Maintenance Policies'!D46*G27</f>
        <v>-2265616.4375</v>
      </c>
      <c r="E42" s="40" t="n">
        <f aca="false">IF(C42&gt;'General Information'!$D$33,0,D42/(1+('General Information'!$D$34/100))^C42)</f>
        <v>-933403.974391597</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1" t="s">
        <v>27</v>
      </c>
      <c r="C43" s="42"/>
      <c r="D43" s="42"/>
      <c r="E43" s="43" t="n">
        <f aca="false">SUM(E37:E42)</f>
        <v>9180602.24949232</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916324.5816</v>
      </c>
      <c r="M57" s="2" t="n">
        <f aca="false">IF(K57-$C$6&gt;'General Information'!$D$33,0,SUMIFS($D$38:$D$42,$C$38:$C$42,K57-$C$6,$B$38:$B$42,"*Indirect*"))</f>
        <v>32393.9</v>
      </c>
      <c r="N57" s="2" t="n">
        <f aca="false">IF(K57-$C$6&gt;'General Information'!$D$33,0,IF(K57=$C$6,$E$37,0)+SUMIF($C$38:$C$42,K57-$C$6,$E$38:$E$42))</f>
        <v>541040.893434706</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1072418.6954</v>
      </c>
      <c r="M65" s="2" t="n">
        <f aca="false">IF(K65-$C$6&gt;'General Information'!$D$33,0,SUMIFS($D$38:$D$42,$C$38:$C$42,K65-$C$6,$B$38:$B$42,"*Indirect*"))</f>
        <v>61548.41</v>
      </c>
      <c r="N65" s="2" t="n">
        <f aca="false">IF(K65-$C$6&gt;'General Information'!$D$33,0,IF(K65=$C$6,$E$37,0)+SUMIF($C$38:$C$42,K65-$C$6,$E$38:$E$42))</f>
        <v>510499.580449206</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-2265616.4375</v>
      </c>
      <c r="M68" s="2" t="n">
        <f aca="false">IF(K68-$C$6&gt;'General Information'!$D$33,0,SUMIFS($D$38:$D$42,$C$38:$C$42,K68-$C$6,$B$38:$B$42,"*Indirect*"))</f>
        <v>0</v>
      </c>
      <c r="N68" s="2" t="n">
        <f aca="false">IF(K68-$C$6&gt;'General Information'!$D$33,0,IF(K68=$C$6,$E$37,0)+SUMIF($C$38:$C$42,K68-$C$6,$E$38:$E$42))</f>
        <v>-933403.974391597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BQDAABQSwMEFAACAAgAZnFsU7i7HMakAAAA9QAAABIAHABDb25maWcvUGFja2FnZS54bWwgohgAKKAUAAAAAAAAAAAAAAAAAAAAAAAAAAAAhY9BDoIwFESvQrqnRYwGyacs3EpiQjRum1KhET6GFsvdXHgkryBGUXcuZ95MMnO/3iAdmtq7qM7oFhMyowHxFMq20FgmpLdHPyIph62QJ1EqbwyjiQejE1JZe44Zc85RN6dtV7IwCGbskG1yWalG+BqNFSgV+bSK/y3CYf8aw0O6iuhiOU4CNnmQafzycGRP+mPCuq9t3ymu0N/lwCYJ7H2BPwBQSwMEFAACAAgAZnFsUw/K6aukAAAA6QAAABMAHABbQ29udGVudF9UeXBlc10ueG1sIKIYACigFAAAAAAAAAAAAAAAAAAAAAAAAAAAAG2OSw7CMAxErxJ5n7qwQAg1ZQHcgAtEwf2I5qPGReFsLDgSVyBtd4ilZ+Z55vN6V8dkB/GgMfbeKdgUJQhyxt961yqYuJF7ONbV9Rkoihx1UUHHHA6I0XRkdSx8IJedxo9Wcz7HFoM2d90Sbstyh8Y7JseS5x9QV2dq9DSwuKQsr7UZB3Fac3OVAqbEuMj4l7A/eR3C0BvN2cQkbZR2IXEZXn8BUEsDBBQAAgAIAGZxbFMoike4DgAAABEAAAATABwARm9ybXVsYXMvU2VjdGlvbjEubSCiGAAooBQAAAAAAAAAAAAAAAAAAAAAAAAAAAArTk0uyczPUwiG0IbWAFBLAQItABQAAgAIAGZxbFO4uxzGpAAAAPUAAAASAAAAAAAAAAAAAAAAAAAAAABDb25maWcvUGFja2FnZS54bWxQSwECLQAUAAIACABmcWxTD8rpq6QAAADpAAAAEwAAAAAAAAAAAAAAAADwAAAAW0NvbnRlbnRfVHlwZXNdLnhtbFBLAQItABQAAgAIAGZxbFMoike4DgAAABEAAAATAAAAAAAAAAAAAAAAAOEBAABGb3JtdWxhcy9TZWN0aW9uMS5tUEsFBgAAAAADAAMAwgAAADwCAAAAABABAADvu788P3htbCB2ZXJzaW9uPSIxLjAiIGVuY29kaW5nPSJ1dGYtOCI/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pcBAAAAAAAAdQEAAO+7vzw/eG1sIHZlcnNpb249IjEuMCIgZW5jb2Rpbmc9InV0Zi04Ij8+PExvY2FsUGFja2FnZU1ldGFkYXRhRmlsZSB4bWxuczp4c2k9Imh0dHA6Ly93d3cudzMub3JnLzIwMDEvWE1MU2NoZW1hLWluc3RhbmNlIiB4bWxuczp4c2Q9Imh0dHA6Ly93d3cudzMub3JnLzIwMDEvWE1MU2NoZW1h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NoAAAABAAAA0Iyd3wEV0RGMegDAT8KX6wEAAACMZMbwI6sISYFgKb1v9EWIAAAAAAIAAAAAAANmAADAAAAAEAAAAHSXiEEXqJa5r57myrfMhMoAAAAABIAAAKAAAAAQAAAAIaYbsWcEm5BZkNdnwFUfwFAAAABFeyNgATQEmRfFj+Uq9/3l0o+ENNfiTTp5xLtBDH28P5y1RCD/xO9rfuuFSevMIgKasNIlFUMRWBXd1ecML5NhD8ILz7vXH4JigCsPZe6IeRQAAAAIl9ye8/GcvwQIq8tY9OwR4HIRDg==</DataMashup>
</file>

<file path=customXml/itemProps1.xml><?xml version="1.0" encoding="utf-8"?>
<ds:datastoreItem xmlns:ds="http://schemas.openxmlformats.org/officeDocument/2006/customXml" ds:itemID="{B4B88566-E933-4244-856C-A2F9DB7159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2021-03-15T15:18:27Z</dcterms:created>
  <dc:creator>Jim Bruinsma</dc:creator>
  <dc:description/>
  <dc:language>en-US</dc:language>
  <cp:lastModifiedBy/>
  <dcterms:modified xsi:type="dcterms:W3CDTF">2026-09-12T07:25:29Z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